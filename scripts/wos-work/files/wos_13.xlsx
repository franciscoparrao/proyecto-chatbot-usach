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vedrecs" sheetId="1" r:id="rId4"/>
  </sheets>
  <definedNames/>
  <calcPr/>
</workbook>
</file>

<file path=xl/sharedStrings.xml><?xml version="1.0" encoding="utf-8"?>
<sst xmlns="http://schemas.openxmlformats.org/spreadsheetml/2006/main" count="65638" uniqueCount="9891">
  <si>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</si>
  <si>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</si>
  <si>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</si>
  <si>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</si>
  <si>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</si>
  <si>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</si>
  <si>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</si>
  <si>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</si>
  <si>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</si>
  <si>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</si>
  <si>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</si>
  <si>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</si>
  <si>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</si>
  <si>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</si>
  <si>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</si>
  <si>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</si>
  <si>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</si>
  <si>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</si>
  <si>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</si>
  <si>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</si>
  <si>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</si>
  <si>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</si>
  <si>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</si>
  <si>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</si>
  <si>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</si>
  <si>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</si>
  <si>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</si>
  <si>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</si>
  <si>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</si>
  <si>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</si>
  <si>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</si>
  <si>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</si>
  <si>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</si>
  <si>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</si>
  <si>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</si>
  <si>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</si>
  <si>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</si>
  <si>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</si>
  <si>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</si>
  <si>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</si>
  <si>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</si>
  <si>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</si>
  <si>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</si>
  <si>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</si>
  <si>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</si>
  <si>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</si>
  <si>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</si>
  <si>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</si>
  <si>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</si>
  <si>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</si>
  <si>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</si>
  <si>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</si>
  <si>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</si>
  <si>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</si>
  <si>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</si>
  <si>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</si>
  <si>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</si>
  <si>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</si>
  <si>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</si>
  <si>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</si>
  <si>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</si>
  <si>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</si>
  <si>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</si>
  <si>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</si>
  <si>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</si>
  <si>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</si>
  <si>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</si>
  <si>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</si>
  <si>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</si>
  <si>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</si>
  <si>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</si>
  <si>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</si>
  <si>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</si>
  <si>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Chacón, M; Jara, JL; Panerai, RB</t>
  </si>
  <si>
    <t/>
  </si>
  <si>
    <t>Chacon, Max; Luis Jara, Jose; Panerai, Ronney B.</t>
  </si>
  <si>
    <t>A New Model-Free Index of Dynamic Cerebral Blood Flow Autoregulation</t>
  </si>
  <si>
    <t>PLOS ONE</t>
  </si>
  <si>
    <t>The classic dynamic autoregulatory index (ARI), proposed by Aaslid and Tiecks, is one of the most widely used methods to assess the efficiency of dynamic cerebral autoregulation. Although this index is often used in clinical research and is also included in some commercial equipment, it exhibits considerable intra-subject variability, and has the tendency to produce false positive results in clinical applications. An alternative index of dynamic cerebral autoregulation is proposed, which overcomes most of the limitations of the classic method and also has the advantage of being model-free. This new index uses two parameters that are obtained directly from the response signal of the cerebral blood flow velocity to a transient decrease in arterial blood pressure provoked by the sudden release of bilateral thigh cuffs, and a third parameter measuring the difference in slope of this response and the change in arterial blood pressure achieved. With the values of these parameters, a corresponding classic autoregulatory index value could be calculated by using a linear regression model built from theoretical curves generated with the Aaslid-Tiecks model. In 16 healthy subjects who underwent repeated thigh-cuff manoeuvres, the model-free approach exhibited significantly lower intra-subject variability, as measured by the unbiased coefficient of variation, than the classic autoregulatory index (p = 0.032) and the Rate of Return (p, 0.001), another measure of cerebral autoregulation used for this type of systemic pressure stimulus, from 39.23%+/- 41.91% and 55.31%+/- 31.27%, respectively, to 15.98%+/- 7.75%.</t>
  </si>
  <si>
    <t>Jara, JL/J-7254-2015</t>
  </si>
  <si>
    <t>Jara, JL/0000-0002-3348-7017</t>
  </si>
  <si>
    <t>1932-6203</t>
  </si>
  <si>
    <t>OCT 14</t>
  </si>
  <si>
    <t>e108281</t>
  </si>
  <si>
    <t>10.1371/journal.pone.0108281</t>
  </si>
  <si>
    <t>WOS:000343662500010</t>
  </si>
  <si>
    <t>C</t>
  </si>
  <si>
    <t>Diaz-Calderon, P; Roussenova, M; Enrione, J; Alam, MA</t>
  </si>
  <si>
    <t>Alam, A; Coleman, P; Dugdale, S; Roussenova, M</t>
  </si>
  <si>
    <t>Diaz-Calderon, P.; Roussenova, M.; Enrione, J.; Alam, M. A.</t>
  </si>
  <si>
    <t>A nanostructural investigation of the effect of glycerol on the molecular packing, thermodynamic state and water sorption behaviour of glassy gelatin films</t>
  </si>
  <si>
    <t>16TH INTERNATIONAL CONFERENCE ON POSITRON ANNIHILATION (ICPA-16)</t>
  </si>
  <si>
    <t>Journal of Physics Conference Series</t>
  </si>
  <si>
    <t>16th International Conference on Positron Annihilation (ICPA)</t>
  </si>
  <si>
    <t>AUG 19-24, 2012</t>
  </si>
  <si>
    <t>Univ Bristol, H H Wills Phys Lab, Bristol, ENGLAND</t>
  </si>
  <si>
    <t>Ortech,Canberra,Univ Bristol</t>
  </si>
  <si>
    <t>Univ Bristol, H H Wills Phys Lab</t>
  </si>
  <si>
    <t>This work explores the effect of glycerol, a low molecular weight polyol, on the molecular packing, thermodynamic state and water sorption of low water content gelatin films. For this purpose, bovine gelatin films with different glycerol contents (0-10% wt.) were equilibrated at a range of relative humidities (RH=11-44%, T=298K). Our PALS measurements show that over the concentration range studied, glycerol acts as a packing enhancer (causing a non-linear decrease in the average molecular hole size), whilst reducing the glass transition temperature of the gelatin films. Glycerol also alters the water sorption behaviour of the glassy gelatin films, (whereby reducing the amount of water absorbed at well defined relative humidities), highlighting the importance of molecular packing for the sorption of water vapour in the glassy state.</t>
  </si>
  <si>
    <t>Enrione, Javier/I-9225-2014</t>
  </si>
  <si>
    <t>Enrione, Javier/0000-0002-3916-6775; Diaz-Calderon, Paulo/0000-0002-8375-2210</t>
  </si>
  <si>
    <t>1742-6588</t>
  </si>
  <si>
    <t>10.1088/1742-6596/443/1/012056</t>
  </si>
  <si>
    <t>WOS:000321739400056</t>
  </si>
  <si>
    <t>Lemus-Mondaca, R; Vega-Gálvez, A; Zura-Bravo, L; Ah-Hen, K</t>
  </si>
  <si>
    <t>Lemus-Mondaca, Roberto; Vega-Galvez, Antonio; Zura-Bravo, Liliana; Ah-Hen, Kong</t>
  </si>
  <si>
    <t>Response to the Letter to Editor regarding Stevia rebaudiana Bertoni, source of a high potency natural sweetener A comprehensive review on the biochemical, nutritional and functional aspects extraction and safety of stevioside</t>
  </si>
  <si>
    <t>FOOD CHEMISTRY</t>
  </si>
  <si>
    <t>Vega-Galvez, Antonio/F-1089-2015; Zura-Bravo, Liliana/ACN-6815-2022; Ah-Hen, Kong/D-2591-2011; Lemus-Mondaca, Roberto/E-8348-2017</t>
  </si>
  <si>
    <t>Lemus-Mondaca, Roberto/0000-0002-1252-2573; Zura-Bravo, Liliana/0000-0003-1403-5872; Ah-Hen, Kong Shun/0000-0003-4595-0707; Vega-Galvez, Antonio/0000-0001-9991-6139</t>
  </si>
  <si>
    <t>0308-8146</t>
  </si>
  <si>
    <t>DEC 1</t>
  </si>
  <si>
    <t>10.1016/j.foodchem.2012.06.081</t>
  </si>
  <si>
    <t>WOS:000310396700127</t>
  </si>
  <si>
    <t>Vilches-Herrera, M; Miranda-Sepúlveda, J; Rebolledo-Fuentes, M; Fierro, A; Lühr, S; Iturriaga-Vasquez, P; Cassels, BK; Reyes-Parada, M</t>
  </si>
  <si>
    <t>Vilches-Herrera, Marcelo; Miranda-Sepulveda, Juan; Rebolledo-Fuentes, Marco; Fierro, Angelica; Luehr, Susan; Iturriaga-Vasquez, Patricio; Cassels, Bruce K.; Reyes-Parada, Miguel</t>
  </si>
  <si>
    <t>Naphthylisopropylamine and N-benzylamphetamine derivatives as monoamine oxidase inhibitors</t>
  </si>
  <si>
    <t>BIOORGANIC &amp; MEDICINAL CHEMISTRY</t>
  </si>
  <si>
    <t>A series of naphthylisopropylamine and N-benzyl-4-methylthioamphetamine derivatives were evaluated as monoamine oxidase inhibitors. Their potencies were compared with those of a series of amphetamine derivatives, to test if the increase of electron richness of the aromatic ring and overall size of the molecule might improve their potency as enzyme inhibitors. Molecular dockings were performed to gain insight regarding the binding mode of these inhibitors and rationalize their different potencies. In the case of naphthylisopropylamine derivatives, the increased electron-donating capacity and size of the aromatic moiety resulting from replacement of the phenyl ring of amphetamine derivatives by a naphthalene system resulted in more potent compounds. In the other case, extension of the arylisopropylamine molecule by N-benzylation of the amino group led to a decrease in potency as monoamine oxidase inhibitors. (C) 2009 Elsevier Ltd. All rights reserved.</t>
  </si>
  <si>
    <t>Cassels, Bruce/H-6937-2013; Herrera, Luis/M-2750-2015</t>
  </si>
  <si>
    <t>Vilches Herrera, Marcelo/0000-0001-8282-8650; Fierro Huerta, Angelica/0000-0002-6507-4188; Luhr, Susan/0000-0003-0449-0601</t>
  </si>
  <si>
    <t>0968-0896</t>
  </si>
  <si>
    <t>1464-3391</t>
  </si>
  <si>
    <t>MAR 15</t>
  </si>
  <si>
    <t>10.1016/j.bmc.2009.01.074</t>
  </si>
  <si>
    <t>WOS:000264236700040</t>
  </si>
  <si>
    <t>Levicán, G; Katz, A; Valdés, J; Quatrini, R; Holmes, DS; Orellana, O</t>
  </si>
  <si>
    <t>Donati, ER; Viera, MR; Tavani, EL; Giaveno, MA; Lavalle, TL; Chiacchiarini, PA</t>
  </si>
  <si>
    <t>Levican, G.; Katz, A.; Valdes, J.; Quatrini, R.; Holmes, D. S.; Orellana, O.</t>
  </si>
  <si>
    <t>A 300 kpb genome segment, including a complete set of tRNA genes, is dispensable for Acidithiobacillus ferrooxidans</t>
  </si>
  <si>
    <t>BIOHYDROMETALLURGY: A MEETING POINT BETWEEN MICROBIAL ECOLOGY, METAL RECOVERY PROCESSES AND ENVIRONMENTAL REMEDIATION</t>
  </si>
  <si>
    <t>Advanced Materials Research</t>
  </si>
  <si>
    <t>18th International Biohydrometallurgy Symposium</t>
  </si>
  <si>
    <t>SEP 13-17, 2009</t>
  </si>
  <si>
    <t>Bariloche, ARGENTINA</t>
  </si>
  <si>
    <t>CINDEFI,Centro Invest Desarrollo Fermentac Ind,Univ Nacl Comahue, Fac Ingenieria,CETMIC,Centro Tecnol Resursos Minerales &amp; Ceram</t>
  </si>
  <si>
    <t>The genome sequences from two strains of the acidophilic, autotrophic, chemolithotrophic proteobacterium A. ferrooxidans are available from genome databases. Bioinformatic sequence comparison revealed the existence in one strain of a putative integrative conjugative element (ICE), containing an entire set Of Clustered tRNA genes. ICE is missing in the other strain, suggesting that this element as well as the tRNA genes cluster is dispensable for the bacterium. Bioinformatic predictions suggest that the tRNA genes cluster might mainly contribute to the translation of ICE encoded genes.</t>
  </si>
  <si>
    <t>Valdes, Jorge/AAL-2779-2021; Levican, Gloria/R-5191-2019; Quatrini, Raquel/GSD-7689-2022; Katz, Assaf/K-7130-2018; Quatrini, Raquel/N-1801-2013</t>
  </si>
  <si>
    <t>Holmes, David/0000-0001-9555-138X; Quatrini, Raquel/0000-0003-2600-2605; Katz, Assaf/0000-0001-5481-7399; Levican, Gloria/0000-0002-1275-7399</t>
  </si>
  <si>
    <t>1022-6680</t>
  </si>
  <si>
    <t>978-0-87849-322-7</t>
  </si>
  <si>
    <t>71-73</t>
  </si>
  <si>
    <t>+</t>
  </si>
  <si>
    <t>10.4028/www.scientific.net/AMR.71-73.187</t>
  </si>
  <si>
    <t>WOS:000273541600040</t>
  </si>
  <si>
    <t>Pathem, BK; Pradenas, GA; Castro, ME; Vásquez, CC; Chasteen, TG</t>
  </si>
  <si>
    <t>Pathem, Bala Krishna; Pradenas, Gonzalo A.; Castro, Miguel E.; Vasquez, Claudio C.; Chasteen, Thomas G.</t>
  </si>
  <si>
    <t>Capillary electrophoretic determination of selenocyanate and selenium and tellurium oxyanions in bacterial cultures</t>
  </si>
  <si>
    <t>ANALYTICAL BIOCHEMISTRY</t>
  </si>
  <si>
    <t>A simple capillary zone electrophoretic method for the determination of biospherically important oxyanions of selenium (Se) and tellurium and another Se-containing anion, selenocyanate, has been developed. The method uses direct UV absorption detection. Time course experiments with time slices as short as 6 min are possible. This method's detection limits and linear range compare well with other methods involving samples containing complex biological matrices. The metalloid-containing anions examined were selenocyanate, selenite, selenate, tellurite, and tellurate. We applied this method to live cultures of two different bacteria in two different growth media in time course experiments following the changes in metalloid-containing anion concentrations. The results show that this method is a useful means of following the biological processing of these analytes in bacterial cultures. (c) 2007 Elsevier Inc. All rights reserved.</t>
  </si>
  <si>
    <t>pathem, bala/F-8764-2014; Chasteen, Thomas/B-6601-2009</t>
  </si>
  <si>
    <t>0003-2697</t>
  </si>
  <si>
    <t>1096-0309</t>
  </si>
  <si>
    <t>MAY 15</t>
  </si>
  <si>
    <t>10.1016/j.ab.2007.03.004</t>
  </si>
  <si>
    <t>WOS:000245960400006</t>
  </si>
  <si>
    <t>Hurtado-Guzmán, C; Fierro, A; Iturriaga-Vásquez, P; Sepúlveda-Boza, S; Cassels, BK; Reyes-Parada, M</t>
  </si>
  <si>
    <t>Monoamine oxidase inhibitory properties of optical isomers and N-substituted derivatives of 4-methylthioamphetamine</t>
  </si>
  <si>
    <t>JOURNAL OF ENZYME INHIBITION AND MEDICINAL CHEMISTRY</t>
  </si>
  <si>
    <t>(+/-)-4-Methylthioamphetamine (MTA) was resolved into its enantiomers, and a series of N -alkyl derivatives of the parent compound, as well as its alpha-ethyl analogue, were prepared. The monoamine oxidase (MAO) inhibitory properties of these substances were evaluated in vitro , using a crude rat brain mitochondrial suspension as the source of enzyme. All compounds produced a selective, reversible and concentration-related inhibition of MAO-A. (+)-MTA proved to be the most potent inhibitor studied, while all the other derivatives were less active than the parent compound, with (-)-MTA being about 18 times less potent than the (+) isomer. The analysis of structure-activity relationships indicates that the introduction of alkyl substituents on the amino group of MTA leads to a reduction in the potency of the derivatives as MAO-A inhibitors, an effect which increases with the size of the substituent.</t>
  </si>
  <si>
    <t>Cassels, Bruce/H-6937-2013</t>
  </si>
  <si>
    <t>Fierro Huerta, Angelica/0000-0002-6507-4188</t>
  </si>
  <si>
    <t>1475-6366</t>
  </si>
  <si>
    <t>1475-6374</t>
  </si>
  <si>
    <t>JUL</t>
  </si>
  <si>
    <t>10.1080/1475636031000118437</t>
  </si>
  <si>
    <t>WOS:000184179800008</t>
  </si>
  <si>
    <t>Espinosa, O; Gamboa, J; Lepe, S; Méndez, F</t>
  </si>
  <si>
    <t>Nonrelativistic fermions in magnetic fields:: a quantum field theory approach</t>
  </si>
  <si>
    <t>PHYSICS LETTERS B</t>
  </si>
  <si>
    <t>The statistical mechanics of nonrelativistic fermions in a constant magnetic field is considered from the quantum field theory point of view. The fermionic determinant is computed using a general procedure that is compatible with the all reasonable regularization procedures. The nonrelativistic grand-potential can be expressed in terms polylogarithm functions, whereas the partition function in 2 + 1 dimensions and vanishing chemical potential can be compactly written in terms of the Dedekind eta function. The strong and weak magnetic fields limits are easily studied in the latter case by using the duality properties of the Dedekind function. (C) 2001 Elsevier Science B.V. All rights reserved.</t>
  </si>
  <si>
    <t>Gamboa, Jorge/R-8744-2019</t>
  </si>
  <si>
    <t>Mendez, Fernando/0000-0002-9257-9552</t>
  </si>
  <si>
    <t>0370-2693</t>
  </si>
  <si>
    <t>1873-2445</t>
  </si>
  <si>
    <t>NOV 15</t>
  </si>
  <si>
    <t>3-4</t>
  </si>
  <si>
    <t>10.1016/S0370-2693(01)01141-8</t>
  </si>
  <si>
    <t>WOS:000172156600034</t>
  </si>
  <si>
    <t>Ortíz-Barrios, MA; Madrid-Sierra, SL; Petrillo, A; Quezada, LE</t>
  </si>
  <si>
    <t>Ortiz-Barrios, Miguel Angel; Madrid-Sierra, Stephany Lucia; Petrillo, Antonella; Quezada, Luis E.</t>
  </si>
  <si>
    <t>A novel approach integrating IF-AHP, IF-DEMATEL and CoCoSo methods for sustainability management in food digital manufacturing supply chain systems</t>
  </si>
  <si>
    <t>JOURNAL OF ENTERPRISE INFORMATION MANAGEMENT</t>
  </si>
  <si>
    <t>PurposeFood manufacturing supply chain systems are the most relevant wheels of the world economy since they provide essential products supporting daily life. Nevertheless, various supply inefficiencies have been reported to compromise food safety in different regions. Sustainable supplier management and digitalization practices have become cornerstone activities in addressing these shortcomings. Therefore, this paper proposes an integrated method for sustainability management in digital manufacturing supply chain systems (DMSCS) from the food industry.Design/methodology/approachThe Intuitionistic Fuzzy Analytic Hierarchy Process (IF-AHP) was used to weigh the criteria and subcriteria under uncertainty. Second, the Intuitionistic Fuzzy Decision-Making Trial and Evaluation Laboratory (IF-DEMATEL) was applied to determine the main DMSCS sustainability drivers whilst incorporating the expert's hesitancy. Finally, the Combined Compromise Solution (CoCoSo) was implemented to pinpoint the weaknesses hindering DMSCS sustainability. A case study from the pork supply chain was presented to validate this method.FindingsThe most important criterion for DMSCS sustainability management is location while manufacturing capacity is the most significant dispatcher.Originality/valueThis paper presents a novel approach integrating IF-AHP, IF-DEMATEL, and CoCoSo methods for sustainability management of DMSCS pillaring the food industry.</t>
  </si>
  <si>
    <t>Barrios, Miguel/AAW-2705-2021; Quezada, Luis/W-8168-2019</t>
  </si>
  <si>
    <t>Ortiz Barrios, Miguel Angel/0000-0001-6890-7547; Madrid Sierra, Stephany Lucia/0000-0001-8985-9329</t>
  </si>
  <si>
    <t>1741-0398</t>
  </si>
  <si>
    <t>1758-7409</t>
  </si>
  <si>
    <t>2023 DEC 14</t>
  </si>
  <si>
    <t>10.1108/JEIM-04-2023-0199</t>
  </si>
  <si>
    <t>DEC 2023</t>
  </si>
  <si>
    <t>WOS:001121991300001</t>
  </si>
  <si>
    <t>Aparicio, R; Keyantuo, V; Lizama, C</t>
  </si>
  <si>
    <t>Aparicio, Rafael; Keyantuo, Valentin; Lizama, Carlos</t>
  </si>
  <si>
    <t>A Characterization of Uniform Well Posedness for Degenerate Second-Order Abstract Differential Equations</t>
  </si>
  <si>
    <t>RESULTS IN MATHEMATICS</t>
  </si>
  <si>
    <t>We completely characterize the uniform well-posedness of the Dirichlet boundary value problem for degenerate second order abstract differential equations in Hilbert and Banach spaces. Our characterization is given solely in terms of spectral properties of the data and uniform boundedness properties of an appropriate resolvent operator.</t>
  </si>
  <si>
    <t>Aparicio, Rafael/AES-7044-2022; Lizama, Carlos/E-5909-2011</t>
  </si>
  <si>
    <t>Lizama, Carlos/0000-0002-9807-1100</t>
  </si>
  <si>
    <t>1422-6383</t>
  </si>
  <si>
    <t>1420-9012</t>
  </si>
  <si>
    <t>OCT</t>
  </si>
  <si>
    <t>10.1007/s00025-023-01942-2</t>
  </si>
  <si>
    <t>WOS:001018450300003</t>
  </si>
  <si>
    <t>Aruachan, K; Colón, YJ; Aravena, D; Herrera, F</t>
  </si>
  <si>
    <t>Aruachan, Katy; Colon, Yamil J.; Aravena, Daniel; Herrera, Felipe</t>
  </si>
  <si>
    <t>Semi-empirical Haken-Strobl model for molecular spin qubits</t>
  </si>
  <si>
    <t>NEW JOURNAL OF PHYSICS</t>
  </si>
  <si>
    <t>Understanding the physical processes that determine the relaxation T 1 and dephasing T 2 times of molecular spin qubits is critical for envisioned applications in quantum metrology and information processing. Recent spin-echo measurements of solid-state molecular spin qubits have stimulated the development of quantum mechanical models for predicting intrinsic qubit timescales using first-principles electronic structure methods. We develop an alternative semi-empirical approach to construct Redfield quantum master equations for molecular spin qubits using a stochastic Haken-Strobl theory for a central spin with fluctuating gyromagnetic tensor due to spin-lattice interaction and fluctuating local magnetic field due to interactions with lattice spins. Using two vanadium-based spin qubits as case studies, we compute qubit population and decoherence times as a function of temperature and magnetic field, using a bath spectral density parametrized with a small number of T 1 measurements. The theory quantitatively agrees with experimental data over a range of conditions beyond those used to parameterize the model, demonstrating the generalization potential of the method. The ability of the model to describe the temperature dependence of the ratio T2/T1 is discussed and possible applications for designing novel molecule-based quantum magnetometers are suggested.</t>
  </si>
  <si>
    <t>Herrera, Felipe/KHD-8453-2024; Aravena, Daniel/F-2174-2011</t>
  </si>
  <si>
    <t>Aravena, Daniel/0000-0003-3140-4852; Colon, Yamil/0000-0001-5316-9692; Aruachan, Katy/0009-0004-7216-6648</t>
  </si>
  <si>
    <t>1367-2630</t>
  </si>
  <si>
    <t>SEP 1</t>
  </si>
  <si>
    <t>10.1088/1367-2630/acf2bd</t>
  </si>
  <si>
    <t>WOS:001119219700001</t>
  </si>
  <si>
    <t>Hyde, JM; Lodha, Y; Rivas, C</t>
  </si>
  <si>
    <t>Hyde, James; Lodha, Yash; Rivas, Cristobal</t>
  </si>
  <si>
    <t>Two new families of finitely generated simple groups of homeomorphisms of the real line *</t>
  </si>
  <si>
    <t>JOURNAL OF ALGEBRA</t>
  </si>
  <si>
    <t>The goal of this article is to exhibit two new families of finitely generated simple groups of homeomorphisms of R. These families are strikingly different from existing families owing to the nature of their actions on R, and exhibit surprising algebraic and dynamical features. The first construction provides the first examples of finitely generated simple groups of homeomorphisms of R that also admit minimal actions by homeomorphisms on the torus. The second construction provides the first examples of finitely generated simple groups of homeomorphisms of R which also admit a minimal action by homeomorphisms on the circle. This also provides new examples of finitely generated simple groups that admit nontrivial homogeneous quasimorphisms (and therefore have infinite commutator width), also being the first such left orderable examples.&amp; COPY; 2023 Elsevier Inc. All rights reserved.</t>
  </si>
  <si>
    <t>Lodha, Yash/0009-0004-4800-0103</t>
  </si>
  <si>
    <t>0021-8693</t>
  </si>
  <si>
    <t>1090-266X</t>
  </si>
  <si>
    <t>10.1016/j.jalgebra.2023.07.020</t>
  </si>
  <si>
    <t>AUG 2023</t>
  </si>
  <si>
    <t>WOS:001062630000001</t>
  </si>
  <si>
    <t>Donoso, G; Jara-Rosales, S; Padilla-Meza, J; Godoy-Guzmán, C</t>
  </si>
  <si>
    <t>Donoso A, Gonzalez .; Jara-Rosales, S.; Padilla-Meza, J.; Godoy-Guzman, C.</t>
  </si>
  <si>
    <t>Scale to Measure Medical, Nursing and Midwifery Students' Engagement in an E-learning Histology Course</t>
  </si>
  <si>
    <t>INTERNATIONAL JOURNAL OF MORPHOLOGY</t>
  </si>
  <si>
    <t>E-learning courses become increasingly important and relevant in medicine and health sciences over the last decade. However, there are few teaching experiences of e-learning histology courses published in the literature worldwide. Moreover, most of these studies focus on the didactic aspects of the course without exploring student participation. The study presented below aimed to validate a scale to measure student participation in an e-learning histology course. We provide evidence of validity of the instrument based on its internal structure for use with medical, nursing, and midwifery students. The participants in this study were a group of 426 Chilean medical, nursing and midwifery students from a public university who completed the questionnaire in two consecutive semesters (2020-2021). Data from the first group of students were used to perform an exploratory factor analysis (EFA), while data from the second group of participants were used to perform a confirmatory factor analysis (CFA). The three factors identified according to the CFA were: Habits of online, Motivation for online learning, and Interaction of online. After eliminating one of the initial items of the instrument, the scale showed acceptable psychometric properties suggesting that it is a useful instrument to measure students' perception of their participation in e-learning histology courses. The factors identified through the validation of the instrument provide relevant information for teachers and curriculum developers to create and implement different ways of encouraging student participation in elearning histology courses to support online learning.</t>
  </si>
  <si>
    <t>Godoy-Guzman, Carlos Ignacio/IUO-1065-2023</t>
  </si>
  <si>
    <t>Jara-Rosales, Sergio/0000-0001-6455-9864; Godoy-Guzman, Carlos/0000-0001-8451-7047</t>
  </si>
  <si>
    <t>0717-9502</t>
  </si>
  <si>
    <t>0717-9367</t>
  </si>
  <si>
    <t>APR</t>
  </si>
  <si>
    <t>WOS:001001066200040</t>
  </si>
  <si>
    <t>Sáez, P; Herrera, C; Booth, C; Belmokhtar-Berraf, S; Parada, V</t>
  </si>
  <si>
    <t>Saez, Patricio; Herrera, Carlos; Booth, Camila; Belmokhtar-Berraf, Sana; Parada, Victor</t>
  </si>
  <si>
    <t>A product-driven system with an evolutionary algorithm to increase flexibility in planning a job shop</t>
  </si>
  <si>
    <t>The scheduling of a job shop production system occurs using models to plan operations for a given period while minimizing the makespan. However, since the resulting mathematical models are computationally demanding, their implementation in the work environment is impractical, a difficulty that increases as the scale problem grows. An alternative approach is to address the problem in a decentralized manner, such that real-time product flow information feeds the control system to minimize the makespan dynamically. Under the decentralized approach, we use a holonic and multiagent systems to represent a product-driven job shop system that allows us to simulate real-world scenarios. However, the computational performance of such systems to control the process in real-time and for different problem scales is unclear. This paper presents a product-driven job shop system model that includes an evolutionary algorithm to minimize the makespan. A multiagent system simulates the model and produces comparative results for different problem scales with classical models. One hundred two job shop problem instances classified as small, medium, and large scale are evaluated. The results suggest that a product-driven system produces near-optimal solutions in short periods and improves its performance as the scale of the problem increases. Furthermore, the computational performance observed during the experimentation suggests that such a system can be embedded in a real-time control process.</t>
  </si>
  <si>
    <t>Parada, Victor/M-5840-2014; Herrera, Carlos/AAF-9657-2021</t>
  </si>
  <si>
    <t>Saez Bustos, Patricio/0000-0002-0113-3644; Belmokhtar-Berraf, Sana/0009-0008-8059-9397</t>
  </si>
  <si>
    <t>FEB 16</t>
  </si>
  <si>
    <t>e0281807</t>
  </si>
  <si>
    <t>10.1371/journal.pone.0281807</t>
  </si>
  <si>
    <t>WOS:001047063700077</t>
  </si>
  <si>
    <t>Aqueveque, P; Gutierrez, M; Retamal, G; Germany, E; Peña, G; Gómez, B; Ortega-Bastidas, P</t>
  </si>
  <si>
    <t>IEEE</t>
  </si>
  <si>
    <t>Aqueveque, Pablo; Gutierrez, Manuel; Retamal, Gustavo; Germany, Enrique; Pena, Guisella; Gomez, Britam; Ortega-Bastidas, Paulina</t>
  </si>
  <si>
    <t>Development of a Platform to Assess the Risk of Musculoskeletal Disorders in Manual Load Handling Activities - Preliminary Results</t>
  </si>
  <si>
    <t>2023 45TH ANNUAL INTERNATIONAL CONFERENCE OF THE IEEE ENGINEERING IN MEDICINE &amp; BIOLOGY SOCIETY, EMBC</t>
  </si>
  <si>
    <t>IEEE Engineering in Medicine and Biology Society Conference Proceedings</t>
  </si>
  <si>
    <t>45th Annual International Conference of the IEEE-Engineering-in-Medicine-and-Biology-Society (EMBC)</t>
  </si>
  <si>
    <t>JUL 24-27, 2023</t>
  </si>
  <si>
    <t>Sydney, AUSTRALIA</t>
  </si>
  <si>
    <t>IEEE,IEEE Engn Med &amp; Biol Soc</t>
  </si>
  <si>
    <t>Risk identification on workstations is a crucial step to prevent the occurrence of musculoskeletal disorders (MSD) in workers. The available methods and tools used by ergonomists to assess and estimate the risk related to manual handling of loads under repetitive work cycles are usually biased by the inter-evaluator error that can lead to a subjective determination of work-related risks due to the application of, mainly, observational methods. This paper shows the preliminary results of a platform to assess the risk of musculoskeletal disorders during manual load-handling tasks using an instrumented system and using the National Institute for Occupational Safety &amp; Health (NIOSH) method. Eight healthy subjects were measured during lifting activities using an optical-based and inertial-based motion capture systems. The developed software implements a semi-automated instrumented version of the NIOSH method, helping the evaluator with automated calculations of body segment locations, displacements and joint angles making it possible to obtain a objective risk classification. Also, we achieved a reduction of 85% in the time for the estimation of the necessary factors for the digital evaluation methodology, making the proposed platform a promising and attractive alternative for its application in real environments for risk assessments.</t>
  </si>
  <si>
    <t>Aqueveque, Pablo/I-1463-2012; Gómez, Britam/AAY-6534-2020; Gutierrez, Manuel/KIB-2534-2024; Germany Morrison, Enrique Ignacio/HHC-2009-2022</t>
  </si>
  <si>
    <t>Germany Morrison, Enrique Ignacio/0000-0002-3100-187X</t>
  </si>
  <si>
    <t>1557-170X</t>
  </si>
  <si>
    <t>1558-4615</t>
  </si>
  <si>
    <t>979-8-3503-2447-1</t>
  </si>
  <si>
    <t>10.1109/EMBC40787.2023.10340262</t>
  </si>
  <si>
    <t>WOS:001133788301085</t>
  </si>
  <si>
    <t>Yáñez, BEN; García, ED; Reinón, MS; Corey, GP</t>
  </si>
  <si>
    <t>Navarrete Yanez, Bernardo Eric; Del Campo Garcia, Esther; Sanchez Reinon, Manuel; Parra Corey, Gonzalo</t>
  </si>
  <si>
    <t>Institutional trust as a determinant of citizen evaluation of access to information at the municipal level in Chile</t>
  </si>
  <si>
    <t>REVISTA IBEROAMERICANA DE ESTUDIOS MUNICIPALES</t>
  </si>
  <si>
    <t>What factors determine citizen's evaluation of municipal transparency? The study, based on data from the 2020 National Transparency Survey prepared by the Chilean Transparency Council, evaluates two hypotheses on the determinants of citizen satisfaction with transparency and access to public information at the local level: greater trust in the public sector and a leftist ideology positively shape citizen perception of local transparency. From a logistic regression analysis we find evidence that indicates that trust in public agencies does affect citizen evaluation by increasing the probability of being satisfied with the information received; the influence of ideological orientation is dismissed.</t>
  </si>
  <si>
    <t>Sánchez Reinón, Manuel/AAZ-7843-2021; de Munck, Estefanía/C-8910-2015</t>
  </si>
  <si>
    <t>0718-8838</t>
  </si>
  <si>
    <t>0719-1790</t>
  </si>
  <si>
    <t>AUG-DEC</t>
  </si>
  <si>
    <t>10.32457/RIEM26.1855</t>
  </si>
  <si>
    <t>WOS:000926149500003</t>
  </si>
  <si>
    <t>Zheng, X; Hagani, F; Boutaous, M; Knikker, R; Xin, SH; Siginer, DA</t>
  </si>
  <si>
    <t>Zheng, Xin; Hagani, Fouad; Boutaous, M'hamed; Knikker, Ronnie; Xin, Shihe; Siginer, Dennis A.</t>
  </si>
  <si>
    <t>Pattern selection in Rayleigh-Benard convection with nonlinear viscoelastic fluids</t>
  </si>
  <si>
    <t>PHYSICAL REVIEW FLUIDS</t>
  </si>
  <si>
    <t>Rayleigh-Benard convection in a rectangular enclosure of aspect ratio 2:1 filled by a class of nonlinear viscoelastic fluids represented by the Phan-Thien-Tanner (PTT) constitutive equation is investigated numerically. Governing equations are discretized by finite difference methods in space and time. The momentum and PTT constitutive equations are written in a quasilinear formulation. Quasilinear terms are treated with the high-order upwind central (HOUC) method and velocity-pressure coupling is handled through the projection method. The developed model is validated for Oldroyd-B types of working fluids. The onset of time-dependent convection is observed and the critical Rayleigh number is determined for PTT types of fluids. The time-dependent flow pattern transition is investigated and explained. A transition from time-dependent flow to steady-state flow is observed at a higher Rayleigh number and the corresponding critical Rayleigh number is computed. The effect of the rheological parameters on heat transfer is investigated.</t>
  </si>
  <si>
    <t>zheng, xin/0000-0001-5628-7774; Boutaous, M'hamed/0000-0002-3633-0736</t>
  </si>
  <si>
    <t>2469-990X</t>
  </si>
  <si>
    <t>FEB 10</t>
  </si>
  <si>
    <t>10.1103/PhysRevFluids.7.023301</t>
  </si>
  <si>
    <t>WOS:000754651000001</t>
  </si>
  <si>
    <t>Ortiz, JA; Sepúlveda, FA; Panadero-Medianero, C; Murgas, P; Ahumada, M; Palza, H; Matsuhiro, B; Zapata, PA</t>
  </si>
  <si>
    <t>Andres Ortiz, J.; Antonella Sepulveda, Francesca; Panadero-Medianero, Concepcion; Murgas, Paola; Ahumada, Manuel; Palza, Humberto; Matsuhiro, Betty; Zapata, Paula A.</t>
  </si>
  <si>
    <t>Cytocompatible drug delivery hydrogels based on carboxymethylagarose/chitosan pH-responsive polyelectrolyte complexes</t>
  </si>
  <si>
    <t>INTERNATIONAL JOURNAL OF BIOLOGICAL MACROMOLECULES</t>
  </si>
  <si>
    <t>Several drugs are chemically unstable in the gastric environment and have low bioavailability restricted by intestinal absorption, which motivates the development of alternative routes for drug release, such as trans dermal drug carriers for drug delivery to specific areas of the skin. Herein, novel polyelectrolyte complexes (PEC) consisting of carboxymethylagarose (CMA) and chitosan (CS) were prepared. pH-responsive CMA/CS hydrogels were obtained by mixing CMA and CS at various weight ratios. Swelling ratio was modulated by varying the CMA and CS weight ratio, and the highest swelling values were achieved for 2:1 wt% hydrogels at 25 degrees C and pH 6.0. PEC films were characterized by ATR-FTIR spectroscopy, TGA, DSC, and SEM. Results indicated that CMA and CS were successfully crosslinked by ionic complexation. As a model drug, diclofenac sodium (DS) was loaded in CMA/CS PECs. Association efficiency and loading capacity were ca. 69% and 79%, respectively, exhibiting 67% cumulative release after 72 h at 37 degrees C and pH 6.0 through Fickian diffusion mechanism. Viability assay of immortalized human keratinocyte (HaCat) cells showed ca. 100% survival in the presence of hydrogels and DS. Therefore, this work suggests that CMA/CS PECs can be applied as pH-responsive carriers for dermal drug delivery.</t>
  </si>
  <si>
    <t>Ortiz, J. Andrés/R-4060-2019; Palza, Humberto/H-2782-2014; Sepúlveda, Francesca/AAW-8092-2021; Murgas, Paola/AAY-8814-2020; Ahumada, Manuel/L-2401-2018</t>
  </si>
  <si>
    <t>Sepulveda Espinoza, Francesca Antonella/0000-0001-5135-8123; Murgas Alcaino, Paola/0000-0001-9601-9096; Ortiz, J. Andres/0000-0002-3142-9470; Ahumada, Manuel/0000-0002-0589-3296; Zapata, Paula Andrea/0000-0003-3361-6226</t>
  </si>
  <si>
    <t>0141-8130</t>
  </si>
  <si>
    <t>1879-0003</t>
  </si>
  <si>
    <t>FEB 28</t>
  </si>
  <si>
    <t>10.1016/j.ijbiomac.2021.12.093</t>
  </si>
  <si>
    <t>JAN 2022</t>
  </si>
  <si>
    <t>WOS:000781814700001</t>
  </si>
  <si>
    <t>García, C; Luco, L; Gómez, MI; Martínez, C</t>
  </si>
  <si>
    <t>Garcia, Christian; Luco, Lorna; Ines Gomez, Maria; Martinez, Claudio</t>
  </si>
  <si>
    <t>Ethical perspective for the COVID-19 vaccine prioritization in Chile</t>
  </si>
  <si>
    <t>REVISTA MEDICA DE CHILE</t>
  </si>
  <si>
    <t>The SARS-CoV-2 pandemic has generated an important health and economic impact on the world. Vaccines emerge as an intervention that can contribute to the control of the pandemic. Vaccines were approved for emergency use in the United States, Europe, as well as in Chile, however, they will not be immediately available, creating the need to prioritize vaccine distribution. The World Health Organization (WHO) and other international agencies established ethical frameworks to guide the distribution of the COVID-19 vaccine globally. In Chile, the Advisory Council on Vaccines and Immunizations (CAVEI) and the COVID-19 Advisory Council of the Ministry of Health (MINSAL) recommended the groups to prioritize vaccination, based on the available evidence stating that this information could change over time. In this article, we propose a reference framework of ethical principles and values to support the decision-making of prioritization and distribution of vaccines in Chile. We propose three timeless values: maximizing benefits, prioritizing the most vulnerable, reciprocity, and two transversal bioethics principles: justice and transparency. This reference framework contributes to the vaccination plan communication, the decision-making by the authorities and supports the prioritization strategy ' s values framework. With an explicit values framework we can expect better communication or priorities, a greater acceptance of SARS-CoV-2 vaccination plan by the community and an increased vaccination coverage to protect the population.</t>
  </si>
  <si>
    <t>Garcia, Christian/KLY-8785-2024; Martinez, Claudio/MGS-9961-2025; GOMEZ CASARES, MARIA TERESA/R-6060-2018</t>
  </si>
  <si>
    <t>0034-9887</t>
  </si>
  <si>
    <t>0717-6163</t>
  </si>
  <si>
    <t>DEC</t>
  </si>
  <si>
    <t>WOS:000800028500013</t>
  </si>
  <si>
    <t>Toro-Ascuy, D; Santibañez, A; Peña, V; Beltran-Pavez, C; Cottet, L; Molina, C; Montoya, M; Sandoval, N; Vásquez-Martínez, Y; Mascayano, C; Cortez-San Martín, M</t>
  </si>
  <si>
    <t>Toro-Ascuy, Daniela; Santibanez, Alvaro; Pena, Victor; Beltran-Pavez, Carolina; Cottet, Luis; Molina, Cristian; Montoya, Margarita; Sandoval, Nicolas; Vasquez-Martinez, Yesseny; Mascayano, Carolina; Cortez-San Martin, Marcelo</t>
  </si>
  <si>
    <t>Development of an Isavirus minigenome system to study the function of the pocket RNA-binding domain of the viral nucleoprotein (NP) in salmon cells</t>
  </si>
  <si>
    <t>JOURNAL OF FISH DISEASES</t>
  </si>
  <si>
    <t>The Isavirus is an orthomyxovirus with a genome composed of eight segments of negative single-strand RNA (-ssRNA). It has been proposed that the eight genomic segments of the Isavirus are organized as a ribonucleoprotein (RNP) complex called a minigenome, which contains all the viral RNA segments, a viral heterotrimeric polymerase and multiple copies of the viral nucleoprotein (NP). Here, we develop an Isavirus minigenome system and show the importance of the formation of active RNPs and the role of viral NP R189, R194, R302 and K325 residues in the NP RNA-binding domain in the context of RNPs. The results indicate it is possible to generate a minigenome in salmon cells, a composite ISAV RNPs with EGFP-based chimeric vRNA with heterotrimeric polymerase (PB1, PB2, PA) and NP protein using CMV-based auxiliary plasmids. It was also shown that NP R189, R194, R302 and K325 residues are important to generate viral mRNA from the constituted RNPs and a detectable reporter protein. This work is the first salmon cell-based minigenome assay for the Isavirus, which was evaluated by a bioinformatic and functional study of the NP protein in viral RNPs, which showed that correct NP-vRNA interaction is key to the functioning of RNPs.</t>
  </si>
  <si>
    <t>Toro-Ascuy, Daniela/JDC-8224-2023</t>
  </si>
  <si>
    <t>Toro-Ascuy, Daniela/0000-0002-2563-9711; Vasquez Martinez, Yesseny Amneris/0000-0002-4184-9815; Mascayano Collado, Carolina Lorena/0000-0002-3488-9309</t>
  </si>
  <si>
    <t>0140-7775</t>
  </si>
  <si>
    <t>1365-2761</t>
  </si>
  <si>
    <t>FEB</t>
  </si>
  <si>
    <t>10.1111/jfd.13122</t>
  </si>
  <si>
    <t>DEC 2019</t>
  </si>
  <si>
    <t>WOS:000503201100001</t>
  </si>
  <si>
    <t>Caraballo, LE; Perez-Lantero, P; Seara, C; Ventura, I</t>
  </si>
  <si>
    <t>Bender, MA; FarachColton, M; Mosteiro, MA</t>
  </si>
  <si>
    <t>Evaristo Caraballo, Luis; Perez-Lantero, Pablo; Seara, Carlos; Ventura, Inmaculada</t>
  </si>
  <si>
    <t>Maximum Box Problem on Stochastic Points</t>
  </si>
  <si>
    <t>LATIN 2018: THEORETICAL INFORMATICS</t>
  </si>
  <si>
    <t>Lecture Notes in Computer Science</t>
  </si>
  <si>
    <t>13th Latin American Theoretical Informatics Symposium (LATIN)</t>
  </si>
  <si>
    <t>APR 16-19, 2018</t>
  </si>
  <si>
    <t>Buenos Aires, ARGENTINA</t>
  </si>
  <si>
    <t>Given a finite set of weighted points in R-d (where there can be negative weights), the maximum box problem asks for an axis-aligned rectangle (i.e., box) such that the sum of the weights of the points that it contains is maximized. We consider that each point of the input has a probability of being present in the final random point set, and these events are mutually independent; then, the total weight of a maximum box is a random variable. We aim to compute both the probability that this variable is at least a given parameter, and its expectation. We show that even in d = 1 these computations are #P-hard, and give pseudo polynomial-time algorithms in the case where the weights are integers in a bounded interval. For d = 2, we consider that each point is colored red or blue, where red points have weight +1 and blue points weight -infinity. The random variable is the maximum number of red points that can be covered with a box not containing any blue point. We prove that the above two computations are also #P-hard, and give a polynomial-time algorithm for computing the probability that there is a box containing exactly two red points, no blue point, and a given point of the plane.</t>
  </si>
  <si>
    <t>Seara, Carlos/Z-3370-2019; Ventura Molina, Inmaculada/J-3309-2017; Caraballo de la Cruz, Luis Evaristo/H-5236-2015</t>
  </si>
  <si>
    <t>Ventura Molina, Inmaculada/0000-0003-1217-3913; Caraballo de la Cruz, Luis Evaristo/0000-0002-6847-4283; Seara, Carlos/0000-0002-0095-1725</t>
  </si>
  <si>
    <t>0302-9743</t>
  </si>
  <si>
    <t>1611-3349</t>
  </si>
  <si>
    <t>978-3-319-77404-6; 978-3-319-77403-9</t>
  </si>
  <si>
    <t>10.1007/978-3-319-77404-6_18</t>
  </si>
  <si>
    <t>WOS:000444835200018</t>
  </si>
  <si>
    <t>Retamal, IN; Hernández, R; Melo, F; Zapata, P; Martínez, C; Martínez, J; Smith, PC</t>
  </si>
  <si>
    <t>Retamal, Ignacio N.; Hernandez, Romina; Melo, Francisco; Zapata, Paulina; Martinez, Constanza; Martinez, Jorge; Smith, Patricio C.</t>
  </si>
  <si>
    <t>Glycated Collagen Stimulates Differentiation of Gingival Myofibroblasts</t>
  </si>
  <si>
    <t>JOURNAL OF PERIODONTOLOGY</t>
  </si>
  <si>
    <t>Background: Glucose-derived metabolites may alter the structure and biologic properties of important proteins in periodontium, such as collagens. As a consequence, it is possible that collagen-binding cells may change their phenotypic traits. Although the glucose-derived product methylglyoxal (MGO) has been detected in periodontal lesions, the precise effect of collagen glycation on gingival connective tissue biology is not fully understood. The present study evaluates whether collagen glycation by MGO may affect phenotypic properties and remodeling capacity of human gingival fibroblasts (HGFs). Methods: Primary cultures of HGFs were grown on Type I collagen matrices previously treated with MGO. Cell cultures were tested for cell viability, apoptosis, alpha-smooth muscle actin (SMA), fibronectin (FN) production, and collagen remodeling. Mechanical properties and morphology of MGO-treated collagen gels were evaluated using rheometry and atomic force microscopy. Statistical analysis was performed by Kruskal-Wallis and Mann-Whitney U tests. Results: MGO-treated collagen did not affect cell viability or apoptosis. In addition, MGO did not induce significant changes in morphology or mechanical properties of the collagen matrix. However, MGO-treated collagen stimulated an increase in the myofibroblast marker alpha-SMA, production and assembly of FN, and contraction of collagen matrices. Moreover, use of a triple-helical peptide that reconstitutes the collagen- binding domain for integrins GFOGER reverted the assembly of FN induced by MGO-treated collagen. Conclusions: The present study shows that collagen glycation by MGO stimulates differentiation of myofibroblasts and production and assembly of FN. These responses may alter the homeostatic balance and wound-healing response of gingival connective tissues affected by diabetes mellitus or aging.</t>
  </si>
  <si>
    <t>MARTINEZ, JORGE/I-2517-2013; Martínez, Cristina/H-6103-2017; Melo, Francisco/M-3923-2014; Retamal, Ignacio/AAT-6859-2021; Hernandez, Romina/ITW-1931-2023; Smith, Patricio/I-5897-2014</t>
  </si>
  <si>
    <t>Martinez-Cardozo, Constanza/0000-0003-1761-1767; Retamal, Ignacio N./0000-0003-4633-2556; Smith, Patricio/0000-0001-7314-621X; Melo, Francisco Esteban/0000-0001-6818-5476; MARTINEZ, JORGE/0000-0002-2078-7918</t>
  </si>
  <si>
    <t>0022-3492</t>
  </si>
  <si>
    <t>1943-3670</t>
  </si>
  <si>
    <t>SEP</t>
  </si>
  <si>
    <t>10.1902/jop.2017.160730</t>
  </si>
  <si>
    <t>WOS:000408463200015</t>
  </si>
  <si>
    <t>Antilén, M; Valencia, C; Peralta, E; Canales, C; Espinosa-Bustos, C; Escudey, M</t>
  </si>
  <si>
    <t>Antilen, Monica; Valencia, Camila; Peralta, Emilia; Canales, Camila; Espinosa-Bustos, Christian; Escudey, Mauricio</t>
  </si>
  <si>
    <t>Enrofloxacin behavior in presence of soil extracted organic matter: An electrochemical approach</t>
  </si>
  <si>
    <t>ELECTROCHIMICA ACTA</t>
  </si>
  <si>
    <t>In this work, a novel and simple method aimed at determining and quantifying Enrofloxacin in presence of Natural Organic Matter (NOM) is proposed. The method was based on the electrochemical oxidation of Enrofloxacin by using cyclic voltammetry as technique. It was found that this analyte presents a good electroactivity, in absence and in presence of NOM. However, this electrochemical behavior is highly pH dependent, since the reaction is more favorable when less acid the media is. At this point, different pH values were studied in order to corroborate this phenomenon. Additionally, kinetic studies were done to determine the control of the reaction, the number of transferred electrons in the entire process and the rate determining step of the reaction by analyzing the Tafel slope. With these antecedents, a mechanism was proposed and the final product of the reaction was corroborated by using LC-MS. Finally, analytical parameters were studied with the aim of proposing this new method as an electrochemical sensor of Enrofloxacin. It was found that the method is highly linear, precise and accurate. Moreover, this method is not only sensitive but also selective to Enrofloxacin in presence of NOM, in comparison to spectrophotometric methods previously reported. (C) 2017 Elsevier Ltd. All rights reserved.</t>
  </si>
  <si>
    <t>Espinosa-Bustos, Christian/E-8127-2012</t>
  </si>
  <si>
    <t>Antilen-Lizana, Monica/0000-0003-0512-4267; Canales, Camila/0000-0002-4966-3601; Espinosa-Bustos, Christian/0000-0001-6038-8439</t>
  </si>
  <si>
    <t>0013-4686</t>
  </si>
  <si>
    <t>1873-3859</t>
  </si>
  <si>
    <t>AUG 1</t>
  </si>
  <si>
    <t>10.1016/j.electacta.2017.05.104</t>
  </si>
  <si>
    <t>WOS:000404314100013</t>
  </si>
  <si>
    <t>León-Rodríguez, M; Cordero, RR; Rayas, JA; Martínez-García, A; Martínez-Gonzalez, A; Labbe, F; Flores-Muñoz, V</t>
  </si>
  <si>
    <t>MartinezGarcia, A; Furlong, C; Barrientos, B; Pryputniewicz, RJ</t>
  </si>
  <si>
    <t>Leon-Rodriguez, Miguel; Cordero, Raul R.; Rayas, Juan A.; Martinez-Garcia, Amalia; Martinez-Gonzalez, Adrian; Labbe, Fernando; Flores-Munoz, Victor</t>
  </si>
  <si>
    <t>Noise Reduction in Off-Axis Digital Holography Reconstruction from Two Reconstruction Distances Based on Talbot Effect</t>
  </si>
  <si>
    <t>EMERGING CHALLENGES FOR EXPERIMENTAL MECHANICS IN ENERGY AND ENVIRONMENTAL APPLICATIONS</t>
  </si>
  <si>
    <t>Conference Proceedings of the Society for Experimental Mechanics Series</t>
  </si>
  <si>
    <t>5th International Symposium on Experimental Mechanics (ISEM) / 9th Symposium on Optics in Industry (SOI)</t>
  </si>
  <si>
    <t>AUG 17-21, 2015</t>
  </si>
  <si>
    <t>Guanajuato, MEXICO</t>
  </si>
  <si>
    <t>Soc Expt Mech,Acad Mexicana Optica,Centro Investigaciones Optica</t>
  </si>
  <si>
    <t>A simple strategy based on wavefront propagation in Fresnel regime to reduce ringing effect by using an ideal filter in off-axis digital holography is presented. In addition, we demonstrate a better focusing capacity by using this ideal filter than Butterworth and Gaussian. The reconstructed and enhanced image is obtained from the averaging operation between the image at the focused image plane (z = z(hd0)) and the first Talbot distance order (z = z(hd1)). This distance is determined by the periodic ringing. Reductions of 50 % of these anomalies are computed in simulation and 30 % is obtained experimentally. Numerical simulations and experimental results are carried out to validate the proposal.</t>
  </si>
  <si>
    <t>Cordero, Raul/M-7979-2017; Rayas, Juan/CAG-8266-2022</t>
  </si>
  <si>
    <t>Rayas, Juan Antonio/0000-0001-6809-2368; Leon-Rodriguez, Miguel/0000-0003-1309-2226; Flores Munoz, Victor Hugo/0000-0003-3632-5344</t>
  </si>
  <si>
    <t>2191-5644</t>
  </si>
  <si>
    <t>2191-5652</t>
  </si>
  <si>
    <t>978-3-319-28513-9; 978-3-319-28511-5</t>
  </si>
  <si>
    <t>10.1007/978-3-319-28513-9_11</t>
  </si>
  <si>
    <t>WOS:000405231500011</t>
  </si>
  <si>
    <t>Montalvo, S; Ojeda, F; Huiliñir, C; Guerrero, L; Borja, R; Castillo, A</t>
  </si>
  <si>
    <t>Montalvo, Silvio; Ojeda, Felipe; Huilinir, Cesar; Guerrero, Lorna; Borja, Rafael; Castillo, Alejandra</t>
  </si>
  <si>
    <t>Performance evaluation of micro-aerobic hydrolysis of mixed sludge: Optimum aeration and effect on its biochemical methane potential</t>
  </si>
  <si>
    <t>JOURNAL OF ENVIRONMENTAL SCIENCE AND HEALTH PART A-TOXIC/HAZARDOUS SUBSTANCES &amp; ENVIRONMENTAL ENGINEERING</t>
  </si>
  <si>
    <t>This study evaluated the performance of a micro-aerobic hydrolysis of mixed sludge and its influence as a pretreatment of this waste for its subsequent anaerobic digestion. Three experimental series were carried out to evaluate the optimum micro-aeration levels in the range from 0.1 to 0.5 air volume/min.reactor volume (vvm) and operation times within the range of 24-60h. The maximum methane yield [35mL CH4/g volatile suspended solids (VSS) added] was obtained for an aeration level of 0.35vvm. This methane yield value increased 114% with respect to that obtained with the non-aerated sludge. In the micro-aeration process carried out at an aeration level of 0.35vvm, increases in soluble proteins and total sugars concentrations of 185% and 192% with respect to their initial values were found, respectively, after 48h of aeration. At the above micro-aerobic conditions, soluble chemical oxygen demand (CODS) augmented 150%, whereas VSS content decreased until 40% of their initial respective values. Higher COD increases and VSS decreases were found at 60h of micro-aeration, but the above parameters did not vary significantly with respect to the values found at 48h.</t>
  </si>
  <si>
    <t>Huilinir, Cesar/IYS-6899-2023; Borja, Rafael/P-5314-2016</t>
  </si>
  <si>
    <t>Huilinir, Cesar/0000-0002-3487-684X; Borja, Rafael/0000-0002-3699-7223</t>
  </si>
  <si>
    <t>1093-4529</t>
  </si>
  <si>
    <t>1532-4117</t>
  </si>
  <si>
    <t>10.1080/10934529.2016.1215195</t>
  </si>
  <si>
    <t>WOS:000388101900008</t>
  </si>
  <si>
    <t>Alvareda, E; Miranda, P; Espinosa, V; Pardo, H; Aguilera, S; Zunini, MP</t>
  </si>
  <si>
    <t>Alvareda, Elena; Miranda, Pablo; Espinosa, Victoria; Pardo, Helena; Aguilera, Sara; Paulino Zunini, Margot</t>
  </si>
  <si>
    <t>Antiinflamatory activity of phenolic compounds extracted from Uruguayan propolis and grape</t>
  </si>
  <si>
    <t>JOURNAL OF BIOMOLECULAR STRUCTURE &amp; DYNAMICS</t>
  </si>
  <si>
    <t>Pardo, Helena/AFS-1441-2022; Alvareda, Elena/ABC-8152-2020; Miranda, Pablo/KIH-3542-2024</t>
  </si>
  <si>
    <t>0739-1102</t>
  </si>
  <si>
    <t>1538-0254</t>
  </si>
  <si>
    <t>MAY 18</t>
  </si>
  <si>
    <t>10.1080/07391102.2015.1032833</t>
  </si>
  <si>
    <t>WOS:000356690000016</t>
  </si>
  <si>
    <t>Aliaga, C; Fuentealba, P; Rezende, MC; Cárdenas, C</t>
  </si>
  <si>
    <t>Aliaga, Carolina; Fuentealba, Patricio; Caroli Rezende, Marcos; Cardenas, Carlos</t>
  </si>
  <si>
    <t>Mechanism of fluorophore quenching in a pre-fluorescent nitroxide probe: A theoretical illustration</t>
  </si>
  <si>
    <t>CHEMICAL PHYSICS LETTERS</t>
  </si>
  <si>
    <t>The mechanism of fluorophore quenching in QT, a pre-fluorescent quinoline-TEMPO probe, is illustrated with the aid of a molecular-orbital analysis, offering a pictorial view of the process that takes place in the excited molecule, and which is responsible for the observed fluorescence quenching. (C) 2014 Elsevier B. V. All rights reserved.</t>
  </si>
  <si>
    <t>Caroli, Marcos/H-3570-2019; fuentealba, patricio/D-6300-2011; Cárdenas, Carlos/IZP-8908-2023; Aliaga, Carolina/G-6024-2019; Cardenas, Carlos/F-1946-2010</t>
  </si>
  <si>
    <t>Aliaga, Carolina/0000-0002-1352-3164; Rezende, Marcos/0000-0003-2040-9009; Cardenas, Carlos/0000-0002-0648-6502</t>
  </si>
  <si>
    <t>0009-2614</t>
  </si>
  <si>
    <t>1873-4448</t>
  </si>
  <si>
    <t>FEB 11</t>
  </si>
  <si>
    <t>10.1016/j.cplett.2013.12.059</t>
  </si>
  <si>
    <t>WOS:000331709300018</t>
  </si>
  <si>
    <t>Peoples, BC; Dougnac, VN; Galland, GB; Rabagliati, FM; Quijada, R</t>
  </si>
  <si>
    <t>Peoples, Brian C.; Dougnac, Vivianne N.; Galland, Griselda B.; Rabagliati, F. M.; Quijada, Raul</t>
  </si>
  <si>
    <t>Preparation of poly(ethylene-co-dicyclopentadiene) copolymers and a study on their post-polymerization epoxidation</t>
  </si>
  <si>
    <t>POLYMER BULLETIN</t>
  </si>
  <si>
    <t>The copolymerization of ethylene with dicyclopentadiene (DCP) using the metallocene catalyst rac-dimethylsilylbis(indenyl)zirconium dichloride (Me2Si(Ind)(2)ZrCl2) proceeds with high activity producing materials with DCP incorporations of 0.5-2.7 mol%. The residual olefin moiety of the DCP comonomer is still available for reaction following polymerization and was epoxidized using H2O2 and formic acid. This reaction was optimized and proceeds with good conversion and the resulting materials show increased physical properties compared to the untreated copolymers.</t>
  </si>
  <si>
    <t>Galland, Griselda/A-6521-2009</t>
  </si>
  <si>
    <t>Galland, Griselda/0000-0003-3678-9106; QUIJADA, RAUL/0000-0003-0791-6954</t>
  </si>
  <si>
    <t>0170-0839</t>
  </si>
  <si>
    <t>JAN</t>
  </si>
  <si>
    <t>10.1007/s00289-012-0787-x</t>
  </si>
  <si>
    <t>WOS:000313059800010</t>
  </si>
  <si>
    <t>Vidal, L; Avello, M; Loyola, C; Campos, J; Aqueveque, P; Dungan, SR; Galotto, M; Guarda, A</t>
  </si>
  <si>
    <t>Vidal, Leslie; Avello, Marcia; Loyola, Cristina; Campos, Jorge; Aqueveque, Pedro; Dungan, Stephanie R.; Galotto, Maria; Guarda, Abel</t>
  </si>
  <si>
    <t>Microencapsulation of maqui (Aristotelia chilensis [Molina] Stuntz) leaf extracts to preserve and control antioxidant properties</t>
  </si>
  <si>
    <t>CHILEAN JOURNAL OF AGRICULTURAL RESEARCH</t>
  </si>
  <si>
    <t>Microencapsulation technology is an alternative to stabilize stress factors and protect food ingredients or additives, which include environmentally sensitive bioactive principles in protective matrices to increase their functionality and life span. The objective of this research was to study conditions to obtain microcapsules with antioxidant capacity from a maqui (Aristotelia chilensis [Molina] Stuntz, Elaeocarpaceae) leaf extract by emulsification and subsequent retention after microencapsulation. Microcapsules were produced by water-in-oil emulsion (W/O) using a phase of the aqueous maqui leaf extract and gum arabic, and a liquid vaseline phase. Maqui leaf extract antioxidant capacity was 99.66% compared with the aqueous phase of the emulsion at 94.38 and 93.06% for 5% and 15% gum arabic, respectively. The mean yield of maqui leaf extract microencapsulation with 5% gum arabic varied between 38 and 48%, whereas with 15% gum arabic it was 39%. Once the antioxidant microcapsules were formed, mean extract antioxidant capacity ranged between 30 and 35%. Both yields responded similarly to changes in gum arabic concentrations (5% and 15%) in the aqueous phase of the emulsion; 5% concentration produced a microcapsule size from 1.0 to 10 mu m. Maqui leaf extracts with high phenolic compound levels, which can be stabilized and protected by the microencapsulation process, produce new natural preservative systems as compared with their synthetic counterparts.</t>
  </si>
  <si>
    <t>Dungan, Stephanie/AAX-3932-2021</t>
  </si>
  <si>
    <t>Campos Parra, Jorge Arturo/0000-0002-9419-2458; Dungan, Stephanie/0000-0001-8420-987X</t>
  </si>
  <si>
    <t>0718-5839</t>
  </si>
  <si>
    <t>JAN-MAR</t>
  </si>
  <si>
    <t>10.4067/S0718-58392013000100003</t>
  </si>
  <si>
    <t>WOS:000317006800003</t>
  </si>
  <si>
    <t>Burra, R; Pradenas, GA; Montes, RA; Vásquez, CC; Chasteen, TG</t>
  </si>
  <si>
    <t>Burra, Radhika; Pradenas, Gonzalo A.; Montes, Rebecca A.; Vasquez, Claudio C.; Chasteen, Thomas G.</t>
  </si>
  <si>
    <t>Production of dimethyl triselenide and dimethyl diselenenyl sulfide in the headspace of metalloid-resistant Bacillus species grown in the presence of selenium oxyanions</t>
  </si>
  <si>
    <t>A Bacillus species harvested from the environment is metalloid resistant and, when grown anaerobically in complex growth medium and amended with the selenium oxyanion selenate, selenite, or selenocyanate, produces volatile organoselenium Compounds in bacterial culture headspace. Two novel compounds so far undetected in bacterial Culture headspace, CH3Se2SCH3 and CH3SeSeSeCH3, are produced and can be detected using solid-phase microextraction and gas chromatography with either fluorine-induced chemiluminescence or mass spectrometric detection. Differences in the electron impact fragmentation pattern of the mixed sulfur/selenide compounds allow the tentative differentiation between the symmetric and asymmetric isomers in this bacterium's headspace in favor of the asymmetric CH3SeSeSCH3 isomer. (C) 2009 Elsevier Inc. All rights reserved.</t>
  </si>
  <si>
    <t>Chasteen, Thomas/B-6601-2009</t>
  </si>
  <si>
    <t>JAN 15</t>
  </si>
  <si>
    <t>10.1016/j.ab.2009.09.026</t>
  </si>
  <si>
    <t>WOS:000272504100008</t>
  </si>
  <si>
    <t>Martín, MA; De la Rubia, MA; Martín, A; Borja, R; Montalvo, S; Sánchez, E</t>
  </si>
  <si>
    <t>Martin, M. A.; De la Rubia, M. A.; Martin, A.; Borja, R.; Montalvo, S.; Sanchez, E.</t>
  </si>
  <si>
    <t>Kinetic evaluation of the psychrophylic anaerobic digestion of synthetic domestic sewage using an upflow filter</t>
  </si>
  <si>
    <t>BIORESOURCE TECHNOLOGY</t>
  </si>
  <si>
    <t>A study of the anaerobic digestion process of synthetic domestic sewage (total COD: 705 mg/L) was carried Out. The digestion was conducted in an upflow anaerobic filter with corrugated plastic rings as packing media at psychrophilic temperature (15-17 degrees C). For HRTs of between 10.0 and 17.1 h, the total COD removal efficiency was almost constant and independent on the HRT, achieving an average value of around 80%. However, when the HRT decreased from 7.0 to 3.2 h the efficiency diminished from 77% to 65%. This decrease in removal efficiency was parallel to the increase in the VFA/Alkalinity ratio for this HRT range. The flow pattern observed in the reactor studied was intermediate between plug-flow and CSTR systems, although the plug-flow Was predominant. It can also be observed that Young and McCarty's model almost coincided with the CSTR model, when the biodegradable COD was used for fitting tile data. The Manariotis equation allowed a better fit of the experimental data (total COD removal efficiency with influent substrate concentration and HRT) than the Young model. The methane yield coefficient obtained was 0.15 L CH4/g COD consumed. (C) 2009 Elsevier Ltd. All rights reserved.</t>
  </si>
  <si>
    <t>Martin, Antonio/L-9212-2014; Martin Santos, M.A./L-9005-2014; Borja, Rafael/P-5314-2016; DE LA RUBIA, M. ANGELES/E-8673-2016</t>
  </si>
  <si>
    <t>Martin Santos, M.A./0000-0002-7184-9816; Borja, Rafael/0000-0002-3699-7223; DE LA RUBIA, M. ANGELES/0000-0002-7411-5236</t>
  </si>
  <si>
    <t>0960-8524</t>
  </si>
  <si>
    <t>1873-2976</t>
  </si>
  <si>
    <t>10.1016/j.biortech.2009.08.010</t>
  </si>
  <si>
    <t>WOS:000271165500020</t>
  </si>
  <si>
    <t>De Figueiredo, DG; Sánchez, J; Ubillac, P</t>
  </si>
  <si>
    <t>De Figueiredo, Djairo G.; Sanchez, Justino; Ubillac, Pedro</t>
  </si>
  <si>
    <t>Quasilinear equations with dependence on the gradient</t>
  </si>
  <si>
    <t>NONLINEAR ANALYSIS-THEORY METHODS &amp; APPLICATIONS</t>
  </si>
  <si>
    <t>We discuss the existence of positive solutions of the problem - (q(t)phi(u'(t)))' = f (t, u(t), u'(t)) for t is an element of (0, 1) and u(0) = u(1) = 0. where the nonlinearity f satisfies a superlinearity condition at 0 and a local superlinearity condition at +infinity. This general quasilinear differential operator involves a weight q and a main differentiable part phi which is not necessarily a power. Due to the superlinearity off and its dependence on the derivative, a condition of the Bernstein-Nagumo type is assumed, also involving the differential operator. Our main result is the proof of a priori bounds for the eventual solutions. The presence of the derivative in the right-hand side of the equation requires a priori bounds not only on the solutions themselves, but also on their derivatives, which brings additional difficulties. As an application, we consider a quasilinear Dirichlet problem in an annulus {-div (A(vertical bar del u vertical bar)del u) = f(vertical bar x vertical bar, u, vertical bar del u vertical bar) in r(1) &lt; vertical bar x vertical bar &lt; r(2), u(x) = 0 on vertical bar x vertical bar = R-1 and vertical bar x vertical bar = R-2. (C) 2009 Elsevier Ltd. All rights reserved.</t>
  </si>
  <si>
    <t>de Figueiredo, Djairo/HII-8077-2022; Sánchez, Justino/AAB-8477-2022</t>
  </si>
  <si>
    <t>Sanchez, Justino/0000-0002-9607-5204</t>
  </si>
  <si>
    <t>0362-546X</t>
  </si>
  <si>
    <t>1873-5215</t>
  </si>
  <si>
    <t>10.1016/j.na.2009.03.061</t>
  </si>
  <si>
    <t>WOS:000269140700056</t>
  </si>
  <si>
    <t>Martinez, C; Sancy, M; Zagal, JH; Rabagliati, FM; Tribollet, B; Torres, H; Pavez, J; Monsalve, A; Paez, MA</t>
  </si>
  <si>
    <t>Martinez, C.; Sancy, M.; Zagal, J. H.; Rabagliati, F. M.; Tribollet, B.; Torres, H.; Pavez, J.; Monsalve, A.; Paez, M. A.</t>
  </si>
  <si>
    <t>A zirconia-polyester glycol coating on differently pretreated AISI 316L stainless steel: corrosion behavior in chloride solution</t>
  </si>
  <si>
    <t>JOURNAL OF SOLID STATE ELECTROCHEMISTRY</t>
  </si>
  <si>
    <t>The effect of zirconia and zirconia-polyester glycol hybrid coatings on the corrosion resistance of mechanically polished or anodized AISI 316 stainless steel (316L), was studied by potentiodynamic polarization and electrochemical impedance spectroscopy in 0.1 M NaCl and scanning electron microscope and atomic force microscopy examinations. The deposition of zirconia coatings was achieved by the sol-gel technique by immersing the samples in either the inorganic polymer or the organic-inorganic polymer mixture. From potentiodynamic and impedance measurements, the grade of protection is reduced with the exposure time to the electrolyte, which is mainly associated with lost of film adhesion and, consequently, detachment from the metal substrate. However, the uncoated anodized sample revealed an unexpected corrosion behavior; the anodic film formed during anodizing readily increased the corrosion resistance of the 316L stainless steel in 0.1 M NaCl, revealing a considerable reduction in the corrosion current density and an increase in the pitting potential.</t>
  </si>
  <si>
    <t>Tribollet, Bernard/M-3502-2014; Sancy, Mamié/L-6270-2014; Paez, Maritza/M-2010-2014; zagal, jose/L-9648-2014; PAVEZ, JORGE/K-6904-2014; Martinez Ugalde, Carola/P-5399-2018</t>
  </si>
  <si>
    <t>paez, maritza/0000-0001-5881-884X; PAVEZ, JORGE/0000-0002-5100-6707; Monsalve, Alberto/0000-0002-5772-8815; Martinez Ugalde, Carola/0000-0001-5247-6703</t>
  </si>
  <si>
    <t>1432-8488</t>
  </si>
  <si>
    <t>1433-0768</t>
  </si>
  <si>
    <t>10.1007/s10008-008-0674-4</t>
  </si>
  <si>
    <t>WOS:000266950100003</t>
  </si>
  <si>
    <t>González-Agüero, M; Troncoso, S; Gudenschwager, O; Campos-Vargas, R; Moya-León, MA; Defilippi, BG</t>
  </si>
  <si>
    <t>Gonzalez-Agueero, Mauricio; Troncoso, Sebastian; Gudenschwager, Orianne; Campos-Vargas, Reinaldo; Moya-Leon, Maria A.; Defilippi, Bruno G.</t>
  </si>
  <si>
    <t>Differential expression levels of aroma-related genes during ripening of apricot (Prunus armeniaca L.)</t>
  </si>
  <si>
    <t>PLANT PHYSIOLOGY AND BIOCHEMISTRY</t>
  </si>
  <si>
    <t>Fruit aroma is a complex trait, particularly in terms of the number of different biosynthetic pathways involved, the complexity of the final metabolites, and their regulation. In Order to understand the underlying biochemical processes involved in apricot aroma, four cDNAs (Pa-aat, EU784138: Pa-adh EU395433; Pa-pdc EU395434; and Pa-lox EU439430) encoding an alcohol acyl transferase (AAT), alcohol dehydrogenase (ADH), pyruvate decarboxylase (PDC) and lipoxygenase (LOX), respectively, were isolated and characterized at four stages of maturity in Prunus armeniaca L. cv. Modesto. We observed a reduction in aldehyde and alcohol production between early-harvested fruit and late-harvest fruit, concomitant With all increase in ester production, qPCR analyses showed that the expression levels of the adh gene and the lox gene stayed constant at all stages. Interestingly, oat levels showed a sharp increase in the late-harvest stages concurrent with the changes observed in ester levels. The significance of these changes in relation to aroma production in apricot is discussed. (C) 2009 Published by Elsevier Masson SAS.</t>
  </si>
  <si>
    <t>González-Agüero, Mauricio/H-5188-2013; Defilippi, Bruno/K-7172-2014; Moya-Leon, Maria Alejandra/T-7152-2017; Campos-Vargas, Reinaldo/M-4021-2016</t>
  </si>
  <si>
    <t>Moya-Leon, Maria Alejandra/0000-0002-3475-0163; Campos-Vargas, Reinaldo/0000-0003-1987-4130</t>
  </si>
  <si>
    <t>0981-9428</t>
  </si>
  <si>
    <t>MAY</t>
  </si>
  <si>
    <t>10.1016/j.plaphy.2009.01.002</t>
  </si>
  <si>
    <t>WOS:000265817400014</t>
  </si>
  <si>
    <t>Mallol, J; Aguirre, V; Barrueto, L; Wandalsen, G; Tepper, R</t>
  </si>
  <si>
    <t>Mallol, Javier; Aguirre, Viviana; Barrueto, Luis; Wandalsen, Gustavo; Tepper, Robert</t>
  </si>
  <si>
    <t>Effect of inhaled fluticasone on lung function in infants with recurrent wheezing: a randomised controlled trial</t>
  </si>
  <si>
    <t>ALLERGOLOGIA ET IMMUNOPATHOLOGIA</t>
  </si>
  <si>
    <t>Background: Inhaled corticosteroids are used to treat infants with troublesome asthma-like symptoms but their effect on the lung function of these young patients is controversial. Material and Methods: Forty-four infants with recurrent wheezing (more than 3 episodes) and family history of asthma completed this randomised, parallel, double-blind, controlled trial to compare the effect on lung function (main endpoint) of once-daily inhaled fluticasone (375 mu g) versus placebo for 3 months. Pulmonary function was measured while infants were asymptomatic, using the raised volume rapid thoracic compression technique (spirometry-tike), and values were converted to z-scores. Results: The fluticasone group showed a significant increase in forced flows, (p &lt; 0.001), a tower number of physician diagnosed wheezing episodes (p &lt; 0.002), and a significant decrease in the parent-reported number of wheezing episodes per month (p &lt; 0.03), as compared to placebo. One third of parents in the placebo group reported a clinical improvement in their infants. There was no significant difference in morning plasma cortisol between groups at entry or discharge. Conclusions: We conclude that once-daily treatment with 375 mu g fluticasone increased forced flows and controlled symptoms in infants with recurrent wheezing without altering plasma cortisol levels. The spirometry-like technique is a useful tool. to objectively assess the efficacy of anti-asthma medications in infants with repeated troublesome asthma-like symptoms. (C) 2008 SEICAP. Published by Elsevier Espana, S.L. All rights reserved.</t>
  </si>
  <si>
    <t>Wandalsen, Gustavo/D-8412-2013</t>
  </si>
  <si>
    <t>Mallol, Javier/0000-0003-2528-8672</t>
  </si>
  <si>
    <t>0301-0546</t>
  </si>
  <si>
    <t>MAR-APR</t>
  </si>
  <si>
    <t>10.1016/S0301-0546(09)71105-X</t>
  </si>
  <si>
    <t>WOS:000266043000002</t>
  </si>
  <si>
    <t>Azócar, I; Isaacs, F; Guerrero, J; Dehaen, W; Aguirre, MJ</t>
  </si>
  <si>
    <t>Azocar, I.; Isaacs, F.; Guerrero, J.; Dehaen, W.; Aguirre, M. J.</t>
  </si>
  <si>
    <t>Controlled synthesis of meso-veratrylporphyrins under acid-catalyzed scrambling conditions</t>
  </si>
  <si>
    <t>SYNTHETIC COMMUNICATIONS</t>
  </si>
  <si>
    <t>5,15-Bis(veratryl) porphyrin ( 1), 5,10,15-tris( veratryl) porphyrin ( 2), and 5,10,15,20-tetrakis( veratryl) porphyrin ( 3), C36H30N4O4, C44H38N4O6, and C52H46N4O8 were synthesized by an acid-catalyzed, one-pot reaction of meso- dipyrromethane, 3,4-di- OCH3-benzaldehyde (veratraldehyde), and trifluoroacetic acid (TFA). These three different products were obtained as a result of scrambling reactions. The molecular structures have been characterized by elemental analysis, ESI mass spectra, 1D and 2D NMR techniques ( H-1 and C-13), and UV-visible spectroscopy.</t>
  </si>
  <si>
    <t>Aguirre, Maria/A-3935-2013; Azocar, Manuel/I-1226-2013</t>
  </si>
  <si>
    <t>Aguirre, Maria/0000-0003-1134-4469; Azocar Guzman, Manuel/0000-0003-1098-4659</t>
  </si>
  <si>
    <t>0039-7911</t>
  </si>
  <si>
    <t>10.1080/00397910701356496</t>
  </si>
  <si>
    <t>WOS:000248145500009</t>
  </si>
  <si>
    <t>Laurido, C; Pelissier, T; Pérez, H; Flores, F; Hernández, A</t>
  </si>
  <si>
    <t>Effect of ketamine on spinal cord nociceptive transmission in normal and monoarthritic rats</t>
  </si>
  <si>
    <t>NEUROREPORT</t>
  </si>
  <si>
    <t>The effects of systemically and intrathecally administered ketamine on spinal wind-up of normal and monoarthritic rats were studied by using C-fiber reflex responses evoked by repetitive (0.6 Hz) electric stimulation. Both systemic and intrathecal ketamine induced dose-dependent depression of wind-up activity in normal rats, as revealed by the dose-related inhibitory effects of the drug. At the same intraperitoneal doses, ketamine produced a greater inhibitory effect on windup activity of monoarthritic rats, compared to normal animals. The intrathecal administration of ketamine also produced wind-up inhibition,the efficacy being higher in the monoarthritic rats. Results indicate that ketamine depresses spinal wind-up, specially in rats submitted to chronic pain, probably due to its antagonistic properties on dorsal horn NMDA receptors, which play a crucial role in the maintenance of chronic pain. NeuroReport 12:1551-1554 (C) 2001 Lippincott Williams &amp; Wilkins.</t>
  </si>
  <si>
    <t>Hernandez, Alejandro/M-4796-2019; Flores, Francisco/L-6850-2013</t>
  </si>
  <si>
    <t>Flores, Francisco/0000-0002-8974-9717; Hernandez, Alejandro/0000-0001-9222-6522</t>
  </si>
  <si>
    <t>0959-4965</t>
  </si>
  <si>
    <t>JUN 13</t>
  </si>
  <si>
    <t>10.1097/00001756-200106130-00008</t>
  </si>
  <si>
    <t>WOS:000169185400004</t>
  </si>
  <si>
    <t>Bengrine, A; Guiliani, N; Appia-Ayme, C; Jedlicki, E; Holmes, DS; Chippaux, M; Bonnefoy, V</t>
  </si>
  <si>
    <t>Sequence and expression of the rusticyanin structural gene from Thiobacillus ferrooxidans ATCC33020 strain</t>
  </si>
  <si>
    <t>BIOCHIMICA ET BIOPHYSICA ACTA-GENE STRUCTURE AND EXPRESSION</t>
  </si>
  <si>
    <t>The periplasmic blue copper protein rusticyanin is thought to play an important role in iron oxidation by Thiobacillus ferrooxidans. We present the sequence of the gene, rus, encoding rusticyanin together with about 1.4 kb of upstream and 0.3 kb of downstream DNA, The, us gene is unique to T. ferrooxidans. Evidence is presented that it is the last gene of an operon and that it can be transcribed from its own promoter, In ATCC33020 strain, rusticyanin is synthesized in ferrous iron but also in sulfur growth conditions suggesting that it could play a role in both energetic metabolisms. The rus gene transcribed from a vector promoter in Escherichia coli leads to the production of a processed aporusticyanin in the periplasmic space, indicating that its signal sequence is correctly recognized by the secretion machinery and the signal peptidase of E. coli. (C) 1998 Elsevier Science B.V. All rights reserved.</t>
  </si>
  <si>
    <t>Guiliani, Nicolas/F-6536-2015</t>
  </si>
  <si>
    <t>Holmes, David/0000-0001-9555-138X; Guiliani, Nicolas/0000-0002-9950-7316</t>
  </si>
  <si>
    <t>0167-4781</t>
  </si>
  <si>
    <t>NOV 26</t>
  </si>
  <si>
    <t>1-2</t>
  </si>
  <si>
    <t>10.1016/S0167-4781(98)00199-7</t>
  </si>
  <si>
    <t>WOS:000077781400008</t>
  </si>
  <si>
    <t>Maldonado, CA; Zuniga, GE; Corcuera, LJ; Alberdi, M</t>
  </si>
  <si>
    <t>Effect of water stress on frost resistance of oat leaves</t>
  </si>
  <si>
    <t>ENVIRONMENTAL AND EXPERIMENTAL BOTANY</t>
  </si>
  <si>
    <t>With the purpose of probing the effects of drought stress on cold resistance, plants of Az;ena sativa cultivar 'Nehuen' (moderately drought resistant) were subjected to two levels of water stress (-0.5 and -2.0 MPa) for different periods of time. At various intervals over 48 h, water and osmotic potentials, membrane permeability, abscisic acid (ABA), sucrose, proline and glycine betaine contents, and frost resistance of leaves were determined. The frost resistance (LT50) of non-stressed plants was -3.2 degrees C, and -4.0 degrees C after 6 h at -2.0 MPa. Water and osmotic potential decreased under water stress. Changes in membrane permeability, measured as ion leachate, were detected after 6 h of stress only at the highest level of stress. Proline and sucrose contents increased with stress duration, while glycine betaine increased only after 12 h at -2.0 MPa. The basal ABA content was 2.4 mu mol g(-1) dry weight, and remained unchanged during the stress treatments. Unsaturation ratio of fatty acids (unsaturated/saturated) in galactolipids decreased under water stress, while cold resistance was augmented. The water stress-induced cold resistance in oat leaves correlated only with the accumulation of proline and sucrose and not with ABA changes and fatty acid unsaturation. (C) 1997 Published by Elsevier Science B.V.</t>
  </si>
  <si>
    <t>Zuñiga, Gustavo/P-8306-2015; Corcuera, Luis/G-1714-2014</t>
  </si>
  <si>
    <t>Zuniga, Gustavo/0000-0002-8286-9468</t>
  </si>
  <si>
    <t>0098-8472</t>
  </si>
  <si>
    <t>NOV</t>
  </si>
  <si>
    <t>10.1016/S0098-8472(96)01045-3</t>
  </si>
  <si>
    <t>WOS:000071697900001</t>
  </si>
  <si>
    <t>FIRDOUS, S; FREYER, AJ; SHAMMA, M; URZUA, A</t>
  </si>
  <si>
    <t>(+/-)-LINARESINE AND (+/-)-DIHYDROLINARESINE - THE POSSIBLE CONVERSION OF PROTOBERBERINIUM SALTS INTO CULARINE ALKALOIDS</t>
  </si>
  <si>
    <t>JOURNAL OF THE AMERICAN CHEMICAL SOCIETY</t>
  </si>
  <si>
    <t>Urzua, Alejandro/0000-0003-2638-0921</t>
  </si>
  <si>
    <t>0002-7863</t>
  </si>
  <si>
    <t>10.1021/ja00332a068</t>
  </si>
  <si>
    <t>WOS:A1984TL65600067</t>
  </si>
  <si>
    <t>Vallejo, F; Yanez, D; Vinan-Guerrero, P; Diaz-Robles, LA; Oyaneder, M; Reinoso, N; Billartello, L; Espinoza-Perez, A; Espinoza-Perez, L; Pino-Cortes, E</t>
  </si>
  <si>
    <t>Vallejo, Fidel; Yanez, Diana; Vinan-Guerrero, Patricia; Diaz-Robles, Luis A.; Oyaneder, Marcelo; Reinoso, Nicolas; Billartello, Luna; Espinoza-Perez, Andrea; Espinoza-Perez, Lorena; Pino-Cortes, Ernesto</t>
  </si>
  <si>
    <t>Enhancing air quality predictions in Chile: Integrating ARIMA and Artificial Neural Network models for Quintero and Coyhaique cities</t>
  </si>
  <si>
    <t>In this comprehensive analysis of Chile's air quality dynamics spanning 2016 to 2021, the utilization of data from the National Air Quality Information System (SINCA) and its network of monitoring stations was undertaken. Quintero, Puchuncav &amp; iacute;, and Coyhaique were the focal points of this study, with the primary objective being the construction of predictive models for sulfur dioxide (SO2), fine particulate matter (PM2.5), and coarse particulate matter (PM10). A hybrid forecasting strategy was employed, integrating Autoregressive Integrated Moving Average (ARIMA) models with Artificial Neural Networks (ANN), incorporating external covariates such as wind speed and direction to enhance prediction accuracy. Vital monitoring stations, including Quintero, Ventanas, Coyhaique I, and Coyhaique II, played a pivotal role in data collection and model development. Emphasis on industrial and residential zones highlighted the significance of discerning pollutant origins and the influence of wind direction on concentration measurements. Geographical and climatic factors, notably in Coyhaique, revealed a seasonal stagnation effect due to topography and low winter temperatures, contributing to heightened pollution levels. Model performance underwent meticulous evaluation, utilizing metrics such as the Akaike Information Criterion (AIC), Ljung-Box statistical tests, and diverse statistical indicators. The hybrid ARIMA-ANN models demonstrated strong predictive capabilities, boasting an R2 exceeding 0.90. The outcomes underscored the imperative for tailored strategies in air quality management, recognizing the intricate interplay of environmental factors. Additionally, the adaptability and precision of neural network models were highlighted, showcasing the potential of advanced technologies in refining air quality forecasts. The findings reveal that geographical and climatic factors, especially in Coyhaique, contribute to elevated pollution levels due to seasonal stagnation and low winter temperatures. These results underscore the need for tailored air quality management strategies and highlight the potential of advanced modeling techniques to improve future air quality forecasts and deepen the understanding of environmental challenges in Chile.</t>
  </si>
  <si>
    <t>Espinoza, Lorena/GVU-7778-2022; Vallejo, Fidel/AAM-6353-2020; Cortés, Ernesto/Z-2777-2019; Espinoza Perez, Andrea Teresa/M-4426-2014</t>
  </si>
  <si>
    <t>oyaneder labarca, marcelo/0009-0004-0333-7845; Pino-Cortes, Ernesto/0000-0001-5133-2812; Espinoza Perez, Andrea Teresa/0000-0002-6362-9100; Vallejo, Fidel Ernesto/0000-0001-5835-298X</t>
  </si>
  <si>
    <t>JAN 10</t>
  </si>
  <si>
    <t>e0314278</t>
  </si>
  <si>
    <t>10.1371/journal.pone.0314278</t>
  </si>
  <si>
    <t>WOS:001396023200026</t>
  </si>
  <si>
    <t>Quintriqueo-Cid, A; Giménez, B; Romero-Hasler, P; Soto-Bustamante, E; Lozano-Sánchez, J; Robert, P</t>
  </si>
  <si>
    <t>Quintriqueo-Cid, Alejandra; Gimenez, Begona; Romero-Hasler, Patricio; Soto-Bustamante, Eduardo; Lozano-Sanchez, Jesus; Robert, Paz</t>
  </si>
  <si>
    <t>Influence of the crystallinity on the physicochemical properties of spray-dried quercetin-inulin microparticles and their performance during in vitro digestion</t>
  </si>
  <si>
    <t>Encapsulation of quercetin (Q) with inulin (In) by spray-drying was performed applying a Box-Behnken design where the effect of the inlet air temperature, percentage of inulin crystallite dispersion and Q content were studied on the crystallinity index (CI). Three microparticle systems with CI between 2 % and 20 % (Q-In-2 %, QIn-12 % and Q-In-20 %) were selected to study the CI effect on Q release during an in vitro digestion. The higher the CI of microparticles, the higher the encapsulation efficiency (76.4 %, Q-In-20 %). Surface quercetin was steadily released during the oral, gastric, and intestinal phases of the digestion. The CI of the microparticles did not influence the Q bioaccessibility values (23.1-29.7 %). The highest Q delivery occurred during the simulated colonic phase (44.4-66.4 %) due to the action of the inulinase. The controlled crystallization in spray-dried microparticles is a promising strategy for the designing of polyphenol-based microparticles with specific delivery properties.</t>
  </si>
  <si>
    <t>Romero-Hasler, Patricio/T-7993-2019; LOZANO-SANCHEZ, JESUS/K-8987-2014; Quintriqueo, Alejandra/KHY-0240-2024; Romero-Hasler, Patricio/P-6631-2018</t>
  </si>
  <si>
    <t>Romero-Hasler, Patricio/0000-0002-9211-2514; Lozano Sanchez, Jesus/0000-0001-8769-3070</t>
  </si>
  <si>
    <t>1873-7072</t>
  </si>
  <si>
    <t>FEB 15</t>
  </si>
  <si>
    <t>10.1016/j.foodchem.2023.137325</t>
  </si>
  <si>
    <t>SEP 2023</t>
  </si>
  <si>
    <t>WOS:001093103100001</t>
  </si>
  <si>
    <t>Hod-Dvorai, R; Lee, R; Muluhngwi, P; Raijmakers, M; Shetty, A; Tambur, AR; Ison, MG</t>
  </si>
  <si>
    <t>Hod-Dvorai, Reut; Lee, Ryan; Muluhngwi, Penn; Raijmakers, Mariella; Shetty, Aneesha; Tambur, Anat R.; Ison, Michael G.</t>
  </si>
  <si>
    <t>Development of de novo donor-specific antibodies in renal transplant recipients with BK viremia managed with immunosuppression reduction</t>
  </si>
  <si>
    <t>TRANSPLANT INFECTIOUS DISEASE</t>
  </si>
  <si>
    <t>Background: Reduction of immunosuppression (IS) upon detection of Polyomavirus (BK) viremia is widely used to prevent BK virus nephropathy. This retrospective case-control study assesses the frequency of de novo donor-specific antibodies (dnDSA) in renal transplant recipients with IS modulation due to BK viremia and the associated risk of antibody mediated rejection. Methods: Our cohort included recipients of kidney transplantation between 2007 and 2017 with clinical, HLA antibody, and biopsy data. BK positivity was defined as viremia &gt; 10 000 c/ml or biopsy proven BK nephropathy. A total of 190 BK cases matched our inclusion criteria, each case was matched with two controls based on gender, donor type, and transplant within 1 year (N = 396). Results: Despite lower number of HLA antigen mismatches (mean = 3.5 vs. 4.4, p &lt; .001), dnDSA rates were higher in BK cases than in control group (22.1% vs. 13.9%, p = .02), with the majority detected following IS reduction for BK infection, and arising earlier posttransplant compared with no BK infection (294d vs. 434d, p &lt; .001). Antibody mediated rejection rates were similar between cases and controls (8.9% and 8.3%, respectively), but rejection was more likely to occur earlier posttransplant in the BK cases (354d vs. 602d, p = .03). Conclusion: Our data suggest a link between IS reduction and the generation of dnDSA and/or rejection, supporting close monitoring for DSA in patients with reduced IS due to BK infection given their increased risk to develop dnDSA.</t>
  </si>
  <si>
    <t>Lee, Ryan/KYP-9672-2024; Raijmakers, Mariella/ABD-8342-2021; Hod-Dvorai, Reut/H-9791-2019; Ison, Michael/AAI-2547-2019; Shetty, Aneesha/JPL-1411-2023</t>
  </si>
  <si>
    <t>Tambur, Anat/0000-0002-0320-9825; Hod Dvorai, Reut/0000-0001-6748-5733; Shetty, Aneesha/0000-0003-1093-2736; Raijmakers, Mariella/0000-0001-7100-4875; Ison, Michael/0000-0003-3347-9671</t>
  </si>
  <si>
    <t>1398-2273</t>
  </si>
  <si>
    <t>1399-3062</t>
  </si>
  <si>
    <t>e13993</t>
  </si>
  <si>
    <t>10.1111/tid.13993</t>
  </si>
  <si>
    <t>NOV 2022</t>
  </si>
  <si>
    <t>WOS:000891636800001</t>
  </si>
  <si>
    <t>Nürnberg, D; Kayode, A; Meier, KJF; Karas, C</t>
  </si>
  <si>
    <t>Nuernberg, Dirk; Kayode, Akintunde; Meier, Karl J. F.; Karas, Cyrus</t>
  </si>
  <si>
    <t>Leeuwin Current dynamics over the last 60 kyr - relation to Australian ecosystem and Southern Ocean change</t>
  </si>
  <si>
    <t>CLIMATE OF THE PAST</t>
  </si>
  <si>
    <t>The Leeuwin Current, flowing southward along the western coast of Australia, is an important conduit for the poleward heat transport and inter-ocean water exchange between the tropical and the subantarctic ocean areas. Its past development and its relationship to Southern Ocean change and Australian ecosystem response is, however, largely unknown. Here we reconstruct sea surface and thermocline temperatures and salinities from foraminiferal-based Mg/Ca and stable oxygen isotopes from areas offshore of southwestern and southeastern Australia, reflecting the Leeuwin Current dynamics over the last 60 kyr. Their variability resembles the biomass burning development in Australasia from similar to 60-20 ka BP, implying that climate-modulated changes related to the Leeuwin Current most likely affected Australian vegetational and fire regimes. Particularly during similar to 60-43 ka BP, the warmest thermocline temperatures point to a strongly developed Leeuwin Current during Antarctic cool periods when the Antarctic Circumpolar Current (ACC) weakened. The pronounced centennial-scale variations in Leeuwin Current strength appear to be in line with the migrations of the Southern Hemisphere frontal system and are captured by prominent changes in the Australian megafauna biomass. We argue that the concerted action of a rapidly changing Leeuwin Current, the ecosystem response in Australia, and human interference since similar to 50 BP enhanced the ecological stress on the Australian megafauna until its extinction at similar to 43 ka BR. While being weakest during the Last Glacial Maximum (LGM), the deglacial Leeuwin Current intensified at times of poleward migrations of the Subtropical Front (STF). During the Holocene, the thermocline off southern Australia was considerably shallower compared to the short-term glacial and deglacial periods of Leeuwin Current intensification.</t>
  </si>
  <si>
    <t>Meier, Karl J. F./AFJ-5414-2022; Karas, Cyrus/V-5775-2017</t>
  </si>
  <si>
    <t>Karas, Cyrus/0000-0002-7436-5016; Meier, Karl J. F./0000-0001-9800-8673</t>
  </si>
  <si>
    <t>1814-9324</t>
  </si>
  <si>
    <t>1814-9332</t>
  </si>
  <si>
    <t>10.5194/cp-18-2483-2022</t>
  </si>
  <si>
    <t>WOS:000886912100001</t>
  </si>
  <si>
    <t>Ramírez, AM; Gacitúa, MA; Díaz, FR; del Valle, MA</t>
  </si>
  <si>
    <t>Ramirez, Andres Mauricio; Gacitua, Manuel Alejandro; Diaz, Fernando Raul; del Valle, Maria Angelica</t>
  </si>
  <si>
    <t>Charge Storage and Solar Rechargeable Battery Devices Based on Electrodes Electrochemically Modified with Conducting Polymer Nanowires</t>
  </si>
  <si>
    <t>POLYMERS</t>
  </si>
  <si>
    <t>In this work, the use of nanostructured conducting polymer deposits on energy-storing devices is described. The cathode and the anode are electrochemically modified with nanowires of polypyrrole and poly(3,4-ethylenedioxythiophene), respectively, prepared after the use of a mesoporous silica template. The effect of aqueous or ionic liquid medium is assayed during battery characterization studies. The nanostructured device greatly surpasses the performance of the bulk configuration in terms of specific capacity, energy, and power. Moreover, compared with devices found in the literature with similar designs, the nanostructured device prepared here shows better battery characteristics, including cyclability. Finally, considering the semi-conducting properties of the components, the device was adapted to the design of a solar-rechargeable device by the inclusion of a titanium oxide layer and cis-bis(isothiocyanate)-bis(2,2 '-bipyridyl-4,4 '-dicarboxylate) ruthenium (II) dye. The device proved that the nanostructured design is also appropriate for the implementation of solar-rechargeable battery, although its performance still requires further optimization.</t>
  </si>
  <si>
    <t>Ramírez, Andres/JPL-2918-2023; Gacitua, Manuel/R-8868-2019</t>
  </si>
  <si>
    <t>Gacitua, Manuel/0000-0003-0807-2677; Ramirez Ramirez, Andres/0000-0001-8786-7149</t>
  </si>
  <si>
    <t>2073-4360</t>
  </si>
  <si>
    <t>10.3390/polym13244375</t>
  </si>
  <si>
    <t>WOS:000737879400001</t>
  </si>
  <si>
    <t>Pérez-Contreras, J; Merino-Muñoz, P; Aedo-Muñoz, E</t>
  </si>
  <si>
    <t>Perez-Contreras, Jorge; Merino-Munoz, Pablo; Aedo-Munoz, Esteban</t>
  </si>
  <si>
    <t>Link Between Body Composition, Sprint and Vertical Jump in Young Elite Soccer Players from Chile</t>
  </si>
  <si>
    <t>MHSALUD-REVISTA EN CIENCIAS DEL MOVIMIENTO HUMANO Y LA SALUD</t>
  </si>
  <si>
    <t>The objective was to know the relationships between indicators of body composition and physical performance in elite young players and to determine if there are differences between playing positions and series. The sample was of selected U-15 (n=24) and U-17 (n=20) male players, divided by playing position. Body composition, fat mass percentage (%MG) and muscle mass percentage (%MM) indicators were evaluated. Squat Jump (SJ), Countermovement Jump (CMJ), linear velocity in 10 (T10) and 30 meters (T30) were evaluated. Body composition and physical performance variables were related, and differences between playing positions and between categories were sought. Significant large associations were found in the U-15 category between %MM with SJ and CMJ, and moderate associations between %MG with T10, SJ and CMJ. In the U-17 category, a significant large association was found between %MM and T30, and between %MG and T30. Significant differences in %MG were found in the U-17 category between goalkeepers vs. defenders and forwards. Moderate significant differences were found in %MM between categories and very large differences in T10 and T30, and a moderate difference in SJ. It is possible to conclude that the body composition %MM and %MG is related to physical performance. In addition, there are differences in %MG between goalkeepers vs. outfield players and differences in body composition and physical performance variables between U-17 and U-15 players. The results obtained can be used as a reference or as parameters for comparison of young players at the national level in the detection of talent.</t>
  </si>
  <si>
    <t>Merino Muñoz, Pablo/JGL-6690-2023; Aedo-Muñoz, Esteban/R-5623-2019</t>
  </si>
  <si>
    <t>Aedo-Munoz, Esteban/0000-0003-1544-2824; Perez-Contreras, Jorge/0000-0002-2314-0204; Merino-Munoz, Pablo/0000-0002-8323-726X</t>
  </si>
  <si>
    <t>1659-097X</t>
  </si>
  <si>
    <t>JUL-DEC</t>
  </si>
  <si>
    <t>10.15359/mhs.18-2.5</t>
  </si>
  <si>
    <t>WOS:000681441600005</t>
  </si>
  <si>
    <t>Rios, N; Fuentes, F; Oliveros, D; Mora, JR; Garcia-Garfido, JM; Otero, Y</t>
  </si>
  <si>
    <t>Rios, Neskarlys; Fuentes, Franmerly; Oliveros, Deivi; Mora, Jose R.; Garcia-Garfido, Juan M.; Otero, Yomaira</t>
  </si>
  <si>
    <t>Synthesis, characterization, and photophysical properties of a new 2,5-di(aryl)phosphole derivative and their trigonal copper-phosphole complexes</t>
  </si>
  <si>
    <t>JOURNAL OF COORDINATION CHEMISTRY</t>
  </si>
  <si>
    <t>A new phosphole derivative, 2,5-di(2-quinolyl)-1-phenylphosphole (1), was synthesized by using the Fagan-Nugent method. Phosphole 1 was obtained as an air-stable solid in high yield (73%). Additionally, two new copper-phosphole complexes, [CuX(Phosphole)(2)] (X = Cl (2a), I (2b), Phosphole=1), have been synthesized by reaction of CuX (X = Cl, I) and 1. All compounds were characterized by NMR, ESI-MS, UV-Vis, and fluorescence spectroscopy. The photophysical properties of all compounds were analyzed. UV-Vis spectra of 2a-b show pi-pi* transitions with shifts very similar to the free phosphole due to that their symmetrical structures inhibiting an efficient intraligand charge transfer, ILCT. Compounds 1, 2a-b exhibit fluorescence between 460 and 583 nm with quantum yields of phi(f) =0.04 - 0.11. The emission energy of 2b is higher than 2a, suggesting that lambda(max) is affected by the ligand-field strength of the halide in the complexes (I-\bar &lt; Cl-\bar). The suggested structures of 2a-b were analyzed computationally at the PBEPBE/def2svp level of theory. The rotation barrier of the quinolyl group was analyzed by a scan analysis. Then, the 3 D structures of 2a-b were obtained in good agreement with the experimental results.</t>
  </si>
  <si>
    <t>Mora, José/AAD-1270-2020; Oliveros, Deivi/LTZ-4882-2024</t>
  </si>
  <si>
    <t>Oliveros Rosario, Deivi Alejandro/0000-0002-6573-0894; Mora, Jose R/0000-0001-6128-9504</t>
  </si>
  <si>
    <t>0095-8972</t>
  </si>
  <si>
    <t>1029-0389</t>
  </si>
  <si>
    <t>MAR 23</t>
  </si>
  <si>
    <t>4-6</t>
  </si>
  <si>
    <t>10.1080/00958972.2021.1873959</t>
  </si>
  <si>
    <t>JAN 2021</t>
  </si>
  <si>
    <t>WOS:000608554900001</t>
  </si>
  <si>
    <t>Bezmalinovic, A; Rivera, E; García-Herrera, C; Celentano, D; González-Candia, A; Herrera, EA</t>
  </si>
  <si>
    <t>Bezmalinovic, Alejandro; Rivera, Eugenio; Garcia-Herrera, Claudio; Celentano, Diego; Gonzalez-Candia, Alejandro; Herrera, Emilio A.</t>
  </si>
  <si>
    <t>Characterization of mechanical damage to the aorta in hypoxic condition Numerical modeling and simulation of a pressurization test</t>
  </si>
  <si>
    <t>MATERIA-RIO DE JANEIRO</t>
  </si>
  <si>
    <t>In order to reliably assess the rupture-risk of the aorta - along with the hazardousness index of cardiovascular diseases or other extreme conditions, and the effect of possible treatments - it is necessary to know the damage mechanisms that lead to it. In this work, the mechanical damage of hypoxic aortic tissue is characterized, numerically predicting its response when subjected to a bulge-test type of pressurization state. The mechanical behavior of the aortic wall, is described using a hyperelastic material model with two transverse-isotropy directions and an isotropic damage model; both experimentally calibrated, from previously reported uniaxial tensile-test results, performed on thoracic aorta samples of lambs exposed to chronic hypobaric hypoxia. A melatonin-treated group is studied in contrast to a control group. Once the constitutive model is calibrated, its performance is evaluated via the numerical simulation of the bulge-pressurization test; in which the quasistatic response of a quarter-disk shaped structure, fixed along its curved perimeter, and loaded out of its plane by a pressure, or force per unit area permanently normal to the loaded area, its analyzed. The experimental data and the results of numerical simulations indicate that a melatonin treatment reduces the stiffness of the aorta. Moreover, the group-wise determined pressures, delivered by the bulge-test simulation and associated with the onset of damage, are compatible with an arterial hypertensive condition.</t>
  </si>
  <si>
    <t>Gonzalez-Candia, Alejandro/GOV-6045-2022; Celentano, Diego/JQW-5027-2023; García-Herrera, Claudio/ABE-8991-2020; Rivera, Eugenio/LEN-3594-2024; Herrera, Emilio A/H-5992-2018</t>
  </si>
  <si>
    <t>Rivera Mancilla, Eugenio/0000-0001-8103-2706; Celentano, Diego/0000-0002-7600-0619; Herrera, Emilio A/0000-0002-6342-085X; Gonzalez-Candia, Alejandro/0000-0001-8429-367X</t>
  </si>
  <si>
    <t>1517-7076</t>
  </si>
  <si>
    <t>e12940</t>
  </si>
  <si>
    <t>10.1590/S1517-707620210001.1240</t>
  </si>
  <si>
    <t>WOS:000630285200028</t>
  </si>
  <si>
    <t>Er-Rachid, I; Merzouki, H; Zoulagh, T; Tadeo, F; Chikh, K</t>
  </si>
  <si>
    <t>Er-Rachid, Ismail; Merzouki, Hassnae; Zoulagh, Taha; Tadeo, Fernando; Chikh, Khalid</t>
  </si>
  <si>
    <t>A Two-Dimensional Fornasini-Marchesini second Model-Based Finite Frequency H∞ Static Output Feedback Control</t>
  </si>
  <si>
    <t>2021 9TH INTERNATIONAL CONFERENCE ON SYSTEMS AND CONTROL (ICSC'21)</t>
  </si>
  <si>
    <t>International Conference on Systems and Control</t>
  </si>
  <si>
    <t>9th International Conference on Systems and Control (ICSC)</t>
  </si>
  <si>
    <t>NOV 24-26, 2021</t>
  </si>
  <si>
    <t>Ecole Natl Super Ingenieurs Caen, Caen, FRANCE</t>
  </si>
  <si>
    <t>IEEE Control Syst Soc</t>
  </si>
  <si>
    <t>Ecole Natl Super Ingenieurs Caen</t>
  </si>
  <si>
    <t>In this talk, the Generalized Kalman Yakobovich Popov (GKYP) lemma is used to examine the H-infinity Static Output Feedback (SOF) Controller Design with finite frequency (FF) specification for Two-Dimensional (2D) fronasini-Marchesini (FM-II) Discrete Systems. In particular, a novel condition for FF SOF H-infinity controller design in terms of Linear Matrix Inequalities is given (LMIs). The current entire-frequency (EF) design is less conservative as a result of this research. Examples from literature are presented to demonstrate the efficacy of the produced findings.</t>
  </si>
  <si>
    <t>Zoulagh, Taha/AAT-5521-2020; ER-RACHID, Ismail/AAW-1744-2021; Tadeo, Fernando/D-6234-2016</t>
  </si>
  <si>
    <t>Zoulagh, Taha/0000-0003-4796-2744; Tadeo, Fernando/0000-0002-4046-3136</t>
  </si>
  <si>
    <t>2379-0059</t>
  </si>
  <si>
    <t>978-1-6654-0782-3</t>
  </si>
  <si>
    <t>10.1109/ICSC50472.2021.9666737</t>
  </si>
  <si>
    <t>WOS:000850151300003</t>
  </si>
  <si>
    <t>Salazar, DB; Pacetti, A; Tornaria, G</t>
  </si>
  <si>
    <t>Salazar, Daniel Barrera; Pacetti, Ariel; Tornaria, Gonazalo</t>
  </si>
  <si>
    <t>On 2-Selmer groups and quadratic twists of elliptic curves</t>
  </si>
  <si>
    <t>MATHEMATICAL RESEARCH LETTERS</t>
  </si>
  <si>
    <t>Let K be a number field and E/K be an elliptic curve with no 2-torsion points. In the present article we give lower and upper bounds for the 2-Selmer rank of E in terms of the 2-torsion of a narrow class group of a certain cubic extension of K attached to E. As an application, we prove (under mild hypotheses) that a positive proportion of prime conductor quadratic twists of E have the same 2-Selmer group.</t>
  </si>
  <si>
    <t>1073-2780</t>
  </si>
  <si>
    <t>1945-001X</t>
  </si>
  <si>
    <t>WOS:000861317300002</t>
  </si>
  <si>
    <t>Marín, G; Essaleh, L; Amhil, S; Wasim, SM; Bouferra, R; Zoubir, A; El Moujahid, MEE; Singh, DP; Vivas, L</t>
  </si>
  <si>
    <t>Marin, G.; Essaleh, L.; Amhil, S.; Wasim, S. M.; Bouferra, R.; Zoubir, A.; El Alaoui El Moujahid, M. E.; Singh, D. P.; Vivas, L.</t>
  </si>
  <si>
    <t>Electrical impedance spectroscopy characterization of n type Cu5In9Se16 semiconductor compound</t>
  </si>
  <si>
    <t>PHYSICA B-CONDENSED MATTER</t>
  </si>
  <si>
    <t>In this work, n type Cu5In9Se16 was prepared using the vertical Bridgman-Stockbarger technique. N type conductivity is confirmed by the Hall effect method and also by the standard test Method for conductivity type of extrinsic semiconducting materials. Our samples are crystallized in a tetragonal phase with a P4mm space group. The optical absorption coefficient has been studied and the value of the optical band gap energy is obtained to be 1.003eV. Electrical impedance spectroscopy data, with frequency varying between 20 Hz and 1 MHz, were performed in the temperature range 100-300 K. By using the modulus formalism, we show that grain boundary contribution governs the AC electrical conductivity. The experimental data of Cu5In9Se16 are compared with others related to similar compounds of the Cu-In-Se family.</t>
  </si>
  <si>
    <t>Vivas, Leonardo/S-1584-2019; SINGH, DINESH/A-2509-2011</t>
  </si>
  <si>
    <t>Vivas, Leonardo/0000-0001-5044-9680; SINGH, DINESH/0000-0002-2893-7749</t>
  </si>
  <si>
    <t>0921-4526</t>
  </si>
  <si>
    <t>1873-2135</t>
  </si>
  <si>
    <t>SEP 15</t>
  </si>
  <si>
    <t>10.1016/j.physb.2020.412283</t>
  </si>
  <si>
    <t>WOS:000564645300010</t>
  </si>
  <si>
    <t>Flores, E; Muñoz-Osses, M; Torrent, C; Vásquez-Martínez, Y; Gómez, A; Cortez-San Martin, M; Vega, A; Martí, AA; Godoy, F; Mascayano, C</t>
  </si>
  <si>
    <t>Flores, Erick; Munoz-Osses, Michelle; Torrent, Claudia; Vasquez-Martinez, Yesseny; Gomez, Alejandra; Cortez-San Martin, Marcelo; Vega, Andres; Marti, Angel A.; Godoy, Fernando; Mascayano, Carolina</t>
  </si>
  <si>
    <t>Design, Synthesis and Biological Evaluation of Ferrocenyl Thiazole and Thiazolo[5,4-d]thiazole Catechols as Inhibitors of 5-hLOX and as Antibacterials against Staphylococcus aureus. Structural Relationship and Computational Studies</t>
  </si>
  <si>
    <t>ORGANOMETALLICS</t>
  </si>
  <si>
    <t>In the search for new human 5-lipoxygenase (5-hLOX) inhibitors that could be used for the treatment of a variety of inflammation-related diseases, three new ferrocenyl complexes derived from 2,4-thiazole and thiazolo[5,4-d]thiazole ((eta(5)-C5H4-2,4-thiazol-3,4-dihydroxyphenyl)Fe(eta(5)-C5H5) (3), (eta(5)-C5H4-2,4-thiazol-phenyl)Fe(eta(5)-C5H5) (4), and (eta(5)-C5H4-thiazolo[5,4-d]thiazole-3,4-dihydroxybenzene)Fe(eta(5)-C5H5) (5)) were synthesized and evaluated. A cooperative effect among the ferrocenyl, thiazole, and catechol fragments was evidenced and corroborated on evaluating the activity of the ferrocenyl (1) and catechol (2) precursors and additionally the organic derivative 6, similar to the NDGA structure. The thiazole derivative 3 was the best 5-hLOX inhibitor (85.8% inhibition, IC50 = 0.9 +/- 0.7 mu M for 5-hLOX and 22 +/- 1.1 mu M in human cells), followed by complex 4 (74.6% inhibition, IC50 = 5.4 +/- 1.7 mu M), which presents low cytotoxicity (&gt;250 mu M), associated with the absence of OH groups (decrease in reactive oxygen species generation). Molecular dynamic and docking studies of 3 and 4 showed that the ferrocenyl fragment is oriented to the active iron(III) site present in 5-hLOX; kinetics and FRAP assays together with electrochemical analysis suggest a redox mechanism mediated by water (Fe(III) from enzyme/Fe(II) from complex) accompanied by the blocking of the substrate approach, being consistent with competitive inhibition. The ferrocenyl, together with the thiazole and catechol fragments, drastically improves the antibacterial activity (percentage of bacterial growth inhibition of 85.5% and a MIC value of 25 mu g/mL for 3), and an ROS assay suggests another mechanism for the antibacterial activity for Staphylococcus aureus.</t>
  </si>
  <si>
    <t>Marti, Angel/C-2762-2008; Vega, Andres/B-2122-2010; Flores, Erick/GPK-2155-2022</t>
  </si>
  <si>
    <t>Mascayano Collado, Carolina Lorena/0000-0002-3488-9309; Vasquez Martinez, Yesseny Amneris/0000-0002-4184-9815; Flores, Dr. Erick/0000-0002-2573-6650; Munoz-Osses, Michelle/0000-0001-7124-8773; Vega, Andres/0000-0001-6501-4161; Godoy, Fernando/0000-0002-3916-4753; Gomez San Martin, Alejandra/0000-0001-6483-1565</t>
  </si>
  <si>
    <t>0276-7333</t>
  </si>
  <si>
    <t>1520-6041</t>
  </si>
  <si>
    <t>JUL 27</t>
  </si>
  <si>
    <t>10.1021/acs.organomet.0c00284</t>
  </si>
  <si>
    <t>WOS:000557381700014</t>
  </si>
  <si>
    <t>González-Bustamante, B; Carvajal, A; González, A</t>
  </si>
  <si>
    <t>Gonzalez-Bustamante, Bastian; Carvajal, Ariane; Gonzalez, Andrea</t>
  </si>
  <si>
    <t>Determinants of E-Government in the Municipalities: Evidence from the Chilean Case</t>
  </si>
  <si>
    <t>GESTION Y POLITICA PUBLICA</t>
  </si>
  <si>
    <t>This study analyses the level of electronic government and its determinants in the municipalities of the five most densely-populated regions in Chile. We use a database of 188 municipalities where 71 per cent of the national population is concentrated, according to 2016 estimates. In this paper, we calculate, describe and geo-reference a 2016 e-value index to evaluate the supply of digital services in each one of the municipalities. The predictors of the index are analysed using Ordinary Least Squares models. The factors analysed are related to the dimensions distinguished by theory as necessary for the implementation of strategies of electronic government. The highlight findings reveal recognisable spatial distribution patterns in the Metropolitan region and enable us to identify the importance of the infrastructure, the political capital of the mayor and the financial independence of the municipality as significant determinants for successful development of electronic government initiatives at a municipal level.</t>
  </si>
  <si>
    <t>gonzalez, Andrea/JBJ-3290-2023; González-Bustamante, Bastián/HLQ-1514-2023</t>
  </si>
  <si>
    <t>Gonzalez-Bustamante, Bastian/0000-0003-1510-6820</t>
  </si>
  <si>
    <t>1405-1079</t>
  </si>
  <si>
    <t>10.29265/gypp.v29i1.658</t>
  </si>
  <si>
    <t>WOS:000512890100004</t>
  </si>
  <si>
    <t>Pino-Rios, R; Chigo-Anota, E; Shakerzadeh, E; Cárdenas-Jirón, G</t>
  </si>
  <si>
    <t>Pino-Rios, R.; Chigo-Anota, E.; Shakerzadeh, E.; Cardenas-Jiron, G.</t>
  </si>
  <si>
    <t>B12N12 cluster as a collector of noble gases: A quantum chemical study</t>
  </si>
  <si>
    <t>PHYSICA E-LOW-DIMENSIONAL SYSTEMS &amp; NANOSTRUCTURES</t>
  </si>
  <si>
    <t>Systematic analysis of the noble gas (Ng = He - Rn) trapping capacity of the B12N12 cluster were performed at the PBE0-D3/def2-TZVP level by means of thermochemical data, topological analysis of the electron density (QTAIM), non-covalent interactions index (NCI), and energy decomposition analysis (EDA). The results indicate that the Ng(n)B(12)N(12) (n = 1, 12) cluster can be obtained below room temperature. Additionally, it was found that this cluster can trap up to 12 noble gas atoms without losing stability, Finally, the effect of an applied electric field has been analysed, showing that the interaction energy can be improved through this strategy.</t>
  </si>
  <si>
    <t>shakerzadeh, ehsan/AAF-6756-2019; Chigo, Ernesto/ABE-8083-2021; Cardenas-Jiron, Gloria/H-9508-2012</t>
  </si>
  <si>
    <t>Cardenas-Jiron, Gloria/0000-0003-4305-8088; Chigo, Ernesto/0000-0001-6037-7123; Pino Rios, Ricardo/0000-0003-4756-1115</t>
  </si>
  <si>
    <t>1386-9477</t>
  </si>
  <si>
    <t>1873-1759</t>
  </si>
  <si>
    <t>10.1016/j.physe.2019.113697</t>
  </si>
  <si>
    <t>WOS:000521968000030</t>
  </si>
  <si>
    <t>Chang, YK; Ponce, R; Rueda, S</t>
  </si>
  <si>
    <t>Chang, Yong-Kui; Ponce, Rodrigo; Rueda, Silvia</t>
  </si>
  <si>
    <t>Fractional differential equations of Sobolev type with sectorial operators</t>
  </si>
  <si>
    <t>SEMIGROUP FORUM</t>
  </si>
  <si>
    <t>This paper treats the asymptotic behavior of resolvent operators of Sobolev type and its applications to the existence and uniqueness of mild solutions to fractional functional evolution equations of Sobolev type in Banach spaces. We first study the asymptotic decay of some resolvent operators (also called solution operators) and next, by using fixed point results, we obtain the existence and uniqueness of solutions to a class of Sobolev type fractional differential equation. We notice that, the existence or compactness of an operator E-1 is not necessarily needed in our results.</t>
  </si>
  <si>
    <t>Chang, Yong-Kui/IAO-7272-2023</t>
  </si>
  <si>
    <t>Rueda, Silvia/0000-0001-7031-1718; Ponce, Rodrigo/0000-0002-1337-8083</t>
  </si>
  <si>
    <t>0037-1912</t>
  </si>
  <si>
    <t>1432-2137</t>
  </si>
  <si>
    <t>10.1007/s00233-019-10038-9</t>
  </si>
  <si>
    <t>WOS:000504107500004</t>
  </si>
  <si>
    <t>Villegas, C; Arrieta, MP; Rojas, A; Torres, A; Faba, S; Toledo, MJ; Gutierrez, MA; Zavalla, E; Romero, J; Galotto, MJ; Valenzuela, X</t>
  </si>
  <si>
    <t>Villegas, C.; Arrieta, M. P.; Rojas, A.; Torres, A.; Faba, S.; Toledo, M. J.; Gutierrez, M. A.; Zavalla, E.; Romero, J.; Galotto, M. J.; Valenzuela, X.</t>
  </si>
  <si>
    <t>PLA/organoclay bionanocomposites impregnated with thymol and cinnamaldehyde by supercritical impregnation for active and sustainable food packaging</t>
  </si>
  <si>
    <t>COMPOSITES PART B-ENGINEERING</t>
  </si>
  <si>
    <t>Bionanocomposite films based on poly (lactic acid) (PLA) reinforced with nanoclay C3OB (5.0% w/w) were impregnated with thymol (Thy) and cinnamaldehyde (Ci), incorporated through supercritical impregnation using carbon dioxide (scCO(2)). These assays were implemented at a pressure of 12 MPa, a constant temperature equal to 40 degrees C and a despressurization rate of 1.0 MPa min(-1). Depending on the active compound incorporated into the films, the concentrations varied from 11 to 17 %w/w. The adittion the both active compound and the nanoclay caused different changes in the structural, thermal, mechanical and antibacterial properties of the final materials. The results showed diferent effect in the distint properties and the strong antibacterial activity against the selected gram positive and gram negative microorganisms. Finally, we assayed the bionanocomposites disintegration under composting conditions at laboratory scale level, which was evaluated by monitoring their weight loss at different times of disintegration: 1, 4, 7 and 14 days. All bionanocomposites were fully disintegrated in compost showing their possible application as compostable flexible active films.</t>
  </si>
  <si>
    <t>Faba, Simón/MTD-2779-2025; Romero, Julio/I-6705-2013; Rojas, Adrián/AAR-9441-2021; Arrieta, Marina Patricia/F-9067-2016</t>
  </si>
  <si>
    <t>Rojas, Adrian/0000-0001-9253-1295; Faba, Simon/0000-0002-4299-0052; Romero, Julio/0000-0002-1229-1592; Arrieta, Marina Patricia/0000-0003-1816-011X</t>
  </si>
  <si>
    <t>1359-8368</t>
  </si>
  <si>
    <t>1879-1069</t>
  </si>
  <si>
    <t>NOV 1</t>
  </si>
  <si>
    <t>10.1016/j.compositesb.2019.107336</t>
  </si>
  <si>
    <t>WOS:000491635400086</t>
  </si>
  <si>
    <t>Alburquenque, D; Denardin, JC; Troncoso, L; Marco, JF; Gautier, JL</t>
  </si>
  <si>
    <t>Alburquenque, D.; Denardin, J. C.; Troncoso, L.; Marco, J. F.; Gautier, J. L.</t>
  </si>
  <si>
    <t>Substitution effects on the bulk and surface properties of (Li,Ni)Mn2O4</t>
  </si>
  <si>
    <t>IONICS</t>
  </si>
  <si>
    <t>Manganese oxides of spinel structure, LiMn2O4, Li1-x Ni (x) Mn2O4 (0.25 aexae0.75), and NiMn2O4, were studied by EDS, XRD, SEM, magnetic (M-H, M-T), and XPS measurements. The samples were synthesized by an ultrasound-assisted sol-gel method. EDS analysis showed good agreement with the formulations of the oxides. XRD and Rietveld refinement of X-ray data indicate that all samples crystallize in the Fd3m space group characteristic of the cubic spinel structure. The a-cell parameter ranges from a = 8.2276 (x = 0) to a = 8.3980 (x = 1). SEM results showed particle agglomerates ranging in size from 2.3 mu m (x = 0) down to 0.8 mu m (x = 1). Hysteresis magnetization vs. applied field curves in the 5-300K range was recorded. ZFC-FC measurements indicate the presence of two magnetic paramagnetic-ferrimagnetic transitions. The experimental Curie constant was found to vary from 5 to 7.1 cm(3) K mol(-1) for the range of compositions studied (0 ae x ae 1). XPS studies of these oxides revealed the presence of Ni2+, Mn3+, and Mn4+. The experimental Ni/Mn atomic ratios obtained by XPS were in good agreement with the nominal values. A linear relationship of the average oxidation state of Mn with Ni content was observed. The oxide's cation distributions as a function of Ni content from x = 0 aEuro,Li+[Mn3+Mn4+]O-4 to x = 1 were proposed.</t>
  </si>
  <si>
    <t>Denardin, Juliano/S-6407-2019; Marco, JF/N-3176-2014</t>
  </si>
  <si>
    <t>Alburquenque, Daniela/0000-0001-9236-3308; Denardin, Juliano/0000-0002-1373-6207; Marco, JF/0000-0002-5147-1449; Troncoso, Loreto/0000-0003-1621-3310</t>
  </si>
  <si>
    <t>0947-7047</t>
  </si>
  <si>
    <t>1862-0760</t>
  </si>
  <si>
    <t>10.1007/s11581-017-2266-8</t>
  </si>
  <si>
    <t>WOS:000428070800003</t>
  </si>
  <si>
    <t>B</t>
  </si>
  <si>
    <t>Estenssoro, F; Vásquez, JP</t>
  </si>
  <si>
    <t>Estenssoro, F; Vasquez, JP</t>
  </si>
  <si>
    <t>Estenssoro, Fernando; Pablo Vasquez, Juan</t>
  </si>
  <si>
    <t>LATIN AMERICAN PERSPECTIVES IN THE GLOBAL ENVIRONMENTAL DEBATE The Environment and Natural Resources as Political and Strategic Variables of Latin America in the 21st Century Introduction</t>
  </si>
  <si>
    <t>PERSPECTIVAS LATINOAMERICANAS EN EL DEBATE AMBIENTAL MUNDIAL: El Medio Ambiente y los Recursos Naturales como Variables Politicas y Estrategicas de America Latina en el Siglo XXI. The Environment and Natural Resources as Political and Strategic Variables of Latin America in the XXI Century</t>
  </si>
  <si>
    <t>978-956-303-364-9</t>
  </si>
  <si>
    <t>WOS:000668284400001</t>
  </si>
  <si>
    <t>Torres, S; Acien, G; García-Cuadra, F; Navia, R</t>
  </si>
  <si>
    <t>Torres, Simonet; Acien, Gabriel; Garcia-Cuadra, Francisco; Navia, Rodrigo</t>
  </si>
  <si>
    <t>Direct transesterification of microalgae biomass and biodiesel refining with vacuum distillation</t>
  </si>
  <si>
    <t>ALGAL RESEARCH-BIOMASS BIOFUELS AND BIOPRODUCTS</t>
  </si>
  <si>
    <t>The objective of this study was the use of vacuum distillation to increase fatty acid methyl ester (FAME) content and quality of microalgae biodiesel produced through direct transesterification. Microalgae biodiesel obtained from direct transesterification of microalgae (crude biodiesel) has a FAME content of 64.98 +/- 2.88%, viscosity of 17.7 +/- 0.17 (mm(2)/s), and a humidity level of 3.72%. As biodiesel's properties are related to FAME content, to increase FAME content and produce higher quality biodiesel two vacuum distillation experiments were conducted using different vacuum conditions. The best results were obtained in experiment 2 with two consecutive distillations, where FAME content increased from 64.98 +/- 2.88% in crude biodiesel to 85.50 +/- 2.60% in the D2.2 fraction, while viscosity decreased from 17.70 +/- 0.17 (mm(2)/s) in crude biodiesel to 3.76 +/- 0.01 (mm(2)/s) in the D2.2 fraction. Vacuum distillation, therefore, may represent an excellent alternative for the purification of microalgae-based biodiesel.</t>
  </si>
  <si>
    <t>Acien Fernandez, F. Gabriel/H-1894-2015</t>
  </si>
  <si>
    <t>Acien Fernandez, F. Gabriel/0000-0002-8434-0365; Navia, Rodrigo/0000-0003-3681-9547</t>
  </si>
  <si>
    <t>2211-9264</t>
  </si>
  <si>
    <t>10.1016/j.algal.2017.10.001</t>
  </si>
  <si>
    <t>WOS:000415840400005</t>
  </si>
  <si>
    <t>Bakhtiyarov, SI; Kutelia, ER; Siginer, DA</t>
  </si>
  <si>
    <t>ASME</t>
  </si>
  <si>
    <t>Bakhtiyarov, Sayavur I.; Kutelia, Elguja R.; Siginer, Dennis A.</t>
  </si>
  <si>
    <t>THERMOMETRIC STUDIES OF NEWLY DEVELOPED NANOLUBRICANTS</t>
  </si>
  <si>
    <t>PROCEEDINGS OF THE ASME INTERNATIONAL MECHANICAL ENGINEERING CONGRESS AND EXPOSITION, 2016, VOL. 7</t>
  </si>
  <si>
    <t>ASME International Mechanical Engineering Congress and Exposition (IMECE2016)</t>
  </si>
  <si>
    <t>NOV 11-17, 2016</t>
  </si>
  <si>
    <t>Phoenix, AZ</t>
  </si>
  <si>
    <t>Amer Soc Mech Engineers</t>
  </si>
  <si>
    <t>One of the primary requirements of space lubricants is that they have extremely low vapor pressures to withstand the space vacuum environment. Nanolubricants are known to have extremely low vapor pressure and some have attractive lubricant properties such as low coefficient of friction and good lifetimes. However, many other physical properties need to be evaluated in bringing forth new space liquid lubricants such as wide liquid temperature range and adequate heat transmission capabilities. The heat capacity and heat flow measurements for two newly developed nanolubricants Kolkhida 1 and Kolkhida 2 were conducted using Modulated Differential Scanning Calorimetry (MDSC). The experimental results revealed that the tested ionic liquids have large heat storage capacity as compare to the conventional heat transfer fluids.</t>
  </si>
  <si>
    <t>978-0-7918-5061-9</t>
  </si>
  <si>
    <t>V007T09A021</t>
  </si>
  <si>
    <t>WOS:000400877800021</t>
  </si>
  <si>
    <t>Villalobos-Cid, M; Chacón, M; Zitko, P; Inostroza-Ponta, M</t>
  </si>
  <si>
    <t>Villalobos-Cid, Manuel; Chacon, Max; Zitko, Pedro; Inostroza-Ponta, Mario</t>
  </si>
  <si>
    <t>A New Strategy to Evaluate Technical Efficiency in Hospitals Using Homogeneous Groups of Casemix</t>
  </si>
  <si>
    <t>JOURNAL OF MEDICAL SYSTEMS</t>
  </si>
  <si>
    <t>The public health system has restricted economic resources. Because of that, it is necessary to know how the resources are being used and if they are properly distributed. Several works have applied classical approaches based in Data Envelopment Analysis (DEA) and Stochastic Frontier Analysis (SFA) for this purpose. However, if we have hospitals with different casemix, this is not the best approach. In order to avoid biases in the comparisons, other works have recommended the use of hospital production data corrected by the weights from Diagnosis Related Groups (DRGs), to adjust the casemix of hospitals. However, not all countries have this tool fully implemented, which limits the efficiency evaluation. This paper proposes a new approach for evaluating the efficiency of hospitals. It uses a graph-based clustering algorithm to find groups of hospitals that have similar production profiles. Then, DEA is used to evaluate the technical efficiency of each group. The proposed approach is tested using the production data from 2014 of 193 Chilean public hospitals. The results allowed to identify different performance profiles of each group, that differs from other studies that employs data from partially implemented DRGs. Our results are able to deliver a better description of the resource management of the different groups of hospitals. We have created a website with the results (bioinformatic.diinf.usach.cl/publichealth). Data can be requested to the authors.</t>
  </si>
  <si>
    <t>Inostroza-Ponta, Mario/G-7548-2012; Villalobos-Cid, Manuel/AFK-0866-2022</t>
  </si>
  <si>
    <t>Inostroza-Ponta, Mario/0000-0003-1295-8972; Villalobos-Cid, Manuel/0000-0002-1145-2016</t>
  </si>
  <si>
    <t>0148-5598</t>
  </si>
  <si>
    <t>1573-689X</t>
  </si>
  <si>
    <t>10.1007/s10916-016-0458-9</t>
  </si>
  <si>
    <t>WOS:000371468500018</t>
  </si>
  <si>
    <t>Téllez-Quiñones, A; Malacara-Doblado, D; Flores-Hernández, R; Gutiérrez-Hernández, DA; León-Rodríguez, M</t>
  </si>
  <si>
    <t>Tellez-Quinones, Alejandro; Malacara-Doblado, Daniel; Flores-Hernandez, Ricardo; Gutierrez-Hernandez, David A.; Leon-Rodriguez, Miguel</t>
  </si>
  <si>
    <t>Nonlinear differential equations for the wavefront surface at arbitrary Hartmann-plane distances</t>
  </si>
  <si>
    <t>APPLIED OPTICS</t>
  </si>
  <si>
    <t>In the Hartmann test, a wave aberration function W is estimated from the information of the spot diagram drawn in an observation plane. The distance from a reference plane to the observation plane, the Hartmann-plane distance, is typically chosen as z = f, where f is the radius of a reference sphere. The function W and the transversal aberrations {X, Y} calculated at the plane z = f are related by two well-known linear differential equations. Here, we propose two nonlinear differential equations to denote a more general relation between W and the transversal aberrations {U, V} calculated at any arbitrary Hartmann-plane distance z = r. We also show how to directly estimate the wavefront surface w from the information of {U, V}. The use of arbitrary r values could improve the reliability of the measurements of W, or w, when finding difficulties in adequate ray identification at z = f. (C) 2016 Optical Society of America</t>
  </si>
  <si>
    <t>Gutierrez-Hernandez, David/W-8178-2018; Téllez-Quiñones, Alejandro/C-6615-2016</t>
  </si>
  <si>
    <t>Tellez-Quinones, Alejandro/0000-0001-6712-0582; Leon-Rodriguez, Miguel/0000-0003-1309-2226; gutierrez-hernandez, david asael/0000-0002-9374-5110</t>
  </si>
  <si>
    <t>1559-128X</t>
  </si>
  <si>
    <t>2155-3165</t>
  </si>
  <si>
    <t>MAR 20</t>
  </si>
  <si>
    <t>10.1364/AO.55.002160</t>
  </si>
  <si>
    <t>WOS:000373400400007</t>
  </si>
  <si>
    <t>Milla-Tobarra, M; García-Hermoso, A; Lahoz-García, N; Notario-Pacheco, B; Lucas-de la Cruz, L; Pozuelo-Carrascosa, DP; García-Meseguer, MJ; Martínez-Vizcaíno, V</t>
  </si>
  <si>
    <t>Milla-Tobarra, Marta; Garcia-Hermoso, Antonio; Lahoz-Garcia, Noelia; Notario-Pacheco, Blanca; Lucas-de la Cruz, Lidia; Pozuelo-Carrascosa, Diana P.; Jose Garcia-Meseguer, Maria; Martinez-Vizcaino, Vicente</t>
  </si>
  <si>
    <t>The association between water intake, body composition and cardiometabolic factors among children - The Cuenca study</t>
  </si>
  <si>
    <t>NUTRICION HOSPITALARIA</t>
  </si>
  <si>
    <t>Introduction: Beverage consumption and its possible association with current obesity epidemic and metabolic syndrome is under investigation in recent years, however water intake is probably the most underestimated of all beverages and could play an important role. Objective: The aim of this study was to examine the association between water intake, body composition and cardiometabolic factors in a sample of Spanish children. Methods: A cross-sectional study was conducted in 366 schoolchildren (53.5% girls) aged 9-11 years from the province of Cuenca in Spain. Data of anthropometrics, body composition, cardiometabolic risk factors and cardiorespiratory fitness variables were collected. Beverage consumption was assessed using two non-consecutive 24 h dietary recalls. Results: We found an inverse association between the consumption of water (ml)/kg per weight with BMI, body fat, fat-free mass, waist circumference, insulin levels, HOMA-IR (p &lt; 0.001), and with arterial pressure parameters, systolic (p &lt; 0.010) and diastolic blood pressure (p &lt; 0.028), and mean arterial pressure (p &lt; 0.012), as well as direct associations with HDL cholesterol (p &lt; 0.001). In ANCOVA analyses, children who drank less water (ml)/kg per weight, had higher levels of LDL cholesterol (p &lt; 0.050) and lower levels of HDL cholesterol (p &lt; 0.042), and overweight-obesity subjects drank less water (ml)/kg per weight than normal peers (p &lt; 0.011). Besides, children with lower levels of HDL cholesterol and higher levels of triglycerides and blood pressure had less water intake as a beverage. Finally, children who drank less water from beverages had high levels of LDL cholesterol. Conclusions: Higher consumption of water (ml)/kg per weight was negatively associated with BMI, body fat, fat-free mass, waist circumference, insulin levels, HOMA-IR, and positively with HDL cholesterol in children independently of age, sex and cardiorespiratory fitness. In addition, overweight-obese children drank less water (ml)/kg per weight than normoweight ones. Therefore, water consumption is associated with numerous health benefits and its adequate intake could contribute to prevent obesity and metabolic syndrome in childhood.</t>
  </si>
  <si>
    <t>VIZCAINO, VICENTE/R-4336-2017; Carrascosa, Diana/R-4379-2017; García-Hermoso, Antonio/ADU-2591-2022; Garcia-Hermoso, Antonio/P-1857-2017</t>
  </si>
  <si>
    <t>Garcia-Hermoso, Antonio/0000-0002-1397-7182</t>
  </si>
  <si>
    <t>0212-1611</t>
  </si>
  <si>
    <t>1699-5198</t>
  </si>
  <si>
    <t>10.20960/nh.312</t>
  </si>
  <si>
    <t>WOS:000432299100005</t>
  </si>
  <si>
    <t>Pizarro, C; Rubio, MA; Escudey, M; Albornoz, MF; Muñoz, D; Denardin, J; Fabris, JD</t>
  </si>
  <si>
    <t>Pizarro, Carmen; Rubio, Maria A.; Escudey, Mauricio; Albornoz, Maria F.; Munoz, Daniela; Denardin, Juliano; Fabris, Jose D.</t>
  </si>
  <si>
    <t>Nanomagnetite-Zeolite Composites in the Removal of Arsenate from Aqueous Systems</t>
  </si>
  <si>
    <t>JOURNAL OF THE BRAZILIAN CHEMICAL SOCIETY</t>
  </si>
  <si>
    <t>Composites based on nanosized particles of magnetite and natural microsized zeolite were prepared and their efficiency to adsorb arsenate from aqueous systems was evaluated through kinetic data and adsorption isotherms, considering the proportion of magnetic iron oxide, composite: solution ratio and zeolite particle size. A well-crystallized nanomagnetite with an averaged particle size of 50 nm when supported on zeolite was obtained; the nanomagnetite enhances the arsenate adsorption of zeolite. The composite prepared with a nanomagnetite: zeolite mass ratio of 0.43:1 and 0.30:1 presented on zeolite milled 20 and 120 min, respectively, showed a similar adsorption capacity as that observed for pure magnetite. Supported nanomagnetite prevents risks of the nanoparticles contamination. The smaller the mean particle size of zeolite the lower the mass proportion of nanomagnetite in the composite required to reach the maximum adsorptive efficiency. Acidic conditions improve arsenate remotion, in agreement with the development of positive surface charge in the composite.</t>
  </si>
  <si>
    <t>Denardin, Juliano/S-6407-2019; Fabris, José/H-4121-2012; Munoz, Daniela/KIH-4555-2024; Bajo, Maria/ABF-6991-2020</t>
  </si>
  <si>
    <t>Denardin, Juliano/0000-0002-1373-6207; Pizarro, Carmen/0000-0003-4927-5681</t>
  </si>
  <si>
    <t>0103-5053</t>
  </si>
  <si>
    <t>1678-4790</t>
  </si>
  <si>
    <t>10.5935/0103-5053.20150166</t>
  </si>
  <si>
    <t>WOS:000361556500018</t>
  </si>
  <si>
    <t>Arshad, MS; Pecko, D; Sturm, S; Escrig, J; Komelj, M; McGuiness, PJ; Kobe, S; Rozman, KZ</t>
  </si>
  <si>
    <t>Arshad, Muhammad Shahid; Pecko, Darja; Sturm, Saso; Escrig, Juan; Komelj, Matej; McGuiness, Paul J.; Kobe, Spomenka; Rozman, K. Zuzek</t>
  </si>
  <si>
    <t>Angular Dependence of the Coercivity in Electrodeposited Co-Pt Nanostructures With a Tube-Wire Morphology</t>
  </si>
  <si>
    <t>IEEE TRANSACTIONS ON MAGNETICS</t>
  </si>
  <si>
    <t>IEEE International Magnetics Conference (Intermag)</t>
  </si>
  <si>
    <t>MAY 04-08, 2014</t>
  </si>
  <si>
    <t>Dresden, GERMANY</t>
  </si>
  <si>
    <t>We have fabricated Co-Pt cylindrical nanostructures comprised of a pair of nanotube and nanowire segments via direct electroplating into anodic alumina (AAO) membranes. The fabrication of such nanostructures is possible due to the penetration of sputtered gold (Au) nanoparticles inside the template, which serve as nucleation spots. The current transient monitored during the deposition process allowed us to distinguish between the nanotube and nanowire formation regime during the electrodeposition. In this paper, we report on the systematic changes in the angular dependence of the coercivity behavior due to the change in the length of the nanowire segment of these nanostructures, while keeping the nanotube segment constant. Considering the range of parameters studied, we found that the tube segment always reverses its magnetization through a vortex domain wall, whereas the nanowire segment reverses its magnetization through a transverse domain wall. Our results are in good agreement with literature. The possibility to alter the magnetization reversal mode in such nanostructures provides an attractive way to control the motion of the magnetic domain walls.</t>
  </si>
  <si>
    <t>Arshad, Muhammad/I-4901-2014; Escrig, Juan/N-4304-2015</t>
  </si>
  <si>
    <t>Escrig, Juan/0000-0002-3958-8185; Arshad, Muhammad Shahid/0000-0002-7912-0536</t>
  </si>
  <si>
    <t>0018-9464</t>
  </si>
  <si>
    <t>1941-0069</t>
  </si>
  <si>
    <t>10.1109/TMAG.2014.2320911</t>
  </si>
  <si>
    <t>WOS:000349465900101</t>
  </si>
  <si>
    <t>Michea, S; Palma, JL; Lavín, R; Briones, J; Escrig, J; Denardin, JC; Rodríguez-Suárez, RL</t>
  </si>
  <si>
    <t>Michea, S.; Palma, J. L.; Lavin, R.; Briones, J.; Escrig, J.; Denardin, J. C.; Rodriguez-Suarez, R. L.</t>
  </si>
  <si>
    <t>Tailoring the magnetic properties of cobalt antidot arrays by varying the pore size and degree of disorder</t>
  </si>
  <si>
    <t>JOURNAL OF PHYSICS D-APPLIED PHYSICS</t>
  </si>
  <si>
    <t>Magnetic properties of Co antidot arrays with different hole sizes fabricated by a template-assisted method have been studied by means of first-order reversal curves (FORCs) and micromagnetic simulations. Hysteresis curves show a significant increase of the coercivity of the antidot arrays, as compared with their parent continuous film, which depends on the hole size introduced in the Co thin film. This effect is related to the reversibility of the magnetic domains during magnetization reversal, since due to the appearance of pores, domains may become trapped between them. On the other hand, micromagnetic simulations performed on a perfect hexagonal lattice, when compared with those made on our disordered system taken from the scanning microscope images, reveal that the presence of defects in the antidot lattice affects its magnetic properties. Finally, FORCs show that there is greater interaction attributed to domain-domain interaction.</t>
  </si>
  <si>
    <t>Palma, Juan/IAP-4554-2023; Michea, Sebastian/E-9043-2017; Denardin, Juliano/S-6407-2019; Escrig, Juan/N-4304-2015</t>
  </si>
  <si>
    <t>Palma, JuanLuis/0000-0003-2068-174X; Denardin, Juliano/0000-0002-1373-6207; Escrig, Juan/0000-0002-3958-8185; Rodriguez-Suarez, Roberto L/0000-0002-8663-1318; Michea, Sebastian/0000-0001-9312-5766; Briones, Joel/0000-0002-1860-0173</t>
  </si>
  <si>
    <t>0022-3727</t>
  </si>
  <si>
    <t>1361-6463</t>
  </si>
  <si>
    <t>AUG 20</t>
  </si>
  <si>
    <t>10.1088/0022-3727/47/33/335001</t>
  </si>
  <si>
    <t>WOS:000340236200002</t>
  </si>
  <si>
    <t>Rodríguez-Suárez, RL; Palma, JL; Burgos, EO; Michea, S; Escrig, J; Denardin, JC; Aliaga, C</t>
  </si>
  <si>
    <t>Rodriguez-Suarez, R. L.; Palma, J. L.; Burgos, E. O.; Michea, S.; Escrig, J.; Denardin, J. C.; Aliaga, C.</t>
  </si>
  <si>
    <t>Ferromagnetic resonance investigation in permalloy magnetic antidot arrays on alumina nanoporous membranes</t>
  </si>
  <si>
    <t>JOURNAL OF MAGNETISM AND MAGNETIC MATERIALS</t>
  </si>
  <si>
    <t>The magnetic properties of Ni80Fe20 antidot arrays with hole diameters of 18 and 70 nm fabricated by a template-assisted method were investigated using the ferromagnetic resonance technique. Tuning the antidot arrays by changing the hole diameter enables control on the angular dependence of the ferromagnetic resonance held. The scanning electron microscope images reveal a quite regular hexagonal arrangement of the pores, however the angular dependence of the resonance held do not exhibit the sixfold symmetry expected for this symmetry. Micromagnetic simulations performed on a perfect hexagonal lattice, when compared with those made on our real system taken from the scanning microscope images, reveal that the presence of defects in the antidot lattice affects the ferromagnetic resonance held symmetry. (C) 2013 Elsevier B.V. All rights reserved.</t>
  </si>
  <si>
    <t>Palma, Juan/IAP-4554-2023; Denardin, Juliano/S-6407-2019; Burgos, Erick/IAN-2858-2023; Azevedo, Antonio/T-6146-2019; Michea, Sebastian/E-9043-2017; Escrig, Juan/N-4304-2015; Burgos Parra, Erick Omar/C-9532-2011; Aliaga, Carolina/G-6024-2019</t>
  </si>
  <si>
    <t>Escrig, Juan/0000-0002-3958-8185; Burgos Parra, Erick Omar/0000-0001-6931-5252; Aliaga, Carolina/0000-0002-1352-3164; Denardin, Juliano/0000-0002-1373-6207; Palma, JuanLuis/0000-0003-2068-174X; Michea, Sebastian/0000-0001-9312-5766</t>
  </si>
  <si>
    <t>0304-8853</t>
  </si>
  <si>
    <t>1873-4766</t>
  </si>
  <si>
    <t>10.1016/j.jmmm.2013.09.009</t>
  </si>
  <si>
    <t>WOS:000327776000017</t>
  </si>
  <si>
    <t>Pastenes, JC; Géminard, JC; Melo, F</t>
  </si>
  <si>
    <t>Pastenes, Javier C.; Geminard, Jean-Christophe; Melo, Francisco</t>
  </si>
  <si>
    <t>Oscillating gas flow induces reptation of granular droplets</t>
  </si>
  <si>
    <t>PHYSICAL REVIEW E</t>
  </si>
  <si>
    <t>We report on the reptation of vertically vibrated droplets of fine particles lying on a solid incline. On the one hand, time-resolved measurements show that the gas pressure in the gap between the droplet bottom and the solid surface can be accounted for by a Darcy law. The cumulative effect of the viscous drag is responsible for the droplet formation. On the other hand, we show that the gap pressure is responsible for an effective horizontal acceleration whose cumulative effect is the upward reptation of the droplets. Using various geometries of the solid substrate, we manipulate the droplets and study the effects of the substrate geometry and of the experimental parameters on the droplet shape and dynamics. The experimental results are discussed in the light of theoretical arguments. This study demonstrates that, by the choice of a suitable geometry of the surface and characteristics of the vibration, one can develop tools for precise powder handling and control.</t>
  </si>
  <si>
    <t>Pastenes, Javier/M-4205-2019; Melo, Francisco/M-3923-2014; Pastenes, Javier/G-6888-2019</t>
  </si>
  <si>
    <t>Pastenes, Javier/0000-0001-8448-699X; GEMINARD, Jean-Christophe Nicolas Denis/0000-0002-9773-4806; Melo, Francisco Esteban/0000-0001-6818-5476</t>
  </si>
  <si>
    <t>1539-3755</t>
  </si>
  <si>
    <t>1550-2376</t>
  </si>
  <si>
    <t>JUL 3</t>
  </si>
  <si>
    <t>10.1103/PhysRevE.88.012201</t>
  </si>
  <si>
    <t>WOS:000321277000003</t>
  </si>
  <si>
    <t>Matiacevich, SB; Mery, D; Pedreschi, F</t>
  </si>
  <si>
    <t>Matiacevich, Silvia B.; Mery, Domingo; Pedreschi, Franco</t>
  </si>
  <si>
    <t>Prediction of Mechanical Properties of Corn and Tortilla Chips by Using Computer Vision</t>
  </si>
  <si>
    <t>FOOD AND BIOPROCESS TECHNOLOGY</t>
  </si>
  <si>
    <t>Deep-fat frying is a unit operation which develops unique sensorial attributes in foods. For instance, texture is the principal quality parameter of tortilla and corn chips. On the other hand, computer vision is a useful tool for quality evaluation and prediction of some physical properties in different either raw or processed foods. The objective of this research was to characterize corn and tortilla chips by using computer vision, and to build proper mathematical models which permit to predict mechanical properties of these chips (maximum force, such as hardness, and distance to maximum force, such as toughness) by using chromatic features extracted from their corresponding digital images. Corn and tortilla chips (thickness of 2 mm; diameter of 37 mm) were made from masa of maize and fried at constant oil temperatures of 160, 175, and 190 A degrees C. A high linear correlation (R (2) &gt; 0.9400) was obtained between mechanical properties and some image features (Hu, Fourier, and Haralick moments). Cross-validation technique demonstrated the repeatability and good performance (&gt; 90%) of the models tested, indicating that can be used to predict the textural properties of the tortilla and corn chips by using selected features extracted from their digital images, without the necessity of measuring them in a texture analyzer.</t>
  </si>
  <si>
    <t>pedreschi, franco/F-8844-2013; Mery, Domingo/D-1385-2014</t>
  </si>
  <si>
    <t>Mery, Domingo/0000-0003-4748-3882</t>
  </si>
  <si>
    <t>1935-5130</t>
  </si>
  <si>
    <t>10.1007/s11947-011-0662-z</t>
  </si>
  <si>
    <t>WOS:000305213500055</t>
  </si>
  <si>
    <t>Peoples, BC; Rodriguez, FJ; Galland, GB; Rabagliati, FM; Quijada, R</t>
  </si>
  <si>
    <t>Peoples, Brian C.; Rodriguez, Francisco J.; Galland, Griselda B.; Rabagliati, Franco M.; Quijada, Raul</t>
  </si>
  <si>
    <t>A study of the effect of styrene concentration on the molecular weight of polypropylene produced using metallocene catalysts</t>
  </si>
  <si>
    <t>POLYMER INTERNATIONAL</t>
  </si>
  <si>
    <t>It has been observed in the production of polypropylene nanocomposites containing silicate materials that the molecular weight of the polymer used can have a significant effect on the final quality of the composites. The availability of polypropylene over a range of molecular weights with similar material properties (e.g. melting temperature and tacticity) is limited. Therefore, the ability to use a single catalyst system to generate polypropylene with a range of molecular weights is an attractive goal. In this contribution the use of styrene as a chain-terminating agent is explored, in order to produce materials with a range of molecular weights from a single catalyst system. It is found that the molecular weight of the polypropylene produced can be varied in the range from 120 000 to 9000 g mol(-1) using the Me(2)Si(Ind)(2)ZrCl(2)/methylaluminoxane catalyst system. (C) 2011 Society of Chemical Industry</t>
  </si>
  <si>
    <t>Rodríguez, Francisco/I-5283-2018; Galland, Griselda/A-6521-2009</t>
  </si>
  <si>
    <t>Rodriguez-Mercado, Francisco/0000-0002-0530-6653; Galland, Griselda/0000-0003-3678-9106; QUIJADA, RAUL/0000-0003-0791-6954</t>
  </si>
  <si>
    <t>0959-8103</t>
  </si>
  <si>
    <t>10.1002/pi.3029</t>
  </si>
  <si>
    <t>WOS:000289516300018</t>
  </si>
  <si>
    <t>Keyantuo, V; Lizama, C; Poblete, V</t>
  </si>
  <si>
    <t>Keyantuo, Valentin; Lizama, Carlos; Poblete, Veronica</t>
  </si>
  <si>
    <t>Periodic solutions of integro-differential equations in vector-valued function spaces</t>
  </si>
  <si>
    <t>JOURNAL OF DIFFERENTIAL EQUATIONS</t>
  </si>
  <si>
    <t>Operator-valued Fourier multipliers are used to study well-posedness of integro-differential equations in Banach spaces. Both strong and mild periodic solutions are considered. Strong well-posedness corresponds to maximal regularity which has proved very efficient in the handling of nonlinear problems. We are concerned with a large array of vector-valued function spaces: Lebesgue-Bochner spaces L-p, the Besov spaces B-p,q(s) (and related spaces such as the Holder-Zygmund spaces C-s) and the Triebel-Lizorkin spaces F-p,q(s). We note that the Multiplier results in these last two scales of spaces involve only boundedness conditions on the resolvents and are therefore applicable to arbitrary Banach spaces. The results are applied to various classes of nonlinear integral and integro-differential equations. (C) 2008 Elsevier Inc. All rights reserved.</t>
  </si>
  <si>
    <t>Poblete, Veronica/D-8810-2015; Lizama, Carlos/E-5909-2011</t>
  </si>
  <si>
    <t>0022-0396</t>
  </si>
  <si>
    <t>1090-2732</t>
  </si>
  <si>
    <t>FEB 1</t>
  </si>
  <si>
    <t>10.1016/j.jde.2008.09.007</t>
  </si>
  <si>
    <t>WOS:000261775000005</t>
  </si>
  <si>
    <t>San Martin, S; Soto-Suazo, M; de Oliveira, SF; Aplin, JD; Abrahamsohn, P; Zorn, TMT</t>
  </si>
  <si>
    <t>Small leucine-rich proteoglycans (SLRPs) in uterine tissues during pregnancy in mice</t>
  </si>
  <si>
    <t>REPRODUCTION</t>
  </si>
  <si>
    <t>Remodelling of the extracellular matrix (ECM) occurs during decidualization of the endometrium in mice. Previously we have documented the appearance of large-diameter collagen fibrils around mature decidual cells between day 5 and day 7 of pregnancy. Proteoglycans are important in the regulation of collagen fibrillogenesis, and the present study analysed four members (decorin, biglycan, lumican and fibromodulin) of the family of small leucine-rich proteoglycans (SLRPs) in the uterus from day 1 to day 7 of pregnancy. Decorin was present together with lesser amounts of lumican in the stroma before the onset of decidualization, whereas biglycan and fibromodulin were almost absent. Biglycan and, less significantly, lumican were expressed in decidualized regions of the endometrium, but decorin was absent. Fibromodulin was weakly expressed in the non-decidualized stroma, but only after implantation. Decorin and lumican were strongly expressed in the undifferentiated interimplantation site stroma, whereas biglycan and fibromodulin were expressed only weakly. These results indicate that the SLRP profile of the uterine ECM alters with differentiation of endometrial stromal cells. The large decidual collagen fibrils are thought to arise by lateral association of smaller diameter fibrils. As decorin has been shown to inhibit lateral association of collagen fibrils, its disappearance between day 2 and day 5 of pregnancy may be a prerequisite for the formation of large fibrils in decidua in mice.</t>
  </si>
  <si>
    <t>Zorn, Telma/C-4065-2008; San Martin, Sebastian/S-5268-2019; Aplin, John/AET-4363-2022</t>
  </si>
  <si>
    <t>San Martin, Sebastian/0000-0002-2569-1114; Aplin, John/0000-0001-8777-9261</t>
  </si>
  <si>
    <t>1470-1626</t>
  </si>
  <si>
    <t>10.1530/rep.0.1250585</t>
  </si>
  <si>
    <t>WOS:000182398600014</t>
  </si>
  <si>
    <t>Díaz, X; Abuin, E; Lissi, E</t>
  </si>
  <si>
    <t>Quenching of BSA intrinsic fluorescence by alkylpyridinium cations -: Its relationship to surfactant-protein association</t>
  </si>
  <si>
    <t>JOURNAL OF PHOTOCHEMISTRY AND PHOTOBIOLOGY A-CHEMISTRY</t>
  </si>
  <si>
    <t>Alkyl pyridinium ions readily quench the fluorescence arising from Trp groups incorporated to a dipeptide (Ala-Trp) or protein (BSA). The quenching of the dipeptide fluorescence takes place with a Stern-Volmer constant of 730 M-1 in aqueous solution, irrespective of the length of the alkyl chain (octyl, dodecyl or hexadecyl). On the other hand, the quenching of BSA fluorescence strongly depends upon the length of the alkyl chain. Octyl pyridinium ion presents a normal behavior, with K-SV values of 3 10 and 280 M-1 in aqueous solution and in presence of 8 M urea, respectively. These values are independent of the protein concentration. Dodecyl and hexadecyl pyridinium ions are considerably more efficient as quenchers. Stern-Volmer plots show a strong upward curvature, the quenching efficiency decreases when the protein concentration increases, and is considerably reduced in presence of salt (phosphate) or urea. These results are explained in terms of a static quenching between the adsorbed alkyl pyridinium and the excited Trp groups. From the dependence of the quenching efficiency with the protein concentration it is obtained the alkyl pyridinium/BSA association constant. The values obtained indicate that the binding is dominated by hydrophobic (dependence with the alkyl chain length and urea concentration) effects and, in minor degree, by electrostatic interactions. (C) 2002 Elsevier Science B.V. All rights reserved.</t>
  </si>
  <si>
    <t>1010-6030</t>
  </si>
  <si>
    <t>FEB 20</t>
  </si>
  <si>
    <t>1-3</t>
  </si>
  <si>
    <t>PII S1010-6030(02)00355-6</t>
  </si>
  <si>
    <t>10.1016/S1010-6030(02)00355-6</t>
  </si>
  <si>
    <t>WOS:000181246300020</t>
  </si>
  <si>
    <t>Bravo, LA; Ulloa, N; Zuñiga, GE; Casanova, A; Corcuera, LJ; Alberdi, M</t>
  </si>
  <si>
    <t>Cold resistance in Antarctic angiosperms</t>
  </si>
  <si>
    <t>PHYSIOLOGIA PLANTARUM</t>
  </si>
  <si>
    <t>Deschampsia antarctica Desv, (Poaceae) and Colobanthus quitensis (Kunth) Bartl, (Cariophyllaceae) are the only two vascular plants that have colonized the Maritime Antarctic, The primary purpose of the present work was to determine cold resistance mechanisms in these two Antarctic plants. This was achieved by comparing thermal properties of leaves and the lethal freezing temperature to 50% of the tissue (LT(50)), The grass D, antarctica was able to tolerate freezing to a lower temperature than C, quitensis. The main freezing resistance mechanism for C. quitensis is supercooling. Thus, the grass is mainly a freezing-tolerant species, while C, quitensis avoids freezing. D. antarctica cold acclimated by reducing its LT(50), C. quitensis showed little cold-acclimation capacity. Because day length is highly variable in the Antarctic, the effect of day length on freezing tolerance, growth, various soluble carbohydrates, starch, and proline contents in leaves of D. antarctica growing in the laboratory under cold-acclimation conditions was studied. During the cold-acclimation treatment, the LT(50) was lowered more effectively under long day (21/3 h light/dark) and medium day (16/8) light periods than under a short day period (8/16). The longer the day length treatment, the faster the growth rate for both acclimated and non-acclimated plants. Similarly, the longer the day treatment during cold acclimation, the higher the sucrose content (up to 7-fold with respect to non-acclimated control values). Oligo and polyfructans accumulated significantly during cold acclimation only with the medium day length treatment. Oligofructans accounted for more than 80%, of total fructans, The degrees of polymerization were mostly between 3 and 10, C, quitensis under cold acclimation accumulated a similar amount of sucrose than D, antarctica, but no fructans were detected. The suggestion that survival of Antarctic plants in the Antarctic could be at least partially explained by accumulation of these substances is discussed.</t>
  </si>
  <si>
    <t>Casanova-Katny, Angelica/M-3994-2014; Zuñiga, Gustavo/P-8306-2015; Corcuera, Luis/G-1714-2014; Bravo, Leon/H-9251-2018</t>
  </si>
  <si>
    <t>Zuniga, Gustavo/0000-0002-8286-9468; Bravo, Leon/0000-0003-4705-4842</t>
  </si>
  <si>
    <t>0031-9317</t>
  </si>
  <si>
    <t>10.1034/j.1399-3054.2001.1110108.x</t>
  </si>
  <si>
    <t>WOS:000166377700008</t>
  </si>
  <si>
    <t>Mejías, L; Sepúlveda, S; Araya-Maturana, R; Cassels, BK; Rezende, MC</t>
  </si>
  <si>
    <t>The regioselective bromination of 4,4-dimethyl-5,8-dihydroxy-4H-naphthalen-1-one</t>
  </si>
  <si>
    <t>Methods for the regioselective bromination of the title naphthalenone are described, which lead to isomeric hydroquinones 5 or 6..</t>
  </si>
  <si>
    <t>Cassels, Bruce/H-6937-2013; Caroli, Marcos/H-3570-2019; Araya-Maturana, Ramiro/N-8747-2015</t>
  </si>
  <si>
    <t>Araya-Maturana, Ramiro/0000-0002-5082-9146; Rezende, Marcos/0000-0003-2040-9009</t>
  </si>
  <si>
    <t>10.1080/00397919808004471</t>
  </si>
  <si>
    <t>WOS:000076752100009</t>
  </si>
  <si>
    <t>ASHBAUGH, MS; BENGURIA, RD; YARUR, C</t>
  </si>
  <si>
    <t>PROPERTIES OF THE POSITIVE SOLUTION OF A GENERALIZED WEIZSACKER,THOMAS,FERMI VON EQUATION</t>
  </si>
  <si>
    <t>DUKE MATHEMATICAL JOURNAL</t>
  </si>
  <si>
    <t>Benguria, Rafael/P-4019-2019</t>
  </si>
  <si>
    <t>Benguria, Rafael/0000-0002-0696-0876</t>
  </si>
  <si>
    <t>0012-7094</t>
  </si>
  <si>
    <t>JUN</t>
  </si>
  <si>
    <t>10.1215/S0012-7094-91-06309-X</t>
  </si>
  <si>
    <t>WOS:A1991FP71600009</t>
  </si>
  <si>
    <t>Almeida-Naranjo, CE; Santana-Romo, F; Gallegos-Castro, E; Villamar-Ayala, CA; Debut, A</t>
  </si>
  <si>
    <t>Almeida-Naranjo, Cristina E.; Santana-Romo, Fabian; Gallegos-Castro, Elvia; Villamar-Ayala, Cristina Alejandra; Debut, Alexis</t>
  </si>
  <si>
    <t>Triclosan removal from synthetic solution using corn cobs and their magnetic composites: Insights from batch adsorption and fixed-bed column studies</t>
  </si>
  <si>
    <t>INDUSTRIAL CROPS AND PRODUCTS</t>
  </si>
  <si>
    <t>Triclosan, a lipophilic contaminant and endocrine disruptor, is widely detected in industrial, pharmaceutical, and domestic wastewaters. Organic residues impregnated with nanoparticles could be efficient adsorbents for such contaminants. This study evaluated the efficiency of corn cobs (CC), iron oxide (IO), and their magnetic composites in removing triclosan (30 mg L-1) using batch and fixed-bed column tests. Adsorbents were characterized by analytical (ASTM standards), instrumental (microscopy, spectroscopy, BET, X-ray diffraction), and computational methods. Batch tests analyzed CC/IO/composite doses (0.001-2.5 g L-1), contact times (2.5-60 min), and CC ratios (1:1, 2:1, 4:1). Results fit kinetic and isothermal models. Fixed-bed columns used CC and 4CC:1IO (most efficient). CC contained similar to 94.2 % lignocellulosic material, an irregular surface with 0.4 m(2) g(-1), and functional groups (OH, CO, C-O-H). IOs (similar to 15 nm) had a surface area of 66.3 m(2)/g, while composites ranged from 1.4 to 2.2 m(2) g(-1). Optimal doses were 2.0 g L-1 for CC and 3.75-25-fold for IO/composites, removing 84.7-94.1 % triclosan within 40-60 min. Data fit the pseudo-second order model (R-2 = 0.89-0.99) and isotherms aligned with Langmuir and Sips models (R-2 = 0.97-0.99). In fixed-bed columns, CC and 4CC:1IO reached saturation at 700 and 1250 min, respectively, fitting the Bohart-Adams model (R-2 = 0.93-0.98). Computational chemistry elucidated triclosan removal mechanisms related to its lipophilicity, solubility, and reactive lignocellulosic sites. CC and their composites are effective, sustainable, and low-cost alternatives for removing triclosan and other lipophilic emerging contaminants, with potential for broader water treatment applications. This study evaluated the adsorption capacity of the materials for triclosan removal, incorporating kinetic models, breakthrough curves, and computational simulations to understand the removal mechanisms.</t>
  </si>
  <si>
    <t>Debut, Alexis/H-8424-2019; Villamar, Cristina-Alejandra/AAB-4154-2019; Santana-Romo, Fabián/IRZ-1819-2023</t>
  </si>
  <si>
    <t>Santana Romo, Fabian Mauricio/0000-0002-8753-3349; Debut, Alexis/0000-0002-8269-7619; Almeida Naranjo, Cristina Elizabeth/0000-0002-1066-6661</t>
  </si>
  <si>
    <t>0926-6690</t>
  </si>
  <si>
    <t>1872-633X</t>
  </si>
  <si>
    <t>10.1016/j.indcrop.2025.120917</t>
  </si>
  <si>
    <t>MAR 2025</t>
  </si>
  <si>
    <t>WOS:001459176900001</t>
  </si>
  <si>
    <t>Figueroa, P; Iturriaga, L; Topp, E</t>
  </si>
  <si>
    <t>Figueroa, Pablo; Iturriaga, Leonelo; Topp, Erwin</t>
  </si>
  <si>
    <t>Sign-changing solutions for the sinh-Poisson equation with Robin boundary condition</t>
  </si>
  <si>
    <t>JOURNAL D ANALYSE MATHEMATIQUE</t>
  </si>
  <si>
    <t>Given &amp; varepsilon; is an element of (0, 1) and lambda &gt; 1, we address the existence of solutions for the sinh-Poisson equation with a Robin boundary value condition {Delta u+&amp; varepsilon;(2)(e(u)-e(-u))=0 in Omega, partial derivative u/partial derivative nu+lambda u=0 on partial derivative Omega, where Omega subset of &amp; Ropf;(2) is a bounded smooth domain. We prove two existence results under a suitable relation between &amp; varepsilon; small and lambda large. When Omega is symmetric with respect to an axis, we prove the existence of a family of solutions u(&amp; varepsilon;,lambda) concentrating at two points with different spin, both located on the symmetry line and close to the boundary. In the second result, we assume Omega is not simply connected and we construct sign-changing solutions concentrating at several points located close to the boundary, each of them on a different connected component of the boundary.</t>
  </si>
  <si>
    <t>Iturriaga, Leonelo/F-6339-2012</t>
  </si>
  <si>
    <t>0021-7670</t>
  </si>
  <si>
    <t>1565-8538</t>
  </si>
  <si>
    <t>2025 MAR 24</t>
  </si>
  <si>
    <t>10.1007/s11854-025-0371-6</t>
  </si>
  <si>
    <t>WOS:001454157500001</t>
  </si>
  <si>
    <t>Vargas, M; Mosquera, R; Fuertes, G; Alfaro, M; Vergara, IGP</t>
  </si>
  <si>
    <t>Vargas, Manuel; Mosquera, Rodolfo; Fuertes, Guillermo; Alfaro, Miguel; Vergara, Ileana Gloria Perez</t>
  </si>
  <si>
    <t>Process Optimization in a Condiment SME through Improved Lean Six Sigma with a Surface Tension Neural Network</t>
  </si>
  <si>
    <t>PROCESSES</t>
  </si>
  <si>
    <t>This study offers an innovative solution to address performance issues in the manufacturing process of garlic salt within a condiment-producing SME. A hybrid Lean/Six Sigma model utilizing a Surface Tension Neural Network (STNN) was implemented to control temperature and relative humidity in real-time. The model follows the Define, Measure, Analyze, Improve, Control (DMAIC) methodology to identify root causes and correlate them with waste. By integrating statistical tools, artificial intelligence, and engineering design principles, alternative solutions were evaluated to minimize waste. This document contributes to existing knowledge by demonstrating the integration of an STNN with the Lean/Six Sigma framework in condiment production, an area with limited empirical research. It underscores the benefits of advanced AI technologies in enhancing traditional process optimization methods. The STNN model achieved 97.31% accuracy for temperature classification and 97.37% for humidity, outperforming a Naive Bayes model, which attained 90% accuracy for both. The results showed a 3.15% increase in yield, saving 39.7 kg of waste per batch. Additionally, a 2.13-point improvement at the Six Sigma level was achieved, reducing defects per million opportunities by 551.722. These improvements resulted in significant cost savings, with a reduction in waste-related losses amounting to USD 1585 per batch. The study demonstrates that incorporating artificial intelligence into the Lean/Six Sigma methodology effectively addresses the limitations of traditional statistical methods. Significant improvements in yield and waste reduction highlight the potential of this approach, enhancing operational efficiency and profitability, and fostering sustainable manufacturing practices critical for SMEs' competitiveness and sustainability in the global market.</t>
  </si>
  <si>
    <t>MOSQUERA NAVARRO, RODOLFO/AFU-0077-2022; Fuertes, Guillermo/Q-2341-2016</t>
  </si>
  <si>
    <t>MOSQUERA NAVARRO, RODOLFO/0000-0003-3671-8797; Fuertes, Guillermo/0000-0003-3044-5919</t>
  </si>
  <si>
    <t>2227-9717</t>
  </si>
  <si>
    <t>10.3390/pr12092001</t>
  </si>
  <si>
    <t>WOS:001323030600001</t>
  </si>
  <si>
    <t>Toro, SA; González, C; Fernández-Blázquez, JP; Ridruejo, A</t>
  </si>
  <si>
    <t>Toro, Sebastian Andres; Gonzalez, Carlos; Fernandez-Blazquez, Juan P.; Ridruejo, Alvaro</t>
  </si>
  <si>
    <t>Fabrication and mechanical properties of a high-performance PEEK-PEI hybrid multilayered thermoplastic matrix composite reinforced with carbon fiber</t>
  </si>
  <si>
    <t>COMPOSITES PART A-APPLIED SCIENCE AND MANUFACTURING</t>
  </si>
  <si>
    <t>This paper presents a method for manufacturing a hybrid matrix composite material reinforced with a woven carbon fiber that combines the properties of two thermoplastic polymers: PEEK (polyether-ether-ketone) and PEI (polyether-imide). The manufacturing process involves a multilayer architecture and a single hot -pressing consolidation step. Experimental tests - including uniaxial tensile tests, delamination tests in Mode I and impact tests at low velocities - were conducted to compare the resulting laminate with single matrix materials (PEEK/CF and PEI/CF).The improvements in strain to failure by 48 % in tensile tests with fiber orientation at +/- 45 degrees and in delamination force by 13 % in low velocity impact tests with respect to PEI/CF show that the heterogeneous matrix blend maintains the crystalline content and excellent elastoplastic response of PEEK while taking advantage of the affordability, lower processing temperature and toughness of PEI.</t>
  </si>
  <si>
    <t>González, Carlos/AAC-4265-2020; Toro, Sebastian/CAH-7489-2022; Ridruejo, Alvaro/I-1082-2015; FERNANDEZ, JUAN PEDRO/C-3938-2008; Gonzalez, Carlos/M-9897-2014</t>
  </si>
  <si>
    <t>Toro, Sebastian Andres/0000-0002-2004-1382; FERNANDEZ, JUAN PEDRO/0000-0003-0458-3293; Gonzalez, Carlos/0000-0002-0724-138X</t>
  </si>
  <si>
    <t>1359-835X</t>
  </si>
  <si>
    <t>1878-5840</t>
  </si>
  <si>
    <t>10.1016/j.compositesa.2024.108308</t>
  </si>
  <si>
    <t>JUN 2024</t>
  </si>
  <si>
    <t>WOS:001259168500001</t>
  </si>
  <si>
    <t>Pérez-Stuardo, D; Frazao, M; Ibaceta, V; Brianson, B; Sánchez, E; Rivas-Pardo, JA; Vallejos-Vidal, E; Reyes-López, FE; Toro-Ascuy, D; Vidal, EA; Reyes-Cerpa, S</t>
  </si>
  <si>
    <t>Perez-Stuardo, Diego; Frazao, Mateus; Ibaceta, Valentina; Brianson, Bernardo; Sanchez, Evelyn; Rivas-Pardo, J. Andres; Vallejos-Vidal, Eva; Reyes-Lopez, Felipe E.; Toro-Ascuy, Daniela; Vidal, Elena A.; Reyes-Cerpa, Sebastian</t>
  </si>
  <si>
    <t>KLF17 is an important regulatory component of the transcriptomic response of Atlantic salmon macrophages to Piscirickettsia salmonis infection</t>
  </si>
  <si>
    <t>FRONTIERS IN IMMUNOLOGY</t>
  </si>
  <si>
    <t>Piscirickettsia salmonis is the most important health problem facing Chilean Aquaculture. Previous reports suggest that P. salmonis can survive in salmonid macrophages by interfering with the host immune response. However, the relevant aspects of the molecular pathogenesis of P. salmonis have been poorly characterized. In this work, we evaluated the transcriptomic changes in macrophage-like cell line SHK-1 infected with P. salmonis at 24- and 48-hours post-infection (hpi) and generated network models of the macrophage response to the infection using co-expression analysis and regulatory transcription factor-target gene information. Transcriptomic analysis showed that 635 genes were differentially expressed after 24- and/or 48-hpi. The pattern of expression of these genes was analyzed by weighted co-expression network analysis (WGCNA), which classified genes into 4 modules of expression, comprising early responses to the bacterium. Induced genes included genes involved in metabolism and cell differentiation, intracellular transportation, and cytoskeleton reorganization, while repressed genes included genes involved in extracellular matrix organization and RNA metabolism. To understand how these expression changes are orchestrated and to pinpoint relevant transcription factors (TFs) controlling the response, we established a curated database of TF-target gene regulatory interactions in Salmo salar, SalSaDB. Using this resource, together with co-expression module data, we generated infection context-specific networks that were analyzed to determine highly connected TF nodes. We found that the most connected TF of the 24- and 48-hpi response networks is KLF17, an ortholog of the KLF4 TF involved in the polarization of macrophages to an M2-phenotype in mammals. Interestingly, while KLF17 is induced by P. salmonis infection, other TFs, such as NOTCH3 and NFATC1, whose orthologs in mammals are related to M1-like macrophages, are repressed. In sum, our results suggest the induction of early regulatory events associated with an M2-like phenotype of macrophages that drives effectors related to the lysosome, RNA metabolism, cytoskeleton organization, and extracellular matrix remodeling. Moreover, the M1-like response seems delayed in generating an effective response, suggesting a polarization towards M2-like macrophages that allows the survival of P. salmonis. This work also contributes to SalSaDB, a curated database of TF-target gene interactions that is freely available for the Atlantic salmon community.</t>
  </si>
  <si>
    <t>Reyes-López, Felipe/S-1760-2018; Toro-Ascuy, Daniela/JDC-8224-2023; Vallejos-Vidal, Eva/R-9606-2019</t>
  </si>
  <si>
    <t>Vidal, Elena/0000-0002-8208-7327; Vallejos-Vidal, Eva/0000-0002-3091-2700; Perez Stuardo, Diego Emilio/0009-0003-0944-4716; Reyes-Lopez, Felipe E./0000-0002-5001-457X; Reyes, Sebastian/0000-0002-7676-1266</t>
  </si>
  <si>
    <t>1664-3224</t>
  </si>
  <si>
    <t>DEC 14</t>
  </si>
  <si>
    <t>10.3389/fimmu.2023.1264599</t>
  </si>
  <si>
    <t>WOS:001133140300001</t>
  </si>
  <si>
    <t>Candia, C; Gallardo-Moya, D; Guerrero, J; Leal, D; Mansilla, A; Martínez-Gómez, F; Matsuhiro, B; Yáñez-S, M</t>
  </si>
  <si>
    <t>Candia, Carolina; Gallardo-Moya, Daniel; Guerrero, Juan; Leal, David; Mansilla, Andres; Martinez-Gomez, Fabian; Matsuhiro, Betty; Yanez-S, Mauricio</t>
  </si>
  <si>
    <t>Characterization of alginate from Antarctic Himantothallus grandifolius (Phaeophyceae) and preparation of polyelectrolyte complexes with chitosan</t>
  </si>
  <si>
    <t>JOURNAL OF APPLIED POLYMER SCIENCE</t>
  </si>
  <si>
    <t>Hydrogels are three-dimensional polymeric materials with applications in various areas such as biomedicine, tissue engineering, pollutant capture systems, and so forth. However, its application is limited due to the reproducibility of its properties. Factors such as the composition of the constituents, the type of union between the polymer chains, and the crosslinking time play a crucial role in ensuring its reproducibility. In this study, the objective is to prepare a matrix with well-defined properties that ensure controlled release processes. Treatment of Himantothallus grandifolius with Na2CO3 aqueous solution afforded in 18.9% yield alkaline extract. Hydrogels were prepared by ionic complexation of alginate from H. grandifolius, and polyguluronate enriched alginate from Desmarestia ligulata with chitosan stabilized by immersion in 0.1 M CaCl2 solution; better swelling ratio in water was found for hydrogels with low molecular weight chitosan (MW 125,000 g/mol) than those with medium molecular weight chitosan (MW450,000-500,000 g/mol). Liberation of the model drug metformin hydrochloride from alginates: chitosan complexes (3:1) at pH 1.5 was especially low for hydrogel from H. grandifolius during the first 2 h; 70% of metformin was released at pH 6.5 after 24 h. This polyelectrolyte complex constitutes a good material for potential application in biomedicine considering its cationic and anionic characteristics.</t>
  </si>
  <si>
    <t>Martinez, Fabian/0000-0001-5802-9816</t>
  </si>
  <si>
    <t>0021-8995</t>
  </si>
  <si>
    <t>1097-4628</t>
  </si>
  <si>
    <t>DEC 10</t>
  </si>
  <si>
    <t>10.1002/app.54688</t>
  </si>
  <si>
    <t>WOS:001067519500001</t>
  </si>
  <si>
    <t>Zurob, E; Rivas, D; Olea, F; Plaza, A; Merlet, G; Araya-López, C; Romero, J; Quijada-Maldonado, E; Cabezas, R</t>
  </si>
  <si>
    <t>Zurob, E.; Rivas, D.; Olea, F.; Plaza, A.; Merlet, G.; Araya-Lopez, C.; Romero, J.; Quijada-Maldonado, E.; Cabezas, R.</t>
  </si>
  <si>
    <t>Succinic acid recovery from a glycerol-based solution using phosphonium ionic liquids supported by COSMO-RS</t>
  </si>
  <si>
    <t>FLUID PHASE EQUILIBRIA</t>
  </si>
  <si>
    <t>Succinic acid has been considered a promising chemical building block that can be bio-produced using renewable resources. However, one of the biggest challenges in the bioproduction of this acid is the extraction and purification process. Currently, to extract and improve the purity of the produced succinic acid, a liquid-liquid extraction using organic solvents and extractants is performed. In this work, a liquid-liquid extraction of succinic acid from a model fermentation solution of Yarrowia lipolytica yeast broth (succinic acid + glycerol + water) is studied. The liquid-liquid extraction was carried out using hydrophobic phosphonium-based ionic liquids as extractants, for a 1:1 phase-volume ratio during 24 h at two different temperatures (298.15 K and 310.15 K) measuring the differences in the concentration of succinic acid and glycerol in the aqueous feed phase after 24 h to quantify the extraction percentage and, the succinic acid/glycerol selectivity. To obtain the succinic acid /water selectivity, the water concentration in the IL phase was calculated using Karl Fischer titration. With an extraction percentage of 78.4% for succinic acid and, a selectivity of 103 and 157 respectively for succinic acid /water and succinic acid/glycerol at 310.15 K, the best studied ionic liquid was [P-6,P-6,P-6,P-14][PHOS] being 10 times higher than octanol, which is commonly used as a comparative conventional solvent. On the other hand, a molecular simulation of liquid-liquid extraction generated in COSMO-RS, allowed to validate the experimental results, also indicating that the strong hydrogen bond interactions of [P-6,6,6,(14)][PHOS] and succinic acid were responsible for the excellent values obtained. Finally, the dissolved succinic acid in the organic phase was easily removed with an ultra-pure water striping using liquid-liquid extraction at 298.15 K for 40 min with a 1:1 phase-volume ratio. (C) 2022 Elsevier B.V. All rights reserved.</t>
  </si>
  <si>
    <t>Merlet, Gastón/B-4109-2019; Araya Lopez, Claudio/KXR-0295-2024; Cabezas, Rene/HAR-6189-2022; olea, felipe/IAN-5687-2023; Romero, Julio/I-6705-2013</t>
  </si>
  <si>
    <t>Quijada-Maldonado, Esteban/0000-0003-1411-4327; Romero, Julio/0000-0002-1229-1592; Plaza, Andrea/0000-0001-9475-007X; Zurob, Elsie/0000-0002-5396-5960; Olea Chandia, Felipe/0000-0002-6349-6184; Cabezas, Rene/0000-0002-4162-3429</t>
  </si>
  <si>
    <t>0378-3812</t>
  </si>
  <si>
    <t>1879-0224</t>
  </si>
  <si>
    <t>AUG</t>
  </si>
  <si>
    <t>10.1016/j.fluid.2022.113471</t>
  </si>
  <si>
    <t>APR 2022</t>
  </si>
  <si>
    <t>WOS:000821431400007</t>
  </si>
  <si>
    <t>Gamboa, J; Mendez, F; Tapia-Arellano, N</t>
  </si>
  <si>
    <t>Gamboa, Jorge; Mendez, Fernando; Tapia-Arellano, Natalia</t>
  </si>
  <si>
    <t>The Laplace Transform of Quantum Gravity</t>
  </si>
  <si>
    <t>UNIVERSE</t>
  </si>
  <si>
    <t>Following analogies with relativistic point particles and Schild strings, we show that the Einstein gravity and its strong coupling regime (or the Planck mass going to zero) are related to each other through a Laplace transform. The Feynman propagator of gravity in the strong coupling regime satisfies a functional diffusion equation in the three-metric space with the evolution parameter being the volume of spacetime. We conjecture that the relationship between both regimes is consistent with the existence of an evolution operator in which time is replaced by the volume of spacetime.</t>
  </si>
  <si>
    <t>Mendez, Fernando/0000-0002-9257-9552; Tapia Arellano, Natalia/0000-0002-1138-1975; Gamboa, Jorge/0000-0001-7992-7199</t>
  </si>
  <si>
    <t>2218-1997</t>
  </si>
  <si>
    <t>10.3390/universe8020116</t>
  </si>
  <si>
    <t>WOS:000761985400001</t>
  </si>
  <si>
    <t>Alvarez, R; del Valle, MF; Cordero, P; del Sol, M; Lizana, PA; Gutiérrez, J; Valenzuela, J; Muñoz-Cofre, R</t>
  </si>
  <si>
    <t>Alvarez, Roberto; del Valle, Maria Fernanda; Cordero, Pablo; del Sol, Mariano; Lizana, Pablo A.; Gutierrez, Jorge; Valenzuela, Jorge; Munoz-Cofre, Rodrigo</t>
  </si>
  <si>
    <t>Shoulder Pain in COVID-19 Survivors Following Mechanical Ventilation</t>
  </si>
  <si>
    <t>INTERNATIONAL JOURNAL OF ENVIRONMENTAL RESEARCH AND PUBLIC HEALTH</t>
  </si>
  <si>
    <t>COVID-19 has caused a certain proportion of patients to be hospitalized in intensive care units (ICU) and may cause musculoskeletal and neurological deficits following intubation and mechanical ventilation. The aim of this study was to quantify and describe the presence of shoulder pain in patients released from hospitals after suffering COVID-19. Patients with positive Apley tests were sent to a physiatrist for a clinical evaluation, ultrasound and electromyography (EMG). This evaluation was completed with a pain scale, joint range and shoulder muscle strength evaluations. Of the one-hundred-sixteen patients, seventy eight entered the respiratory rehabilitation program. Twenty patients were sent to the multidisciplinary shoulder team for positive Apley scratch tests. Of these twenty patients, one had only an EMG, ten had only ultrasounds, seven had an EMG and ultrasound and two did not need complementary tests. The twenty patients were sent to the physical therapist, with all presenting pain and diminished joint range and muscle strength in the affected shoulder. In this context, shoulder pain could be associated with the prone position in the ICU. We suggest time control and position change for patients on mechanical ventilation in a prone position with COVID-19.</t>
  </si>
  <si>
    <t>del sol, Mariano/I-4746-2018; Lizana, Pablo/ABE-4996-2020</t>
  </si>
  <si>
    <t>Lizana, Pablo A./0000-0002-9366-6930</t>
  </si>
  <si>
    <t>1660-4601</t>
  </si>
  <si>
    <t>10.3390/ijerph181910434</t>
  </si>
  <si>
    <t>WOS:000706511800001</t>
  </si>
  <si>
    <t>Orozco-Aguilar, J; Simon, F; Cabello-Verrugio, C</t>
  </si>
  <si>
    <t>Orozco-Aguilar, Josue; Simon, Felipe; Cabello-Verrugio, Claudio</t>
  </si>
  <si>
    <t>Redox-Dependent Effects in the Physiopathological Role of Bile Acids</t>
  </si>
  <si>
    <t>OXIDATIVE MEDICINE AND CELLULAR LONGEVITY</t>
  </si>
  <si>
    <t>Bile acids (BA) are recognized by their role in nutrient absorption. However, there is growing evidence that BA also have endocrine and metabolic functions. Besides, the steroidal-derived structure gives BA a toxic potential over the biological membrane. Thus, cholestatic disorders, characterized by elevated BA on the liver and serum, are a significant cause of liver transplant and extrahepatic complications, such as skeletal muscle, central nervous system (CNS), heart, and placenta. Further, the BA have an essential role in cellular damage, mediating processes such as membrane disruption, mitochondrial dysfunction, and the generation of reactive oxygen species (ROS) and oxidative stress. The purpose of this review is to describe the BA and their role on hepatic and extrahepatic complications in cholestatic diseases, focusing on the association between BA and the generation of oxidative stress that mediates tissue damage.</t>
  </si>
  <si>
    <t>Cabello-Verrugio, Claudio/AAD-1454-2020</t>
  </si>
  <si>
    <t>Simon, Felipe/0000-0002-2653-9798; Orozco-Aguilar, Josue/0000-0002-0006-1298; Cabello-Verrugio, Claudio/0000-0001-7273-2102</t>
  </si>
  <si>
    <t>1942-0900</t>
  </si>
  <si>
    <t>1942-0994</t>
  </si>
  <si>
    <t>SEP 6</t>
  </si>
  <si>
    <t>10.1155/2021/4847941</t>
  </si>
  <si>
    <t>WOS:000697318900007</t>
  </si>
  <si>
    <t>de Guevara, DL; Bernard, S; Manhood, S; Melani, S; Yerovi, F; Rodríguez, MD</t>
  </si>
  <si>
    <t>Ladron de Guevara, David; Bernard, Sebastian; Manhood, Susana; Melani, Sophia; Yerovi, Fernando; de los Angeles Rodriguez, Maria</t>
  </si>
  <si>
    <t>Prognostic value of interim PET/CT in non-hodgkin lymphoma</t>
  </si>
  <si>
    <t>Background: The prognosis of Non-Hodgkin Lymphoma (NHL) depends on the type of lymphoma, the extension of the disease and the response to therapy. Aim: To evaluate the prognostic value of pretreatment and interim PET/ CT compared to classic prognosis factors and body composition measurement (sarcopenia, adipopenia) in patients with recently diagnosed NHL. Material and Methods: Patients with recently diagnosed NHL who had staging F-18-FDG PET/CT performed between December 2008 and August 2018 were selected. Age, gender, weight, height, B symptoms, laboratory tests, pathology, staging PET/ CT findings (Ann Arbor, number of nodal groups and extranodal sites involved, Bulky, maximum standardized uptake value (SUVmax), metabolic tumor volume (MTV), and total lesion glycolysis), Computed Tomography findings (psoas muscle mass index, psoas area, psoas density, subcutaneous fat index (all of them at L3 level), and Deauville score (Lugano Criteria) were recorded. The prognostic value of each of these factors was assessed using Cox multivariable regressions. Results: Of 138 NHL studied patients (median 61 y, 15-87 y, 60.4% men), 31 of them died due to the disease. The median follow-up was 39 months (1-115 months). The strongest prognostic factors were: B symptoms (p &lt; 0.01), anemia (p &lt; 0.01), hypoalbuminemia (p: 0.01), sarcopenia (p &lt; 0.01), adipopenia (p &lt; 0.01), number of node groups involved (p &lt; 0.01), MTV (p &lt; 0.01), and a bad response in interim PET/CT (p &lt; 0.01). In a comparative Cox multivariable analysis, interim PET/CT was the independent variable with the highest significance (p &lt; 0.01). Conclusions: Early treatment response assessed by interim PET/CT is the strongest prognostic factor in NHL patients.</t>
  </si>
  <si>
    <t>, David/0000-0001-5984-7546</t>
  </si>
  <si>
    <t>WOS:000637311000003</t>
  </si>
  <si>
    <t>Gil-Costa, V; Inostrosa-Psijas, A; Marin, M</t>
  </si>
  <si>
    <t>IEEE Com Soc</t>
  </si>
  <si>
    <t>Gil-Costa, Veronica; Inostrosa-Psijas, Alonso; Marin, Mauricio</t>
  </si>
  <si>
    <t>Elastic and Real-time Capacity Planning for Web Search Engines</t>
  </si>
  <si>
    <t>2020 28TH EUROMICRO INTERNATIONAL CONFERENCE ON PARALLEL, DISTRIBUTED AND NETWORK-BASED PROCESSING (PDP 2020)</t>
  </si>
  <si>
    <t>Euromicro Conference on Parallel, Distributed and Network-Based Processing</t>
  </si>
  <si>
    <t>28th Euromicro International Conference on Parallel, Distributed and Network-Based Processing (PDP)</t>
  </si>
  <si>
    <t>MAR 11-13, 2020</t>
  </si>
  <si>
    <t>ELECTR NETWORK</t>
  </si>
  <si>
    <t>Malardalen Univ,Euromicro</t>
  </si>
  <si>
    <t>Web search engines are complex systems deployed on large clusters of processors. With a constant growing number of users, Web search engines capacity must be frequently evaluated. Among other techniques, capacity planning methods are a good approach to estimate the amount of processors in cluster based systems, allowing data-center engineers to ensure enough computational resources are available to efficiently deal with the ever changing streams of user queries. In this paper, we present a novel capacity planning methodology that combines discrete-event simulation and classical operational analysis for open systems formulae. With this methodology, just a small fraction of deployments are evaluated to find an optimal assignment of resources given a target workload. We experimentally evaluate a simulation-based capacity planning module in combination with an OpenMP+MPI implementation of a Web search engine, that periodically evaluates its performance metrics in order to elastically adjust the amount of computational resources needed to support the current workload. Results show that the proposed methodology is able to quickly provide a new deployment configuration upon performance changes, ensuring that an strictly sufficient amount of computational resources are available to efficiently deal with users demands.</t>
  </si>
  <si>
    <t>Gil-Costa, Veronica/GPT-4785-2022; Marin, Mauricio/GLR-7700-2022; Inostrosa-Psijas, Alonso/AAC-7718-2019; Inostrosa-Psijas, Alonso/A-5827-2018</t>
  </si>
  <si>
    <t>Marin, Mauricio/0000-0003-0662-7149; Inostrosa-Psijas, Alonso/0000-0002-2922-0870; Gil-Costa, Veronica/0000-0003-4637-9725</t>
  </si>
  <si>
    <t>1066-6192</t>
  </si>
  <si>
    <t>978-1-7281-6582-0</t>
  </si>
  <si>
    <t>10.1109/PDP50117.2020.00057</t>
  </si>
  <si>
    <t>WOS:000582555800050</t>
  </si>
  <si>
    <t>Salech, F; Ponce, DP; SanMartin, CD; Rogers, NK; Henríquez, M; Behrens, MI</t>
  </si>
  <si>
    <t>Salech, Felipe; Ponce, Daniela P.; SanMartin, Carol D.; Rogers, Nicole K.; Henriquez, Mauricio; Behrens, Maria I.</t>
  </si>
  <si>
    <t>Cancer Imprints an Increased PARP-1 and p53-Dependent Resistance to Oxidative Stress on Lymphocytes of Patients That Later Develop Alzheimer's Disease</t>
  </si>
  <si>
    <t>FRONTIERS IN NEUROSCIENCE</t>
  </si>
  <si>
    <t>We have proposed that a common biological mechanism deregulated in opposite directions might explain the inverse epidemiological association observed between Alzheimer's disease (AD) and cancer. Accordingly, we showed that lymphocytes from AD patients have an increased susceptibility, whereas those from survivors of a skin cancer, an increased resistance to oxidative death induced by hydrogen peroxide (H2O2), compared to healthy controls (HC). We investigated the susceptibility to H2O2-induced death of lymphocytes in survivors of any type of cancer and in cancer survivors who later developed AD (Ca&amp;AD). We also explored the involvement of Poly [ADP-ribose] polymerase-1 (PARP-1) and p53 pathways in the process, since both are involved in the increased susceptibility to death of AD lymphocytes. Lymphocytes from 11 cancer and 13 Ca&amp;AD patients, and 12 HC were submitted to increasing concentrations of H2O2 for 20 h. Cell death was determined by flow cytometry, in the presence or absence of PARP-1 inhibition (3-aminobenzamide, 3-ABA), or p53 inhibition (pifithrin-alpha) or stabilization (Nut-3). PARP-1 and p53 mRNA levels were determined by Real-Time PCR. Lymphocytes from cancer and Ca&amp;AD patients showed increased survival compared to HC, without differences between them, opposite to the increased susceptibility to death previously shown in AD. PARP-1 inhibition provided marked protection from H2O2-induced death in the two groups of patients, significantly greater than in HC. Pharmacological inhibition of p53 increased lymphocyte survival in Ca&amp;AD patients, contrary to the effect previously reported in HC and AD. PARP-1 and p53 mRNA levels were elevated in Ca&amp;AD lymphocytes compared with controls. In all, these results show that cancer imprints an increased resistance to H2O2-induced death in lymphocytes that persists after AD development, and is dependent on both PARP-1 and p53. p53 inhibition showed a differential role in cancer and Ca&amp;AD compared to HC and AD lymphocytes, that could explain the inverse susceptibility to oxidative death in cancer and AD. These results are in agreement with the hypothesis of a common biological mechanism in AD and cancer. The similar cell death susceptibility and cell death pattern observed in cancer and Ca&amp;AD lymphocytes suggests that cancer history leaves long term effects on lymphocyte cell death susceptibility.</t>
  </si>
  <si>
    <t>; Behrens, Maria Isabel/I-1083-2013</t>
  </si>
  <si>
    <t>SanMartin, Carol D/0000-0003-3733-5448; Behrens, Maria Isabel/0000-0003-0964-426X; Salech, Felipe/0000-0003-1575-7658</t>
  </si>
  <si>
    <t>1662-453X</t>
  </si>
  <si>
    <t>FEB 8</t>
  </si>
  <si>
    <t>10.3389/fnins.2018.00058</t>
  </si>
  <si>
    <t>WOS:000424477200002</t>
  </si>
  <si>
    <t>Díaz, HA; Maureira, F; Córdova, F; Palominos, F</t>
  </si>
  <si>
    <t>Ahuja, V; Shi, Y; Khazanchi, D; Abidi, N; Tian, Y; Berg, D; Tien, JM</t>
  </si>
  <si>
    <t>Diaz M, Hernan A.; Maureira, Fernando; Cordova, Felisa; Palominos, Fredi</t>
  </si>
  <si>
    <t>Long-range linear correlations and nonlinear chaos estimation differentially characterizes functional connectivity and organization of the Brain EEG</t>
  </si>
  <si>
    <t>5TH INTERNATIONAL CONFERENCE ON INFORMATION TECHNOLOGY AND QUANTITATIVE MANAGEMENT, ITQM 2017</t>
  </si>
  <si>
    <t>Procedia Computer Science</t>
  </si>
  <si>
    <t>5th International Conference on Information Technology and Quantitative Management (ITQM)</t>
  </si>
  <si>
    <t>DEC 08-10, 2017</t>
  </si>
  <si>
    <t>New Delhi, INDIA</t>
  </si>
  <si>
    <t>Int Acad Informat Technol &amp; Quantitat Management,Jaypee Business Sch,Chinese Acad Sci, Res Ctr Fictitious Econ &amp; Data Sci,Chinese Acad Sci, Key Lab Big Data Min &amp; Knowledge Management,Univ Chinese Acad Sci, Sch Econ &amp; Management,Chinese Acad Sci, Inst Policy &amp; Management,Univ Nebraska Omaha,Chinese Acad Management,Grad Sch Management Technol,Hoseo Univ,Chinese Assoc Artificial Intelligence</t>
  </si>
  <si>
    <t>We obtained and compared linear and nonlinear estimation of synchronicity and internal organization of a set of electroencephalographic (EEG) time series recorded during the realization of cognitive tasks. Linear estimation consisted of the assessment of Spearman R correlations between pairs of EEG electrodes, andnonlinear estimation consisted in apply rescaled (R/S) analysis on the EEG signal to obtain the Hurst exponent which estimates the degree of predictability (order) of the signal in an unpredictable (chaotic) ongoing background activity. We found adifferential characterization of the coupled synchronicity between pairs of scalp electrodes and the estimation of chaos/no-chaos global balance of the signal. While H increases indicating a tendency towards persistent self-similarity (affinity) and self-organizing processes, the amount of pairs of electrodes highly correlated (R&gt;0.85) diminish,suggesting a sort of counteracting dynamic of balancebetween spontaneously driven homogenizing long-range linear correlation tendency againstan inner brain mechanisms leading to persistent self-organization, information richness and heterogeneity. (C) 2017 The Authors. Published by Elsevier B.V.</t>
  </si>
  <si>
    <t>CORDOVA, FELISA/S-1093-2019; Arciniegas, Hugo Armando/GSN-3657-2022; Palominos, Fredi/U-4690-2019</t>
  </si>
  <si>
    <t>Palominos, Fredi/0000-0002-6119-4991; CORDOVA, FELISA/0000-0002-5557-8569</t>
  </si>
  <si>
    <t>1877-0509</t>
  </si>
  <si>
    <t>10.1016/j.procs.2017.11.447</t>
  </si>
  <si>
    <t>WOS:000426698300114</t>
  </si>
  <si>
    <t>Guzman, M; Miranda, G; Olavarria, C; Madrid, S; Muñoz, D; Leiva, M; Lopez, L; Bortnem, C</t>
  </si>
  <si>
    <t>Guzman, Marco; Miranda, Gonzalo; Olavarria, Christian; Madrid, Sofia; Munoz, Daniel; Leiva, Miguel; Lopez, Lorena; Bortnem, Cori</t>
  </si>
  <si>
    <t>Computerized Tomography Measures During and After Artificial Lengthening of the Vocal Tract in Subjects With Voice Disorders</t>
  </si>
  <si>
    <t>JOURNAL OF VOICE</t>
  </si>
  <si>
    <t>Purpose. The present study aimed to observe the effect of two types of tubes on vocal tract bidimensional and tridimensional images. Methods. Ten participants with hyperfunctional dysphonia were included. Computerized tomography was performed during production of sustained [a:], followed by sustained phonation into a drinking straw, and then repetition of sustained [a:]. A similar procedure was performed with a stirring straw after 15 minutes of vocal rest. Anatomic distances and area measures were obtained from computerized tomography midsagittal and transversal images. Vocal tract total volume was also calculated. Results. During tube phonation, increases were measured in the vertical length of the vocal tract, oropharyngeal area, hypopharyngeal area, outlet of the epilaryngeal tube, and inlet to the lower pharynx. Also, the larynx was lower, and more closure was noted between the velum and the nasal passage. Conclusion. Tube phonation causes an increased total vocal tract volume, mostly because of the increased cross-sectional areas in the pharyngeal region. This change is more prominent when the tube offers more airflow resistance (stirring straw) compared with less airflow resistance (drinking straw). Based on our data and previous studies, it seems that vocal tract changes are not dependent on the voice condition (vocally trained, untrained, or disordered voices), but on the exercise itself and the type of instructions given to subjects. Tube phonation is a good option to reach therapeutic goals (eg, wide pharynx and low larynx) without giving biomechanical instructions, but only asking patients to feel easy voice and vibratory sensations.</t>
  </si>
  <si>
    <t>López, Lorena/IQU-4028-2023; Munoz, Daniel/IXD-6516-2023</t>
  </si>
  <si>
    <t>0892-1997</t>
  </si>
  <si>
    <t>1873-4588</t>
  </si>
  <si>
    <t>124.e1</t>
  </si>
  <si>
    <t>10.1016/j.jvoice.2016.01.003</t>
  </si>
  <si>
    <t>WOS:000392619900057</t>
  </si>
  <si>
    <t>Ispolatov, I; Madhok, V; Doebeli, M</t>
  </si>
  <si>
    <t>Ispolatov, Iaroslav; Madhok, Vaibhav; Doebeli, Michael</t>
  </si>
  <si>
    <t>Individual-based models for adaptive diversification in high-dimensional phenotype spaces</t>
  </si>
  <si>
    <t>JOURNAL OF THEORETICAL BIOLOGY</t>
  </si>
  <si>
    <t>Most theories of evolutionary diversification are based on equilibrium assumptions: they are either based on optimality arguments involving static fitness landscapes, or they assume that populations first evolve to an equilibrium state before diversification occurs, as exemplified by the concept of evolutionary branching points in adaptive dynamics theory. Recent results indicate that adaptive dynamics may often not converge to equilibrium points and instead generate complicated trajectories if evolution takes place in high-dimensional phenotype spaces. Even though some analytical results on diversification in complex phenotype spaces are available, to study this problem in general we need to reconstruct individual-based models from the adaptive dynamics generating the non-equilibrium dynamics. Here we first provide a method to construct individual-based models such that they faithfully reproduce the given adaptive dynamics attractor without diversification. We then show that a propensity to diversify can be introduced by adding Gaussian competition terms that generate frequency dependence while still preserving the same adaptive dynamics. For sufficiently strong competition, the disruptive selection generated by frequency-dependence overcomes the directional evolution along the selection gradient and leads to diversification in phenotypic directions that are orthogonal to the selection gradient. (C) 2015 Elsevier Ltd. All rights reserved.</t>
  </si>
  <si>
    <t>Ispolatov, Iaroslav/E-8544-2010</t>
  </si>
  <si>
    <t>Ispolatov, Iaroslav/0000-0002-0201-3396</t>
  </si>
  <si>
    <t>0022-5193</t>
  </si>
  <si>
    <t>1095-8541</t>
  </si>
  <si>
    <t>FEB 7</t>
  </si>
  <si>
    <t>10.1016/j.jtbi.2015.10.009</t>
  </si>
  <si>
    <t>WOS:000367770400010</t>
  </si>
  <si>
    <t>Cárcamo, M; Rannou, FR; Román, PE; Moral, V; Casassus, S</t>
  </si>
  <si>
    <t>Carcamo, Miguel; Rannou, Fernando R.; Roman, Pablo E.; Moral, Victor; Casassus, Simon</t>
  </si>
  <si>
    <t>High Performance GPU Bayesian Image Synthesis</t>
  </si>
  <si>
    <t>2015 IEEE INTERNATIONAL SYMPOSIUM ON SIGNAL PROCESSING AND INFORMATION TECHNOLOGY (ISSPIT)</t>
  </si>
  <si>
    <t>IEEE International Symposium on Signal Processing and Information Technology</t>
  </si>
  <si>
    <t>IEEE International Symposium on Signal Processing and Information Technology (ISSPIT)</t>
  </si>
  <si>
    <t>DEC 07-10, 2015</t>
  </si>
  <si>
    <t>Abu Dhabi, U ARAB EMIRATES</t>
  </si>
  <si>
    <t>ALMA is a revolutionary instrument in its scientific concept, its engineering design and its organisation as a global effort. ALMA and new incoming radio-telescopes delivery big amounts of data that are useful to the sky image reconstruction. In this context, MEM is one of the most recognized reconstruction algorithms in radio-interferometry and is based on a Bayesian approach. Our results show that an GPU implementation of this algorithm on a half of and NVIDIA K80 is approximately 100 to 500 times faster than the multi-core implementation.</t>
  </si>
  <si>
    <t>Casassus, Simon/I-8609-2016; Carcamo, Miguel/LEM-3690-2024; Asenjo, Pablo/AAZ-8486-2021; Rannou, Fernando/G-5749-2019</t>
  </si>
  <si>
    <t>Casassus, Simon/0000-0002-0433-9840; Carcamo, Miguel/0000-0003-0564-8167</t>
  </si>
  <si>
    <t>2162-7843</t>
  </si>
  <si>
    <t>978-1-5090-0480-5</t>
  </si>
  <si>
    <t>WOS:000380436100033</t>
  </si>
  <si>
    <t>Galvao, WS; Freire, RM; Ribeiro, TS; Vasconcelos, IF; Costa, LS; Freire, VN; Sales, FAM; Denardin, JC; Fechine, PBA</t>
  </si>
  <si>
    <t>Galvao, W. S.; Freire, R. M.; Ribeiro, T. S.; Vasconcelos, I. F.; Costa, L. S.; Freire, V. N.; Sales, F. A. M.; Denardin, J. C.; Fechine, P. B. A.</t>
  </si>
  <si>
    <t>Cubic superparamagnetic nanoparticles of NiFe2O4 via fast microwave heating</t>
  </si>
  <si>
    <t>JOURNAL OF NANOPARTICLE RESEARCH</t>
  </si>
  <si>
    <t>This study demonstrated the possibility of using microwave heating as a fast and cheap method for synthesizing superparamagnetic nanoparticles. In this sense, NiFe2O4 samples were subjected to microwave heating at various temperatures to determine the lowest temperature at which the crystalline phase of the nanoparticles occurs. X-Ray powder diffraction, Fe-57 Mossbauer spectroscopy, and transmission electron microscopy of the samples were performed to confirm the formed nanoparticles. It was observed a cubic structure of inverse spinel type with good crystallinity. The magnetic properties of the samples were studied using a vibrating sample magnetometer and was found to zero values to remanent magnetization and coercivity field. This behavior suggests superparamagnetic features for all samples. The crystallite size (9, 10, and 12 nm) and saturation magnetization (31-45 emu/g) were used as a function of the increase of the temperature treatment time. Blocking temperature was found by tracing remanent magnetization versus temperature.</t>
  </si>
  <si>
    <t>Denardin, Juliano/S-6407-2019; Costa, Luelc/P-7007-2019; Freire, Valder/D-1136-2013; Sales, Francisco/E-1391-2014; Fechine, Pierre/B-7937-2013; Frota de Vasconcelos, Igor/G-6800-2012; Souza da Costa, Luelc/R-9326-2016</t>
  </si>
  <si>
    <t>Fechine, Pierre/0000-0002-7822-2354; Denardin, Juliano/0000-0002-1373-6207; Freire, Valder/0000-0001-7867-3908; Galvao, Wesley/0000-0001-5364-393X; Frota de Vasconcelos, Igor/0000-0002-6172-805X; Matos Sales, Francisco Adilson/0000-0001-9447-0887; Souza da Costa, Luelc/0000-0002-1831-8602</t>
  </si>
  <si>
    <t>1388-0764</t>
  </si>
  <si>
    <t>1572-896X</t>
  </si>
  <si>
    <t>10.1007/s11051-014-2803-6</t>
  </si>
  <si>
    <t>WOS:000346697000062</t>
  </si>
  <si>
    <t>Villagra, CA; Meza, AA; Urzúa, A</t>
  </si>
  <si>
    <t>Villagra, Cristian A.; Astudillo Meza, Alvaro; Urzua, Alejandro</t>
  </si>
  <si>
    <t>Differences in arthropods found in flowers versus trapped in plant resins on Haplopappus platylepis Phil. (Asteraceae): Can the plant discriminate between pollinators and herbivores?</t>
  </si>
  <si>
    <t>ARTHROPOD-PLANT INTERACTIONS</t>
  </si>
  <si>
    <t>Plants produce secondary metabolites related to ecologically relevant processes. These compounds include surface secretions such as latex, mucilage and resins that help plants face abiotic and biotic environmental threats such as drought, nutrient deficiency, extreme temperatures and UV radiation, as well as herbivory, pathogenic microorganisms and other natural enemies. We studied the resinous coating found on involucral bracts of Haplopappus platylepis Phil. (Asteraceae). This plant belongs to a speciose genus widely distributed in South America (Lane and Hartman in Am J Bot 83:356, 1996). H. platylepis is characterized by resinous fragrant leaves. In this species, resins cover the involucral bracts as well as young leaves and are also secreted on reproductive stalks in smaller amounts. We carried out chemical analysis and natural history observations in order to identify whether arthropods caught in inflorescence resin differed from the ones freely visiting floral disks. Regarding bracteal adhesive's chemistry, we identified a mixture of diterpenoids and flavonoids; these compounds form a dense surface resin layer, especially over inflorescence's bracts. In relation to associated arthropods, we found a marked difference in the main organisms captured by bracteal resin compared to insects we observed foraging on disk florets; Arthrobracus (Coleoptera: Melyridae) and Linepithema (Hymenoptera: Formicidae) were the predominant insects trapped in resin'', while Diadasia (Hymenoptera: Apidae) was the most frequent floral visitor''. We propose that bracteal resin of H. platylepis may function as a selective trap for non-mutualistic insects reaching reproductive structures of this plant and discuss other multiple possible roles for this secretion, including protocarnivory.</t>
  </si>
  <si>
    <t>Villagra, Cristian/0000-0002-6921-597X; Urzua, Alejandro/0000-0003-2638-0921</t>
  </si>
  <si>
    <t>1872-8855</t>
  </si>
  <si>
    <t>1872-8847</t>
  </si>
  <si>
    <t>10.1007/s11829-014-9328-x</t>
  </si>
  <si>
    <t>WOS:000344733300005</t>
  </si>
  <si>
    <t>Interstitial gas effect on vibrated granular columns</t>
  </si>
  <si>
    <t>Vibrated granular materials have been intensively used to investigate particle segregation, convection, and heaping. We report on the behavior of a column of heavy grains bouncing on an oscillating solid surface. Measurements indicate that, for weak effects of the interstitial gas, the temporal variations of the pressure at the base of the column are satisfactorily described by considering that the column, despite the observed dilation, behaves like a porous solid. In addition, direct observation of the column dynamics shows that the grains of the upper and lower surfaces are in free fall in the gravitational field and that the dilation is due to a small delay between their takeoff times.</t>
  </si>
  <si>
    <t>Melo, Francisco/M-3923-2014; Pastenes, Javier/M-4205-2019; Pastenes, Javier/G-6888-2019</t>
  </si>
  <si>
    <t>JUN 16</t>
  </si>
  <si>
    <t>10.1103/PhysRevE.89.062205</t>
  </si>
  <si>
    <t>WOS:000337733900003</t>
  </si>
  <si>
    <t>Allende, S; Retamal, JC; Altbir, D; d'Albuquerque e Castro, J</t>
  </si>
  <si>
    <t>Allende, S.; Retamal, J. C.; Altbir, D.; d'Albuquerque e Castro, J.</t>
  </si>
  <si>
    <t>Domain wall magnetoresistance in nanowires: Dependence on geometrical factors and material parameters</t>
  </si>
  <si>
    <t>The magnetoresistance associated with the presence of domain walls in metallic nanowires is investigated as a function of geometrical parameters, corresponding to the wall thickness and the nanowire width, as well as of material parameters, such as the band filling and the exchange interaction. Transport across the structure is described within Landauer formalism. Both cases of saturated and non-saturated ferromagnets are considered, and in all of them the contributions from spin-flip and non-spin-flip are separately analyzed. It has been found that for certain range of parameters deviations in the normalized magnetoresistance as high as 20% may be achieved. In addition, it has been shown that the spin-flip process is dependent On the wall thickness. (C) 2013 Elsevier B.V. All rights reserved.</t>
  </si>
  <si>
    <t>Retamal, Juan/G-6425-2010; Altbir, Dora/R-6781-2018</t>
  </si>
  <si>
    <t>Altbir, Dora/0000-0002-2945-4909; Retamal Abarzua, Juan Carlos/0000-0002-7174-7879</t>
  </si>
  <si>
    <t>10.1016/j.jmmm.2013.11.034</t>
  </si>
  <si>
    <t>WOS:000330194600031</t>
  </si>
  <si>
    <t>Laich, F; Vaca, I; Chávez, R</t>
  </si>
  <si>
    <t>Laich, Federico; Vaca, Inmaculada; Chavez, Renato</t>
  </si>
  <si>
    <t>Rhodotorula portillonensis sp nov., a basidiomycetous yeast isolated from Antarctic shallow-water marine sediment</t>
  </si>
  <si>
    <t>INTERNATIONAL JOURNAL OF SYSTEMATIC AND EVOLUTIONARY MICROBIOLOGY</t>
  </si>
  <si>
    <t>During the characterization of the mycobiota associated with shallow-water marine environments from Antarctic sea, a novel pink yeast species was isolated. Sequence analysis of the D1/D2 domain of the LSU rDNA gene and 5.8S-ITS regions revealed that the isolated yeast was closely related to Rhodotorula pallida CBS 320(T) and Rhodotorula benthica CBS 9124(T). On the basis of morphological, biochemical and physiological characterization and phylogenetic analyses, a novel basidiomycetous yeast species, Rhodotorula portillonensis sp. nov., is proposed. The type strain is Pi2(T) (=CBS 12733(T) =CECT 13081(T)) which was isolated from shallow-water marine sediment in Fildes Bay, King George Island, Antarctica.</t>
  </si>
  <si>
    <t>; Vaca, Inmaculada/I-2758-2013</t>
  </si>
  <si>
    <t>Chavez, Renato/0000-0003-1754-3610; Vaca, Inmaculada/0000-0002-8952-9036; Laich, Federico Salvador/0000-0002-4530-7474</t>
  </si>
  <si>
    <t>1466-5026</t>
  </si>
  <si>
    <t>1466-5034</t>
  </si>
  <si>
    <t>10.1099/ijs.0.052753-0</t>
  </si>
  <si>
    <t>WOS:000327910200056</t>
  </si>
  <si>
    <t>Rozas-Fernández, A; Brizuela, D; Cruz, N</t>
  </si>
  <si>
    <t>Rozas-Fernandez, Alberto; Brizuela, David; Cruz, Norman</t>
  </si>
  <si>
    <t>INTERACTING HOLOGRAPHIC TACHYON MODEL OF DARK ENERGY</t>
  </si>
  <si>
    <t>INTERNATIONAL JOURNAL OF MODERN PHYSICS D</t>
  </si>
  <si>
    <t>We propose a holographic tachyon model of dark energy with interaction between the components of the dark sector. The correspondence between the tachyon field and the holographic dark energy densities allows the reconstruction of the potential and the dynamics of the tachyon scalar field in a flat Friedmann-Robertson-Walker universe. We show that this model can describe the observed accelerated expansion of our universe with a parameter space given by the most recent observational results.</t>
  </si>
  <si>
    <t>Rozas-Fernandez, Alberto/0000-0002-6131-2804; Brizuela, David/0000-0002-8009-5518</t>
  </si>
  <si>
    <t>0218-2718</t>
  </si>
  <si>
    <t>1793-6594</t>
  </si>
  <si>
    <t>10.1142/S0218271810016580</t>
  </si>
  <si>
    <t>WOS:000278700000005</t>
  </si>
  <si>
    <t>Casanova-Katny, MA; Zúñiga, GE; Corcuera, LJ; Bravo, L; Alberdi, M</t>
  </si>
  <si>
    <t>Angelica Casanova-Katny, M.; Zuniga, Gustavo E.; Corcuera, Luis J.; Bravo, Leon; Alberdi, Miren</t>
  </si>
  <si>
    <t>Deschampsia antarctica Desv. primary photochemistry performs differently in plants grown in the field and laboratory</t>
  </si>
  <si>
    <t>POLAR BIOLOGY</t>
  </si>
  <si>
    <t>Primary photochemistry of photosystem II (F (v)/F (m)) of the Antarctic hair grass Deschampsia antarctica growing in the field (Robert Island, Maritime Antarctic) and in the laboratory was studied. Laboratory plants were grown at a photosynthetic photon flux density (PPFD) of 180 mu mol m(-2) s(-1) and an optimal temperature (13 +/- A 1.5A degrees C) for net photosynthesis. Subsequently, two groups of plants were exposed to low temperature (4 +/- A 1.5A degrees C day/night) under two levels of PPFD (180 and 800 mu mol m(-2) s(-1)) and a control group was kept at 13 +/- A 1.5A degrees C and PPFD of 800 mu mol m(-2) s(-1). Chlorophyll fluorescence was measured during several days in field plants and weekly in the laboratory plants. Statistically significant differences were found in F (v)/F (m) (=0.75-0.83), F (0) and F (m) values of field plants over the measurement period between days with contrasting irradiances and temperature levels, suggesting that plants in the field show high photosynthetic efficiency. Laboratory plants under controlled conditions and exposed to low temperature under two light conditions showed significantly lower F (v)/F (m) and F (m). Moreover, they presented significantly less chlorophyll and carotenoid content than field plants. The differences in the performance of the photosynthetic apparatus between field- and laboratory-grown plants indicate that measurements performed in ex situ plants should be interpreted with caution.</t>
  </si>
  <si>
    <t>Zuñiga, Gustavo/P-8306-2015; Corcuera, Luis/G-1714-2014; Casanova-Katny, Angelica/M-3994-2014; Bravo, Leon/H-9251-2018</t>
  </si>
  <si>
    <t>Bravo, Leon/0000-0003-4705-4842; Zuniga, Gustavo/0000-0002-8286-9468</t>
  </si>
  <si>
    <t>0722-4060</t>
  </si>
  <si>
    <t>10.1007/s00300-009-0723-1</t>
  </si>
  <si>
    <t>WOS:000275750100006</t>
  </si>
  <si>
    <t>Rubio, MA; Fuenzalida, I; Salinas, E; Lissi, E; Kurtenbach, R; Wiesen, P</t>
  </si>
  <si>
    <t>Rubio, Maria A.; Fuenzalida, Irene; Salinas, Elizabeth; Lissi, Eduardo; Kurtenbach, Ralf; Wiesen, Peter</t>
  </si>
  <si>
    <t>Carbon monoxide and carbon dioxide concentrations in Santiago de Chile associated with traffic emissions</t>
  </si>
  <si>
    <t>ENVIRONMENTAL MONITORING AND ASSESSMENT</t>
  </si>
  <si>
    <t>CO/CO(2) ratios have been measured in different locations of Santiago de Chile city. Measurements were carried out in a tunnel (prevailing emissions from cars with catalytic converter) and close to heavy traffic streets. Concentrations measured along the city traffic tunnel or temporal profiles of concentrations measured near heavy traffic streets allow an estimation of CO/CO(2) ratios emitted from mobile sources. Values obtained range from 0.0045 +/- 0.0006 to 0.0100 +/- 0.0004 and depend on the prevailing type of mobile sources. In particular, lowest values were found close to a street with heavy traffic dominated by diesel-powered public transportation, while the highest values were found at the city tunnel. Places located near streets of mixed mobile sources (public buses and cars) showed intermediate values. Average CO/CO(2) ratios are compatible with emission factors proposed for Santiago's main mobile sources.</t>
  </si>
  <si>
    <t>Bajo, Maria/ABF-6991-2020; Rebolledo, Elizabeth/K-6620-2019</t>
  </si>
  <si>
    <t>0167-6369</t>
  </si>
  <si>
    <t>MAR</t>
  </si>
  <si>
    <t>1-4</t>
  </si>
  <si>
    <t>10.1007/s10661-009-0789-9</t>
  </si>
  <si>
    <t>WOS:000274331700019</t>
  </si>
  <si>
    <t>Chistokhin, IB; Pchelyakov, OP; Tishkovsky, EG; Obodnikov, VI; Maksimov, VV; Ivanov, AA; Gramsch, E</t>
  </si>
  <si>
    <t>Valiev, KA; Orlikovsky, AA</t>
  </si>
  <si>
    <t>Chistokhin, I. B.; Pchelyakov, O. P.; Tishkovsky, E. G.; Obodnikov, V. I.; Maksimov, V. V.; Ivanov, A. A.; Gramsch, E.</t>
  </si>
  <si>
    <t>Silicon avalanche photodiodes for particle detection</t>
  </si>
  <si>
    <t>MICRO- AND NANOELECTRONICS 2007</t>
  </si>
  <si>
    <t>Proceedings of SPIE</t>
  </si>
  <si>
    <t>Micro- and Nanoelectronics 2007 Conference</t>
  </si>
  <si>
    <t>OCT 01-05, 2007</t>
  </si>
  <si>
    <t>Zvenigorod, RUSSIA</t>
  </si>
  <si>
    <t>FTIAN,SPIE Russia Chapter,Russian Fdn Basic Res,Minist Educ &amp; Sci Russian Federat,Intel,Tokyo Electron Corp, US Holding,Brewer Sci Co,Carl Zeiss AG,FEI Co,NT MDT Co,Nix Co</t>
  </si>
  <si>
    <t>The junction termination extension (JTE) avalanche photodiode (APD) with a ring structure around the active area was built with the use of planar technology processing of float zone silicon doped by neutron transmutation. The main junction and JTE structure have been processed simultaneously, by one implantation step followed by annealing. To set a difference in the doping levels of silicon in the main junction and in the ring structure, the single oxide mask was developed with openings gradually patterned on planar surface. To provide a contact with low resistivity the surface of the main junction was covered by a thin silicon p(+)-layer, grown with MBE (molecular beam epitaxy). The thickness of this dead layer no more than 100 nm was obtained. As have been found, the dark current is strongly dependent on the implanted dose, decreasing with decreasing dose from 5x10(12) to 2x10(12) cm(-2). The detectors built with the lowest dose only have the level of dark currents suitable for the measurement of the gain resulted from carrier multiplication. The gain up to 25 was obtained for visible light (lambda=600 nm) and up to 7x10(3) for single 2.5 MeV alpha-particles. For 4.3 MeV alpha-particles the best energy resolution of 330 keV FWHM was obtained. For 22.16 keV x-ray from a Cd-109 source the resolution of 4.7 keV FWHM have been measured, which corresponds to 560 rms electrons noise.</t>
  </si>
  <si>
    <t>Pchelyakov, Oleg/O-6713-2014; Gramsch, Ernesto/M-5507-2017; Chistokhin, Igor/J-9145-2018; Ivanov, Aleksandr/S-3116-2017</t>
  </si>
  <si>
    <t>Ivanov, Alexander/0000-0002-6002-7868</t>
  </si>
  <si>
    <t>0277-786X</t>
  </si>
  <si>
    <t>1996-756X</t>
  </si>
  <si>
    <t>978-0-8194-7238-0</t>
  </si>
  <si>
    <t>70250L</t>
  </si>
  <si>
    <t>10.1117/12.802411</t>
  </si>
  <si>
    <t>WOS:000259055900020</t>
  </si>
  <si>
    <t>Alvarez, PD; Gomis, J; Kamimura, K; Plyushchay, MS</t>
  </si>
  <si>
    <t>Alvarez, Pedro D.; Gomis, Joaquim; Kamimura, Kiyoshi; Plyushchay, Mikhail S.</t>
  </si>
  <si>
    <t>(2+1)D exotic Newton-Hooke symmetry, duality and projective phase</t>
  </si>
  <si>
    <t>ANNALS OF PHYSICS</t>
  </si>
  <si>
    <t>A particle system with a (2 + 1)D exotic Newton-Hooke symmetry is constructed by the method of nonlinear realization. It has three essentially different phases depending on the values of the two central charges. The subcritical and supercritical phases (describing 2D isotropic ordinary and exotic oscillators) are separated by the critical phase (one-mode oscillator), and are related by a duality transformation. In the flat limit, the system transforms into a free Galilean exotic particle on the noncommutative plane. The wave equations carrying projective representations of the exotic Newton-Hooke symmetry are constructed. (C) 2007 Elsevier Inc. All rights reserved.</t>
  </si>
  <si>
    <t>Gomis, Joaquim/N-7360-2018</t>
  </si>
  <si>
    <t>Gomis Torne, Joaquim/0000-0002-8706-2989; Alvarez, Pedro/0000-0001-8757-1700</t>
  </si>
  <si>
    <t>0003-4916</t>
  </si>
  <si>
    <t>1096-035X</t>
  </si>
  <si>
    <t>10.1016/j.aop.2007.03.002</t>
  </si>
  <si>
    <t>WOS:000248197100005</t>
  </si>
  <si>
    <t>Muena, JP; Villagran, M; Lappin, G; Ferraudi, GJ; Costamagna, JA</t>
  </si>
  <si>
    <t>Muena, Juan P.; Villagran, Manuel; Lappin, Graham; Ferraudi, Guillermo J.; Costamagna, Juan A.</t>
  </si>
  <si>
    <t>On the mechanism of transition metal dinaphthotetraaza[14]annulene-catalyzed reduction of SO32-</t>
  </si>
  <si>
    <t>ABSTRACTS OF PAPERS OF THE AMERICAN CHEMICAL SOCIETY</t>
  </si>
  <si>
    <t>233rd National Meeting of the Cellulose-and-Renewable-Materials-Division of the American-Chemical-Society (ACS)</t>
  </si>
  <si>
    <t>MAR 25-29, 2007</t>
  </si>
  <si>
    <t>Chicago, IL</t>
  </si>
  <si>
    <t>Amer Chem Soc (ACS), Cellulose &amp; Renewable Mat Div</t>
  </si>
  <si>
    <t>0065-7727</t>
  </si>
  <si>
    <t>MAR 25</t>
  </si>
  <si>
    <t>607-INOR</t>
  </si>
  <si>
    <t>WOS:000207722805557</t>
  </si>
  <si>
    <t>Speisky, H; Rocco, C; Carrasco, C; Lissi, EA; López-Alarcón, C</t>
  </si>
  <si>
    <t>Speisky, Hernan; Rocco, Claudia; Carrasco, Catalina; Lissi, Eduardo A.; Lopez-Alarcon, Camilo</t>
  </si>
  <si>
    <t>Antioxidant screening of medicinal herbal teas</t>
  </si>
  <si>
    <t>PHYTOTHERAPY RESEARCH</t>
  </si>
  <si>
    <t>Herbal tea consumption is deeply and widely rooted amongst South-American populations. In view of the involvement of oxygen- and nitrogen-reactive species in the ethiogenesis of several diseases, the antioxidant properties of some of the herbal teas most commonly consumed in the southern regions was assessed in vitro. Around one-third of the 13 examined herbs, displayed a substantially higher ability to scavenge ABTS' radicals (TEAC assay), and to quench the pro-oxidant species, hypochlorite (HCIO) and peroxynitrite (ONOO-). Amongst the tested herbs, teas prepared from Haplopappus baylahuen, Rosa moschata and Peumus boldus showed the highest TEAC and HCIO-quenching activities. These herbs were around 5- to 7-fold more potent than the least active herbs. Based on the TEAC assay, 150 mL of tea prepared from H. baylahuen, R. moschata and P. boldus would be equivalent to around 200 mg of Trolox (R). Teas from H. baylahuen and P. boldus were also found to be particularly potent in quenching HCIO. In the ONOO- assay, H. baylahuen and Buddleia globosa showed the highest activities. The results obtained suggest that the regular consumption of teas prepared from some of these herbs may be useful potentially to provide the organism with molecules capable of protecting the gastrointestinal tract against certain pathologically relevant oxidant species. Copyright (c) 2006 John Wiley &amp; Sons, Ltd.</t>
  </si>
  <si>
    <t>SPEISKY, HERNAN/E-6146-2013; Lopez, Camilo/J-5770-2013; Carrasco-Pozo, Catalina/I-7480-2016</t>
  </si>
  <si>
    <t>Lopez, Camilo/0000-0002-0174-8972; Carrasco-Pozo, Catalina/0000-0002-2029-2114</t>
  </si>
  <si>
    <t>0951-418X</t>
  </si>
  <si>
    <t>1099-1573</t>
  </si>
  <si>
    <t>10.1002/ptr.1878</t>
  </si>
  <si>
    <t>WOS:000238370200007</t>
  </si>
  <si>
    <t>Bridi, R; Braun, CA; Zorzi, GK; Wannmacher, CMD; Wajner, M; Lissi, EG; Dutra, CS</t>
  </si>
  <si>
    <t>α-keto acids accumulating in maple syrup urine disease stimulate lipid peroxidation and reduce antioxidant defences in cerebral cortex from young rats</t>
  </si>
  <si>
    <t>METABOLIC BRAIN DISEASE</t>
  </si>
  <si>
    <t>Maple syrup urine disease (MSUD) is an inherited neurometabolic disorder caused by deficiency of branched-chain alpha-keto acid dehydrogenase complex activity which leads to tissue accumulation of the branched-chain alpha-keto acids (BCKAs) alpha-ketoisocaproic acid (KIC), alpha-ketoisovaleric acid (KIV) and alpha-keto-beta-methylvaleric acid (KMV) and their respective amino acids. Neuropathologic findings characteristic of the disease are cerebral edema and atrophy, whose pathophysiology is poorly known. In the present study, we investigated the in vitro effect of BCKAs on various parameters of oxidative stress, namely chemiluminescence (CL), thiobarbituric acid-reactive substances (TBA-RS), total radical-trapping antioxidant potential (TRAP), total antioxidant reactivity (TAR), and the activities of the antioxidant enzymes catalase (CAT), glutathione peroxidase (GPx), and superoxide dismutase (SOD) in cerebral cortex of 30-day-old rats. The major effects observed were with KIC, which significantly increased CL and TBA-RS measurements, decreased TRAP and TAR values, and markedly inhibited GPx activity. KMV and KIV increased CL and decreased TRAP and TAR values. In contrast, these compounds did not affect CAT and SOD activities. Taken together, it was shown that: the BCKAs studied stimulated lipid peroxidation and reduced the brain antioxidant defences, suggesting an increased production of free radicals. In case the in vitro effects here detected also occur in vivo in MSUD, it can be presumed that oxidative stress might contribute, at least in part, to the brain damage found in the affected patients.</t>
  </si>
  <si>
    <t>Bridi, Raquel/JCN-9916-2023; bridi, raquel/F-1572-2015; Dutra-Filho, Carlos/G-7979-2015; Wajner, Moacir/K-8763-2015</t>
  </si>
  <si>
    <t>bridi, raquel/0000-0002-3891-5770; Dutra-Filho, Carlos/0000-0002-6129-8758; Wajner, Moacir/0000-0001-6372-1807</t>
  </si>
  <si>
    <t>0885-7490</t>
  </si>
  <si>
    <t>1573-7365</t>
  </si>
  <si>
    <t>10.1007/s11011-005-4152-8</t>
  </si>
  <si>
    <t>WOS:000229220000006</t>
  </si>
  <si>
    <t>Alvarez, C; Pazos, IF; Lanio, ME; Martinez, D; Schreier, S; Casallanovo, F; Campos, AM; Lissi, E</t>
  </si>
  <si>
    <t>Effect of pH on the conformation, interaction with membranes and hemolytic activity of sticholysin II, a pore forming cytolysin from the sea anemone Stichodactyla helianthus</t>
  </si>
  <si>
    <t>TOXICON</t>
  </si>
  <si>
    <t>Sticholysin II (St II) is a pore forming cytolysin obtained from the sea anemone Stichodactyla helianthus. Incubation of diluted St II solutions at different pHs (ranging from 2.0 to 12) slightly changes the secondary structure of the protein. These changes are particularly manifested at high pH. Similarly, the intrinsic fluorescence of the protein indicates a progressive opening of the protein structure when the pH increases from acidic (2.0) to basic (12). These modifications are only partially reversible and do not produce any significant increase in the small capacity of the protein to bind hydrophobic dyes (ANS or Prodan). Experiments carried out with model membranes show a reduced capacity of binding to egg phosphatidyl choline:sphingomyelin (1:1) liposomes both at low (2.3) and high (11.5) pH. Preincubation of the protein in the 2.5-9.0 pH range does not modify its hemolytic activity, measured in human red blood cells at pH 7.4. On the other hand, preincubation at pH 11.5 drastically reduces the hemolytic activity of the toxin. This strong reduction takes place without measurable modification of the toxin ability to be adsorbed to the red blood cell surface. This indicates that preincubation at high pH irreversibly reduces the capacity of the toxin to form pores without a significant decrease in its binding capacity. The present results suggest that at pH greater than or equal to 10 St II experiences irreversible conformational changes that notably reduce its biological activity. This reduced biological activity is associated with a partial defolding of the protein, which seems to contradict what is expected in terms of a molten globule formalism. (C) 2000 Elsevier Science Ltd. All rights reserved.</t>
  </si>
  <si>
    <t>Casallanovo, Fabio/AHE-5422-2022; Campos Staffico, Alessandra/IOK-4172-2023; Schreier, Shirley/F-7001-2014</t>
  </si>
  <si>
    <t>Fabiola, Isabel/0000-0002-9502-2186</t>
  </si>
  <si>
    <t>0041-0101</t>
  </si>
  <si>
    <t>10.1016/S0041-0101(00)00166-5</t>
  </si>
  <si>
    <t>WOS:000090096000010</t>
  </si>
  <si>
    <t>Canales, J; Ramirez, J; Estiu, G; Costamagna, J</t>
  </si>
  <si>
    <t>Bis-bipyridine hexa-aza-macrocycle complexes of zinc(II) and nickel(II) and the catalytic reduction of carbon dioxide</t>
  </si>
  <si>
    <t>POLYHEDRON</t>
  </si>
  <si>
    <t>Aza-macrocyclic complexes have gained importance in catalysis for the activation of small molecules, like carbon dioxide. Bis-bipyridine hexa-aza-macrocycles efficiently co-ordinate as a tetradentate ligand, to give complexes of Zn(II), Ni(II) and other transition metal ions that are essentially planar. Spectroscopic, electrochemical and chemical characterizations of these systems are presented in this article. Electrochemical studies performed in a carbon dioxide atmosphere render preliminary information about its electrocatalytical reduction. Quantum chemical calculations are used to understand the origin of the manifested properties of both the ligands and the metal complexes. They show, in this case, the importance of delocalized pi interactions, which are responsible for their different structural and electronic characteristics in protic and non-protic media. (C) 3000 Elsevier Science B.V. All rights reserved.</t>
  </si>
  <si>
    <t>Canales Villalobos, Juan Carlos/0009-0006-3215-4997</t>
  </si>
  <si>
    <t>0277-5387</t>
  </si>
  <si>
    <t>22-23</t>
  </si>
  <si>
    <t>10.1016/S0277-5387(00)00574-X</t>
  </si>
  <si>
    <t>WOS:000166064800019</t>
  </si>
  <si>
    <t>Aros, R; Contreras, M; Olea, R; Troncoso, R; Zanelli, J</t>
  </si>
  <si>
    <t>Conserved charges for gravity with locally anti-de Sitter asymptotics</t>
  </si>
  <si>
    <t>PHYSICAL REVIEW LETTERS</t>
  </si>
  <si>
    <t>A new formula for the conserved charges in 3 + 1 gravity for spacetimes with local anti-de Sitter asymptotic geometry is proposed. It is shown that requiring the action to have an extremum for this class of asymptotia sets the boundary term that must be added to the Lagrangian as the Euler density with a fixed weight factor. The resulting action gives rise to the mass and angular momentum as Noether charges associated to the asymptotic Killing vectors without requiring specification of a reference background in order to have a convergent expression. A consequence of this definition is that any negative constant curvature spacetime has vanishing Noether charges, These results remain valid in the Lambda = 0 limit.</t>
  </si>
  <si>
    <t>Troncoso, Ricardo/H-5051-2013; Olea, Rodrigo/C-6250-2009</t>
  </si>
  <si>
    <t>Olea, Rodrigo/0000-0003-4996-5877; Contreras, Mauricio/0000-0001-6132-8032; Aros, Rod/0000-0001-5337-1153; Troncoso, Ricardo/0000-0003-3659-1140</t>
  </si>
  <si>
    <t>0031-9007</t>
  </si>
  <si>
    <t>FEB 21</t>
  </si>
  <si>
    <t>10.1103/PhysRevLett.84.1647</t>
  </si>
  <si>
    <t>WOS:000085383500003</t>
  </si>
  <si>
    <t>Krautwurst, H; Bazaes, S; Frey, PA; Cardemil, E</t>
  </si>
  <si>
    <t>Site-directed mutations of the strongly conserved lysine 256 of Saccharomyces cerevisiae phosphoenolpyruvate carboxykinase</t>
  </si>
  <si>
    <t>FASEB JOURNAL</t>
  </si>
  <si>
    <t>0892-6638</t>
  </si>
  <si>
    <t>JUL 31</t>
  </si>
  <si>
    <t>S</t>
  </si>
  <si>
    <t>A1137</t>
  </si>
  <si>
    <t>WOS:000073305602120</t>
  </si>
  <si>
    <t>Corgini, M; Sankovich, DP</t>
  </si>
  <si>
    <t>The infrared bounds method in the study of boson systems</t>
  </si>
  <si>
    <t>THEORETICAL AND MATHEMATICAL PHYSICS</t>
  </si>
  <si>
    <t>This is a study of the equilibrium thermodynamics of a lattice boson gas with on-site repulsion and nearest-neighbor sate attraction. For this system, the existence of a Bose condensate is proved and an equation for the lower estimate of the critical temperature is obtained. Moreover, the upper and lower bounds for the structure factor are derived. Finally, in the framework of the infrared bounds method, a Huang-Davies-type Bose system is studied.</t>
  </si>
  <si>
    <t>Sankovich, Dmitry/Q-3309-2016</t>
  </si>
  <si>
    <t>0040-5779</t>
  </si>
  <si>
    <t>10.1007/BF02070245</t>
  </si>
  <si>
    <t>WOS:A1996XE83400006</t>
  </si>
  <si>
    <t>ZAGAL, J; PAEZ, M; TANAKA, AA; DOSSANTOS, JR; LINKOUS, CA</t>
  </si>
  <si>
    <t>ELECTROCATALYTIC ACTIVITY OF METAL PHTHALOCYANINES FOR OXYGEN REDUCTION</t>
  </si>
  <si>
    <t>JOURNAL OF ELECTROANALYTICAL CHEMISTRY</t>
  </si>
  <si>
    <t>A comparative study of the electrocatalytic activity of metallophthalocyanines for O2 reduction in alkaline and acid media was conducted using H2Pc, VOTsPc, CrTsPc, MnTsPc, MnPc, FeTsPc, FePc, FeMeOPc, CoTsPc, CoPc, CoMeOPc, CoTnPc and ZnTsPc adsorbed on OPG electrodes. Different electron-transfer mechanisms for O2 reduction were found depending on the position of the M(III)/M(II) redox couples on the potential scale and the onset potential for O2 reduction. Volcano-shaped correlations between the redox potential and the O2 catalytic activity were observed. This has been rationalized on the basis of the redox catalysis concept and in terms of molecular orbital theory considerations.</t>
  </si>
  <si>
    <t>zagal, jose/L-9648-2014; Paez, Maritza/M-2010-2014; Junior, Jose/I-1520-2014; Tanaka, Auro/G-5365-2016</t>
  </si>
  <si>
    <t>Tanaka, Auro/0000-0003-4386-4071; paez, maritza/0000-0001-5881-884X; Santos Junior, Jose Ribeiro/0000-0003-2197-2020</t>
  </si>
  <si>
    <t>1572-6657</t>
  </si>
  <si>
    <t>1873-2569</t>
  </si>
  <si>
    <t>NOV 10</t>
  </si>
  <si>
    <t>10.1016/0022-0728(92)80442-7</t>
  </si>
  <si>
    <t>WOS:A1992JZ18800003</t>
  </si>
  <si>
    <t>YANEZ, E; BALLESTER, D; WUTH, H; ORREGO, W; GATTAS, V; ESTAY, S</t>
  </si>
  <si>
    <t>POTATO FLOUR AS PARTIAL REPLACEMENT OF WHEAT-FLOUR IN BREAD - BAKING STUDIES AND NUTRITIONAL-VALUE OF BREAD CONTAINING GRADED-LEVELS OF POTATO FLOUR</t>
  </si>
  <si>
    <t>JOURNAL OF FOOD TECHNOLOGY</t>
  </si>
  <si>
    <t>0022-1163</t>
  </si>
  <si>
    <t>WOS:A1981LX29900005</t>
  </si>
  <si>
    <t>Camargo, L; Rojasb, S; Vega, P</t>
  </si>
  <si>
    <t>Camargo, Liliana; Rojasb, Sergio; Vega, Patrick</t>
  </si>
  <si>
    <t>Minimum-residual a posteriori error estimates for HDG discretizations of the Helmholtz equation</t>
  </si>
  <si>
    <t>COMPUTER METHODS IN APPLIED MECHANICS AND ENGINEERING</t>
  </si>
  <si>
    <t>We propose and analyze two a posteriori error indicators for hybridizable discontinuous Galerkin (HDG) discretizations of the Helmholtz equation. These indicators are built to minimize the residual associated with a local superconvergent postprocessing scheme for the primal variable, measured in a dual norm of an enlarged discrete test space. The residual minimization is reformulated into equivalent local saddle-point problems, yielding a superconvergent postprocessed approximation of the primal variable in the asymptotic regime for sufficiently regular exact solutions and a built-in residual representation with minimal computational effort. Both error indicators are based on frequency-dependent postprocessing schemes and verify reliability and efficiency estimates for a frequency-weighted H1-error for the scalar unknown and the L2-error for the flux. We illustrate our theoretical findings through ad-hoc numerical experiments.</t>
  </si>
  <si>
    <t>0045-7825</t>
  </si>
  <si>
    <t>1879-2138</t>
  </si>
  <si>
    <t>JUN 1</t>
  </si>
  <si>
    <t>10.1016/j.cma.2025.117981</t>
  </si>
  <si>
    <t>WOS:001476450700001</t>
  </si>
  <si>
    <t>Romero, JO; Castro-Fernández, V; Pérez-Agudelo, E; avila-Salas, F; Mura, F; Salinas, FA</t>
  </si>
  <si>
    <t>Romero, Jefferson O.; Castro-Fernandez, Victor; Perez-Agudelo, Estefania; avila-Salas, Fabian; Mura, Francisco; Arenas Salinas, Felipe</t>
  </si>
  <si>
    <t>Exploring the Potential of Glutathione Reductase Overexpression to Improve Tellurium Nanoparticle Production in Escherichia coli</t>
  </si>
  <si>
    <t>INTERNATIONAL JOURNAL OF MOLECULAR SCIENCES</t>
  </si>
  <si>
    <t>Tellurium nanoparticles (TeNPs) are emerging as valuable materials in various technological and biomedical applications due to their unique physicochemical properties. In general, TeNPs are prepared using chemical methods based on a redox reaction in which strong reducing agents are employed which are often toxic and harmful to the environment. Biological biosynthesis provides a green strategy for substituting the commonly used reducing chemical agents with microorganisms or enzymes. Among the enzymes noted as key players in microbial tellurite reduction, glutathione reductase (GR) has been identified; however, its specific role in enhancing TeNP biosynthesis has yet to be fully elucidated. In this study, we aimed to evaluate the impact of GR overexpression on TeNP production in Escherichia coli (E. coli). For this purpose, four GR enzymes from different microorganisms identified as tellurite resistant were heterogeneously expressed and purified from E. coli. The kinetic parameters for NADPH and oxidized glutathione (GSSG), the native substrates of GR, were determined to evaluate their TR activity under saturated NADPH concentrations. The GR from Pseudomonas lini strain BNF22 presented the highest catalytic efficiency for NADPH and exhibited greater TR activity. This enzyme was overexpressed in E. coli MG1655 (DE3) and cells overexpressing GR increased the yield of TeNPs in those cells, presenting an increased elemental cell tellurium composition. Our results provide valuable insights for the development of engineered E. coli as a platform for TeNP biosynthesis. Using microorganisms as a green strategy for TeNP production, the results of this study highlight the enzymatic mechanisms underlying the role of GR in the biosynthesis of TeNPs.</t>
  </si>
  <si>
    <t>Castro-Fernandez, Victor/K-9621-2018</t>
  </si>
  <si>
    <t>Arenas, Felipe/0000-0001-5604-5919</t>
  </si>
  <si>
    <t>1661-6596</t>
  </si>
  <si>
    <t>1422-0067</t>
  </si>
  <si>
    <t>10.3390/ijms26041549</t>
  </si>
  <si>
    <t>WOS:001430075000001</t>
  </si>
  <si>
    <t>Vilela, TD; Fisberg, M; Ferrari, G; Braga, JAP</t>
  </si>
  <si>
    <t>Vilela, Thiago de Souza; Fisberg, Mauro; Ferrari, Gerson; Braga, Josefina Aparecida Pellegrini</t>
  </si>
  <si>
    <t>Vitamin D deficiency in a pediatric population with sickle cell disease</t>
  </si>
  <si>
    <t>PEDIATRIC HEMATOLOGY AND ONCOLOGY</t>
  </si>
  <si>
    <t>Pediatric patients with sickle cell disease and vitamin D deficiency have worse clinical and laboratory outcomes. This study aims to quantify the prevalence of vitamin D deficiency in this population and identify possible risk factors for hypovitaminosis D by performing a cross-sectional study with children aged 3-18 years old with sickle cell disease. Sixty patients were evaluated, with a mean age of 10.80 + 4.21 years. The prevalence of vitamin D deficiency was 46.7% (21.02 +/- 8.47 ng/mL). Patients were clustered into two groups regarding vitamin D deficiency (25-OH-D &lt; 20 ng/mL). When comparing groups with and without vitamin D deficiency, age (p = 0.002) and season of 25-OH-D collection (p = 0.005) were statistically significant. Age presented OR 1.23 (95% CI: 1.07; 1.41/p = 0.004), as well as the season of the 25-OH-D collection with OR 5.21 (95% CI: 1.58; 17.14/p = 0.007) for autumn/winter assessment. After linear regression, an association was noted for age (beta = -0.80/95% CI: -1.29; -0.320/p = 0.002), days of sun exposure (beta = 0.83/95% CI: 0.07; 1.58/p = 0.032), and autumn/winter vitamin D assessment (beta = -7.94/95% CI: -12.02; -3.85/p = 0.032). In conclusion, hypovitaminosis D is highly prevalent in this population; meanwhile, age, season of 25-OH-D collection, and days of sunlight exposure appeared as risk factors for deficiency.</t>
  </si>
  <si>
    <t>Ferrari, Gerson/HHM-6173-2022; Vilela, Thiago/JBI-9236-2023; Braga, Josefina/AAL-7086-2021; Ferrari, Gerson/P-1152-2014; Fisberg, Mauro/E-7149-2010</t>
  </si>
  <si>
    <t>Ferrari, Gerson/0000-0003-3177-6576; Fisberg, Mauro/0000-0003-2992-3215; de Souza Vilela, Thiago/0000-0001-7145-3427</t>
  </si>
  <si>
    <t>0888-0018</t>
  </si>
  <si>
    <t>1521-0669</t>
  </si>
  <si>
    <t>FEB 17</t>
  </si>
  <si>
    <t>10.1080/08880018.2025.2451843</t>
  </si>
  <si>
    <t>JAN 2025</t>
  </si>
  <si>
    <t>WOS:001398879000001</t>
  </si>
  <si>
    <t>Fernández-Yáñez, V; Ibaceta, V; Torres, A; Vidal, RM; Schneider, I; Schilling, V; Toro, C; Arellano, C; Scavone, P; Muñoz, I; Del Canto, F</t>
  </si>
  <si>
    <t>Fernandez-Yanez, Valentina; Ibaceta, Valentina; Torres, Alexia; Vidal, Roberto M.; Schneider, Isidora; Schilling, Valeria; Toro, Cecilia; Arellano, Carolina; Scavone, Paola; Munoz, Ignacio; Del Canto, Felipe</t>
  </si>
  <si>
    <t>Presence and Role of the Type 3 Fimbria in the Adherence Capacity of Enterobacter hormaechei subsp. hoffmannii</t>
  </si>
  <si>
    <t>MICROORGANISMS</t>
  </si>
  <si>
    <t>Enterobacter hormaechei, one of the species within the Enterobacter cloacae complex, is a relevant agent of healthcare-associated infections. In addition, it has gained relevance because isolates have shown the capacity to resist several antibiotics, particularly carbapenems. However, knowledge regarding colonization and virulence mechanisms of E. hormaechei has not progressed to the same extent as other Enterobacteriaceae species as Escherichia coli or Klebsiella pneumoniae. Here, we describe the presence and role of the type 3 fimbria, a chaperone-usher assembled fimbria, which was first described in Klebsiella spp., and which has been detected in other representatives of the Enterobacteriaceae family. Eight Chilean E. cloacae isolates were examined, and among them, four E. hormaechei isolates were found to produce the type 3 fimbria. These isolates were identified as E. hormaechei subsp. hoffmannii, one of the five subspecies known. A mutant E. hormaechei subsp. hoffmannii strain lacking the mrkA gene, encoding the major structural subunit, displayed a significantly reduced adherence capacity to a plastic surface and to Caco-2 cells, compared to the wild-type strain. This phenotype of reduced adherence capacity was not observed in the mutant strains complemented with the mrkA gene under the control of an inducible promoter. Therefore, these data suggest a role of the type 3 fimbria in the adherence capacity of E. hormaechei subsp. hoffmannii. A screening in E. hormaechei genomes contained in the NCBI RefSeq Assembly database indicated that the overall presence of the type 3 fimbria is uncommon (5.94-7.37%), although genes encoding the structure were detected in representatives of the five E. hormaechei subspecies. Exploration of complete genomes indicates that, in most of the cases, the mrkABCDF locus, encoding the type 3 fimbria, is located in plasmids. Furthermore, sequence types currently found in healthcare-associated infections were found to harbor genes encoding the type 3 fimbria, mainly ST145, ST78, ST118, ST168, ST66, ST93, and ST171. Thus, although the type 3 fimbria is not widespread among the species, it might be a determinant of fitness for a subset of E. hormaechei representatives.</t>
  </si>
  <si>
    <t>Del Canto, Felipe/P-1707-2014; Scavone, Paola/AAR-2956-2020</t>
  </si>
  <si>
    <t>Vidal, Roberto/0000-0003-4223-1985</t>
  </si>
  <si>
    <t>2076-2607</t>
  </si>
  <si>
    <t>10.3390/microorganisms12071441</t>
  </si>
  <si>
    <t>WOS:001278696900001</t>
  </si>
  <si>
    <t>Herrera, F; Litinskaya, M</t>
  </si>
  <si>
    <t>Herrera, Felipe; Litinskaya, Marina</t>
  </si>
  <si>
    <t>Disordered ensembles of strongly coupled single-molecule plasmonic picocavities as nonlinear optical metamaterials</t>
  </si>
  <si>
    <t>JOURNAL OF CHEMICAL PHYSICS</t>
  </si>
  <si>
    <t>We propose to use molecular picocavity ensembles as macroscopic coherent nonlinear optical devices enabled by nanoscale strong coupling. For a generic picocavity model that includes molecular and photonic disorder, we derive theoretical performance bounds for coherent cross-phase modulation signals using weak classical fields of different frequencies. We show that strong coupling of the picocavity vacua with a specific vibronic sideband in the molecular emission spectrum results in a significant variation of the effective refractive index of the metamaterial relative to a molecule-free scenario due to a vacuum-induced Autler-Townes effect. For a realistic molecular disorder model, we demonstrate that cross-phase modulation of optical fields as weak as 10 kW/cm(2) is feasible using dilute ensembles of molecular picocavities at room temperature, provided that the confined vacuum is not resonantly driven by the external probe field. Our work paves the way for the development of plasmonic metamaterials that exploit strong coupling for optical state preparation and quantum control. Published under an exclusive license by AIP Publishing.</t>
  </si>
  <si>
    <t>Herrera, Felipe/KHD-8453-2024</t>
  </si>
  <si>
    <t>Litinskaya, Marina/0000-0002-1285-8763</t>
  </si>
  <si>
    <t>0021-9606</t>
  </si>
  <si>
    <t>1089-7690</t>
  </si>
  <si>
    <t>MAR 21</t>
  </si>
  <si>
    <t>10.1063/5.0080063</t>
  </si>
  <si>
    <t>WOS:000781048500008</t>
  </si>
  <si>
    <t>Caraballo, LE; Pérez-Lantero, P; Seara, C; Ventura, I</t>
  </si>
  <si>
    <t>Caraballo, Luis E.; Perez-Lantero, Pablo; Seara, Carlos; Ventura, Inmaculada</t>
  </si>
  <si>
    <t>ALGORITHMICA</t>
  </si>
  <si>
    <t>Given a finite set of weighted points in R-d (where there can be negative weights), the maximum box problem asks for an axis-aligned rectangle (i.e., box) such that the sum of the weights of the points that it contains is maximized. We consider that each point of the input has a probability of being present in the final random point set, and these events are mutually independent; then, the total weight of a maximum box is a random variable. We aim to compute both the probability that this variable is at least a given parameter, and its expectation. We show that even in d = 1 these computations are #P-hard, and give pseudo-polynomial time algorithms in the case where the weights are integers in a bounded interval. For d = 2, we consider that each point is colored red or blue, where red points have weight +1 and blue points weight -infinity. The random variable is the maximum number of red points that can be covered with a box not containing any blue point. We prove that the above two computations are also #P-hard, and give a polynomial-time algorithm for computing the probability that there is a box containing exactly two red points, no blue point, and a given point of the plane.</t>
  </si>
  <si>
    <t>Seara, Carlos/Z-3370-2019; Ventura, Inmaculada/J-3309-2017; de la Cruz, Luis/H-5236-2015</t>
  </si>
  <si>
    <t>Seara, Carlos/0000-0002-0095-1725</t>
  </si>
  <si>
    <t>0178-4617</t>
  </si>
  <si>
    <t>1432-0541</t>
  </si>
  <si>
    <t>10.1007/s00453-021-00882-z</t>
  </si>
  <si>
    <t>OCT 2021</t>
  </si>
  <si>
    <t>WOS:000712209000003</t>
  </si>
  <si>
    <t>Villarreal, P; Quintrel, PA; Olivares-Munoz, S; Ruiz, JJ; Nespolo, RF; Cubillos, FA</t>
  </si>
  <si>
    <t>Villarreal, Pablo; Quintrel, Pablo A.; Olivares-Munoz, Sebastian; Ruiz, Jose J.; Nespolo, Roberto F.; Cubillos, Francisco A.</t>
  </si>
  <si>
    <t>Identification of new ethanol-tolerant yeast strains with fermentation potential from central Patagonia</t>
  </si>
  <si>
    <t>YEAST</t>
  </si>
  <si>
    <t>The quest for new wild yeasts has increasingly gained attention because of their potential ability to provide unique organoleptic characters to fermented beverages. In this sense, Patagonia offers a wide diversity of ethanol-tolerant yeasts and stands out as a bioprospecting alternative. This study characterized the genetic and phenotypic diversity of yeast isolates obtained from Central Chilean Patagonia and analyzed their fermentation potential under different fermentative conditions. We recovered 125 colonies from Nothofagus spp. bark samples belonging to five yeast species: Saccharomyces eubayanus, Saccharomyces uvarum, Lachancea cidri, Kregervanrija delftensis, and Hanseniaspora valbyensis. High-throughput microcultivation assays demonstrated the extensive phenotypic diversity among Patagonian isolates, where Saccharomyces spp and L. cidri isolates exhibited the most outstanding fitness scores across the conditions tested. Fermentation performance assays under wine, mead, and beer conditions demonstrated the specific potential of the different species for each particular beverage. Saccharomyces spp. were the only isolates able to ferment beer wort. Interestingly, we found that L. cidri is a novel candidate species to ferment wine and mead, exceeding the fermentation capacity of a commercial strain. Unlike commercial strains, we found that L. cidri does not require nutritional supplements for efficient mead fermentation. In addition, L. cidri produces succinic and acetic acids, providing a distinct profile to the final fermented product. This work demonstrates the importance of bioprospecting efforts in Patagonia to isolate novel wild yeast strains with extraordinary biotechnological potential for the fermentation industry.</t>
  </si>
  <si>
    <t>Villarreal, Pablo/N-8921-2019; Cubillos, Francisco/MIT-2389-2025; Nespolo, Roberto/D-5601-2015; Cubillos, Francisco/G-5195-2019</t>
  </si>
  <si>
    <t>Nespolo, Roberto/0000-0003-0825-9618; Cubillos, Francisco/0000-0003-3022-469X; Villarreal, Pablo/0000-0002-2254-0417</t>
  </si>
  <si>
    <t>0749-503X</t>
  </si>
  <si>
    <t>1097-0061</t>
  </si>
  <si>
    <t>SI</t>
  </si>
  <si>
    <t>10.1002/yea.3662</t>
  </si>
  <si>
    <t>SEP 2021</t>
  </si>
  <si>
    <t>WOS:000693914200001</t>
  </si>
  <si>
    <t>Medeiros, EC; Nabarrete, A; Cruchaga, MA; Mendonça, WRP; Mathias, MH</t>
  </si>
  <si>
    <t>Medeiros, Everton C.; Nabarrete, Airton; Cruchaga, Marcela A.; Mendonca, Willy R. P.; Mathias, Mauro H.</t>
  </si>
  <si>
    <t>Numerical and Experimental Evaluation of Hydrodynamic Bearings Applied to a Jeffcott Test Bench</t>
  </si>
  <si>
    <t>INTERNATIONAL JOURNAL OF ACOUSTICS AND VIBRATION</t>
  </si>
  <si>
    <t>Merging analytical and numerical models with experimental results improve the behaviour predictions of mechanical elements applied to rotor machinery, such as the bearings. This work aims to present the design of a hydrodynamic bearing prototype, a comparison and validation between the numerical and experimental results of critical speeds, and the differences of behaviour when the bush geometries and lubrication are changed. The bush geometries and the fluid film properties are analysed by measuring the dynamic behaviour of a rotor supported by these bearings. The experimental evaluation is based on measuring the Jeffcott test bench supported in a pair of bearings, showing the anisotropic behaviour caused by the stiffness difference in horizontal and vertical directions. It also presents an optimization of bushings for isotropic conditions when they were changed for different geometries (elliptical, offset halves) and different materials with boundary lubrication. This detailed study shows how the dynamic behaviour of rotating machinery can be predicted using numerical models and its validation by a test rig. Results also show how the vibration occurs if the bushes geometries are modified or its lubrication condition is changed.</t>
  </si>
  <si>
    <t>mathias, mauro/G-2851-2012; Nabarrete, Airton/L-6296-2015; Coelho de Medeiros, Everton/GPX-6790-2022; Cruchaga, Marcela/M-7522-2014</t>
  </si>
  <si>
    <t>1027-5851</t>
  </si>
  <si>
    <t>10.20855/ijav.2020.25.11732</t>
  </si>
  <si>
    <t>WOS:000631908200010</t>
  </si>
  <si>
    <t>Chen, DM; Martínez, VA; Vasco, DA; Guzmán, AM</t>
  </si>
  <si>
    <t>Chen, Daming; Martinez, Victor A.; Vasco, Diego A.; Guzman, Amador M.</t>
  </si>
  <si>
    <t>Experimental investigation of viscosity, enhanced thermal conductivity and zeta potential of a TiO2 electrolyte - based nanofluid</t>
  </si>
  <si>
    <t>INTERNATIONAL COMMUNICATIONS IN HEAT AND MASS TRANSFER</t>
  </si>
  <si>
    <t>The development of long-time stable nanofluids for practical use in heat transfer processes is a tremendous scientific challenge because nanoparticles tend to precipitate and agglomerate when in a solution, affecting both their thermophysical properties and their stability. This work experimentally investigates the role of the electrorepulse force by electric charges around the nanoparticle, as a way of improving the stability of an electrolytebased nanofluid. Nanofluid samples were prepared in a two-step method, with 1 wt% and 3 wt% concentrations (mass fraction) of titanium oxide (TiO2) nanoparticles added to a base fluid consisting of an electrolyte solution with a different concentration of potassium chloride (KCl) and deionized water. The pH of the base fluid was maintained constant, adding HEPES as a buffering agent. The stable condition of the nanofluid was established when the temporal variation of the thermal conductivity was negligible. When stability was established, the dynamic viscosity, zeta potential and the enhancement of the thermal conductivity were measured under controlled temperatures. Experimental results showed that the stable behavior of the nanofluid was directly influenced by the electric charge around the nanoparticles and the electro-repulse force between the nanoparticles (represented by the zeta potential), producing a consistent and homogenous stable condition for an extended 30day period. Due to the greater number of nanoparticles in the 3 wt% solution, the dynamic viscosity of the nanofluid at 3 wt% was higher than at 1 wt%. It was noted that the addition of the nanoparticles did not affect the Newtonian nature of the fluid (except that it was slightly for higher KCl concentrations) and it produced an increase of a 41.75 +/- 2.4% for 1 wt% and 59.32 +/- 2.1% for 3 wt% of the nanofluid dynamic viscosity, with respect to that of the pure water. Significant enhancement of thermal conductivity enhancement was also obtained, ranging from 0.46 +/- 0.11% to 1.47 +/- 0.12% for the 1 wt%; and, 2.15 +/- 0.11% to 4.7 +/- 0.13% for the 3 wt% of nanoparticles added. This noteworthy improvement was attributed to the higher level of homogeneity of the nanofluid, caused by the high electro-repulse force between nanoparticles. Stable electrolyte-based nanofluids, such as KCl, which increase the electro-repulse forces between nanoparticles, can bolster the application of this type of nanofluid in energy conversion and electronic cooling. Enhanced stability properties (particularly in microchannel heat sinks) give these nanofluids the ability to use electric fields for the fluid motion, rather than traditional pumping devices.</t>
  </si>
  <si>
    <t>Vasco, Diego/Y-2934-2019; Guzman, Amador/F-9260-2013; chen, daming/KIC-9013-2024</t>
  </si>
  <si>
    <t>Vasco, Diego Andres/0000-0001-7456-4683; chen, daming/0000-0001-9008-5412; Martinez, Victor A./0000-0002-1750-8180</t>
  </si>
  <si>
    <t>0735-1933</t>
  </si>
  <si>
    <t>1879-0178</t>
  </si>
  <si>
    <t>10.1016/j.icheatmasstransfer.2020.104840</t>
  </si>
  <si>
    <t>WOS:000589864800026</t>
  </si>
  <si>
    <t>Tamayo, L; Melo, F; Caballero, L; Hamm, E; Díaz, M; Leal, MS; Guiliani, N; Urzúa, MD</t>
  </si>
  <si>
    <t>Tamayo, Laura; Melo, Francisco; Caballero, Leonardo; Hamm, Eugenio; Diaz, M.; Leal, M. S.; Guiliani, N.; Urzua, M. D.</t>
  </si>
  <si>
    <t>Does Bacterial Elasticity Affect Adhesion to Polymer Fibers?</t>
  </si>
  <si>
    <t>ACS APPLIED MATERIALS &amp; INTERFACES</t>
  </si>
  <si>
    <t>The factors governing bacterial adhesion to substrates with different topographies are still not fully identified. The present work seeks to elucidate for the first time and with quantitative data the roles of bacterial elasticity and shape and substrate topography in bacterial adhesion. With this aim, populations of three bacterial species, P. aeruginosa DSM 22644, B. subtilis DSM 10, and S. aureus DSM 20231 adhered on flat substrates covered with electrospun polycaprolactone fibers of different diameters ranging from 0.4 to 5.5 mu m are counted. Populations of bacterial cells are classified according to the preferred binding sites of the bacteria to the substrate. The colloidal probe technique was used to assess the stiffness of the bacteria and bacteria-polymer surface adhesion energy. A theoretical model is developed to interpret the observed populations in terms of a balance between stiffness and adhesion energy of the bacteria. The model, which also incorporates the radius of the fiber and the size and shape of the bacteria, predicts increased adhesion for a low level of stiffness and for a larger number of available bacteria-fiber contact points. Te adhesive propensity of bacteria depends in a nontrivial way on the radius of the fibers due to the random arrangement of fibers.</t>
  </si>
  <si>
    <t>Diaz Trombert, Mauricio/JXX-4543-2024; Melo, Francisco/M-3923-2014; Urzúa, Marcela/E-1429-2014; Guiliani, Nicolas/F-6536-2015; Tamayo, Laura/I-8942-2018; Hamm, Eugenio/A-7927-2013</t>
  </si>
  <si>
    <t>Melo, Francisco Esteban/0000-0001-6818-5476; Urzua Acevedo, Marcela Del Pilar/0000-0002-2371-620X; Guiliani, Nicolas/0000-0002-9950-7316; Tamayo, Laura/0000-0003-1159-5305; Leal, Matias S./0000-0002-7145-1920</t>
  </si>
  <si>
    <t>1944-8244</t>
  </si>
  <si>
    <t>1944-8252</t>
  </si>
  <si>
    <t>10.1021/acsami.9b21060</t>
  </si>
  <si>
    <t>WOS:000526552100095</t>
  </si>
  <si>
    <t>Sánchez-Ramírez, C; Alegre, LM</t>
  </si>
  <si>
    <t>Sanchez-Ramirez, Celso; Alegre, Luis M.</t>
  </si>
  <si>
    <t>Foot Morphological Adaptations Developed After Eight Weeks of Barefoot Running Training</t>
  </si>
  <si>
    <t>Barefoot running has been studied extensively recently, but little is known of the anatomical changes that take place in the foot. The objective of this study was to determine the acute and chronic changes that are produced in subjects who train barefoot. 29 subjects divided into two groups, Barefoot (BFGr) (n=17) and Shod (SGr) (n=12), followed an acute effect protocol which consisted in running during 20 min on a treadmill at 3.1 m/s, and an eight-week long chronic effect protocol covering eight weeks of resistance running with progressively increasing volume. BFGr did all the sessions barefoot. At the end of each protocol Foot Length (FL), Forefoot Width (FW), Hindfoot Width (HW), Navicular Height (NH), Arch Index (AI), and Maximum Surface (MS) were measured. ANOVA 3x2 was run to verify the effects caused by time and the shod condition produced. Shod/Unshod factor caused significant effects on all the variables (FL: p=0.000, eta(2)p=0.997; FW: p=0.000, eta(2)p=0,997; HW: p=0.000, eta(2)p=0,994; NH: p=0.000, eta(2)p=0.953; AI: p=0.000, eta(2)p=0.898; MS: p=0.000, eta(2)p=0.983), and the time factor on AI (p=0.012, eta(2)p=0.152) and MS (p=0.000, eta(2)p=0.259). There was a significant Time x Condition interaction in FW (p=0.036, eta(2)p=0.116) and NH (p=0.019, eta(2)p=0.143). MS increased after the acute (p=0.000) and the chronic (p=0.001) protocols in the BFGr. The percentage of subjects with normal feet increased in the BFGr and that with flat feet increased in SGr. Barefoot running training causes effects, mainly after an adaptation period of eight weeks, tending to a harmonic surface increase on the support plantar area, with a relative decrease of the midfoot area, which meant a decrease of subjects with plantar arch of flat type.</t>
  </si>
  <si>
    <t>Alegre, Luis M./K-5777-2012</t>
  </si>
  <si>
    <t>Alegre, Luis M./0000-0002-4502-9275</t>
  </si>
  <si>
    <t>10.4067/S0717-95022019000301111</t>
  </si>
  <si>
    <t>WOS:000476478000052</t>
  </si>
  <si>
    <t>Díaz, F; Rivera, M; Chávez, H; Wheeler, P</t>
  </si>
  <si>
    <t>Diaz, Fabian; Rivera, Marco; Chavez, Hector; Wheeler, Patrick</t>
  </si>
  <si>
    <t>Present and Future of the Chilean Electrical Grid</t>
  </si>
  <si>
    <t>2019 IEEE CHILEAN CONFERENCE ON ELECTRICAL, ELECTRONICS ENGINEERING, INFORMATION AND COMMUNICATION TECHNOLOGIES (CHILECON)</t>
  </si>
  <si>
    <t>IEEE CHILEAN Conference on Electrical, Electronics Engineering, Information and Communication Technologies (CHILECON)</t>
  </si>
  <si>
    <t>OCT 29-31, 2019</t>
  </si>
  <si>
    <t>Valparaiso, CHILE</t>
  </si>
  <si>
    <t>IEEE Consejo Cono Sur,IEEE Consejo Chile,Chilean Assoc Automat Control,IEEE Chilean Chapter ontrol Syst,IEEE Chilean Chapter SMC,Univ Catolica Valparaiso Chile, Escuela Ingn Informatica, Fac Ingn Pontificia,IEEE,IEEE Syst Man &amp; Cybernet Soc,Chilean AssocElect &amp; Elect Ind,IEEE Control Syst Soc</t>
  </si>
  <si>
    <t>This paper presents a description of the current reality of the Chilean electricity sector and its future. The vision and its advancements in Chile are matter of observation to develop a clearer picture for maintaining and increasing the penetration of renewables towards global decarbonification and climate change mitigation.</t>
  </si>
  <si>
    <t>Rivera, Marco/E-9124-2012; Diaz, Fabian/KCL-5823-2024</t>
  </si>
  <si>
    <t>Diaz Garzon, Fabian/0000-0002-3324-4576</t>
  </si>
  <si>
    <t>978-1-7281-3185-6</t>
  </si>
  <si>
    <t>WOS:000542919100061</t>
  </si>
  <si>
    <t>Soto, GE; Vergara, PM; Rodewald, AD</t>
  </si>
  <si>
    <t>Soto, Gerardo E.; Vergara, Pablo M.; Rodewald, Amanda D.</t>
  </si>
  <si>
    <t>The fruit of competition: seed dispersal by Magellanic Woodpeckers in the threatened Valdivian Rainforest</t>
  </si>
  <si>
    <t>ECOLOGY</t>
  </si>
  <si>
    <t>Vergara, Pablo/F-2519-2010; Soto, Gerardo/JAX-4165-2023; Rodewald, Amanda/I-6308-2016</t>
  </si>
  <si>
    <t>Soto, Gerardo/0000-0002-9706-6588; Vergara, Pablo/0000-0002-0024-1678; Rodewald, Amanda/0000-0002-6719-6306</t>
  </si>
  <si>
    <t>0012-9658</t>
  </si>
  <si>
    <t>1939-9170</t>
  </si>
  <si>
    <t>10.1002/ecy.2454</t>
  </si>
  <si>
    <t>WOS:000449937900021</t>
  </si>
  <si>
    <t>Uddin, M; Mirzaeva, G; Stepien, P; De Lillo, L; Empringham, L; Rojas, F</t>
  </si>
  <si>
    <t>Uddin, Muslem; Mirzaeva, Galina; Stepien, Peter; De Lillo, Liliana; Empringham, Lee; Rojas, Felix</t>
  </si>
  <si>
    <t>Common Mode Voltage Mitigation in Industrial Three-Phase Inverters Based on Model Predictive Control</t>
  </si>
  <si>
    <t>2018 IEEE INDUSTRY APPLICATIONS SOCIETY ANNUAL MEETING (IAS)</t>
  </si>
  <si>
    <t>IEEE Industry Applications Society Annual Meeting</t>
  </si>
  <si>
    <t>53rd Annual Meeting of the IEEE-Industry-Applications-Society (IAS)</t>
  </si>
  <si>
    <t>SEP 23-29, 2018</t>
  </si>
  <si>
    <t>Portland, OR</t>
  </si>
  <si>
    <t>IEEE Ind Applicat Soc</t>
  </si>
  <si>
    <t>Common Mode Voltage (CMV) in variable speed drives is a source of electromagnetic interference and bearing currents. These issues are exacerbated in underground mining applications due to the specific earthing and protection requirements. This paper compares two inverter options for an industrial AC drive: a three-leg inverter and a four-leg inverter, with the view of CMV mitigation. The CMV mitigation strategy is based on Model Predictive Control (MPC). To reduce the computational burden associated with MPC, a computationally efficient modified model predictive control (MMPC) strategy is presented. The findings of the paper are validated by extensive simulations in the Matlab-Simulink (c) software environment. The presented results show a significant reduction of CMV in three-leg inverter and a complete CMV elimination in four-leg inverter. Experimental validation of the results presented in the paper is underway.</t>
  </si>
  <si>
    <t>Rojas, Felix/U-3305-2019; Uddin, S/AAG-8862-2020</t>
  </si>
  <si>
    <t>Mirzaeva, Galina/0000-0002-1351-1649; Rojas, Felix/0000-0001-6145-2826</t>
  </si>
  <si>
    <t>0197-2618</t>
  </si>
  <si>
    <t>978-1-5386-4536-9</t>
  </si>
  <si>
    <t>WOS:000719813000121</t>
  </si>
  <si>
    <t>Daud, O; Oboe, R; Oscari, F; Masiero, S; Rosati, G</t>
  </si>
  <si>
    <t>Daud, Omar; Oboe, Roberto; Oscari, Fabio; Masiero, Stefano; Rosati, Giulio</t>
  </si>
  <si>
    <t>Development of a four-channel haptic system for remote assessment of patients with impaired hands</t>
  </si>
  <si>
    <t>ROBOTICA</t>
  </si>
  <si>
    <t>Haptic devices have proven effective in stimulating proprioceptive sensing in post-stroke patients. In this work, pre-existing devices were used together in a remote environment for the teleassessment of impaired hands. A four-channel bilateral control system in the presence of large and variable time delay is proposed as a proof of concept. Time delay is managed with a novel communication disturbance observer (CDOB). The system also employed a scaling down compensation value (SDCV) for the CDOB. The proposed control system was tested successfully in bilateral haptic interaction, simulating a remote motor and functional evaluation of patients' hands, guaranteeing safe and stable interaction, even in the presence of large network delays.</t>
  </si>
  <si>
    <t>Masiero, Stefano/K-6473-2016; Oboe, Roberto/AAF-6794-2021; Oboe, Roberto/K-2705-2017; Rosati, Giulio/A-8873-2010</t>
  </si>
  <si>
    <t>Masiero, Stefano/0000-0002-0361-4898; Oboe, Roberto/0000-0003-3078-2915; Rosati, Giulio/0000-0002-5150-9486</t>
  </si>
  <si>
    <t>0263-5747</t>
  </si>
  <si>
    <t>1469-8668</t>
  </si>
  <si>
    <t>10.1017/S0263574716000643</t>
  </si>
  <si>
    <t>WOS:000409461200003</t>
  </si>
  <si>
    <t>Poyatos-León, R; García-Hermoso, A; Sanabria-Martínez, G; Alvarez-Bueno, C; Cavero-Redondo, I; Martínez-Vizcaíno, V</t>
  </si>
  <si>
    <t>Poyatos-Leon, Raquel; Garcia-Hermoso, Antonio; Sanabria-Martinez, Gema; Alvarez-Bueno, Celia; Cavero-Redondo, Ivan; Martinez-Vizcaino, Vicente</t>
  </si>
  <si>
    <t>Effects of exercise-based interventions on postpartum depression: A meta-analysis of randomized controlled trials</t>
  </si>
  <si>
    <t>BIRTH-ISSUES IN PERINATAL CARE</t>
  </si>
  <si>
    <t>BackgroundThere is inconsistent evidence about the effect of physical activity on the prevention and treatment of depression during the postnatal period. The aim of this meta-analysis was to determine the effect of physical activity interventions during pregnancy and the postpartum period for controlling postpartum depressive symptoms. MethodsWe systematically searched Cochrane Library Plus, Science Direct, EMBASE, CINAHL, PubMed, Web of Science, and Scopus, from January 1990 to May 2016, for randomized or nonrandomized controlled trials addressing the effect of physical activity on postpartum depression. The inverse variance-weighted method was used to compute pooled estimates of effect size and respective 95% confidence intervals (95% CI) for physical activity intervention on postpartum depression. Subgroup analyses were performed comparing women with and without postpartum depressive symptoms according to specific scales measuring this construct. Meta-regression and sensitivity analysis were computed to evaluate heterogeneity. ResultsTwelve studies were included in the meta-analysis. Effect size for the relationship between physical activity interventions during pregnancy and the postpartum period on postpartum depressive symptoms was 0.41 (95% CI 0.28-0.54). Heterogeneity was I-2=33.1% (P=.117). When subgroup analyses were done, pooled effect sizes were 0.67 (95% CI 0.44-0.90) for mothers who met postpartum depressive symptoms criteria at baseline based on specific scales, and 0.29 (95% CI 0.14-0.45) for mothers who did not meet those depressive symptoms criteria at baseline. ConclusionPhysical exercise during pregnancy and the postpartum period is a safe strategy to achieve better psychological well-being and to reduce postpartum depressive symptoms.</t>
  </si>
  <si>
    <t>Sanabria, Gema/R-4782-2019; García-Hermoso, Antonio/ADU-2591-2022; Alvarez-Bueno, Celia/R-4075-2019; VIZCAINO, VICENTE/R-4336-2017; Cavero-Redondo, Ivan/R-4818-2019; Garcia-Hermoso, Antonio/P-1857-2017</t>
  </si>
  <si>
    <t>Garcia-Hermoso, Antonio/0000-0002-1397-7182; Sanabria Martinez, Gema/0000-0001-7593-6864; Alvarez-Bueno, Celia/0000-0002-6176-1618; Cavero-Redondo, Ivan/0000-0003-2617-0430</t>
  </si>
  <si>
    <t>0730-7659</t>
  </si>
  <si>
    <t>1523-536X</t>
  </si>
  <si>
    <t>10.1111/birt.12294</t>
  </si>
  <si>
    <t>WOS:000407784900002</t>
  </si>
  <si>
    <t>Avila, T; Chavez, H; Del Piano, J; Segundo, F</t>
  </si>
  <si>
    <t>Avila, Tomas; Chavez, Hector; Del Piano, Jose; Segundo, Felix</t>
  </si>
  <si>
    <t>Towards Systematic Tuning of Standard-compliant, Multi-area AGC systems</t>
  </si>
  <si>
    <t>2017 IEEE MANCHESTER POWERTECH</t>
  </si>
  <si>
    <t>IEEE Manchester PowerTech</t>
  </si>
  <si>
    <t>JUN 18-22, 2017</t>
  </si>
  <si>
    <t>Manchester, ENGLAND</t>
  </si>
  <si>
    <t>Due to different technical-economical reasons, power systems tend to interconnect each other. The resulting system after the interconnection could be reorganized into two or more control areas in terms of secondary frequency control; if this is the case, the resulting control areas may require new automatic generation control (AGC) parameters to maintain compliance with performance standards. In addition, the continuous integration of variable distributed generation into the network tend to increase the need for secondary control, thus systematic AGC definition procedures are required. This work proposes a heuristic method to tune the AGC parameters for interconnected systems subject to secondary frequency control performance standard compliance. An illustrative example in a hypothetical interconnection of two identical ERCOT equivalents is presented to validate results.</t>
  </si>
  <si>
    <t>Delpiano, José/S-4471-2019</t>
  </si>
  <si>
    <t>978-1-5090-4237-1</t>
  </si>
  <si>
    <t>WOS:000411142500013</t>
  </si>
  <si>
    <t>León, A; Reuquen, P; Garín, C; Segura, R; Vargas, P; Zapata, P; Orihuela, PA</t>
  </si>
  <si>
    <t>Leon, Andrea; Reuquen, Patricia; Garin, Carolina; Segura, Rodrigo; Vargas, Patricio; Zapata, Paula; Orihuela, Pedro A.</t>
  </si>
  <si>
    <t>FTIR and Raman Characterization of TiO2 Nanoparticles Coated with Polyethylene Glycol as Carrier for 2-Methoxyestradiol</t>
  </si>
  <si>
    <t>APPLIED SCIENCES-BASEL</t>
  </si>
  <si>
    <t>The aim of this study was to prepare a novel targeting drug delivery system for 2-Methoxyestradiol (2ME) in order to improve the clinical application of this antitumor drug. It is based in nanoparticles (NPs) of titanium dioxide (TiO2) coated with polyethylene glycol (PEG) and loaded with 2ME. A complete IR and Raman characterization have been made to confirm the formation of TiO2-PEG-2ME composite. Vibrational modes have been assigned for TiO2, PEG, and 2ME and functionalized TiO2-PEG and TiO2-PEG-2ME. The observed variation in peak position of FTIR and Raman of each for these composites has been elucidated in terms of intermolecular interactions between PEG-2ME and TiO2, obtaining step-by-step the modification processes that were attributed to the conjugation of PEG and 2ME to TiO2 NPs. Modifying TiO2 NPs with PEG loaded with the 2ME drug revealed that the titanium dioxide nanocarrier possesses an effective adsorption capability, and we discuss their potential application as a system of drug delivery.</t>
  </si>
  <si>
    <t>Vargas, Patricio/AAL-2633-2020; Leon, Andrea/IAP-7168-2023; Segura, Rodrigo/P-2005-2016</t>
  </si>
  <si>
    <t>Leon, Andrea/0000-0002-1206-6352; vargas, patricio/0000-0001-9235-9747; Zapata, Paula Andrea/0000-0003-3361-6226; Garin, Carolina/0000-0001-7377-4443; Segura, Rodrigo/0000-0003-0928-0021</t>
  </si>
  <si>
    <t>2076-3417</t>
  </si>
  <si>
    <t>10.3390/app7010049</t>
  </si>
  <si>
    <t>WOS:000395485900049</t>
  </si>
  <si>
    <t>García-Hermoso, A; Martínez-Vizcaíno, V; Recio-Rodriguez, JI; Díez-Fernández, A; Gómez-Marcos, MA; García-Ortiz, L</t>
  </si>
  <si>
    <t>Garcia-Hermoso, Antonio; Martinez-Vizcaino, Vicente; Recio-Rodriguez, Jose I.; Diez-Fernandez, Ana; Gomez-Marcos, Manuel A.; Garcia-Ortiz, Luis</t>
  </si>
  <si>
    <t>EVIDENT Grp</t>
  </si>
  <si>
    <t>Abdominal obesity as a mediator of the influence of physical activity on insulin resistance in Spanish adults</t>
  </si>
  <si>
    <t>PREVENTIVE MEDICINE</t>
  </si>
  <si>
    <t>Objective. The aim of the study was to analyze the relationship between moderate-to-vigorous physical activity (MVPA) and insulin resistance (IR) in Spanish adults and to examine whether this relationship is mediated by abdominal obesity (waist circumference - WC). Methods. The cross-sectional study included 1162 healthy subjects belonging to the EVIDENT study (mean age 55.0 +/- 13.3 years; 61.8% women) from six different Spanish provinces. Moderate-to-vigorous physical activity (MVPA) was measured objectively over 7 days using Actigraph accelerometers, collecting data in 60-second epochs, and retaining respondents with &gt;= 4 valid days for the analysis. The homeostasis model of assessment (HOMA-IR) was used to determine IR, and its individual components - fasting glucose and insulin - were determined using standard protocols. Linear regression models were fitted according to Baron and Kenny's procedures for mediation analysis. Results. Fasting insulin and HOMA-IR levels were significantly worse in adults who spent fewer minutes in MVPA (first quartile &lt;= 30.1 and 22.7 min/day in men and women, respectively) after adjusting for age, sex, smoking habits, drinking habits, accelerometer wear time, sedentary time, and Mediterranean diet adherence. However, when WC was added to the ANCOVA models as a covariate, the effects disappeared. Mediation analysis reported that WC acts as a full mediator in the relationship between MVPA and IR (HOMA-IR and fasting insulin). Conclusion. These findings show that WC plays a pivotal role in the relationship between MVPA and IR, and therefore highlights that decreasing abdominal obesity might be considered as an intermediate outcome for evaluating interventions aimed at preventing diabetes mellitus. (C) 2015 Elsevier Inc. All rights reserved.</t>
  </si>
  <si>
    <t>Diez-Fernandez, Ana/Z-3348-2019; VIZCAINO, VICENTE/R-4336-2017; García-Hermoso, Antonio/ADU-2591-2022; Martin-Cantera, Carlos/D-2693-2011; Garcia-Hermoso, Antonio/P-1857-2017</t>
  </si>
  <si>
    <t>Recio-Rodriguez, Jose I/0000-0002-3772-8746; Martin-Cantera, Carlos/0000-0003-0656-8126; Garcia-Hermoso, Antonio/0000-0002-1397-7182; Diez Fernandez, Ana/0000-0002-7673-986X</t>
  </si>
  <si>
    <t>0091-7435</t>
  </si>
  <si>
    <t>1096-0260</t>
  </si>
  <si>
    <t>10.1016/j.ypmed.2015.11.012</t>
  </si>
  <si>
    <t>WOS:000371932600009</t>
  </si>
  <si>
    <t>López, V; Ascorra, P; Bilbao, MD; Moya, I; Morales, M; Oyanedel, JC</t>
  </si>
  <si>
    <t>Soriano, E</t>
  </si>
  <si>
    <t>Lopez, Veronica; Ascorra, Paula; de los Angeles Bilbao, Maria; Moya, Ivan; Morales, Macarena; Carlos Oyanedel, Juan</t>
  </si>
  <si>
    <t>QUALITY OF EDUCATION Contesting Democratization Outcomes from within International Stakes Testing</t>
  </si>
  <si>
    <t>RETHINKING EDUCATION FOR A GLOBAL, TRANSCULTURAL WORLD</t>
  </si>
  <si>
    <t>Research in Social Education</t>
  </si>
  <si>
    <t>Bilbao, M./K-8367-2014; López, Verónica/IYS-2269-2023; Oyanedel, Juan/V-2833-2019</t>
  </si>
  <si>
    <t>978-1-68123-001-6; 978-1-68123-002-3</t>
  </si>
  <si>
    <t>WOS:000358803900008</t>
  </si>
  <si>
    <t>Dorta, E; Atala, E; Aspee, A; Speisky, H; Lissi, E; Lopez-Alarcon, C</t>
  </si>
  <si>
    <t>Dorta, E.; Atala, E.; Aspee, A.; Speisky, H.; Lissi, E.; Lopez-Alarcon, C.</t>
  </si>
  <si>
    <t>Role of alkoxyl radicals on the fluorescein-based ORAC (Oxygen Radical Absorbance Capacity) assay</t>
  </si>
  <si>
    <t>FREE RADICAL BIOLOGY AND MEDICINE</t>
  </si>
  <si>
    <t>Pérez, Dorta/T-7820-2019; Lopez, Camilo/J-5770-2013</t>
  </si>
  <si>
    <t>Dorta, Eva/0000-0002-2292-0356</t>
  </si>
  <si>
    <t>0891-5849</t>
  </si>
  <si>
    <t>1873-4596</t>
  </si>
  <si>
    <t>P50</t>
  </si>
  <si>
    <t>S38</t>
  </si>
  <si>
    <t>10.1016/j.freeradbiomed.2014.10.782</t>
  </si>
  <si>
    <t>WOS:000359519800104</t>
  </si>
  <si>
    <t>Ajaj, RM; Friswell, MI; Flores, EIS</t>
  </si>
  <si>
    <t>Ajaj, R. M.; Friswell, M. I.; Saavedra Flores, E. I.</t>
  </si>
  <si>
    <t>On the effectiveness of active aeroelastic structures for morphing aircraft</t>
  </si>
  <si>
    <t>AERONAUTICAL JOURNAL</t>
  </si>
  <si>
    <t>This note assesses the benefits of active aeroelastic structures (AAS) in enhancing flight performance and control authority. A representative AAS concept, whose torsional stiffness and shear centre position can be altered depending on the instantaneous flight condition, is employed in the wing of a medium altitude long endurance (MALE) UAV. A multidisciplinary design optimisation (MDO) suite is used in this study. It turns out that AAS can be very effective when used for enhancing control authority of the vehicle but have limited benefits in terms of flight performance (lift to drag).</t>
  </si>
  <si>
    <t>Ajaj, Rafic/P-6314-2016; Flores, Erick/I-7646-2012; Friswell, Michael/B-5581-2009</t>
  </si>
  <si>
    <t>Friswell, Michael/0000-0003-4677-7395</t>
  </si>
  <si>
    <t>0001-9240</t>
  </si>
  <si>
    <t>10.1017/S0001924000008769</t>
  </si>
  <si>
    <t>WOS:000327557200006</t>
  </si>
  <si>
    <t>Ruf, B; Ubilla, P</t>
  </si>
  <si>
    <t>Ruf, Bernhard; Ubilla, Pedro</t>
  </si>
  <si>
    <t>On a Liouville-type equation with sign-changing weight</t>
  </si>
  <si>
    <t>PROCEEDINGS OF THE ROYAL SOCIETY OF EDINBURGH SECTION A-MATHEMATICS</t>
  </si>
  <si>
    <t>We study the existence, nonexistence and multiplicity of non-negative solutions for the family of problems -Delta u = lambda(a(x)eu + f(x, u)), u is an element of H-0(1) (Omega), where Omega is a bounded domain in R-2 and lambda &gt; 0 is a parameter. The coefficient a(x) is permitted to change sign. The techniques used in the proofs are a combination of upper and lower solutions, the Trudinger-Moser inequality and variational methods. Note that when f(x, u) = 0 the equation is of Liouville type.</t>
  </si>
  <si>
    <t>Ruf, Bernhard/0000-0002-3481-4948</t>
  </si>
  <si>
    <t>0308-2105</t>
  </si>
  <si>
    <t>1473-7124</t>
  </si>
  <si>
    <t>10.1017/S0308210507000583</t>
  </si>
  <si>
    <t>WOS:000263853800008</t>
  </si>
  <si>
    <t>Bernardi, APM; López-Alarcón, C; Aspee, A; Rech, S; Von Poser, GL; Bridi, R; Lissi, E</t>
  </si>
  <si>
    <t>Bernardi, A. P. M.; Lopez-Alarcon, C.; Aspee, A.; Rech, S.; Von Poser, G. L.; Bridi, R.; Lissi, E.</t>
  </si>
  <si>
    <t>Antioxidant activity of flavonoids isolated from Hypericum ternum</t>
  </si>
  <si>
    <t>JOURNAL OF THE CHILEAN CHEMICAL SOCIETY</t>
  </si>
  <si>
    <t>In the present work we have studied the scavenging activity of several flavonoids isolated from Hypericum ternum A. St. Hil. The evaluation of the free radical scavenging capacity was based on the 2,2-diphenyl-1-picrylhydrazyl radical (DPPH) consumption elicited by their addition. Also, we have attempted to evaluate their capacity to delay pyrogallol red consumption promoted by peroxyl radicals. The compounds isolated and characterized were I3,II8-biapigenin and five quercetin derivatives (quercetin 3-methyl ether, quercetin 3,7-dimethyl ether, hyperoside, isoquercitrin and guaijaverin). All compounds were able to scavenge DPPH radicals. The order in scavenging capacity (from highest to lowest) was: guaijaverin &gt; hyperoside approximate to isoquercitrin &gt; quercetin-3-methyl-ether. No protection of pyrogallol red was evidenced for all flavonoids derivatives at relatively high (100 mu M) concentrations. This lack of protection contrasts with the efficient protection afforded by 10 mu M quercetin, indicating that substitution at the 3-position in quercetin strongly reduces the capacity of the molecule to scavenge peroxyl radicals.</t>
  </si>
  <si>
    <t>Lopez, Camilo/J-5770-2013; Bridi, Raquel/JCN-9916-2023</t>
  </si>
  <si>
    <t>Lopez, Camilo/0000-0002-0174-8972</t>
  </si>
  <si>
    <t>0717-9707</t>
  </si>
  <si>
    <t>WOS:000252154400013</t>
  </si>
  <si>
    <t>Rojas, P; Ordoñez, S; Serafini, D; Zúñiga, A; Lavernia, E</t>
  </si>
  <si>
    <t>Microstructural evolution during mechanical alloying of Mg and Ni</t>
  </si>
  <si>
    <t>JOURNAL OF ALLOYS AND COMPOUNDS</t>
  </si>
  <si>
    <t>This study investigates the microstructural evolution during mechanical alloying of Mg and Ni, and during subsequent heat treatments of SPEX milled powders. The milling was performed under an inert argon atmosphere, employing two different ball-to-powder ratios (BPR): 10: 1 and 20: 1. It was observed that a large number of defects were produced during the first hours of milling. These defects led to the amorphization of part of the system, and promoted an extensive refinement of the microstructure as well. Later on, the formation of the Mg2Ni compound due to the crystallization of the amorphous phase was observed. The microstructural details showed us that a possible complete sequence of phase transformations during milling of pure Mg and Ni could be: Mg-c + Ni-c -&gt; Mg-nc + Ni-c -&gt; amorphous + Ni-nc + Mg-nc -&gt; amorphous + Ni-nc + Mg2Ninc -&gt; Mg2Ninc, where c and nc stand for crystalline and nanocrystalline, respectively. On the other hand, subsequent heat treatments of the milled powder showed that the amorphous phase could also be transformed into Mg2Ni by heating. Finally, the knowledge of the evolution of the microstructure during milling and annealing were combined to propose an optimal processing route to efficiently obtain the Mg2Ni compound. (c) 2004 Elsevier B.V. All rights reserved.</t>
  </si>
  <si>
    <t>Lavernia, Enrique/I-6472-2013; Rojas, Paula/AFS-1987-2022; Lavernia, Enrique J./KYO-9694-2024</t>
  </si>
  <si>
    <t>Zuniga Paez, Alejandro Andres/0000-0002-4313-9323; Serafini, Daniel/0000-0002-1764-5900; Rojas, Paula/0000-0002-2529-993X; Lavernia, Enrique J./0000-0003-2124-8964</t>
  </si>
  <si>
    <t>0925-8388</t>
  </si>
  <si>
    <t>APR 5</t>
  </si>
  <si>
    <t>10.1016/j.jallcom.2004.08.081</t>
  </si>
  <si>
    <t>WOS:000227745500048</t>
  </si>
  <si>
    <t>Davis, S; Gutiérrez, G</t>
  </si>
  <si>
    <t>Dynamic properties of a classical anisotropic Heisenberg chain under external magnetic field</t>
  </si>
  <si>
    <t>We investigate the dynamic properties of a classical anisotropic Heisenberg chain interacting with an external magnetic field at different temperatures. Properties such as time-dependent energy autocorrelation and space-time spin-spin correlation are obtained by solving the dynamic equation Si = Si x dels(i)H. While the static spin-spin correlation length decreases as the system is heated up, it increases when an external magnetic field is present. The time-dependent spin-spin correlation decreases when the system is heated up, resulting in a decrease of the spin-diffusion speed. The presence of the magnetic field contributes to the order, and therefore produces an increase of the spin-diffusion speed. In contrast, the single-ion type anisotropy behaves dynamically as a local field, inducing disorder in the chain. (C) 2004 Elsevier B.V. All rights reserved.</t>
  </si>
  <si>
    <t>Davis, Sergio/U-7227-2019; Gutierrez, Gonzalo/A-4973-2008</t>
  </si>
  <si>
    <t>Davis, Sergio/0000-0003-2757-332X; Gutierrez, Gonzalo/0000-0003-0676-0089</t>
  </si>
  <si>
    <t>JAN 31</t>
  </si>
  <si>
    <t>10.1016/j.physb.2004.08.009</t>
  </si>
  <si>
    <t>WOS:000226733300001</t>
  </si>
  <si>
    <t>Cerda, E; Mahadevan, L; Pasini, JM</t>
  </si>
  <si>
    <t>The elements of draping</t>
  </si>
  <si>
    <t>PROCEEDINGS OF THE NATIONAL ACADEMY OF SCIENCES OF THE UNITED STATES OF AMERICA</t>
  </si>
  <si>
    <t>We consider the gravity-induced draping of a 3D object with a naturally flat, isotropic elastic sheet, As the size of the sheet increases, we observe the appearance of new folded structures of increasing complexity that arise because of the competition between elasticity and gravity. We analyze some of the simpler 3D structures by determining their shape and analyzing their response and stability and show that these structures can easily switch between a number of metastable configurations. For more complex draperies, we derive scaling laws for the appearance and disappearance of new length scales. Our results are consistent with commonplace observations of drapes and complement large-scale computations of draping by providing benchmarks. They also yield a qualitative guide to fashion design and virtual reality animation.</t>
  </si>
  <si>
    <t>0027-8424</t>
  </si>
  <si>
    <t>10.1073/pnas.0307160101</t>
  </si>
  <si>
    <t>WOS:000189032600005</t>
  </si>
  <si>
    <t>Silber, JJ; Falcone, RD; Correa, NM; Biasutti, MA; Abuin, E; Lissi, E; Campodonico, P</t>
  </si>
  <si>
    <t>Exploratory study of the effect of polar solvents upon the partitioning of solutes in nonaqueous reverse micellar solutions</t>
  </si>
  <si>
    <t>LANGMUIR</t>
  </si>
  <si>
    <t>An exploratory study on the effect of polar solvents upon the partitioning of solutes in nonaqueous reverse micellar solutions composed by n-heptane/AOT/polar solvent has been performed. Ethylene glycol (EG), propylene glycol (PG), glycerol (GY), formamide (FA), dimethylformamide (DMF), and dimethylacetamide (DMA) were employed as water substitutes. The study has been carried out at a single value of the mole ratio between the polar solvent and AOT, W-s = [polar solvent]/[AOT] equal to 2. 9-Anthracenemethanol (9-AM) and acridine orange base (AOB) were the solutes considered. Partitioning of (9-AM) was determined following a fluorescence quenching method. AOB partition constants were evaluated by a method based on the dependence of the absorption spectra with AOT concentration. The results obtained show that, for both solutes, partitioning to the micelles is strongly favored in (EG), (PG), (GY), or (FA), rather than in (DMF) or (DMA) containing micelles. Thin, trend is opposite to that observed for the partition of the solutes between n-heptane and the bulk polar solvents. The main driven forces to incorporate 9-AM and AOB to the nonaqueous reverse micelles seems to be related with solvent-AOT headgroups and solute-AOT headgroups and counterion interactions.</t>
  </si>
  <si>
    <t>Campodónico, Paola/L-9664-2014; Falcone, Ruben/F-5413-2011; Correa, N. Mariano/I-8886-2018</t>
  </si>
  <si>
    <t>Correa, N. Mariano/0000-0002-1728-3620; Campodonico, Paola/0000-0003-2840-0666; Falcone, R. Dario/0000-0002-0997-3437; Silber, Juana/0000-0001-9395-9939</t>
  </si>
  <si>
    <t>0743-7463</t>
  </si>
  <si>
    <t>MAR 18</t>
  </si>
  <si>
    <t>10.1021/la026484p</t>
  </si>
  <si>
    <t>WOS:000181562700029</t>
  </si>
  <si>
    <t>Llanos, L; Briones, R; Yévenes, A; González-Nilo, FD; Frey, PA; Cardemil, E</t>
  </si>
  <si>
    <t>Mutation Arg336 to Lys in Saccharomyces cerevisiae phosphoenolpyruvate carboxykinase originates an enzyme with increased oxaloacetate decarboxylase activity</t>
  </si>
  <si>
    <t>FEBS LETTERS</t>
  </si>
  <si>
    <t>Saccharomyces cerevisiae phosphoenolpyruvate (PEP) carboxykinase catalyzes one of the first reactions in the biosynthesis of carbohydrates. Apart from the physiologically important reaction, the enzyme also presents low oxaloacetate decarboxylase and pyruvate kinase-like activities. Data from the crystalline structure of homologous Escherichia coli PEP carboxykinase suggest that Arg(333) may be involved in stabilization of enolpyruvate, a postulated reaction intermediate. In this work, the equivalent Arg(336) from the S, cerevisiae enzyme was changed to Lys or Gin, Kinetic analyses of the varied enzymes showed that a positive charge at position 336 is critical for catalysis of the main reaction, and further suggested different rate limiting steps for the main reaction and the secondary activities. The Arg336Lys altered enzyme showed increased oxaloacetate decarboxylase activity and developed the ability to catalyze pyruvate enolization, These last results support the proposal that enolpyruvate is an intermediate in the PEP carboxykinase reaction and suggest that in the Arg336Lys PEP carboxykinase a proton donor group has appeared. (C) 2001 Federation of European Biochemical Societies. Published by Elsevier Science B.V. All rights reserved.</t>
  </si>
  <si>
    <t>; Gonzalez Nilo, Fernando Danilo/M-5671-2016</t>
  </si>
  <si>
    <t>Yevenes, Alejandro/0000-0003-3799-1509; Gonzalez Nilo, Fernando Danilo/0000-0001-6857-3575</t>
  </si>
  <si>
    <t>0014-5793</t>
  </si>
  <si>
    <t>10.1016/S0014-5793(01)02158-5</t>
  </si>
  <si>
    <t>WOS:000167822200001</t>
  </si>
  <si>
    <t>Ordoñez, S; García, G; Serafini, D; San Martín, A</t>
  </si>
  <si>
    <t>Salgado, L; Filho, FA</t>
  </si>
  <si>
    <t>Mg based alloys obtained by mechanical alloying</t>
  </si>
  <si>
    <t>ADVANCED POWDER TECHNOLOGY</t>
  </si>
  <si>
    <t>MATERIALS SCIENCE FORUM</t>
  </si>
  <si>
    <t>1st International Latin American Conference on Powder Technology</t>
  </si>
  <si>
    <t>NOV 10-12, 1997</t>
  </si>
  <si>
    <t>SAO PAULO, BRAZIL</t>
  </si>
  <si>
    <t>ABC,IPEN,MPIF,SINTERCONSULT,FAPESP,CNPq,FINEP</t>
  </si>
  <si>
    <t>In the present work, we studied the production of magnesium alloys, of stoichiometry 2Mg + Ni by mechanical alloying (MA) and the behavior of the alloys under hydrogen in a Sievert's type apparatus. The elemental powders were milled under argon atmosphere in a Spex 8000 high energy ball mill. The milled materials were characterized by X-ray diffraction (XRD) and scanning electron microscopy (SEM). Only minimum amounts of thr Mg2Ni intermetallic compound was obtained after 22 h of milling time. Most of the material was sticked to the inner surface of the container as well as to the milling halls. Powders milled only for 12 hours transforms to the intermetallic at around 433 K. Effects of the MA on the hydrogen absorption kinetics were also studied.</t>
  </si>
  <si>
    <t>Serafini, Daniel/0000-0002-1764-5900</t>
  </si>
  <si>
    <t>0255-5476</t>
  </si>
  <si>
    <t>0-87849-825-7</t>
  </si>
  <si>
    <t>299-3</t>
  </si>
  <si>
    <t>10.4028/www.scientific.net/MSF.299-300.478</t>
  </si>
  <si>
    <t>WOS:000079831600060</t>
  </si>
  <si>
    <t>Osorio-Olivares, M; Cassels, BK; Sepúlveda-Boza, S; Rezende, MC</t>
  </si>
  <si>
    <t>A novel route to 5,7-dimethoxy-6-hydroxyflavone</t>
  </si>
  <si>
    <t>A novel route to 5,7-dimethoxy-6-hydroxyflavone is described, involving the cyclization of an intermediate phosphorane as the key step.</t>
  </si>
  <si>
    <t>Cassels, Bruce/H-6937-2013; Caroli, Marcos/H-3570-2019</t>
  </si>
  <si>
    <t>Rezende, Marcos/0000-0003-2040-9009; Osorio-Olivares, Mauricio/0000-0003-4391-1739</t>
  </si>
  <si>
    <t>10.1080/00397919908086038</t>
  </si>
  <si>
    <t>WOS:000078912500012</t>
  </si>
  <si>
    <t>Encinas, MV; Rufs, AM; Norambuena, E; Giannotti, C</t>
  </si>
  <si>
    <t>p-nitroacetanilide in the presence of triethylamine as a photoinitiator system for vinyl polymerization</t>
  </si>
  <si>
    <t>JOURNAL OF POLYMER SCIENCE PART A-POLYMER CHEMISTRY</t>
  </si>
  <si>
    <t>The polymerization rate of methyl methacrylate photosensitized by p-nitro-acetanilide in the presence of triethylamine was measured as a function of the amine and monomer concentrations. The polymerization proceeds readily in high-polarity media (acetonitrile/monomer)but is negligible in nonpolar media. The polymerization rate increases with the amine concentration up to 0.15M. Further increase in amine concentration does not change the polymerization rate. A similar behavior was observed for the photobleaching of the nitro compound. ESR studies show the formation of a nitro and an amine free radical, the latter free radical being the active species that adds to the monomer. (C) 1997 John Wiley &amp; Sons, Inc.</t>
  </si>
  <si>
    <t>Encinas, Maria/L-9686-2014</t>
  </si>
  <si>
    <t>0887-624X</t>
  </si>
  <si>
    <t>10.1002/(SICI)1099-0518(19971115)35:15&lt;3095::AID-POLA2&gt;3.3.CO;2-V</t>
  </si>
  <si>
    <t>WOS:A1997YB36500002</t>
  </si>
  <si>
    <t>Margarucci, I; Sepúlveda, EG</t>
  </si>
  <si>
    <t>Margarucci, Ivanna; Sepulveda, Eduardo Godoy</t>
  </si>
  <si>
    <t>History, historiography and methodology. Anarchisms in Latin America. Introduction</t>
  </si>
  <si>
    <t>AVANCES DEL CESOR</t>
  </si>
  <si>
    <t>Margarucci, Ivanna/HPB-9319-2023</t>
  </si>
  <si>
    <t>1514-3899</t>
  </si>
  <si>
    <t>2422-6580</t>
  </si>
  <si>
    <t>10.35305/ac.v21i31.1995</t>
  </si>
  <si>
    <t>WOS:001406037600007</t>
  </si>
  <si>
    <t>Duarte-Mermoud, MA; Ricaldi-Morales, A; Travieso-Torres, JC; Castro-Linares, R</t>
  </si>
  <si>
    <t>Duarte-Mermoud, Manuel A.; Ricaldi-Morales, Abdiel; Travieso-Torres, Juan Carlos; Castro-Linares, Rafael</t>
  </si>
  <si>
    <t>Design and Comparison of Fractional-Order Controllers in Flotation Cell Banks and Flotation Columns Used in Copper Extraction Processes</t>
  </si>
  <si>
    <t>MATHEMATICS</t>
  </si>
  <si>
    <t>This work explores efficiency improvements in the copper flotation stage, a complex nonlinear, multivariable process subject to numerous perturbations. The primary objective is to design a fractional-order PID (FOPID) control strategy and a fractional-order model reference adaptive control (FOMRAC) system. The parameters for these controllers are optimized using the particle swarm optimization (PSO) algorithm with an objective function tailored to the control goals. This study employs models of both a bank series of five flotation cells and a flotation column. Their performance results are compared against traditional controllers, such as an integer-order PID and MRAC. The findings reveal that fractional-order controllers offer notable advantages over their integer-order counterparts, showing improved performance metrics with minimal changes to the existing control framework. This research highlights the effectiveness of fractional control in enhancing flotation processes and introduces a novel application of fractional control techniques in this area.</t>
  </si>
  <si>
    <t>Travieso Torres, Juan carlos/N-6437-2019; Duarte-Mermoud, Manuel A./I-2693-2013</t>
  </si>
  <si>
    <t>Travieso Torres, Juan carlos/0000-0002-9246-4827; Duarte-Mermoud, Manuel A./0000-0003-2367-4553; Ricaldi Morales, Abdiel Josadac/0009-0007-8354-3009; Castro-Linares, Rafael/0000-0002-9227-4505</t>
  </si>
  <si>
    <t>2227-7390</t>
  </si>
  <si>
    <t>10.3390/math12172789</t>
  </si>
  <si>
    <t>WOS:001310948500001</t>
  </si>
  <si>
    <t>Arias, M; Triana, JF; Delgado, A; Herrera, F</t>
  </si>
  <si>
    <t>Arias, Mauricio; Triana, Johan F.; Delgado, Aldo; Herrera, Felipe</t>
  </si>
  <si>
    <t>Coherent anharmonicity transfer from matter to light in the THz regime</t>
  </si>
  <si>
    <t>Optical nonlinearities are fundamental in several types of optical information processing protocols. However, the high laser intensities needed for implementing phase nonlinearities using conventional optical materials represent a challenge for nonlinear optics in the few-photon regime. We introduce an infrared cavity quantum electrodynamics (QED) approach for imprinting nonlinear phase shifts on individual THz pulses in reflection setups, conditional on the input power. Power-dependent phase shifts on the order of 0.1 pi can be achieved with femtosecond pulses of only a few mu W input power. The proposed scheme involves a small number of intersubband quantum well transition dipoles evanescently coupled to the near field of an infrared resonator. The field evolution is nonlinear due to the dynamical transfer of spectral anharmonicity from material dipoles to the infrared vacuum, through an effective dipolar chirping mechanism that transiently detunes the quantum well transitions from the vacuum field, leading to photon blockade. We develop analytical theory that describes the dependence of the imprinted nonlinear phase shift on relevant physical parameters. For a pair of quantum well dipoles, the phase control scheme is shown to be robust with respect to inhomogeneities in the dipole transition frequencies and relaxation rates. Numerical results based on the Lindblad quantum master equation validate the theory in the regime where the material dipoles are populated up to the second excitation manifold. In contrast with conventional QED schemes for phase control that require strong light-matter interaction, the proposed phase nonlinearity works best in weak coupling, increasing the prospects for its experimental realization using current nanophotonic technology.</t>
  </si>
  <si>
    <t>Herrera, Felipe/KHD-8453-2024; Triana, Johan F./AAU-9985-2021; Delgado, Aldo/M-1707-2014</t>
  </si>
  <si>
    <t>Triana, Johan F./0000-0001-9551-3121; Delgado, Aldo/0000-0002-8968-5733</t>
  </si>
  <si>
    <t>JAN 1</t>
  </si>
  <si>
    <t>10.1088/1367-2630/ad153b</t>
  </si>
  <si>
    <t>WOS:001137040000001</t>
  </si>
  <si>
    <t>Amici, J; Marquez, P; Mangini, A; Torchio, C; Dessantis, D; Versaci, D; Francia, C; Aguirre, MJ; Bodoardo, S</t>
  </si>
  <si>
    <t>Amici, Julia; Marquez, Paulina; Mangini, Anna; Torchio, Claudia; Dessantis, Davide; Versaci, Daniele; Francia, Carlotta; Aguirre, Maria Jesus; Bodoardo, Silvia</t>
  </si>
  <si>
    <t>Sustainable, economic, and simple preparation of an efficient catalyst for Li-O2 batteries</t>
  </si>
  <si>
    <t>JOURNAL OF POWER SOURCES</t>
  </si>
  <si>
    <t>Developing efficient electrocatalysts for oxygen reduction reaction (ORR) is fundamental to bring the Li-O2 technology closer to practical applications. However, the majority of studied catalysts for this application are either precious metals or cobalt based, which represents an obstacle for a larger scale development, both from an economical and a political point of view. In this work a simple, fully sustainable, and economic synthesis process is used to in situ nucleate SnO2 nanoparticles on the surface of commercial carbon black (C45) by taking advantage of its numerous nucleation sites to deposit and chemically anchor SnO2 nanoparticles. Such synthesis can easily be carried out through wet impregnation, without any acid treatment or high temperature process. The obtained composite material shows an optimal ORR activity, which is confirmed in Li-O2 cells. Indeed, compared to pure C45 air-cathodes, the composite cathodes lead to the formation of much more reversible film-like discharge products, allowing for reduced overvoltage and therefore improved cycling performances both at the high current density of 0.5 mA cm-2 with more than 70 cycles and in prolonged discharge/charge conditions with over 1250 h of operation at the fixed capacity of 2.5 mAh cm- 2.</t>
  </si>
  <si>
    <t>Aguirre, Maria/A-3935-2013; Versaci, Daniele/KIG-7810-2024</t>
  </si>
  <si>
    <t>Marquez, Paulina/0000-0002-8020-6273; Versaci, Daniele/0000-0002-9946-5865; Dessantis, Davide/0000-0003-3998-7650; AMICI, JULIA GINETTE NICOLE/0000-0003-4369-317X</t>
  </si>
  <si>
    <t>0378-7753</t>
  </si>
  <si>
    <t>1873-2755</t>
  </si>
  <si>
    <t>OCT 30</t>
  </si>
  <si>
    <t>10.1016/j.jpowsour.2022.231942</t>
  </si>
  <si>
    <t>AUG 2022</t>
  </si>
  <si>
    <t>WOS:000861209300005</t>
  </si>
  <si>
    <t>Battaglia, L; Lopez, EJ; Cruchaga, MA; Storti, MA; D'Elia, J</t>
  </si>
  <si>
    <t>Battaglia, Laura; Lopez, Ezequiel J.; Cruchaga, Marcela A.; Storti, Mario A.; D'Elia, Jorge</t>
  </si>
  <si>
    <t>Mesh-moving arbitrary Lagrangian-Eulerian three-dimensional technique applied to sloshing problems</t>
  </si>
  <si>
    <t>OCEAN ENGINEERING</t>
  </si>
  <si>
    <t>Validation of three-dimensional (3D) sloshing models is a relevant task in order to guarantee the correctness of numerical predictions. In this work, attention is focused on assessing the 3D free surface (FS) evolution when an Arbitrary Lagrangian-Eulerian method is applied to solve sloshing problems. The computational scheme consists of three stages: (i) solve the incompressible Navier-Stokes equations over a single fluid domain with a FS; (ii) determine the FS displacements from the velocity field computed at (i); and (iii) update the mesh with a computational mesh dynamic problem. The study aims to evaluate the global mass-conservation strategy reported in this work for long term simulations. The forced sloshing cases present moderate FS displacements with complex wave pattern behaviours. Specifically, sloshing in a tank with a stepped shape in the bottom and two sloshing cases of a rectangular tank are presented. The numerical results are compared with experimental data to evaluate the performance of the proposed model.</t>
  </si>
  <si>
    <t>Battaglia, Laura/X-3893-2019; Cruchaga, Marcela/M-7522-2014</t>
  </si>
  <si>
    <t>Lopez, Ezequiel/0000-0002-2533-984X; Cruchaga, Marcela/0000-0002-8708-2402</t>
  </si>
  <si>
    <t>0029-8018</t>
  </si>
  <si>
    <t>1873-5258</t>
  </si>
  <si>
    <t>JUL 15</t>
  </si>
  <si>
    <t>10.1016/j.oceaneng.2022.111463</t>
  </si>
  <si>
    <t>MAY 2022</t>
  </si>
  <si>
    <t>WOS:000806237000002</t>
  </si>
  <si>
    <t>Cortés-Quezada, M; Parada, AM; Videla, X; Valdés, JA; Gonzalez-Catrilelbún, S; Aspée, A; Nario, A; Rivas-Aravena, A</t>
  </si>
  <si>
    <t>Cortes-Quezada, Mirta; Maria Parada, Ana; Videla, Ximena; Antonio Valdes, Juan; Gonzalez-Catrilelbun, Sebastian; Aspee, Alexis; Nario, Adriana; Rivas-Aravena, Andrea</t>
  </si>
  <si>
    <t>Labelling fish diets with 15N-Leucine for monitoring feed consumption and bio-distribution in Atlantic salmon</t>
  </si>
  <si>
    <t>VETERINARY MEDICINE AND SCIENCE</t>
  </si>
  <si>
    <t>Feeding represents 50-70% of the cost of production in salmon farming, higher than any other animal farm. The improvement of this percentage is challenging as the food is thrown into the fish tank, there is no quantification of the amount of food that is consumed by the fish. In consequence, it is difficult to adjust the food composition making it more nutritive or promoting food consumption by fish. In this study, to investigate food consumption, bio-distribution and food residues, leucine containing N-15 (a stable isotope of nitrogen) was used to label the fish food. Atlantic salmon (Salmo salar) weighing 100-120 g were maintained in 30 L tanks at a density of 14 kg/m(3). Fishes were fed daily at 1% of the fish weight with pellet labelled with N-15-leucine. The N-15 incorporation was determined 14 hours after the feeding in all the fish organs. Results showed that 14 hours after the administration of a single dose of labelled food to Atlantic salmon enables the detection of the tracer in the whole organism allowing determining the food consumption. Through the analysis of nitrogen use efficiency (NUE), we showed that the trunk, pyloric caeca and head incorporate the highest level of the marker (72.7, 8.7 and 5.7%, respectively). This methodology would permit monitoring feeding to minimize food loss, improve administration methodologies or select the preferred foods for the fish, among others to reduce production costs.</t>
  </si>
  <si>
    <t>Nario, Adriana/AFN-6990-2022</t>
  </si>
  <si>
    <t>Nario, Adriana/0000-0001-7383-7803</t>
  </si>
  <si>
    <t>2053-1095</t>
  </si>
  <si>
    <t>10.1002/vms3.730</t>
  </si>
  <si>
    <t>MAR 2022</t>
  </si>
  <si>
    <t>WOS:000778265100001</t>
  </si>
  <si>
    <t>Tapia-Serrano, MA; García-Hermoso, A; Sevil-Serrano, J; Sánchez-Oliva, D; Sánchez-Miguel, PA</t>
  </si>
  <si>
    <t>Angel Tapia-Serrano, Miguel; Garcia-Hermoso, Antonio; Sevil-Serrano, Javier; Sanchez-Oliva, David; Antonio Sanchez-Miguel, Pedro</t>
  </si>
  <si>
    <t>Is adherence to 24-Hour Movement Guidelines associated with a higher academic achievement among adolescent males and females?</t>
  </si>
  <si>
    <t>JOURNAL OF SCIENCE AND MEDICINE IN SPORT</t>
  </si>
  <si>
    <t>Objectives: This study aims to examine the independent and combined associations of 24-Hour Movement Guidelines for physical activity, screen time, and sleep duration with academic achievement in adolescent males and females. Design: Cross-sectional study. Methods: 1290 Spanish adolescents (565 females), aged 11 to 16 years (13.06 +/- 0.84), participated in this study. Self-reported physical activity, screen time, and sleep duration questionnaires were assessed. Academic achievement was calculated as an average score of the adolescents'' grades in first language (Spanish), first foreign language (English), and mathematics subjects. A multiple linear regression model was used to examine the association between meeting 24-Hour Movement Guidelines and academic achievement. Covariates included age, sex, socioeconomic status, body mass index, and cardiorespiratory fitness. Results: Not meeting any of the three 24-Hour Movement Guidelines was associated with lower academic achievement in the whole sample (p &lt; 0.001). Meeting physical activity and sleep duration guidelines, both independently and together, was associated with higher academic achievement in the whole sample (p &lt; 0.001). Meeting at least two recommendations was associated with higher academic achievement in males (p &lt; 0.01). However, trend analysis revealed that participants who met two or three recommendations had higher academic achievement compared to those who met one or none of these recommendations (p &lt; 0.05). All these results were similar for males and females. Conclusions: Our findings suggest the importance of promoting more than one 24-Hour Movement Guidelines, mainly physical activity and sleep duration, which seems to contribute positively to increased academic performance in adolescents. (c) 2021 The Author(s). Published by Elsevier Ltd on behalf of Sports Medicine Australia. This is an open access article under the CC BY-NC-ND license (http://creativecommons.org/licenses/by-nc-nd/4.0/).</t>
  </si>
  <si>
    <t>García-Hermoso, Antonio/ADU-2591-2022; SANCHEZ-OLIVA, DAVID/L-1698-2014; Garcia-Hermoso, Antonio/P-1857-2017; SANCHEZ MIGUEL, PEDRO ANTONIO/L-6320-2014; Sevil-Serrano, Javier/Q-4653-2016; Tapia Serrano, Miguel Angel/ABA-5834-2020</t>
  </si>
  <si>
    <t>Garcia-Hermoso, Antonio/0000-0002-1397-7182; SANCHEZ-OLIVA, DAVID/0000-0001-9678-963X; SANCHEZ MIGUEL, PEDRO ANTONIO/0000-0002-1660-535X; Sevil-Serrano, Javier/0000-0002-2077-1983; Tapia Serrano, Miguel Angel/0000-0003-2954-2375</t>
  </si>
  <si>
    <t>1440-2440</t>
  </si>
  <si>
    <t>1878-1861</t>
  </si>
  <si>
    <t>10.1016/j.jsams.2021.09.005</t>
  </si>
  <si>
    <t>WOS:000744633200010</t>
  </si>
  <si>
    <t>Daud, O; Correa, M; Estay, H; Ruíz-del-Solar, J</t>
  </si>
  <si>
    <t>Daud, Omar; Correa, Mauricio; Estay, Humberto; Ruiz-del-Solar, Javier</t>
  </si>
  <si>
    <t>Monitoring and Controlling Saturation Zones in Heap Leach Piles Using Thermal Analysis</t>
  </si>
  <si>
    <t>MINERALS</t>
  </si>
  <si>
    <t>This manuscript describes a method that is based on the implementation and setup of a mechatronic system that can recognize and detect, through thermal analysis, the zones where heap leaching piles may become locally saturated. Such a condition could trigger the potential of liquefaction, generating local or general collapse in the pile. In order to reduce this potential danger, and therefore achieve full stability in the pile, the irrigation system must be properly controlled; for instance, in potentially saturated zones, the irrigation flow can be reduced or eliminated until the saturation has disappeared. The mechatronic system consists of a hexacopter, equipped with a thermal infrared camera mounted on its structure and pointing down to the ground, which is used to obtain the temperature information of the heat transfer between the heap pile and the environment. Such information is very useful, as the level of saturated zones can then be traced. The communication between the operator of the irrigation system and the mechatronic system is based on a radio-frequency link, in which geo-referenced images are transmitted.</t>
  </si>
  <si>
    <t>Correa, Mauricio/L-3350-2013; Estay, Humberto/I-3499-2017; Ruiz-del-Solar, Javier/H-5214-2013</t>
  </si>
  <si>
    <t>Estay, Humberto/0000-0001-8518-7131; Correa, Mauricio/0009-0005-3288-6939; Ruiz-del-Solar, Javier/0000-0003-2965-633X</t>
  </si>
  <si>
    <t>2075-163X</t>
  </si>
  <si>
    <t>10.3390/min11020115</t>
  </si>
  <si>
    <t>WOS:000622849600001</t>
  </si>
  <si>
    <t>Sagales-Gill, DM; Cofré-Bolados, C; Beas-Jimenez, JD; Valdivia-Moral, P; DeMoraes; Gerson, L</t>
  </si>
  <si>
    <t>Sagales-Gill, D. M.; Cofre-Bolados, C.; Beas-Jimenez, J. D.; Valdivia-Moral, P.; DeMoraes; Gerson, L.</t>
  </si>
  <si>
    <t>REDUCTION OF THE MAXIMUM OXYGEN CONSUMPTION AFTER ELEVEN WEEKS OF TRAINING IN PROFESSIONAL FOOTBALL PLAYERS</t>
  </si>
  <si>
    <t>JOURNAL OF SPORT AND HEALTH RESEARCH</t>
  </si>
  <si>
    <t>The fact that soccer requires an aerobic base verified through a test of maximum oxygen consumption and identification of the appearance of ventilatory thresholds one and two is recognized. The SARCoV-2 virus pandemic significantly affected professional football, generating a detraining situation in many clubs. The objective of the present study is to describe the effect of total and partial detraining for 11 weeks, on cardirespiratory parameters. The sample consisted of 26 soccer players belonging to a professional first division club in Paraguay. An ergometry with gas analysis was performed before and after the detraining period associated with the confinement of the pandemic. The results showed a 0.4% increase in body weight. -14.9% decrease in oxygen consumption in the first threshold; -17.4% in oxygen consumption in second threshold; -15.4% in maximum oxygen consumption; no significant changes in heart rate in first and second threshold as in maximum oxygen consumption (0.1, -0.2, 0.6 respectively); -4.7% in maximum aerobic speed and 13.5% in muscle efficiency. Detraining induced by quarantine can produce a significant loss of aerobic performance; detraining at the cardiorespiratory level seems to be more relevant than at the muscular level, based on the muscle efficiency parameter presented.</t>
  </si>
  <si>
    <t>Valdivia-Moral, Pedro/J-7490-2013</t>
  </si>
  <si>
    <t>1989-6239</t>
  </si>
  <si>
    <t>S1</t>
  </si>
  <si>
    <t>WOS:000709411800010</t>
  </si>
  <si>
    <t>Venegas, M; Barahona, S; González, AM; Sepúlveda, D; Zúñiga, GE; Baeza, M; Cifuentes, V; Alcaíno, J</t>
  </si>
  <si>
    <t>Venegas, Maximiliano; Barahona, Salvador; Gonzalez, Ana Maria; Sepulveda, Dionisia; Zuniga, Gustavo E.; Baeza, Marcelo; Cifuentes, Victor; Alcaino, Jennifer</t>
  </si>
  <si>
    <t>Phenotypic Analysis of Mutants of Ergosterol Biosynthesis Genes (ERG3andERG4) in the Red YeastXanthophyllomyces dendrorhous</t>
  </si>
  <si>
    <t>FRONTIERS IN MICROBIOLOGY</t>
  </si>
  <si>
    <t>Xanthophyllomyces dendrorhoussynthesizes astaxanthin, a carotenoid used in aquaculture. Astaxanthin is synthesized from metabolites of the mevalonate pathway, which are also precursors for sterols biosynthesis. The interruption of theCYP61gene, which is involved in the synthesis of ergosterol (mutant CBS.cyp61(-)), resulted in a phenotype that overproduces carotenoids due to the activation of the SREBP pathway. In this work, we constructed other mutants of ergosterol biosynthesis in this yeast to evaluate whether they have the same phenotype as mutant CBS.cyp61(-). By bioinformatic analysis, theERG3andERG4genes ofX. dendrorhouswere identified, and each gene was deleted in the wild-type strain. Mutants CBS.Delta erg3and CBS.Delta erg4did not produce ergosterol; CBS.Delta erg3primarily accumulated episterol, and CBS.Delta erg4primarily accumulated ergosta-5,7,22,24(28)-tetraenol. The transcription levels of theHMGSgene of the mevalonate pathway were evaluated by RT-qPCR, which showed a slight increase in CBS.Delta erg4, but the transcription levels were still 10-fold lower than in strain CBS.cyp61(-). Both CBS.Delta erg3and CBS.Delta erg4did not overproduce carotenoids, even though they do not produce ergosterol. Thus, the results of this study indicate that the absence of ergosterol does not activate the SREBP pathway inX. dendrorhous, but rather it depends on other alterations in sterol composition.</t>
  </si>
  <si>
    <t>Zuñiga, Gustavo/P-8306-2015; baeza, Marcelo/GYI-9150-2022; Alcaino, Jennifer/H-4576-2012; Morales, Ana/AAD-6775-2019</t>
  </si>
  <si>
    <t>Zuniga, Gustavo/0000-0002-8286-9468; Baeza, Marcelo/0000-0001-8853-395X</t>
  </si>
  <si>
    <t>1664-302X</t>
  </si>
  <si>
    <t>10.3389/fmicb.2020.01312</t>
  </si>
  <si>
    <t>WOS:000546905200001</t>
  </si>
  <si>
    <t>Robles-Planells, C; Guerrero, GS; Barrera-Avalos, C; Matiacevich, S; Rojo, LE; Pavez, J; Salas-Huenuleo, E; Kogan, MJ; Escobar, A; Milla, LA; Fernandez, R; Imarai, M; Spencer, E; Huidobro-Toro, JP; Acuña-Castillo, C</t>
  </si>
  <si>
    <t>Robles-Planells, Claudia; Guerrero, Giselle Sanchez; Barrera-Avalos, Carlos; Matiacevich, Silvia; Rojo, Leonel E.; Pavez, Jorge; Salas-Huenuleo, Edison; Kogan, Marcelo J.; Escobar, Alejandro; Milla, Luis A.; Fernandez, Ricardo; Imarai, Monica; Spencer, Eugenio; Huidobro-Toro, Juan Pablo; Acuna-Castillo, Claudio</t>
  </si>
  <si>
    <t>Chitosan-Based Nanoparticles for Intracellular Delivery of ISAV Fusion Protein cDNA into Melanoma Cells: A Path to Develop Oncolytic Anticancer Therapies</t>
  </si>
  <si>
    <t>MEDIATORS OF INFLAMMATION</t>
  </si>
  <si>
    <t>Oncolytic virus therapy has been tested against cancer in preclinical models and clinical assays. Current evidence shows that viruses induce cytopathic effects associated with fusogenic protein-mediated syncytium formation and immunogenic cell death of eukaryotic cells. We have previously demonstrated that tumor cell bodies generated from cells expressing the fusogenic protein of the infectious salmon anemia virus (ISAV-F) enhance crosspriming and display prophylactic antitumor activity against melanoma tumors. In this work, we evaluated the effects of the expression of ISAV-F on the B16 melanoma model, both in vitro and in vivo, using chitosan nanoparticles as transfection vehicle. We confirmed that the transfection of B16 tumor cells with chitosan nanoparticles (NP-ISAV) allows the expression of a fusogenically active ISAV-F protein and decreases cell viability because of syncytium formation in vitro. However, the in vivo transfection induces a delay in tumor growth, without inducing changes on the lymphoid populations in the tumor and the spleen. Altogether, our observations show that expression of ISAV fusion protein using chitosan nanoparticles induces cell fusion in melanoma cells and slight antitumor response.</t>
  </si>
  <si>
    <t>Escobar, Alejandro/I-2775-2013; Milla, Luis/AAU-5222-2020; Salas-Huenuleo, Edison/AAF-6987-2019; kogan, Marcelo/I-2868-2013; Acuña-Castillo, Claudio/AAI-7090-2021; Robles-Planells, Claudia/LTF-7300-2024; Fernandez, Ricardo/H-3422-2018; PAVEZ, JORGE/K-6904-2014</t>
  </si>
  <si>
    <t>Fernandez, Ricardo/0000-0003-4493-9362; Escobar, Alejandro/0000-0002-1587-4179; Robles-Planells, Claudia/0000-0003-3339-8871; Kogan, Marcelo/0000-0003-0608-5087; Milla, Luis/0000-0001-9738-6234; Barrera-Avalos, Carlos/0000-0001-6160-9563; Salas-Huenuleo, Edison/0000-0003-4355-5252; Rojo, Leonel/0000-0002-0188-2266; PAVEZ, JORGE/0000-0002-5100-6707; Acuna-Castillo, Claudio/0000-0003-3607-6077; Sanchez-Guerrero, Giselle/0000-0003-4974-1021</t>
  </si>
  <si>
    <t>0962-9351</t>
  </si>
  <si>
    <t>1466-1861</t>
  </si>
  <si>
    <t>APR 29</t>
  </si>
  <si>
    <t>10.1155/2020/8680692</t>
  </si>
  <si>
    <t>WOS:000533375600001</t>
  </si>
  <si>
    <t>Singh, DP; Dwevedi, A</t>
  </si>
  <si>
    <t>Dwevedi, A</t>
  </si>
  <si>
    <t>Pratap Singh, Dinesh; Dwevedi, Alka</t>
  </si>
  <si>
    <t>Production of clean energy by green ways</t>
  </si>
  <si>
    <t>SOLUTIONS TO ENVIRONMENTAL PROBLEMS INVOLVING NANOTECHNOLOGY AND ENZYME TECHNOLOGY</t>
  </si>
  <si>
    <t>Singh, Devendra/K-3055-2013</t>
  </si>
  <si>
    <t>Dwevedi, Alka/0000-0002-9684-9927</t>
  </si>
  <si>
    <t>978-0-12-813124-4; 978-0-12-813123-7</t>
  </si>
  <si>
    <t>10.1016/B978-0-12-813123-7.00002-5</t>
  </si>
  <si>
    <t>10.1016/C2016-0-04550-3</t>
  </si>
  <si>
    <t>WOS:000506213600003</t>
  </si>
  <si>
    <t>Ortiz-Viedma, J; Rodriguez, A; Vega, C; Osorio, F; Defillipi, B; Ferreira, R; Saavedra, J</t>
  </si>
  <si>
    <t>Ortiz-Viedma, Jaime; Rodriguez, Alicia; Vega, Camila; Osorio, Fernando; Defillipi, Bruno; Ferreira, Raul; Saavedra, Jorge</t>
  </si>
  <si>
    <t>Textural, flow and viscoelastic properties of Hass avocado (Persea americana Mill.) during ripening under refrigeration conditions</t>
  </si>
  <si>
    <t>JOURNAL OF FOOD ENGINEERING</t>
  </si>
  <si>
    <t>Microstructural and rheological changes in whole and ground (puree) mesocarp of Hass avocado (Persea americana Mill.) were studied under storage conditions (40 days at 10 degrees C). The maximum stress (sigma(max)), relaxation test and microstructural changes were applied to mesocarp chunks. The shear stress (tau), apparent viscosity (eta) and complex modulus of viscoelasticity (G*) were analyzed in the mesocarp pure. The ripening produced a decrease in aim in both harvest, observing microstructural damage of the plant tissue over 30 days. The values of tau and eta decreased, adjusting well to the Cross - Willianson (R-2 = 0.95 -0.94) and Herschel - Bulkley (r2 = 0.91-0.98) models. G* has an elastic tendency (G ') with a decrease in hysteresis. The results corroborate the impact of ripening on the rheological properties of the fruit. (C) 2017 Elsevier Ltd. All rights reserved.</t>
  </si>
  <si>
    <t>Rodriguez, Alicia/H-8550-2016; osorio, fernando/AAY-7304-2021</t>
  </si>
  <si>
    <t>osorio, fernando/0000-0001-7206-0924; Rodriguez, Alicia/0000-0003-2750-2468</t>
  </si>
  <si>
    <t>0260-8774</t>
  </si>
  <si>
    <t>1873-5770</t>
  </si>
  <si>
    <t>10.1016/j.jfoodeng.2017.09.014</t>
  </si>
  <si>
    <t>WOS:000413879300008</t>
  </si>
  <si>
    <t>Bullinger, M; Bloemeke, J; Mericq, V; Sommer, R; Gaete, X; Ross, JL; Yu, YM; Permuy, J; Gagliardi, P; Damaso, YL; Mauras, N</t>
  </si>
  <si>
    <t>Bullinger, Monika; Bloemeke, Janika; Mericq, Veronica; Sommer, Rachel; Gaete, Xiemena; Ross, Judith L.; Yu, Y. Miles; Permuy, Joseph; Gagliardi, Priscila; Damaso, Y. Ligeia; Mauras, Nelly</t>
  </si>
  <si>
    <t>Quality of Life in Adolescent Boys with Idiopathic Short Stature: Positive Impact of Growth Hormone and Aromatase Inhibitors</t>
  </si>
  <si>
    <t>HORMONE RESEARCH IN PAEDIATRICS</t>
  </si>
  <si>
    <t>Background: The combination of growth hormone (GH) and aromatase inhibitors (AI) improves linear growth in severely short adolescent boys; however, the effects of this intervention on quality of life (QoL) are unknown. This study assesses whether GH, AI, or their combination impacts the QoL of adolescent males with idiopathic short stature (ISS) from both the adolescent and the parent perspective. Method: A randomized open-label comparator trial was conducted in 76 pubertal males with ISS who received AI, GH, or AI/GH for 24 months. The condition-specific Quality of Life in Short Stature Youth questionnaire was used to assess QoL. Results: QoL scores were low at baseline in the children's and parents' reports. Within-group testing showed that total QoL scores increased significantly at 24 months in the GH and AI/GH group but not the AI group in the children's report, whereas it increased in all of the groups in the parents' report. Increases in QoL scores were associated with an increase in height SDS. Conclusions: Treatment with GH and AI/GH was associated with improved QoL scores as measured from both the patients' and the parents' perspectives, suggesting that the improved growth resulting from the use of these growth-promoting therapies has beneficial psychosocial effects in adolescent males with ISS followed for 24 months. (c) 2019 S. Karger AG, Basel</t>
  </si>
  <si>
    <t>Mericq, Veronica/F-3927-2010</t>
  </si>
  <si>
    <t>Mauras, Nelly/0000-0003-1175-3852; Ross, Judith/0000-0002-8613-2498</t>
  </si>
  <si>
    <t>1663-2818</t>
  </si>
  <si>
    <t>1663-2826</t>
  </si>
  <si>
    <t>10.1159/000496353</t>
  </si>
  <si>
    <t>WOS:000464377400004</t>
  </si>
  <si>
    <t>Montalvo, S; Cahn, I; Borja, R; Huiliñir, C; Guerrero, L</t>
  </si>
  <si>
    <t>Montalvo, S.; Cahn, I.; Borja, R.; Huilinir, C.; Guerrero, L.</t>
  </si>
  <si>
    <t>Use of solid residue from thermal power plant (fly ash) for enhancing sewage sludge anaerobic digestion: Influence of fly ash particle size</t>
  </si>
  <si>
    <t>The influence of fly ash particle size on methane production and anaerobic biodegradability was evaluated. Assays with different fly ash particle sizes (0.8-2.36 mm) at a concentration of 50 mg/L were ran under mesophilic conditions. In anaerobic processes operating with fly ash, greater removal of both volatile total and suspended solids, chemical oxygen demand (total and soluble) was achieved, with an increase of methane production between 28% and 96% compared to the control reactors. The highest increase occurred at ash particles sizes of 1.0-1.4 mm. The metal concentrations in the digestates obtained after anaerobic digestion of sewage sludge are far below those considered as limiting for the use of sludge in soils.</t>
  </si>
  <si>
    <t>10.1016/j.biortech.2017.07.159</t>
  </si>
  <si>
    <t>WOS:000410545300051</t>
  </si>
  <si>
    <t>Diaz-Espinoza, R; Nova, E; Monasterio, O</t>
  </si>
  <si>
    <t>Diaz-Espinoza, Rodrigo; Nova, Esteban; Monasterio, Octavio</t>
  </si>
  <si>
    <t>Overcoming electrostatic repulsions during amyloid assembly: Effect of pH and interaction with divalent metals using model peptides</t>
  </si>
  <si>
    <t>ARCHIVES OF BIOCHEMISTRY AND BIOPHYSICS</t>
  </si>
  <si>
    <t>Amyloids are polypeptide aggregates involved in many pathologies including Alzheimer's disease. Amyloid assembly is a complex process affected by different interactions including hydrogen bonding, van der Waals forces and electrostatic interactions. The highly regular amyloid structure allows for an arrangement of residues that forces side chains to be closely positioned, giving rise to potentially unfavorable interactions such as electrostatic repulsions. In these cases, amyloid assembly will depend on a balance between stabilizing versus unfavorable interactions. In this study, we rationally designed several amyloid-prone model peptides that had two acidic groups and tested their assembly into amyloids under different conditions. We found that at low pH (pH 4.0), most peptides spontaneously formed amyloids whereas no or little aggregation was observed at higher pHs (pH 8.0). When divalent metals with affinity for carboxylate groups were added at millimolar concentrations, most peptides exhibited a metal dependent switch to the amyloid state at pH 8.0. Our results show that electrostatic repulsion between amyloid-prone sequences can be overcome in conditions that affect protonation of residue side chains. Moreover, the presence of divalent metals can contribute to electrostatic shielding through specific coordination with acidic groups and thus promote amyloid assembly. (C) 2017 Elsevier Inc. All rights reserved.</t>
  </si>
  <si>
    <t>Diaz-Espinoza, Rodrigo/HDM-8819-2022</t>
  </si>
  <si>
    <t>0003-9861</t>
  </si>
  <si>
    <t>1096-0384</t>
  </si>
  <si>
    <t>MAY 1</t>
  </si>
  <si>
    <t>10.1016/j.abb.2017.03.003</t>
  </si>
  <si>
    <t>WOS:000400419300006</t>
  </si>
  <si>
    <t>Friedman-Soza, AM; Friedman, JR; Galvez-Silva, TA; Yevenes, CF</t>
  </si>
  <si>
    <t>Friedman-Soza, Antonio M.; Friedman, Jorge R.; Galvez-Silva, Tomas A.; Yevenes, Carlos F.</t>
  </si>
  <si>
    <t>Sport event attendance as a function of education: evidence from the UK</t>
  </si>
  <si>
    <t>APPLIED ECONOMICS</t>
  </si>
  <si>
    <t>This article studies the role of education in the decision to attend sporting events. The overall objective is to verify whether more educated individuals are more likely to go to sports events than their less educated counterparts. If education socializes persons to focus on sports, it would then partially offset negative alternatives such as alcohol, drug abuse and unlawful behaviours, creating a positive externality. Sport events consumption is extensive, highlighting the potential economic importance of the sports-education externality. To establish the role of education in sport attendance, this article applies a probabilistic linear regression model to data from the UK. The econometric formulation associates sport event attendance in the left hand side with education in the right hand side, while controlling for the socioeconomic variables that are known to affect a consumer's decision to go to a sport event: gender, age, income, employment status, children, marital status, and geographical location, among others. These findings add to a somewhat limited literature on both the effect of education on sports attendance and secondarily, on the impact of other socioeconomic variables on attendance.</t>
  </si>
  <si>
    <t>Galvez-Silva, Tomas/AAB-1017-2021; friedman, jorge/ABC-4538-2021</t>
  </si>
  <si>
    <t>Friedman, Jorge/0000-0002-3262-1296</t>
  </si>
  <si>
    <t>0003-6846</t>
  </si>
  <si>
    <t>1466-4283</t>
  </si>
  <si>
    <t>10.1080/00036846.2017.1361007</t>
  </si>
  <si>
    <t>WOS:000412124100003</t>
  </si>
  <si>
    <t>Eugenín, J; Vecchiola, A; Murgas, P; Arroyo, P; Cornejo, F; von Bernhardi, R</t>
  </si>
  <si>
    <t>Eugenin, Jaime; Vecchiola, Andrea; Murgas, Paola; Arroyo, Pablo; Cornejo, Francisca; von Bernhardi, Rommy</t>
  </si>
  <si>
    <t>Expression Pattern of Scavenger Receptors and Amyloid-β Phagocytosis of Astrocytes and Microglia in Culture are Modified by Acidosis: Implications for Alzheimer's Disease</t>
  </si>
  <si>
    <t>JOURNAL OF ALZHEIMERS DISEASE</t>
  </si>
  <si>
    <t>The pathological hallmarks of Alzheimer's disease (AD) are amyloid-beta (A beta) plaques, neurofibrillary tangles, and glia activation. The pathology also includes vascular amyloidosis and cerebrovascular disease. Vascular compromise can result in hypoperfusion, local tissue hypoxia, and acidosis. Activated microglia and astrocytes can phagocytose A beta through membrane receptors that include scavenger receptors. Changes in glial cells induced by extracellular acidosis could play a role in the development of AD. Here, we assess whether extracellular acidosis changes glial cell properties relevant for A beta clearance capacity. Incubation of glial cells on acidified culture medium (pH 6.9 or 6.5) for 24-48 h resulted in decreased cell diameter, with thinner branches in astrocytes, slight reduction in cell body size in microglia, a transient decrease in astrocyte adhesion to substrates, and a persistent decrease in microglia adhesion compared with control media (pH 7.4). Astrocyte A beta phagocytosis decreased at pH 6.9 and 6.5, whereas microglia phagocytosis only transiently decreased in acidified media. Scavenger receptors class B member I (SR-BI) increased and scavenger receptors-macrophage receptors with collagenous structures (SR-MARCO) decreased in astrocytes cultured at pH 6.5. In contrast, in microglia exposed to pH 6.5, expression of SR-BI and SR-MARCO increased and fatty acid translocase (CD-36) decreased. In conclusion, the acidic environment changed the adhesiveness and morphology of both microglia and astrocytes, but only astrocytes showed a persistent decrease in A beta clearance activity. Expression of scavenger receptors was affected differentially in microglia and astrocytes by acidosis. These changes in scavenger receptor patterns can affect the activation of glia and their contribution to neurodegeneration.</t>
  </si>
  <si>
    <t>Murgas, Paola/AAY-8814-2020; von Bernhardi, Rommy/IAO-3764-2023; Cornejo, Francisca/HGF-1026-2022</t>
  </si>
  <si>
    <t>von Bernhardi, Rommy/0000-0002-9022-7676; Cornejo, Francisca/0000-0001-9280-3430</t>
  </si>
  <si>
    <t>1387-2877</t>
  </si>
  <si>
    <t>1875-8908</t>
  </si>
  <si>
    <t>10.3233/JAD-160083</t>
  </si>
  <si>
    <t>WOS:000383148100008</t>
  </si>
  <si>
    <t>Espinosa, C; Maquieira, C; Diaz, F; Abarca, A</t>
  </si>
  <si>
    <t>Espinosa, Christian; Maquieira, Carlos; Diaz, Fernando; Abarca, Allyson</t>
  </si>
  <si>
    <t>Adoption of IFRS in an emerging market: the Chilean case</t>
  </si>
  <si>
    <t>ACADEMIA-REVISTA LATINOAMERICANA DE ADMINISTRACION</t>
  </si>
  <si>
    <t>Purpose - The purpose of this paper is to analyze the impact triggered by adopting International Financial Reporting Standards (IFRS) in South America. In order to do this, the case of Chile is considered, as it was the first country in the region to adopt IFRS in full form from 2009. Design/methodology/approach - The authors analyze a sample of 43 Chilean companies. The analysis has two stages. First, the authors analyze if the adoption of IFRS in Chile produced a statistically significant change in the main financial indicators. Then, the authors analyze the market reaction to the announcement of the adoption and implementation of IFRS, by doing an event study. Findings -The authors found that adopting IFRS in Chile produced a statistically significant change in the main financial indicators, except for in leverage and Price-Earnings Ratios. As for the main accounts of the financial statements, the authors found significant differences, with the exception of inventories and current assets. However, after assessing the market reaction to the announcement of the adoption and implementation of IFRS, by studying the events, the authors report neither reward nor punishment by the market. Originality/value - This paper pioneers the analysis of the impact triggered by adopting IFRS in South America. The authors results apply not only to Chile but also to a number of South American countries since many of these countries share similar characteristics with Chile.</t>
  </si>
  <si>
    <t>Maquieira, Carlos/ISB-9473-2023; Espinosa-Méndez, Christian/G-5177-2019</t>
  </si>
  <si>
    <t>Diaz, Fernando/0000-0003-1088-9600; Espinosa-Mendez, Christian/0000-0001-6499-2414; Maquieira, Carlos/0000-0001-5710-4669</t>
  </si>
  <si>
    <t>1012-8255</t>
  </si>
  <si>
    <t>10.1108/ARLA-11-2014-0191</t>
  </si>
  <si>
    <t>WOS:000422475100002</t>
  </si>
  <si>
    <t>Parada-Bustamante, A; Valencia, C; Reuquén, P; Díaz, P; Rincón-Rodriguez, R; Orihuela, PA</t>
  </si>
  <si>
    <t>Parada-Bustamante, Alexis; Valencia, Cecilia; Reuquen, Patricia; Diaz, Patricia; Rincon-Rodriguez, Ramiro; Orihuela, Pedro A.</t>
  </si>
  <si>
    <t>Role of 2-methoxyestradiol, an Endogenous Estrogen Metabolite, in Health and Disease</t>
  </si>
  <si>
    <t>MINI-REVIEWS IN MEDICINAL CHEMISTRY</t>
  </si>
  <si>
    <t>Estradiol (E-2) is a steroid hormone whose physiological actions are mainly mediated by its interaction with intracellular estrogen receptors (ER) leading to modification on the mRNA and protein synthesis in its target cells. However, estrogens can also activate several intracellular signal transduction cascades by non-genomic mechanisms. Estrogens must be inactivated and removed from blood through its conversion to soluble compounds with an apparent low estrogenic activity and decreased affinity for ER. In this context, 2-methoxyestradiol (2ME(2)) is generated by a sequential hydroxylation of E-2 via the enzyme cytochrome P450 isoform 1A1 to produce 2-hydroxyestradiol (2OHE(2)) followed by a conjugation reaction catalyzed by the enzyme Catechol-O-Methyltransferase generating 2ME(2) from 2OHE(2). Recent evidence indicates that physiological concentration of 2ME(2) may regulate several biological processes while high concentrations of this metabolite may induce pathophysiological alterations in several tissues. In the last years, 2ME(2) has also been described as a promising anticancer drug although its cellular and molecular mechanisms are still being disclosed. Herein, we will review the available literature concerning the role of 2ME(2) in health and disease. We will focus on to describing the intracellular mechanisms by which 2ME(2) exerts its effects on reproductive and non-reproductive tissues. The promising anticancer effects of 2ME(2) and its synthetic derivatives will also be discussed. Finally, a group of 2ME(2)-target genes that could be used as biomarkers of 2ME(2) under physiological or pathophysiological conditions will be reviewed.</t>
  </si>
  <si>
    <t>Parada-Bustamante, Alexis/I-1127-2013; Valencia, Cecilia/KDO-7792-2024; Díaz, Patricia/GOV-2972-2022</t>
  </si>
  <si>
    <t>Diaz, Patricia/0000-0003-2099-1019; Valencia Robles, Cecilia/0009-0007-7190-3927; Parada Bustamante, Alexis/0000-0002-3240-4961</t>
  </si>
  <si>
    <t>1389-5575</t>
  </si>
  <si>
    <t>1875-5607</t>
  </si>
  <si>
    <t>10.2174/1389557515666150226121052</t>
  </si>
  <si>
    <t>WOS:000353277500008</t>
  </si>
  <si>
    <t>Arshad, MS; Sturm, S; Zavasnik, J; Espejo, AP; Escrig, J; Komelj, M; McGuiness, PJ; Kobe, S; Rozman, KZ</t>
  </si>
  <si>
    <t>Arshad, Muhammad Shahid; Sturm, Saso; Zavasnik, Janez; Espejo, Alvaro P.; Escrig, Juan; Komelj, Matej; McGuiness, Paul J.; Kobe, Spomenka; Rozman, Kristina Zuzek</t>
  </si>
  <si>
    <t>Effect of magnetocrystalline anisotropy on the magnetic properties of electrodeposited Co-Pt nanowires</t>
  </si>
  <si>
    <t>We report on the influence of the magnetocrystalline anisotropy on the easy magnetization axis, magnetization reversal and magnetic domain configurations of electrodeposited Co-Pt nanowires with lengths in the range of 4-6 mu m and a diameter of 250 nm. The transmission electron microscopy and the X-ray diffractions revealed that the nanowires are composed of an intermixture of hcp- and fcc-textured crystal structures. The crystallographic orientations of both phases were such that the [00 (1) over bar] of the hcp phase and the [111] of the fcc phase are pointing almost perpendicular to the nanowire axis. This observation allows us to understand the perpendicular easy magnetization axis of the nanowire arrays measured with vibrating sample magnetometry. Analytical calculations of the angular dependence of the coercivity revealed that the magnetization reversal changes from vortex to transverse mode at the applied field angle theta = 30 degrees. Fitting of the experiment to these calculations results in a perpendicular effective anisotropy constant (K-eff = 2.6 x 10(4) J/m(3)) in nanowires which can be ascribed to the strong magnetocrystalline anisotropy. Furthermore, the magnetic domain configurations of individual nanowires of length range 4 &lt; L &lt; 6 mu m are studied using magnetic force microscopy. This reveals a spatial magnetization modulation along the length of the nanowires, which was found to be length dependent. Such an intrinsic modulation is attributed to the competition between the magnetocrystalline anisotropy and the shape anisotropy in the nanowires. We believe that this interplay between anisotropies gives rise to a magnetic configuration involving vortex-like structure with alternating chirality along the length of the nanowires.</t>
  </si>
  <si>
    <t>Arshad, Muhammad/I-4901-2014; Zavasnik, Janez/I-9848-2016; Escrig, Juan/N-4304-2015</t>
  </si>
  <si>
    <t>Zavasnik, Janez/0000-0002-8822-4089; Escrig, Juan/0000-0002-3958-8185; Arshad, Muhammad Shahid/0000-0002-7912-0536</t>
  </si>
  <si>
    <t>10.1007/s11051-014-2688-4</t>
  </si>
  <si>
    <t>WOS:000346696900026</t>
  </si>
  <si>
    <t>Hutchinson, M; Raff, U; Chaná, P; Huete, I</t>
  </si>
  <si>
    <t>Hutchinson, Michael; Raff, Ulrich; Chana, Pedro; Huete, Isidro</t>
  </si>
  <si>
    <t>Spin-Lattice Distribution MRI Maps Nigral Pathology in Progressive Supranuclear Palsy (PSP) during Life: A Pilot Study</t>
  </si>
  <si>
    <t>An MRI biomarker for Parkinsonism has long been sought, but almost all attempts at conventional field strengths have proved unsatisfactory, since patients and controls are not separated. The exception is Spin-Lattice Distribution MRI (SLDMRI), a technique which detects changes in the substantia nigra (SN) due to changes in the spin-lattice relaxation time, T-1. This easily separates patients with Parkinson's disease (PD) from control subjects at 1.5 Tesla, suggesting that it may be sensitive to presymptomatic disease. SLD-MRI demonstrates a topography of signal change within the SN which is the same as the known topography of pathological change, where the lateral portions of the nucleus are more affected than the medial. In a further step towards its validation, we apply SLD-MRI to a disease control, Progressive Supranuclear Palsy (PSP), the most common of the atypical forms of Parkinsonism. In PSP the topography of pathological change in the SN is reversed. We therefore hypothesized that PSP would show a topography of SLD-MRI signal change in the SN that is the reverse of PD (i.e. the medial portion is more affected than the lateral). All 7 patients showed such a topography of MR signal, and all patients were separated from control subjects. Although this is a step toward validation of SLD-MRI with respect to sensitivity and disease specificity, nevertheless we stress that this is a pilot project only. Validation will only be possible when comparing larger cohorts of PSP, PD and control subjects.</t>
  </si>
  <si>
    <t>hutchinson, michael/H-3508-2019; Chana, Pedro/ABG-9944-2020</t>
  </si>
  <si>
    <t>JAN 28</t>
  </si>
  <si>
    <t>e85194</t>
  </si>
  <si>
    <t>10.1371/journal.pone.0085194</t>
  </si>
  <si>
    <t>WOS:000330510000010</t>
  </si>
  <si>
    <t>Leiva, MA; Morales, S; Segura, R</t>
  </si>
  <si>
    <t>Leiva G., Manuel A.; Morales, Sandra; Segura, Rodrigo</t>
  </si>
  <si>
    <t>Comparative Measurements and their Compliance with Standards of Total Mercury Analysis in Soil by Cold Vapour and Thermal Decomposition, Amalgamation and Atomic Absorption Spectrometry</t>
  </si>
  <si>
    <t>WATER AIR AND SOIL POLLUTION</t>
  </si>
  <si>
    <t>Two methods to measure mercury concentration in soil are compared, and their compliance with international standards is determined: cold vapour atomic absorption spectrometry and thermal decomposition, amalgamation and atomic absorption spectrophotometry. The detection limit, quantification limit and uncertainty of these two analytical methods were evaluated and compared. The results indicated that thermal decomposition, amalgamation and atomic absorption spectrophotometry had a lower quantification limit and uncertainty than cold vapour atomic absorption spectrometry (quantification limit, 0.27 vs. 0.63 mg kg(-1); expanded uncertainty, 9.30 % vs. 10.8 %, respectively). Thermal decomposition, amalgamation and atomic absorption spectrophotometry allowed the determination of the base values for the concentration of mercury in soil recommended by international standards, achieving a lower detection limit than cold vapour atomic absorption spectrometry under the study conditions. In addition, thermal decomposition, amalgamation and atomic absorption spectrophotometry represent a more environmentally friendly alternative for mercury determination because this method uses fewer reagents and therefore generates less waste.</t>
  </si>
  <si>
    <t>Segura, Rodrigo/J-6696-2016; Leiva Guzman, Manuel Andres/E-7069-2012</t>
  </si>
  <si>
    <t>Leiva Guzman, Manuel Andres/0000-0001-8891-0399; Segura, Rodrigo/0000-0001-5747-2357</t>
  </si>
  <si>
    <t>0049-6979</t>
  </si>
  <si>
    <t>10.1007/s11270-012-1390-3</t>
  </si>
  <si>
    <t>WOS:000315281300006</t>
  </si>
  <si>
    <t>Oróstica, ML; Zuñiga, LM; Utz, D; Parada-Bustamante, A; Velásquez, LA; Cardenas, H; Orihuela, PA</t>
  </si>
  <si>
    <t>Orostica, Maria L.; Zuniga, Lidia M.; Utz, Daniella; Parada-Bustamante, Alexis; Velasquez, Luis A.; Cardenas, Hugo; Orihuela, Pedro A.</t>
  </si>
  <si>
    <t>Tumour necrosis factor-α is the signal induced by mating to shutdown a 2-methoxyestradiol nongenomic action necessary to accelerate oviductal egg transport in the rat</t>
  </si>
  <si>
    <t>Mating shut down a 2-methoxyestradiol (2ME) nongenomic action necessary to accelerate egg transport in the rat oviduct. Herein, we investigated whether tumour necrosis factor-alpha (TNF-alpha) participates in this mating effect. In unmated and mated rats, we determined the concentration of TNF-alpha in the oviductal fluid and the level of the mRNA for Tnf-a (Tnf) and their receptors Tnfrsf1a and Tnfrsf1b in the oviduct tissues. The distribution of the TNFRSF1A and TNFRSF1B proteins in the oviduct of unmated and mated was also assessed. Finally, we examined whether 2ME accelerates oviductal egg transport in unmated rats that were previously treated with a rat recombinant TNF-alpha alone or concomitant with a selective inhibitor of the NF-kappa B activity. Mating increased TNF-alpha in the oviductal fluid, but Tnf transcript was not detected in the oviduct. The mRNA for TNF-alpha receptors as well as their distribution was not affected by mating, although they were mainly localized in the endosalpinx. Administration of TNF-alpha into the oviduct of unmated rats prevented the effect of 2ME on egg transport. However, the NF-kappa B activity inhibitor did not revert this effect of TNF-alpha. These results indicate that mating increased TNF-alpha in the oviductal fluid, although this not associated with changes in the expression and localization of TNF-alpha receptors in the oviductal cells. Furthermore, TNF-alpha mimicked the effect of mating on the 2ME-induced egg transport acceleration, independently of the activation of NF-kappa B in the oviduct. We concluded that TNF-alpha is the signal induced by mating to shut down a 2ME nongenomic action in the rat oviduct. Reproduction (2013) 145 109-117</t>
  </si>
  <si>
    <t>Parada-Bustamante, Alexis/I-1127-2013</t>
  </si>
  <si>
    <t>Zuniga Condor, Lidia M/0000-0001-8655-1994; Parada Bustamante, Alexis/0000-0002-3240-4961; Velasquez, Luis/0000-0002-9479-1792</t>
  </si>
  <si>
    <t>10.1530/REP-12-0389</t>
  </si>
  <si>
    <t>WOS:000315870800004</t>
  </si>
  <si>
    <t>Reina, M; Santana, O; Domínguez, DM; Villarroel, L; Fajardo, V; Rodríguez, ML; González-Coloma, A</t>
  </si>
  <si>
    <t>Reina, Matias; Santana, Omar; Dominguez, Dulce M.; Villarroel, Luis; Fajardo, Victor; Rodriguez, Matias L.; Gonzalez-Coloma, Azucena</t>
  </si>
  <si>
    <t>Defensive Sesquiterpenes from Senecio candidans and S. magellanicus, and Their Structure?Activity Relationships</t>
  </si>
  <si>
    <t>CHEMISTRY &amp; BIODIVERSITY</t>
  </si>
  <si>
    <t>Eleven eremophilanolides, 13 and 613, and two eremophilanes, 24 and 25, were isolated from Senecio candidans and S. magellanicus from the Magallanes Region (Chile). Compounds 2, 3, 9, and 10 have not been previously reported as natural products. Their structures were established by NMR spectroscopic analysis and chemical transformations. The X-ray analysis of compounds 11, 13, and 17 were also performed. Different semisynthetic analogs from eremophilanolide 11 were generated to carry out a structure?activity relationship study. Their possible plant defensive role was tested against herbivorous insects (Spodoptera littoralis, Rhopalosiphum padi, and Myzus persicae) and plants (Lactuca sativa). Additionally, their effects on insect (Sf9) and mammalian (CHO) cell lines were tested.</t>
  </si>
  <si>
    <t>GONZALEZ-COLOMA, AZUCENA/G-8781-2015</t>
  </si>
  <si>
    <t>GONZALEZ-COLOMA, AZUCENA/0000-0001-5124-664X; SANTANA MERIDAS, OMAR/0000-0003-0352-5921</t>
  </si>
  <si>
    <t>1612-1872</t>
  </si>
  <si>
    <t>1612-1880</t>
  </si>
  <si>
    <t>10.1002/cbdv.201100236</t>
  </si>
  <si>
    <t>WOS:000301576900012</t>
  </si>
  <si>
    <t>Romero, M; Rojano, B; Mella-Raipán, J; Pessoa-Mahana, CD; Lissi, E; López-Alarcón, C</t>
  </si>
  <si>
    <t>Romero, Max; Rojano, Benjamin; Mella-Raipan, Jaime; David Pessoa-Mahana, Carlos; Lissi, Eduardo; Lopez-Alarcon, Camilo</t>
  </si>
  <si>
    <t>Antioxidant Capacity of Pure Compounds and Complex Mixtures Evaluated by the ORAC-Pyrogallol Red Assay in the Presence of Triton X-100 Micelles</t>
  </si>
  <si>
    <t>MOLECULES</t>
  </si>
  <si>
    <t>The protective effect of different antioxidants and complex mixtures on the consumption of pyrogallol red (PGR) induced by peroxyl radicals was studied in the absence and presence of Triton X-100 micelles. The presence of micelles decreased significantly the protection of PGR afforded by lipophilic antioxidants (beta-carotene, octyl gallate), while no effect of micelles was observed for hydrophilic antioxidants such as Trolox, caffeic acid, gallic acid, and ascorbic acid. In the presence of complex mixtures a clear effect of Triton X-100 micelles was also observed in the protection afforded by wines, tea infusions, and seed extracts of Eugenia jambolana and Myrciaria cauliflora. On the other hand, no effect of micelles was observed for orange juice and pulp fruit extracts. The ORAC (Oxygen Radical Absorbance Capacity) index was evaluated in the absence (ORAC-PGR) and presence of Triton X-100 micelles (ORAC-PGRMIC). Triton X-100 micelles affect ORAC-PGR values of antioxidants in a lipophilicity-dependent way. From the obtained results, we conclude that ORAC-PGR and ORAC-PGRMIC assays could be considered as an alternative to estimate the antioxidant ability (ORAC-PGR) and to infer the association to Triton X-100 micelles (ORAC-PGR/ORAC-PGRMIC) of pure antioxidants and their complex mixtures.</t>
  </si>
  <si>
    <t>Lopez, Camilo/J-5770-2013; Rojano, Benjamin Alberto/R-2971-2017</t>
  </si>
  <si>
    <t>Lopez, Camilo/0000-0002-0174-8972; Pessoa-Mahana, David/0000-0002-9571-0173; Rojano, Benjamin Alberto/0000-0003-3590-8046; mella, jaime/0000-0002-2434-8461</t>
  </si>
  <si>
    <t>1420-3049</t>
  </si>
  <si>
    <t>10.3390/molecules15096152</t>
  </si>
  <si>
    <t>WOS:000282221100019</t>
  </si>
  <si>
    <t>Martel, D; Cong, HN; Gautier, JL</t>
  </si>
  <si>
    <t>Martel, D.; Cong, H. Nguyen; Gautier, J. L.</t>
  </si>
  <si>
    <t>Induced effect of transparent substrate composition on polypyrrole thin film</t>
  </si>
  <si>
    <t>JOURNAL OF MATERIALS SCIENCE</t>
  </si>
  <si>
    <t>For thin films of tin dioxide, indium oxide and indium tin oxide, the substrate nature plays a determining role on their structural and morphological characteristics, which modified noticeably their optical property. On these substrates, the electropolymerization characteristics of polypyrrole exhibited the profound modifications related to the active sites for nuclei formation and their growth. These modifications induced the important change in charge transport characteristics of polypyrrole thin films.</t>
  </si>
  <si>
    <t>0022-2461</t>
  </si>
  <si>
    <t>1573-4803</t>
  </si>
  <si>
    <t>10.1007/s10853-008-2803-y</t>
  </si>
  <si>
    <t>WOS:000258573900024</t>
  </si>
  <si>
    <t>Job, S; Melo, F; Sokolow, A; Sen, S</t>
  </si>
  <si>
    <t>Job, Stephane; Melo, Francisco; Sokolow, Adam; Sen, Surajit</t>
  </si>
  <si>
    <t>Solitary wave trains in granular chains: experiments, theory and simulations</t>
  </si>
  <si>
    <t>GRANULAR MATTER</t>
  </si>
  <si>
    <t>The features of solitary waves observed in horizontal monodisperse chain of barely touching beads not only depend on geometrical and material properties of the beads but also on the initial perturbation provided at the edge of the chain. An impact of a large striker on a monodisperse chain, and similarly a sharp decrease of bead radius in a stepped chain, generates a solitary wave train containing many single solitary waves ordered by decreasing amplitudes. We find, by simple analytical arguments, that the unloading of compression force at the chain edge has a nearly exponential decrease. The characteristic time is mainly a function involving the grains' masses and the striker mass. Numerical calculations and experiments corroborate these findings.</t>
  </si>
  <si>
    <t>Sen, Surajit/T-6278-2018; Melo, Francisco/M-3923-2014; Job, Stephane/D-9735-2011</t>
  </si>
  <si>
    <t>Job, Stephane/0000-0003-2853-1893; Melo, Francisco Esteban/0000-0001-6818-5476</t>
  </si>
  <si>
    <t>1434-5021</t>
  </si>
  <si>
    <t>1434-7636</t>
  </si>
  <si>
    <t>10.1007/s10035-007-0054-2</t>
  </si>
  <si>
    <t>WOS:000250883500003</t>
  </si>
  <si>
    <t>López, CE; Retamal, JC; Solano, E</t>
  </si>
  <si>
    <t>Lopez, C. E.; Retamal, J. C.; Solano, E.</t>
  </si>
  <si>
    <t>Selective control of the symmetric Dicke subspace in trapped ions</t>
  </si>
  <si>
    <t>PHYSICAL REVIEW A</t>
  </si>
  <si>
    <t>We propose a method of manipulating selectively the symmetric Dicke subspace in the internal degrees of freedom of N trapped ions. We show that the direct access to ionic-motional subspaces, based on a suitable tuning of motion-dependent ac Stark shifts, induces a two-level dynamics involving previously selected ionic Dicke states. In this manner, it is possible to produce, sequentially and unitarily, ionic Dicke states with increasing excitation number. Moreover, we propose a probabilistic technique to produce directly any ionic Dicke state assuming suitable initial conditions.</t>
  </si>
  <si>
    <t>Retamal, Juan/G-6425-2010; López, Carlos/B-8456-2009; Solano, Enrique/C-2895-2017</t>
  </si>
  <si>
    <t>Retamal Abarzua, Juan Carlos/0000-0002-7174-7879; SOLANO VILLANUEVA, ENRIQUE LEONIDAS/0000-0002-8602-1181</t>
  </si>
  <si>
    <t>1050-2947</t>
  </si>
  <si>
    <t>1094-1622</t>
  </si>
  <si>
    <t>10.1103/PhysRevA.76.033413</t>
  </si>
  <si>
    <t>WOS:000249786000116</t>
  </si>
  <si>
    <t>Vargas, M; Velásquez, L; Gangi, L; Monroe, D; Salvatierra, DM; Croxatto, H</t>
  </si>
  <si>
    <t>Effect of levonorgestrel on mRNA transcript levels in the human endometrium during the window of implantation</t>
  </si>
  <si>
    <t>PLACENTA</t>
  </si>
  <si>
    <t>Joint Meeting of the 2nd Latinamerican Symposium on Fetal-Mateanal Interaction and Placenta/19th Annual Meeting of the Chilean-Society-of-Physiological-Sciences</t>
  </si>
  <si>
    <t>NOV 06-09, 2005</t>
  </si>
  <si>
    <t>Santiago, CHILE</t>
  </si>
  <si>
    <t>Chilean Soc Physiol Sci</t>
  </si>
  <si>
    <t>0143-4004</t>
  </si>
  <si>
    <t>A10</t>
  </si>
  <si>
    <t>WOS:000233996200041</t>
  </si>
  <si>
    <t>Falcone, RD; Biasutti, MA; Correa, NM; Silber, JJ; Lissi, E; Abuin, E</t>
  </si>
  <si>
    <t>Effect of the addition of a nonaqueous polar solvent (Glycerol) on enzymatic catalysis in reverse micelles.: Hydrolysis of 2-naphthyl acetate by α-chymotrypsin</t>
  </si>
  <si>
    <t>The kinetics of hydrolysis of 2-naphthyl acetate (2-NA) catalyzed by alpha-chymotrypsin (alpha-CT), in reverse micellar solutions formed by glycerol (GY)-water (38% v/v) mixture/sodium bis(2-ethylhexyl)sulfosuccinate (AOT)/n-heptane has been determined by spectroscopic measurements. To compare the efficiency of this reaction with that observed in micelles with water in the core, as well as in the corresponding homogeneous media, the reaction was also studied in water/AOT/n-heptane reverse micellar solutions and in both homogeneous media (water and GY-water, 38% v/v mixture). In every media, alpha-CT was characterized by the absorption and emission spectra, the fluorescence lifetimes, and the fluorescence anisotropy of its tryptophan residues. The effect of AOT concentration on the kinetic parameters obtained in the micellar systems was determined, at a constant molar ratio of the inner polar solvent and surfactant. Moreover, the data obtained allowed the evaluation of the 2-NA partition constant between the organic and the micellar pseudophase. It is shown that the addition of GY to the micelle interior results in an increase in the catalytic properties of alpha-CT. The fluorescence anisotropy studies in the different media show that the addition of GY increases the viscosity as compared with the aqueous systems. It seems that the GY addition to the reverse micellar aggregates results in a decrease of the conformational mobility of alpha-CT, which leads to an increase of the enzyme stability and activity.</t>
  </si>
  <si>
    <t>Falcone, Ruben/F-5413-2011; Correa, N. Mariano/I-8886-2018</t>
  </si>
  <si>
    <t>Correa, N. Mariano/0000-0002-1728-3620; Silber, Juana/0000-0001-9395-9939; Falcone, R. Dario/0000-0002-0997-3437</t>
  </si>
  <si>
    <t>JUL 6</t>
  </si>
  <si>
    <t>10.1021/la036243x</t>
  </si>
  <si>
    <t>WOS:000222429200017</t>
  </si>
  <si>
    <t>Gautier, JL; Ahumada, R; Meza, E; Poillerat, G</t>
  </si>
  <si>
    <t>Lithium insertion into Li-Mn, Li-Fe and Li-Co oxides</t>
  </si>
  <si>
    <t>BOLETIN DE LA SOCIEDAD CHILENA DE QUIMICA</t>
  </si>
  <si>
    <t>We have studied the lithium insertion into LiM2O4 (M = Mn, Fe, Co) using n-BuLi and electrochemical techniques. The oxides crystallized in the pure spinel phase S.G. O-h(7) (Fd3m). Probable cationic distributions were proposed based on XRD, Mossbauer and pzc measurements. The results demonstrate that an important factor in the extent of the lithium insertion reaction in mixed oxides is the presence of the highest oxidation state in the transition metal cations that are located in B-sites of the spinel framework.</t>
  </si>
  <si>
    <t>Meza, Erika/S-5934-2017</t>
  </si>
  <si>
    <t>0366-1644</t>
  </si>
  <si>
    <t>WOS:000172210200016</t>
  </si>
  <si>
    <t>Ferret, E; Siméon, JH; Molin, P; Jorquera, H; Acuña, G; Giral, R</t>
  </si>
  <si>
    <t>Macroscopic growth of filamentous fungi on solid substrate explained by a microscopic approach</t>
  </si>
  <si>
    <t>BIOTECHNOLOGY AND BIOENGINEERING</t>
  </si>
  <si>
    <t>A quantitative model predicting biomass growth an solid media has been developed. The model takes into account steric interactions between hyphae and tips at the microscopic level (competition for substrate and tip-hypha collisions), These interactions effect a slowing down of the hyphal, population-averaged extension rate and are responsible, at the microscopic level, for the distribution of tip orientations observed at the colony border. At the macroscopic level, a limiting value of the colony radial extension rate is attained. A mathematical model that combines hyphal branching, tip diffusion, and biomass growth was proposed to explain such behavior. Experiments using Gibberella fujikuroi were performed to validate the model; good agreement between experiments and simulations was achieved. Most parameters can be measured by simple image analysis on the peripheral growth zone, and they have clear physical meaning; that is, they correspond to properties of single, leading hyphae. The model can be used to describe two-dimensional (2D) solid media fermentation experiments under varying culture conditions; the model can also be extended to consider growth in three-dimensional (3D), complex geometry substrates. (C) 1999 John Wiley &amp; Sons, Inc.</t>
  </si>
  <si>
    <t>; Jorquera, Hector/B-8645-2014</t>
  </si>
  <si>
    <t>Acuna Leiva, Gonzalo Pedro/0000-0002-0519-7792; Jorquera, Hector/0000-0002-7462-7901</t>
  </si>
  <si>
    <t>0006-3592</t>
  </si>
  <si>
    <t>DEC 5</t>
  </si>
  <si>
    <t>10.1002/(SICI)1097-0290(19991205)65:5&lt;512::AID-BIT3&gt;3.0.CO;2-D</t>
  </si>
  <si>
    <t>WOS:000083315400003</t>
  </si>
  <si>
    <t>Galaz-Araya, C; Zuñiga- Núñez, D; Salas-Sepúlveda, F; Herrera-Morande, A; Aspée, A; Poblete, H; Zamora, RA</t>
  </si>
  <si>
    <t>Galaz-Araya, Constanza; Zuniga-Nunez, Daniel; Salas-Sepulveda, Francisca; Herrera-Morande, Alejandra; Aspee, Alexis; Poblete, Horacio; Zamora, Ricardo A.</t>
  </si>
  <si>
    <t>Theoretical evaluation of a bulky ortho-thioalkyl-azobenzene as an alternative to photocontrol structural cytotoxic effects of metal-free and disulfide oxidized hSOD1 in pathogenesis of ALS</t>
  </si>
  <si>
    <t>RSC ADVANCES</t>
  </si>
  <si>
    <t>This study presents a novel photopharmacological strategy to mitigate the cytotoxic effects of apo-hSOD1S-S, a misfolded protein implicated in neurodegenerative diseases. Using quantum chemical calculations and molecular dynamics simulations, we demonstrate that ortho-thio-substituted azobenzene photoswitches (ortho-TABPs) can be employed to precisely modulate the dynamics of the crucial electrostatic loop (EL) in apo-hSOD1S-S. We establish that larger ortho-S-alkyl substituents on the ortho-TABP enhance its redox stability, favouring the cis conformation through the modulation of the position of the n -&gt; pi* transition. This stability is crucial for operation within the reducing cellular environment. Furthermore, we demonstrate the successful and consistent photomodulation of EL conformational dynamics in apo-hSOD1S-S through covalent tethering of an ortho-TABP. This control is achieved by leveraging the thermodynamically stable trans conformation of the photoswitch, which allosterically influences the EL and consequently, the geometry of the Zn-binding site, a critical determinant of apo-hSOD1S-S cytotoxicity. This work paves the way for developing targeted therapies for neurodegenerative diseases by demonstrating the precise and effective photomodulation of apo-hSOD1S-Svia rationally designed ortho-TABPs.</t>
  </si>
  <si>
    <t>Poblete, Horacio/E-4974-2012; Zamora, Ricardo/O-8717-2018</t>
  </si>
  <si>
    <t>2046-2069</t>
  </si>
  <si>
    <t>10.1039/d4ra08972c</t>
  </si>
  <si>
    <t>WOS:001450406000001</t>
  </si>
  <si>
    <t>Delgado, S; Armijo, A; Bravo, V; Orellana, O; Salazar, JC; Katz, A</t>
  </si>
  <si>
    <t>Delgado, Sebastian; Armijo, Alvaro; Bravo, Veronica; Orellana, Omar; Salazar, Juan Carlos; Katz, Assaf</t>
  </si>
  <si>
    <t>Impact of the chemical modification of tRNAs anticodon loop on the variability and evolution of codon usage in proteobacteria</t>
  </si>
  <si>
    <t>Despite the highly conserved nature of the genetic code, the frequency of usage of each codon can vary significantly. The evolution of codon usage is shaped by two main evolutionary forces: mutational bias and selection pressures. These pressures can be driven by environmental factors, but also by the need for efficient translation, which depends heavily on the concentration of transfer RNAs (tRNAs) within the cell. The data presented here supports the proposal that tRNA modifications play a key role in shaping the overall preference of codon usage in proteobacteria. Interestingly, some codons, such as CGA and AGG (encoding arginine), exhibit a surprisingly low level of variation in their frequency of usage, even across genomes with differing GC content. These findings suggest that the evolution of GC content in proteobacterial genomes might be primarily driven by changes in the usage of a specific subset of codons, whose usage is itself influenced by tRNA modifications.</t>
  </si>
  <si>
    <t>Katz, Assaf/K-7130-2018; Bravo, Verónica/JEF-1632-2023</t>
  </si>
  <si>
    <t>Katz, Assaf/0000-0001-5481-7399; Salazar Garrido, Juan Carlos/0000-0002-2096-2050</t>
  </si>
  <si>
    <t>AUG 5</t>
  </si>
  <si>
    <t>10.3389/fmicb.2024.1412318</t>
  </si>
  <si>
    <t>WOS:001293661300001</t>
  </si>
  <si>
    <t>Kaltsidi, MP; Bayer, I; Mitsi, C; Aros, D</t>
  </si>
  <si>
    <t>Kaltsidi, Maria P.; Bayer, Ignacia; Mitsi, Christina; Aros, Danilo</t>
  </si>
  <si>
    <t>Potential Use of Chilean Native Species in Vertical Greening Systems</t>
  </si>
  <si>
    <t>SUSTAINABILITY</t>
  </si>
  <si>
    <t>Vertical greening systems (VGSs), i.e., living walls (LWs) and green facades (GFs), are considered a promising technology to diminish the negative effects of urbanisation. Plant selection for these systems is challenging due to the narrow spectrum of species available, and the required adaptation to specific climate conditions. Considering Chile's rich plant biodiversity, this study aims to analyse the potential of Chilean native species to be introduced in VGSs. A total of 109 potentially usable species from the north (n = 25), centre (n = 32), south (n = 31) and the Andes Mountains (n = 21) were selected for VGSs, showing a high level of endemism (43.1%). According to the filters applied, 39 and 70 species were selected for GFs and LWs, respectively. To evaluate appreciation of Chilean native plants and their potential use in VGSs, an online questionnaire was responded by 428 individuals. Most participants agreed or strongly agreed with the use of LWs and/or GFs inside their house/apartment (75.5%) and in their garden/balcony (90.0%). Most of the participants agreed or strongly agreed with the use of Chilean native plants inside their house/apartment (75.0%) and in their garden/balcony (84.4%). Further empirical studies are still required to confirm the use of Chilean native species in LWs and GFs.</t>
  </si>
  <si>
    <t>KALTSIDI, MARIA-PINELOPI/E-5174-2016; AROS, DANILO/I-1024-2013</t>
  </si>
  <si>
    <t>AROS, DANILO/0000-0001-7364-7399; Kaltsidi, Maria Pinelopi/0000-0001-8212-8945; Bayer, Ignacia/0009-0005-2776-5366; Mitsi, Christina/0000-0002-0767-0600</t>
  </si>
  <si>
    <t>2071-1050</t>
  </si>
  <si>
    <t>10.3390/su15064944</t>
  </si>
  <si>
    <t>WOS:000960203300001</t>
  </si>
  <si>
    <t>Vidal, J; Báez, ME; Calzadilla, W; Aranda, M; Salazar, R</t>
  </si>
  <si>
    <t>Vidal, Jorge; Baez, Maria E.; Calzadilla, Wendy; Aranda, Mario; Salazar, Ricardo</t>
  </si>
  <si>
    <t>Removal of chloridazon and its metabolites from soil and soil washing water by electrochemical processes</t>
  </si>
  <si>
    <t>This work deals with the electro-remediation of two soils enriched with chloridazon (CLZ), an herbicide widely used in agriculture for the main control of beets and corn. It is considered relatively harmless, but its main metabolites, desphenyl-chloridazon (DPC) and methyl-desphenyl-chloridazon (Me-DPC), can be a threat to surface and groundwater resources. The electro-kinetic soil washing (EKSW) process was studied by applying direct (DP) and alternate polarity (AP) during 15 days with an electric field of 1 V cm(-1) between the electrodes. The removal percentage for a clay soil was 100% and 63%, respectively. Considering that EKSW-AP did not modify the physicochemical properties of the soil, it was applied to a soil with a high organic matter, reaching 51% elimination. The retention capacity of CLZ was tested in both soils using mobility tests in columns. The washing water from the EKSW-AP process was treated by electro-oxidation in order to assess the effect of current density on the degradation of CLZ, Me-DPC, and DPC. The generation of center dot OH on the surface of the anode allowed a complete degradation and partial mineralization of these pollutants. The kapp for the pseudo-first order degradation of CLZ, Me-DPC, and DPC were 0.0359, 0.0329, and 0.0220 min-1, respectively. Likewise, 6 aromatic by-products were identified during electro-oxidation, and the evolution of 4 carboxylic acids and 3 inorganic ions was followed. The results showed that the application of both coupled stages would allow the removal of CLZ from the soil and the washing water.</t>
  </si>
  <si>
    <t>Salazar, Ricardo/L-7870-2013; Calzadilla, Wendy/KHY-6999-2024; Aranda, Mario/A-6599-2013</t>
  </si>
  <si>
    <t>Vidal, Jorge/0000-0002-1334-377X; Baez Contreras, Maria E/0000-0003-0312-7237; Aranda, Mario/0000-0001-7846-9149; Salazar-Gonzalez, Ricardo/0000-0003-2180-6022</t>
  </si>
  <si>
    <t>10.1016/j.electacta.2022.140682</t>
  </si>
  <si>
    <t>WOS:000884351200002</t>
  </si>
  <si>
    <t>Valenzuela, J; Alfaro, M; Fuertes, G; Vargas, M; Sáez-Navarrete, C</t>
  </si>
  <si>
    <t>Valenzuela, Juan; Alfaro, Miguel; Fuertes, Guillermo; Vargas, Manuel; Saez-Navarrete, Cesar</t>
  </si>
  <si>
    <t>Reverse logistics models for the collection of plastic waste: A literature review</t>
  </si>
  <si>
    <t>WASTE MANAGEMENT &amp; RESEARCH</t>
  </si>
  <si>
    <t>To support the understanding of recycling models applied to plastics, the main objective of this work is to offer a literature review of the different reverse logistics (RL) models for collecting plastic waste (PW). The methodology used for processing the scientific literature was content analysis, using the google scholar search engine. The main keywords used were RL and PW. This article is divided into two parts: the first part discusses the development of circular economy models and RL networks and raises the conceptual framework of the research, and the second part presents mathematical models and exploratory studies, proposed as a solution for RL problems of PW. Articles published between years 2014 and 2019 were reviewed. In total, 102 references were used, 70 of them are part of the literature review. According to our findings, we can state that the most widely used solution method for mathematical modeling is mixed-integer linear programming, and for exploratory studies, it was evaluations. About 93% of studies evaluated raw materials related to PW; only 13% of studies had models with stochastic processes; and 88% of the investigations used continuous variables, being the multiobjective functions one of the most used to provide solutions to RL problems. Regarding the mathematical models, 49% were evaluations, 9% corresponded to multicriteria analysis, 29% to linear and nonlinear programming, and 4% to another type of evaluation or model.</t>
  </si>
  <si>
    <t>vargas, manuel/AAG-4780-2020; Saez-Navarrete, Cesar Antonio/HZL-8450-2023; Fuertes, Guillermo/Q-2341-2016</t>
  </si>
  <si>
    <t>Saez-Navarrete, Cesar Antonio/0000-0002-3940-143X; Vargas Guzman, Manuel Eduardo/0000-0003-4161-6621; Valenzuela, Juan/0000-0002-1043-2216; Fuertes, Guillermo/0000-0003-3044-5919</t>
  </si>
  <si>
    <t>0734-242X</t>
  </si>
  <si>
    <t>1096-3669</t>
  </si>
  <si>
    <t>0734242X211003948</t>
  </si>
  <si>
    <t>10.1177/0734242X211003948</t>
  </si>
  <si>
    <t>JUN 2021</t>
  </si>
  <si>
    <t>WOS:000660921500001</t>
  </si>
  <si>
    <t>Elorrieta, F; Eyheramendy, S; Palma, W; Ojeda, C</t>
  </si>
  <si>
    <t>Elorrieta, Felipe; Eyheramendy, Susana; Palma, Wilfredo; Ojeda, Cesar</t>
  </si>
  <si>
    <t>A novel bivariate autoregressive model for predicting and forecasting irregularly observed time series</t>
  </si>
  <si>
    <t>MONTHLY NOTICES OF THE ROYAL ASTRONOMICAL SOCIETY</t>
  </si>
  <si>
    <t>In several disciplines, it is common to find time series measured at irregular observational times. In particular, in astronomy there are a large number of surveys that gather information over irregular time gaps and in more than one passband. Some examples are Pan-STARRS, ZTF, and also the LSST. However, current commonly used time series models that estimate the time dependence in astronomical light curves consider the information of each band separately (e.g, CIAR, IAR, and CARMA models) disregarding the dependence that might exist between different passbands. In this paper, we propose a novel bivariate model for irregularly sampled time series, called the Bivariate Irregular Autoregressive (BIAR) model. The BIAR model assumes an autoregressive structure on each time series; it is stationary, and it allows to estimate the autocorrelation, the cross-correlation and the contemporary correlation between two unequally spaced time series. We implemented the BIAR model on light curves, in the g and r bands, obtained from the ZTF alerts processed by the ALeRCE broker. We show that if the light curves of the two bands are highly correlated, the model has more accurate forecast and prediction using the bivariate model than a similar method that uses only univariate information. Further, the estimated parameters of the BIAR are useful to characterize long-period variable stars and to distinguish between classes of stochastic objects, providing promising features that can be used for classification purposes.</t>
  </si>
  <si>
    <t>Elorrieta, Felipe/AAX-2057-2020</t>
  </si>
  <si>
    <t>, Wilfredo/0000-0002-7814-2653; Ojeda, Cesar/0000-0002-4042-8920; Eyheramendy, Susana/0000-0003-4723-9660; Elorrieta, Felipe/0000-0002-1835-7433</t>
  </si>
  <si>
    <t>0035-8711</t>
  </si>
  <si>
    <t>1365-2966</t>
  </si>
  <si>
    <t>10.1093/mnras/stab1216</t>
  </si>
  <si>
    <t>WOS:000671453100074</t>
  </si>
  <si>
    <t>Vasquez-Henriquez, P; Graells-Garrido, E; Caro, D</t>
  </si>
  <si>
    <t>Vasquez-Henriquez, Paula; Graells-Garrido, Eduardo; Caro, Diego</t>
  </si>
  <si>
    <t>Tweets on the Go: Gender Differences in Transport Perception and Its Discussion on Social Media</t>
  </si>
  <si>
    <t>People often base their mobility decisions on subjective aspects of travel experience, such as time perception, space usage, and safety. It is well recognized that different groups within a population will react differently to the same trip, however, current data collection methods might not consider the multi dimensional aspects of travel perception, which could lead to overlooking the needs of large population groups. In this paper, we propose to measure several aspects of the travel experience from the social media platform Twitter, with a focus on differences with respect to gender. We analyzed more than 400,000 tweets from 100,000 users about transportation from Santiago, Chile. Our main findings show that both genders express themselves differently, as women write about their emotions regarding travel (both, positive and negative feelings), that men express themselves using slang, making it difficult to interpret emotion. The strongest difference is related to harassment, not only on transportation, but also on the public space. Since these aspects are usually omitted from travel surveys, our work provides evidence on how Twitter allows the measurement of aspects of the transportation system in a city that have been studied in qualitative terms, complementing surveys with emotional and safety aspects that are as relevant as those traditionally measured.</t>
  </si>
  <si>
    <t>Graells-Garrido, Eduardo/AFM-2616-2022</t>
  </si>
  <si>
    <t>Caro, Diego/0000-0002-3335-9920</t>
  </si>
  <si>
    <t>10.3390/su12135405</t>
  </si>
  <si>
    <t>WOS:000550210300001</t>
  </si>
  <si>
    <t>Ureta-Zañartu, MS; Méndez-Torres, AM; Fernández, F; Ilabaca, J; Mascayano, C; Gutiérrez, C</t>
  </si>
  <si>
    <t>Soledad Ureta-Zanartu, M.; Maria Mendez-Torres, Ana; Fernandez, Francisco; Ilabaca, Jacqueline; Mascayano, Carolina; Gutierrez, Claudio</t>
  </si>
  <si>
    <t>Importance of the electrolyte cation on the non-covalent interactions in the electrooxidation of 1-heptanol on gold in 0.1 M alkali metal hydroxides</t>
  </si>
  <si>
    <t>MATERIALS CHEMISTRY AND PHYSICS</t>
  </si>
  <si>
    <t>In order to determine the possible non-covalent influence of the alkali metal cation on the electrooxidation of 1-heptanol on gold in alkali metal hydroxides, 0.1 M MOH solutions, where M = Li, Na, K, Rb, and Cs, have been used. The charge-transfer resistance, determined by Electrochemical Impedance Spectroscopy, of heptanol oxidation at a fixed potential increased monotonically by a factor of 4 from LiOH to RbOH, that is, the heptanol oxidation current decreased. Since the degree of hydration of the OH group of the alcohol, as estimated by Molecular Dynamics Simulation, increased by a factor of 5 from LiOH to RbOH, it can be concluded that the decrease of the heptanol oxidation current from LiOH to RbOH is due to an increasing hydration of the heptanol OH group, which would hinder its access to the electrode surface. This result is in line with the previous finding [M.S. Ureta-Zanartu, C. Mascayano, C. Guti.errez, doi:10.1016/j.electacta.2015.02.230] that the increase of the alcohol oxidation current at a fixed potential of linear saturated aliphatic alcohols from C1 to C7 on gold, both in a pH 11 buffer and in 0.1 M NaOH, increased with increasing chain length, that is, with decreasing hydration (because of the increasing hydrophobicity) of the alcoholic OH group.</t>
  </si>
  <si>
    <t>Ureta-Zañartu, Maria/G-5239-2019; Fernandez, Francisco/K-5532-2014</t>
  </si>
  <si>
    <t>Mascayano Collado, Carolina Lorena/0000-0002-3488-9309; Mendez Torres, Ana Maria/0000-0001-6497-796X</t>
  </si>
  <si>
    <t>0254-0584</t>
  </si>
  <si>
    <t>1879-3312</t>
  </si>
  <si>
    <t>10.1016/j.matchemphys.2020.122828</t>
  </si>
  <si>
    <t>WOS:000525781100019</t>
  </si>
  <si>
    <t>Navarro, G; Sepúlveda, V; Marín, M; González, S</t>
  </si>
  <si>
    <t>Navarro, Gonzalo; Sepulveda, Victor; Marin, Mauricio; Gonzalez, Senen</t>
  </si>
  <si>
    <t>Compressed filesystem for managing large genome collections</t>
  </si>
  <si>
    <t>BIOINFORMATICS</t>
  </si>
  <si>
    <t>Motivation: Genome repositories are growing faster than our storage capacities, challenging our ability to store, transmit, process and analyze them. While genomes are not very compressible individually, those repositories usually contain myriads of genomes or genome reads of the same species, thereby creating opportunities for orders-of-magnitude compression by exploiting inter-genome similarities. A useful compression system, however, cannot be only usable for archival, but it must allow direct access to the sequences, ideally in transparent form so that applications do not need to be rewritten. Results: We present a highly compressed filesystem that specializes in storing large collections of genomes and reads. The system obtains orders-of-magnitude compression by using Relative Lempel-Ziv, which exploits the high similarities between genomes of the same species. The filesystem transparently stores the files in compressed form, intervening the system calls of the applications without the need to modify them. A client/server variant of the system stores the compressed files in a server, while the client's filesystem transparently retrieves and updates the data from the server. The data between client and server are also transferred in compressed form, which saves an order of magnitude network time.</t>
  </si>
  <si>
    <t>Marin, Mauricio/GLR-7700-2022</t>
  </si>
  <si>
    <t>Marin, Mauricio/0000-0003-0662-7149</t>
  </si>
  <si>
    <t>1367-4803</t>
  </si>
  <si>
    <t>1367-4811</t>
  </si>
  <si>
    <t>OCT 15</t>
  </si>
  <si>
    <t>10.1093/bioinformatics/btz192</t>
  </si>
  <si>
    <t>WOS:000499323200030</t>
  </si>
  <si>
    <t>Guzman-Martinez, L; Maccioni, RB; Andrade, V; Navarrete, LP; Pastor, MG; Ramos-Escobar, N</t>
  </si>
  <si>
    <t>Guzman-Martinez, Leonardo; Maccioni, Ricardo B.; Andrade, Victor; Patricio Navarrete, Leonardo; Gabriela Pastor, Maria; Ramos-Escobar, Nicolas</t>
  </si>
  <si>
    <t>Neuroinflammation as a Common Feature of Neurodegenerative Disorders</t>
  </si>
  <si>
    <t>FRONTIERS IN PHARMACOLOGY</t>
  </si>
  <si>
    <t>Neurodegenerative diseases share the fact that they derive from altered proteins that undergo an unfolding process followed by formation of beta-structures and a pathological tendency to self-aggregate in neuronal cells. This is a characteristic of tau protein in Alzheimer's disease and several tauopathies associated with tau unfolding, alpha-synuclein in Parkinson's disease, and huntingtin in Huntington disease. Usually, the self-aggregation products are toxic to these cells, and toxicity spreads all over different brain areas. We have postulated that these protein unfolding events are the molecular alterations that trigger several neurodegenerative disorders. Most interestingly, these events occur as a result of neuroinflammatory cascades involving alterations in the cross-talks between glial cells and neurons as a consequence of the activation of microglia and astrocytes. The model we have hypothesized for Alzheimer's disease involves damage signals that promote glial activation, followed by nuclear factor NF-k beta activation, synthesis, and release of proinflammatory cytokines such as tumor necrosis factor (TNF)-alpha, interleukin (IL)-1, IL-6, and IL-12 that affect neuronal receptors with an overactivation of protein kinases. These patterns of pathological events can be applied to several neurodegenerative disorders. In this context, the involvement of innate immunity seems to be a major paradigm in the pathogenesis of these diseases. This is an important element for the search for potential therapeutic approaches for all these brain disorders.</t>
  </si>
  <si>
    <t>Andrade, Victor/IQV-7730-2023; Guzman, Leonardo/ABB-1320-2020; Maccioni, Ricardo/ABA-9608-2020</t>
  </si>
  <si>
    <t>Andrade, Victor/0000-0003-0682-269X</t>
  </si>
  <si>
    <t>1663-9812</t>
  </si>
  <si>
    <t>SEP 12</t>
  </si>
  <si>
    <t>10.3389/fphar.2019.01008</t>
  </si>
  <si>
    <t>WOS:000485285800001</t>
  </si>
  <si>
    <t>Cruz, N; González, E; Lepe, S; Gómez, DSC</t>
  </si>
  <si>
    <t>Cruz, Norman; Gonzalez, Esteban; Lepe, Samuel; Saez-Chillon Gomez, Diego</t>
  </si>
  <si>
    <t>Analysing dissipative effects in the ACDM model</t>
  </si>
  <si>
    <t>JOURNAL OF COSMOLOGY AND ASTROPARTICLE PHYSICS</t>
  </si>
  <si>
    <t>In the present paper, the effects of viscous dark matter are analysed \vithin the ACDM model. Here we consider bulk viscosity through the Israel-Stewart theory approach, leading to an effective pressure term in the continuity equation that accomplishes for the dissipative effects of the dark matter fluid. Then, the corresponding equation for viscosity is solved and a general equation for the Hubble parameter is obtained with the presence of a cosmological constant. The existence of de Sitter solutions is discussed, where a wider range of solutions is found in comparison to the ACDM model. Also the conditions for the near thermodynamical equilibrium of the fluid is analysed. Finally, a qualitative analysis provides some constraints on the model by using Supernovae la data which reveals the possible importance of causal thermodynamics in cosmology.</t>
  </si>
  <si>
    <t>González, Esteban/AGF-1575-2022; Saez-Chillon Gomez, Diego/A-7574-2015</t>
  </si>
  <si>
    <t>1475-7516</t>
  </si>
  <si>
    <t>10.1088/1475-7516/2018/12/017</t>
  </si>
  <si>
    <t>WOS:000452898200004</t>
  </si>
  <si>
    <t>Tagle, M; Reyes, F; Vásquez, Y; Carbone, S; Saarikoski, S; Timonen, H; Gramsch, E; Oyola, P</t>
  </si>
  <si>
    <t>Tagle, Matias; Reyes, Felipe; Vasquez, Yeanice; Carbone, Samara; Saarikoski, Sanna; Timonen, Hilkka; Gramsch, Ernesto; Oyola, Pedro</t>
  </si>
  <si>
    <t>Spatiotemporal Variation in Composition of Submicron Particles in Santiago Metropolitan Region, Chile</t>
  </si>
  <si>
    <t>FRONTIERS IN ENVIRONMENTAL SCIENCE</t>
  </si>
  <si>
    <t>The chemical composition of submicron particles (aerodynamic diameter D-a &lt; 1.0 mu m) was investigated at three locations in the Santiago Metropolitan Region (SMR), Chile. Measurements campaigns were conducted in winter and spring 2016, at representative sites of a rural, urban, and urban receptor environment. Instrumentation consisted of an optical analyzer to determine Black Carbon (BC) and the Aerosol Chemical Speciation Monitor (ACSM) to measure concentrations of particulate chloride (Cl-), nitrate (NO3- ), sulfate (SO42-), ammonium (NH4+), and non-refractory carbonaceous species (organics). Complementary data, such as ozone concentration and meteorological parameters were obtained from the public air quality network. Results showed that in both the winter and spring seasons the organics predominated in the mass of submicron particles. This fraction was followed in decreasing order by NO3-, NH4+, BC, SO42-, and Cl- . The highest average organics concentrations were measured in winter at the urban (32.2 mu g m(-3)) and urban receptor sites (20.1 mu g m(-3)). In winter, average concentrations of both NO3- and NH4+ were higher at the urban receptor site (12.3 and 4.5 mu g m(-3), respectively) when compared to the urban site (6.4 and 3.1 mu g m(-3), respectively). In general, all the measured species were present in higher concentrations during winter, excepting SO42-, which was the only one that increased during spring. The transition toward spring was also associated with an acidification of the aerosol at the rural and urban receptor site, while at the urban site the aerosol was observed alkaline. The highest average ozone concentration during both the winter and spring seasons were recorded at the urban receptor site (7.2 and 24.0 ppb, respectively). The study reports data showing that the atmosphere in the SMR has a considerable load of particulate organic compounds, NO3- and NH4+, which are in higher concentrations at urban sites during the winter season. Based on wind patterns and the hourly profiles of chemical species, the study suggests that during daytime the polluted air masses from the urban center can move to the northeast part of the region (namely urban receptor site) leading to the formation of submicron particles as well as photochemical ozone.</t>
  </si>
  <si>
    <t>Timonen, Hilkka/M-8141-2014; Saarikoski, Sanna/M-9529-2019; Gramsch, Ernesto/M-5507-2017</t>
  </si>
  <si>
    <t>Carbone, Samara/0000-0002-3397-1183; Gramsch, Ernesto/0000-0002-6787-7355; Tagle, Matias/0000-0001-7782-601X</t>
  </si>
  <si>
    <t>2296-665X</t>
  </si>
  <si>
    <t>10.3389/fenvs.2018.00027</t>
  </si>
  <si>
    <t>WOS:000452110200001</t>
  </si>
  <si>
    <t>Kumar, R; Singh, RK; Singh, DP; Savu, R; Moshkalev, SA</t>
  </si>
  <si>
    <t>Kumar, Rajesh; Singh, Rajesh Kumar; Pratap Singh, Dinesh; Savu, Raluca; Moshkalev, Stanislav A.</t>
  </si>
  <si>
    <t>Microwave heating time dependent synthesis of various dimensional graphene oxide supported hierarchical ZnO nanostructures and its photoluminescence studies</t>
  </si>
  <si>
    <t>MATERIALS &amp; DESIGN</t>
  </si>
  <si>
    <t>Microwave heating reaction time dependent various graphene oxide based zinc oxide (G-ZnO) heterostructures such as graphene oxide-ZnO microcubes (GZMC), graphene oxide-ZnO nanoflakes (GZNF) and graphene oxide ZnO nanoneedles (GZNN) are synthesized by simple and cost effective microwave assisted exfoliation method. These heterostructures supported on graphene oxide nanosheets (GNSs) represent three dimensional (3D) ZnO microcubes and various confined two dimensional (2D) nanoflakes and one dimensional (1D) ZnO nanoneedles like structures. The recorded PL intensity variations show the strong evidence of the interfaces interaction between graphene oxide and ZnO heterostructures. However the differences in the PL intensities are also caused by the 3D and various confined G-ZnO heterostructures. The photoluminescence characterization of GZMC, GZNF and GZNN nanostructures exhibit a decrement in the PL intensity. The PL intensity of the GZNN is lowered by 67.50% and 39.7% to the GZMC and GZNF nanostructures respectively. The results show that ZnO heterostructures grown on GNSs with different morphologies and dimensionalities exhibit the variation in PL intensity due to preventing a direct recombination of the electrons and holes in ZnO. A tentative growth mechanism has been given for the growth of various graphene based zinc oxide heterostructures. (C) 2016 Elsevier Ltd. All rights reserved.</t>
  </si>
  <si>
    <t>Kumar, Dr. Rajesh/H-6510-2011; Savu, Raluca/H-1775-2014; Moshkalev, Stanislav/B-9462-2012; Singh, Rajesh kumar/B-2721-2008; Savu, Raluca/N-2609-2016; SINGH, DINESH/A-2509-2011</t>
  </si>
  <si>
    <t>Singh, Rajesh kumar/0000-0001-8884-8775; Savu, Raluca/0000-0001-9866-3598; SINGH, DINESH/0000-0002-2893-7749; Moshkalev, Stanislav/0000-0002-6973-506X; Kumar, Rajesh/0000-0001-7065-3259</t>
  </si>
  <si>
    <t>0264-1275</t>
  </si>
  <si>
    <t>1873-4197</t>
  </si>
  <si>
    <t>10.1016/j.matdes.2016.09.018</t>
  </si>
  <si>
    <t>WOS:000386869300035</t>
  </si>
  <si>
    <t>Overwin, H; Wray, V; Seeger, M; Sepúlveda-Boza, S; Hofer, B</t>
  </si>
  <si>
    <t>Overwin, Heike; Wray, Victor; Seeger, Michael; Sepulveda-Boza, Silvia; Hofer, Bernd</t>
  </si>
  <si>
    <t>Flavanone and isoflavone glucosylation by non-Leloir glycosyltransferases</t>
  </si>
  <si>
    <t>JOURNAL OF BIOTECHNOLOGY</t>
  </si>
  <si>
    <t>Flavonoids possess a wide range of biological activities. Their glycosylation is of considerable interest, as it often positively influences their pharmacokinetic and other molecular properties. We recently showed that two non-Leloir glycosyltransferases that use sucrose as carbohydrate donor, an amylosucrase from Neisseria polysaccharea (Ams-Np) and a glucansucrase from Streptococcus oralis (GtfR-So), were hardly able to glucosylate flavones, but accepted flavanes as substrates. We now examined compounds from two other flavonoid classes, flavanones and isoflavones for glucose transfer by these enzymes. Taxifolin was investigated as a flavanone analogue of both, the accepted pentahydroxyflavane catechin and the non -accepted pentahydroxyflavone quercetin. It was glucosylated by both enzymes, but much better by GtfR-So than by Ams-Np due to apparent strong inhibition of the latter. The acceptance of a collection of isoflavones strongly depended on the substitution pattern of the core. Only two of the 10 compounds examined yielded glucosides in satisfactory amounts. With these substrates, both enzymes catalyzed formation of a range of products, differing in the number of saccharide units. The structures of mono and diglycosylated compounds obtained in higher amounts were elucidated. While GtfR-So attached glucose to taxifolin in the B ring at 04', both enzymes glucosylated the isoflavones in the A ring at 07. All products were ce.-glucosides. Interglycosidic linkages formed by Ams-Np were ce1-4. To our knowledge, this is the first report of glucosylation of flavanone and isoflavone aglycones by an amylosucrase. All characterized compounds have not previously been described. (C) 2016 Elsevier B.V. All rights reserved.</t>
  </si>
  <si>
    <t>Wray, Victor Samuel Ebenezer/JOK-8437-2023; Seeger, Michael/AFK-3436-2022</t>
  </si>
  <si>
    <t>0168-1656</t>
  </si>
  <si>
    <t>1873-4863</t>
  </si>
  <si>
    <t>SEP 10</t>
  </si>
  <si>
    <t>10.1016/j.jbiotec.2016.06.026</t>
  </si>
  <si>
    <t>WOS:000380819300014</t>
  </si>
  <si>
    <t>Tike, PS; Soto, GR; Valenzuela, TH; Agüero, SD; Sepúlveda, RY</t>
  </si>
  <si>
    <t>Siegel Tike, Patricio; Rosales Soto, Giovanni; Herrera Valenzuela, Tomas; Duran Agueero, Samuel; Yanez Sepulveda, Rodrigo</t>
  </si>
  <si>
    <t>BODY COMPOSITION PARAMETERS AND RELATIONSHIP WITH THE MAXIMAL AEROBIC POWER IN RECREATIONAL CYCLISTS</t>
  </si>
  <si>
    <t>Objective: the aim of this study is to relate body composition parameters on performance in recreational cyclists using fat mass (MG), total muscle mass (MM) and the appendix of the lower extremity (MM) with maximal aerobic power (PAM). Methods: 11 male cyclists (27.7 +/- 4.5 years; 72.4 +/- 12.4 kg; 173.2 +/- 6.7 cm.) were recruited. The anthropometric measurements were performed according to the protocols of the International Society for the Advancement of Kineanthropometry (ISAK) and testing of PAM were held following a ramp protocol, which began with an initial load of 150 W and then increments 30 W at 1-minute intervals until exhaustion. Results: there is dependence between variables and the VO(2)max MG that correlate negatively and significantly (p &lt; 0.05). MM respect to variables and the VO(2)max significantly negatively correlated (p &lt; 0.05). In correlation with the PAM, MMEI it can be seen a positive and significant correlation (p &lt; 0.01) indicating that individuals who have greater muscle component in the lower limbs (EEII) are able to generate more power. Conclusions: we conclude that the results obtained, both the MG and the MM are not a good reference as performance parameters regarding the VAM. The MMEI was the only parameter that showed a positive relationship as a marker of performance in recreational cyclists.</t>
  </si>
  <si>
    <t>Agüero, Samuel/AAZ-6140-2020; HERRERA, TOMAS/AAH-3739-2019</t>
  </si>
  <si>
    <t>10.3305/nh.2015.32.5.9656</t>
  </si>
  <si>
    <t>WOS:000364733300043</t>
  </si>
  <si>
    <t>Vera-Villarroel, P; Silva, J; Celis-Atenas, K; Pavez, P</t>
  </si>
  <si>
    <t>Vera-Villarroel, Pablo; Silva, Jaime; Celis-Atenas, Karem; Pavez, Paula</t>
  </si>
  <si>
    <t>Evaluation of the SF-12. Usefulness of the mental health scale</t>
  </si>
  <si>
    <t>Background: The SF-12 is one of the most used questionnaires to evaluate the multidimensional health related quality of life, worldwide. However, the factor structure does not match the structure of the original instrument. Besides, most studies centered in the physical dimension paying less attention to mental health related quality of life. Aim: To evaluate the psychometric properties of the SF-12 and to validate the mental health dimension of this questionnaire. Material and Methods: Two studies were conducted, the first consisting of 840 people aged between 18 and 60 years, who answered the SF-12. In the second study, 970 people aged between 18 and 60 years answered the SF-12 questionnaire, the Beck Depression Inventory (BDI) and the State-Trait Anxiety Inventory (STAI). Reliability (internal consistency and temporal stability) was analyzed, along with construct and criterion validity for the mental health dimension. Results: The reliability estimate using Cronbach's alpha in both studies was higher than 0.74 in both dimensions (physical and psychological). Construct validity analysis yielded a three factor complex solution. Finally the criterion validity analysis showed appropriate and significant correlations with depression and anxiety. Conclusions: The SF-12 and its mental health scale are suitable for epidemiological characterization studies.</t>
  </si>
  <si>
    <t>pavez, paula/ITT-0755-2023; Vera-Villarroel, Pablo/AAQ-8476-2020; Vera-Villarroel, Pablo/A-1134-2011</t>
  </si>
  <si>
    <t>Vera-Villarroel, Pablo/0000-0001-9187-8414; Pavez Salinas, Paula Andrea/0000-0001-7829-8490</t>
  </si>
  <si>
    <t>10.4067/S0034-98872014001000007</t>
  </si>
  <si>
    <t>WOS:000345552600007</t>
  </si>
  <si>
    <t>Hidalgo, N; Rosas, E; Gil-Costa, V; Marin, M</t>
  </si>
  <si>
    <t>Barolli, L; Li, KF; Enokido, T; Xhafa, F; Takizawa, M</t>
  </si>
  <si>
    <t>Hidalgo, Nicolas; Rosas, Erika; Gil-Costa, Veronica; Marin, Mauricio</t>
  </si>
  <si>
    <t>Assessing energy efficiency in ISP and Web Search Engine collaboration</t>
  </si>
  <si>
    <t>2014 28TH INTERNATIONAL CONFERENCE ON ADVANCED INFORMATION NETWORKING AND APPLICATIONS WORKSHOPS (WAINA)</t>
  </si>
  <si>
    <t>28th IEEE International Conference on Advanced Information Networking and Applications Workshops (IEEE WAINA)</t>
  </si>
  <si>
    <t>MAY 13-16, 2014</t>
  </si>
  <si>
    <t>Univ Victoria, Victoria, CANADA</t>
  </si>
  <si>
    <t>IEEE,IEEE Tech Comm Distributed Proc,IEEE Comp Soc</t>
  </si>
  <si>
    <t>Univ Victoria</t>
  </si>
  <si>
    <t>Web Search Engines (WSE) are devised to cope with highly dynamic and demanding query rates. Reaction of users to worldwide events produces high peaks in traffic which forces data centers to have over-provisioned resources to support flash crowds events, however, most of the time servers have a low utilization wasting energy resources. In this paper we analyze the collaboration of the Internet Service Providers (ISPs), the WSE and end-home users. Our goal is to conclude about the possibility of this global model to decrease the energy consumption of data centers. The end-home users cooperate sharing energy resources to support overall query processing by being part of a distributed query results cache. Usually these resources are kept idling at homes most of the time so the question is whether these resources can be productively re-used and benefit the involved parties. The distributed cache allows ISP to reduce traffic outside its network and an energy reduction due to less over provisioning on the WSE side as bursty queries are now quickly cached inside the ISP. The caching strategy is based on managed peer boxes located at the edge of the network that significantly reduces peaks in traffic towards the WSE. Simulation results show an important potential for energy saving from the reuse of already committed baseline power of the managed boxes and the reduction of energy consumed by the WSE data center in case of proper collaboration involving the result freshness.</t>
  </si>
  <si>
    <t>Marin, Mauricio/GLR-7700-2022; Gil-Costa, Veronica/GPT-4785-2022; Rosas, Erika/AFY-6048-2022</t>
  </si>
  <si>
    <t>Gil-Costa, Veronica/0000-0003-4637-9725; Marin, Mauricio/0000-0003-0662-7149; Hidalgo, Nicolas/0000-0003-0831-9350; Rosas Olivos, Erika Susana/0000-0003-0377-0193</t>
  </si>
  <si>
    <t>978-1-4799-2652-7</t>
  </si>
  <si>
    <t>10.1109/WAINA.2014.77</t>
  </si>
  <si>
    <t>WOS:000365294100051</t>
  </si>
  <si>
    <t>Bañados, M; Deffayet, C; Pino, M</t>
  </si>
  <si>
    <t>Banados, Maximo; Deffayet, Cedric; Pino, Miguel</t>
  </si>
  <si>
    <t>The Boulware-Deser mode in 3D first-order massive gravity</t>
  </si>
  <si>
    <t>PHYSICAL REVIEW D</t>
  </si>
  <si>
    <t>Massive gravity in three dimensions accepts several different formulations. Recently, the three-dimensional bigravity de Rham-Gabadadze-Tolley (dRGT) model in first-order form, Zwei-Dreibein gravity, was considered by Bergshoeff et al., and it was argued that the Boulware-Deser mode is killed by extra constraints. We revisit this assertion and conclude that there are sectors on the space of initial conditions, or subsets of the most general such model, where this mode is absent. But, generically, the theory does carry 3 degrees of freedom, and thus the Boulware-Deser mode is still active. Our results also sheds light on the equivalence between metric and vierbein formulations of the dRGT model.</t>
  </si>
  <si>
    <t>Pino, Miguel/G-7510-2015</t>
  </si>
  <si>
    <t>Deffayet, Cedric/0000-0002-1907-5606; Pino, Miguel/0000-0002-7612-4515</t>
  </si>
  <si>
    <t>1550-7998</t>
  </si>
  <si>
    <t>1550-2368</t>
  </si>
  <si>
    <t>DEC 6</t>
  </si>
  <si>
    <t>10.1103/PhysRevD.88.124016</t>
  </si>
  <si>
    <t>WOS:000328604600007</t>
  </si>
  <si>
    <t>Duarte, FJ; Taylor, TS; Black, AM; Olivares, IE</t>
  </si>
  <si>
    <t>Duarte, F. J.; Taylor, T. S.; Black, A. M.; Olivares, I. E.</t>
  </si>
  <si>
    <t>Diffractive patterns superimposed over propagating N-slit interferograms</t>
  </si>
  <si>
    <t>JOURNAL OF MODERN OPTICS</t>
  </si>
  <si>
    <t>Transparent, microscopic spider web silk fibers were used to softly intrude into the propagating path of N-slit interferograms. The resulting interferograms, with superimposed diffractive signals, were recorded using digital means and reproduced using N-slit interferometric calculations. We also show, for the first time, very slight and subtle alterations of the propagating interferograms via the soft insertion of spider web silk fibers into the intra-interferometric path. The experiments were performed at an overall intra-interferometric propagation path length of 7.235 m.</t>
  </si>
  <si>
    <t>Duarte, Fernando/AAF-4712-2020; Olivares, Ignacio/AAU-9355-2021</t>
  </si>
  <si>
    <t>Duarte, F. J./0000-0001-6275-4674; Olivares, Ignacio/0000-0001-8440-7665</t>
  </si>
  <si>
    <t>0950-0340</t>
  </si>
  <si>
    <t>10.1080/09500340.2012.756555</t>
  </si>
  <si>
    <t>WOS:000315436300005</t>
  </si>
  <si>
    <t>García, GC; Takahashi, T</t>
  </si>
  <si>
    <t>Garcia, Galina C.; Takahashi, Takeo</t>
  </si>
  <si>
    <t>Inverse problem and null-controllability for parabolic systems</t>
  </si>
  <si>
    <t>JOURNAL OF INVERSE AND ILL-POSED PROBLEMS</t>
  </si>
  <si>
    <t>In this paper, we present some abstract results giving a general connection between null-controllability and several inverse problems for a class of parabolic equations. We obtain some conditional stability estimates for the inverse problems consisting of determining the initial condition and the source term, from interior or boundary measurements. We apply this framework for Stokes system with interior and boundary observations, for a coupling of two Stokes system and a linear fluid-structure system.</t>
  </si>
  <si>
    <t>Garcia, Galina/U-1019-2017</t>
  </si>
  <si>
    <t>Garcia, Galina C./0000-0003-2188-6368; Takahashi, Takeo/0000-0003-1270-6150</t>
  </si>
  <si>
    <t>0928-0219</t>
  </si>
  <si>
    <t>1569-3945</t>
  </si>
  <si>
    <t>10.1515/JIIP.2011.036</t>
  </si>
  <si>
    <t>WOS:000293596300003</t>
  </si>
  <si>
    <t>Cubillos, M; Sancy, M; Pavez, J; Vargas, E; Urzua, R; Henríquez-Roman, J; Tribollet, B; Zagal, JH; Páez, MA</t>
  </si>
  <si>
    <t>Cubillos, M.; Sancy, M.; Pavez, J.; Vargas, E.; Urzua, R.; Henriquez-Roman, J.; Tribollet, B.; Zagal, J. H.; Paez, M. A.</t>
  </si>
  <si>
    <t>Influence of 8-aminoquinoline on the corrosion behaviour of copper in 0.1 M NaCl</t>
  </si>
  <si>
    <t>The corrosion behaviour of copper in aerated 0.1 M NaCl solution in presence of 8-aminoquinoline (8-AQ), using open circuit potential (OCP) measurements, potentiodynamic polarization, electrochemical impedance spectroscopy (EIS) measurements and atomic force microscopy (AFM), was studied. The measurements revealed that the effect of 8-AQ is dependent on its concentration. For concentrations up to 10(-3) M, the organic compound displaces the corrosion potential following no trend and also reduces the anodic current. In contrast, for concentrations higher than 10(-3), 8-AQ reduces markedly both, the anodic and cathodic currents and consequently, the corrosion current density of copper. After 9 days of exposure in chloride solution, containing the organic compound, potentiodynamic polarization analyses showed a significant reduction in the anodic response and a less significant reduction in the cathodic response, which is associated with a film formed at the copper surface of about 10 mu m in thickness and visually observed by a colour change of the copper surface. In order to elucidate the most likely interaction between the 8-AQ molecule and the different molecular structures probably present on copper surfaces in chloride solutions, some results obtained from theoretical calculations are presented. The following molecular structures were considered: CuCl molecule, CuCl2- complex, and little copper clusters defect representation built as five atoms on C-4v symmetry. Thus, based on the geometric, energetic, frontier orbital, and Total Electronic Density analysis done for the optimized states found for the systems investigated, we suggest that the most probable interaction of 8-AQ proceeds above CuCl units and free copper sites. (C) 2010 Elsevier Ltd. All rights reserved.</t>
  </si>
  <si>
    <t>zagal, jose/L-9648-2014; Vargas, Edson/E-8344-2015; Tribollet, Bernard/M-3502-2014; Paez, Maritza/M-2010-2014; Sancy, Mamie/L-6270-2014; PAVEZ, JORGE/K-6904-2014; Urzua-Leiva, Rodrigo/Y-9809-2018</t>
  </si>
  <si>
    <t>Sancy, Mamie/0000-0001-9523-2629; PAVEZ, JORGE/0000-0002-5100-6707; Urzua-Leiva, Rodrigo/0000-0002-6953-2721; paez, maritza/0000-0001-5881-884X</t>
  </si>
  <si>
    <t>MAR 1</t>
  </si>
  <si>
    <t>10.1016/j.electacta.2009.12.064</t>
  </si>
  <si>
    <t>WOS:000275985700026</t>
  </si>
  <si>
    <t>Eugenín, J; Otárola, M; Bravo, E; Coddou, C; Cerpa, V; Reyes-Parada, M; Llona, I; von Bernhardi, R</t>
  </si>
  <si>
    <t>Eugenin, Jaime; Otarola, Marcelo; Bravo, Eduardo; Coddou, Claudio; Cerpa, Veronica; Reyes-Parada, Miguel; Llona, Isabel; von Bernhardi, Rommy</t>
  </si>
  <si>
    <t>Prenatal to Early Postnatal Nicotine Exposure Impairs Central Chemoreception and Modifies Breathing Pattern in Mouse Neonates: A Probable Link to Sudden Infant Death Syndrome</t>
  </si>
  <si>
    <t>JOURNAL OF NEUROSCIENCE</t>
  </si>
  <si>
    <t>Nicotine is a neuroteratogen and is the likely link between maternal cigarette smoking during pregnancy and sudden infant death syndrome (SIDS). Osmotic minipumps were implanted in 5-7 d CF1 pregnant mice to deliver nicotine bitartrate (60 mg Kg(-1) day(-1)) or saline (control) solutions for up to 28 d. Prenatal to early postnatal nicotine exposure did not modify the number of newborns per litter or their postnatal growth; however, nicotine-exposed neonates hypoventilated and had reduced responses to hypercarbia (inhalation of air enriched with 10% CO2 for 20 min) and hypoxia (inhalation of 100% N-2 for 20 s) at postnatal days 0-3 (P0-P3). In contrast, at postnatal day 8, nicotine-exposed neonates were indistinguishable from controls. Isolated brainstem-spinal cord preparations obtained from P0 to P3 nicotine-exposed neonates showed fictive respiration with respiratory cycles longer and more irregular than those of controls, as indicated by high short- and long-term variability in Poincare plots. In addition, their responses to acidification were reduced, indicating compromise of central chemoreception. Furthermore, the cholinergic contribution to central chemosensory responses switched from muscarinic receptor to nicotinic receptor-based mechanisms. No significant astrogliosis was detectable in the ventral respiratory group of neurons with glial fibrillary acidic protein immunohistochemistry. These results indicate that nicotine exposure affects the respiratory rhythm pattern generator and causes a decline in central chemoreception during early postnatal life. Consequently, breathing would become highly vulnerable, failing to respond to chemosensory demands. Such impairment could be related to the ventilatory abnormalities observed in SIDS.</t>
  </si>
  <si>
    <t>von Bernhardi, Rommy/F-7232-2013</t>
  </si>
  <si>
    <t>Coddou, Claudio/0000-0002-5297-3694; Bravo, Eduardo/0000-0001-9209-841X; von Bernhardi, Rommy/0000-0002-9022-7676</t>
  </si>
  <si>
    <t>0270-6474</t>
  </si>
  <si>
    <t>DEC 17</t>
  </si>
  <si>
    <t>10.1523/JNEUROSCI.4441-08.2008</t>
  </si>
  <si>
    <t>WOS:000261780100019</t>
  </si>
  <si>
    <t>Vergara, L; Malomed, BA</t>
  </si>
  <si>
    <t>Vergara, Lautaro; Malomed, Boris A.</t>
  </si>
  <si>
    <t>Suppression of the generation of defect modes by a moving soliton in an inhomogeneous Toda lattice</t>
  </si>
  <si>
    <t>The motion of solitons is studied in the Toda lattice with a local defect due to a change in coupling constants. We demonstrate that the generation of the trapped defect mode by the incident soliton is strongly suppressed under a certain condition. The effect is explained by the fact that, under this condition, the defect mode vanishes in the linear limit. In the same case, the soliton remains stable, traveling through a periodic array of defects; otherwise, it decays.</t>
  </si>
  <si>
    <t>Malomed, Boris/F-6812-2017; Vergara, Lautaro/V-2736-2019</t>
  </si>
  <si>
    <t>10.1103/PhysRevE.77.047601</t>
  </si>
  <si>
    <t>WOS:000255457000080</t>
  </si>
  <si>
    <t>Castro, EA; Aliaga, M; Campodonico, PR; Leis, JR; Garcia-Rio, L; Santos, JG</t>
  </si>
  <si>
    <t>Castro, Enrique A.; Aliaga, Margarita; Campodonico, Paola R.; Leis, J. Ramon; Garcia-Rio, Luis; Santos, Jose G.</t>
  </si>
  <si>
    <t>Reactions of aryl chlorothionoformates with quinuclidines. A kinetic study</t>
  </si>
  <si>
    <t>JOURNAL OF PHYSICAL ORGANIC CHEMISTRY</t>
  </si>
  <si>
    <t>The reactions of quinuclidines with phenyl, 4-chlorophenyl, 4-cyanophenyl, and 4-nitrophenyl chlorothionoformates (1, 2, 3, and 4, respectively) are subjected to a kinetic study in aqueous solution, at 25.0 degrees C, and an ionic strength of 0.2M (KCI). The reactions are studied by following spectrophotometrically the release of the corresponding phenoxide anion/phenol generated in the parallel hydrolysis of the substrates. Under amine excess, pseudo-first-order rate coefficients (k(obs)) are found. Plots of k(obs) versus [amine] are linear, with slope k(N). The Bronsted-type plots (log k(N) vs. pK(a) of aminium ions) are linear, with slopes beta = 0.26,0.22,0.19, and 0.28 for the reactions with 1, 2, 3, and 4, respectively. The magnitudes of the slopes indicate that these mechanisms are stepwise, with rate-determining formation of a zwitterionic tetrahedral intermediate (T-+/-). A dual parametric equation with the pK(a) of the nucleophiles and non-leaving groups show beta(N) = 0.26 and beta(nlg) = -0.16, also in accordance with the proposed mechanism. On the other hand, the reactivity of these thiocarbonyl substrates and their carbonyl derivatives was studied using their hardness index and compared with their experimental parameters, confirming the proposed mechanisms. By comparison of the title reactions with similar aminolyses, the following conclusions arise: (i) The mechanism of the reactions under investigation is stepwise with rate-determining formation of T-+/- (ii) The reactivity of the substrates toward quinuclidines follows the order 4 &gt; 3 &gt; 2 &gt; 1. (iii) Quinuclidines are more reactive than isobasic pyridines toward chlorothionoformates. (iv) Chlorothionoformates are less reactive than chloroformates towards quinuclidines in accordance with the HSAB principle. (v) The k(N) values for phenyl chloroformate and 4 can be correlated with the pK(a) of quinuclidines and also with the hardness values calculated by the HF/3-21G level of theory. Copyright (c) 2007 John Wiley &amp; Sons, Ltd.</t>
  </si>
  <si>
    <t>Campodónico, Paola/L-9664-2014; Castro, Enrique/E-2403-2011; Garcia-Rio, Luis/L-5882-2014; Leis, J. Ramon/JDW-1586-2023</t>
  </si>
  <si>
    <t>Aliaga, Margarita E./0000-0002-4143-0301; Campodonico, Paola/0000-0003-2840-0666; Leis, J. Ramon/0009-0004-5541-9383</t>
  </si>
  <si>
    <t>0894-3230</t>
  </si>
  <si>
    <t>1099-1395</t>
  </si>
  <si>
    <t>10.1002/poc.1286</t>
  </si>
  <si>
    <t>WOS:000253260800003</t>
  </si>
  <si>
    <t>Arias, P; Falomir, H; Gamboa, J; Mendez, F; Schaposnik, FA</t>
  </si>
  <si>
    <t>Arias, Paola; Falomir, H.; Gamboa, J.; Mendez, F.; Schaposnik, F. A.</t>
  </si>
  <si>
    <t>Chiral anomaly beyond Lorentz invariance</t>
  </si>
  <si>
    <t>The chiral anomaly in the context of an extended standard model with Lorentz invariance violation is studied. Taking into account bounds from measurements of the speed of light, we argue that the chiral anomaly and its consequences are general results valid even beyond the relativistic symmetry.</t>
  </si>
  <si>
    <t>Gamboa, Jorge/R-8744-2019; Arias, Paola/Q-5912-2017</t>
  </si>
  <si>
    <t>Arias, Paola/0000-0001-5551-9182; Mendez, Fernando/0000-0002-9257-9552; Falomir, Horacio/0000-0001-8188-1062</t>
  </si>
  <si>
    <t>2470-0010</t>
  </si>
  <si>
    <t>2470-0029</t>
  </si>
  <si>
    <t>10.1103/PhysRevD.76.025019</t>
  </si>
  <si>
    <t>WOS:000248545200066</t>
  </si>
  <si>
    <t>Gramsch, E; Cereceda-Balic, F; Oyola, P; von Baer, D</t>
  </si>
  <si>
    <t>Gramsch, E.; Cereceda-Balic, F.; Oyola, P.; von Baer, D.</t>
  </si>
  <si>
    <t>Examination of pollution trends in Santiago de Chile with cluster analysis of PM10 and Ozone data</t>
  </si>
  <si>
    <t>ATMOSPHERIC ENVIRONMENT</t>
  </si>
  <si>
    <t>Because of the high levels of pollution that Santiago de Chile experiences every year in winter, the government has set up an air quality monitoring network. Information from this network is employed to alert people about the quality of air and to enforce several control strategies in order to limit pollution levels. The monitoring network has 8 stations that measure PM10, carbon monoxide (CO), sulphur dioxide (SO2) ozone (O-3) and meteorological parameters. Some stations also measure nitrogen mono- and dioxide (NOx), fine particles (PM2.5) and carbon. In this study we have examined the PM10 and O-3 data generated by this network in the year 2000 in order to determine the seasonal trends and spatial distribution of these pollutants over a year's period. The results show that concentration levels vary with the season, with PM10 being higher in winter and 03 in summer. All but one station, show a peak in PM10 at 8:00 indicating that during the rush hour there is a strong influence from traffic, however, this influence is not seen during the rest of the day. In winter, the PM10 maximum occurs at 24:00 h in all stations but Las Condes. This maximum is related to decreased wind speed and lower altitude of the inversion layer. The fact that Las Condes station is at a higher altitude than the others and it does not show the PM10 increase at night, suggest that the height of the inversion layer occurs at lower altitude. Cluster analysis was applied to the PM10 and O-3 data, and the results indicate that the city has four large sectors with similar pollution behavior. The fact that both pollutants have similar distribution is a strong indication that the concentration levels are primarily determined by the topographical and meteorological characteristics of the area and that pollution generated over the city is redistributed in four large areas that have similar meteorological and topographical conditions. (c) 2006 Published by Elsevier Ltd.</t>
  </si>
  <si>
    <t>Gramsch, Ernesto/M-5507-2017; Cereceda-Balic, Francisco/N-4479-2017</t>
  </si>
  <si>
    <t>Gramsch, Ernesto/0000-0002-6787-7355; von Baer, Dietrich/0000-0001-8492-1314; Cereceda-Balic, Francisco/0000-0001-7761-1051</t>
  </si>
  <si>
    <t>1352-2310</t>
  </si>
  <si>
    <t>10.1016/j.atmosenv.2006.03.062</t>
  </si>
  <si>
    <t>WOS:000240790900011</t>
  </si>
  <si>
    <t>Barrera, C; Zhukov, I; Villagra, E; Bedioui, F; Páez, MA; Costamagna, J; Zagal, JH</t>
  </si>
  <si>
    <t>Barrera, Cristian; Zhukov, Igor; Villagra, Evelyn; Bedioui, Fethi; Paez, Maritza A.; Costamagna, Juan; Zagal, Jose H.</t>
  </si>
  <si>
    <t>Trends in reactivity of unsubstituted and substituted cobalt-phthalocyanines for the electrocatalysis of glucose oxidation</t>
  </si>
  <si>
    <t>This study shows that cobalt macrocyclics, namely Co-phthalocyanine (CoPc), Co-hexadecafluorophthalocyanine (CoF16Pc), Co-octaethylhexyloxyphthalocyanine (CoOEHPc), Co-tetraaminophthalocyanine (CoTAPc) and Co-tetrasulfophthalocyanine (CoTSPc), strongly adsorbed on a graphite electrode surface, exhibit true electrocatalytic activity for the oxidation of glucose in alkaline solution. The Tafel analysis of the electrochemical process occurring at these chemically modified electrodes, that become molecular phthalocyanine electrodes, suggests that a first-one electron step is rate controlling with the symmetry of the energy barrier depending on the type of substituents grafted on the macrocycle. The effect of substituents on the phthalocyanine ring on the catalytic activity was analyzed and a non-linear correlation is found. The volcano-shaped plot obtained when comparing catalytic activities versus the Co(II)/(I) formal potential indicates that a narrow window of Co(II)/(I) formal potentials exists for achieving maximum activity. In the particular case of the present work, we find that the most active phthalocyanine is the unsubstituted CoPc. (c) 2006 Elsevier B.V. All rights reserved.</t>
  </si>
  <si>
    <t>zagal, jose/L-9648-2014; Paez, Maritza/M-2010-2014; Bedioui, Fethi/N-3507-2014</t>
  </si>
  <si>
    <t>paez, maritza/0000-0001-5881-884X; Bedioui, Fethi/0000-0002-0063-4412</t>
  </si>
  <si>
    <t>0022-0728</t>
  </si>
  <si>
    <t>APR 15</t>
  </si>
  <si>
    <t>10.1016/j.jelechem.2006.02.009</t>
  </si>
  <si>
    <t>WOS:000237683300005</t>
  </si>
  <si>
    <t>Rigord, P; Guarino, A; Vidal, V; Géminard, JC</t>
  </si>
  <si>
    <t>Localized instability of a granular layer submitted to an ascending liquid flow</t>
  </si>
  <si>
    <t>Using a very simple experimental setup, we study the response of a thin layer of immersed granular material to an ascending liquid-flow; a pressure difference Delta P is imposed between the two horizontal free surfaces of a thin layer of glass beads, such that the liquid tends to flow upwards, and the resulting flow-rate v is measured. As generally observed in fluidized beds, the layer destabilizes when the pressure force exactly compensates the weight of the grains. At the free surface, one then observes the formation of a localized fountain of granular material the characteristic size of which is found to be proportional to the grain size and, surprizingly, independent of both the flow-rate and the thickness of the granular layer. Simple theoretical arguments account for the main experimental features.</t>
  </si>
  <si>
    <t>Guarino, Alessio/C-3885-2012</t>
  </si>
  <si>
    <t>Guarino, Alessio/0000-0003-0059-055X; Vidal, Valerie/0000-0002-0413-1601; GEMINARD, Jean-Christophe Nicolas Denis/0000-0002-9773-4806</t>
  </si>
  <si>
    <t>10.1007/s10035-005-0214-1</t>
  </si>
  <si>
    <t>WOS:000233239700002</t>
  </si>
  <si>
    <t>Del-Valle, V; Hernández-Muñoz, P; Guarda, A; Galotto, MJ</t>
  </si>
  <si>
    <t>Development of a cactus-mucilage edible coating (Opuntia ficus indica) and its application to extend strawberry (Fragaria ananassa) shelf-life</t>
  </si>
  <si>
    <t>Increased consumer demand for higher quality food in combination with the environmental need to reduce disposable packaging waste have led to increased interest in research into edible films and coatings. In this work, the use of prickly pear cactus mucilage (Opuntia ficus indica) was investigated as an edible coating to extend the shelf-life of strawberries. Different methods for mucilage extraction were tested in order to obtain the best coating. Edible films were tested to determine their effects on colour, texture and sensory quality of the fruit. From the results, it was concluded that the use of mucilage coatings leads to increased strawberry shelf-life. (C) 2004 Elsevier Ltd. All rights reserved.</t>
  </si>
  <si>
    <t>Munoz, Pilar/G-6480-2015</t>
  </si>
  <si>
    <t>10.1016/j.foodchem.2004.07.002</t>
  </si>
  <si>
    <t>WOS:000227444100021</t>
  </si>
  <si>
    <t>González-Nilo, FD; Krautwurst, H; Yévenes, A; Cardemil, E; Cachau, R</t>
  </si>
  <si>
    <t>Saccharomyces cerevisiae phosphoenolpyruvate carboxykinase:: theoretical and experimental study of the effect of glutamic acid 284 on the protonation state of lysine 213</t>
  </si>
  <si>
    <t>BIOCHIMICA ET BIOPHYSICA ACTA-PROTEINS AND PROTEOMICS</t>
  </si>
  <si>
    <t>The crystal structure of Escherichia coli phosphoenolpyruvate (PEP) carboxykinase shows Lys(213) is one of the ligands of enzyme-bound Mn2+ [Nat. Struct. Biol. 4 (1997) 990]. The direct coordination of Mn2+ by N-epsilon of Lys(213) is only consistent with a neutral (uncharged) Lys(213), suggesting a low pK(a) for this residue. This work shows, through theoretical calculations and experimental analyses on homologous Saccharomyces cerevisiae PEP carboxykinase, how the microenvironment affects Mn2+ binding and the protonation state of Lys(213). We show that Glu(284), a residue close to Lys(212), is required for correct protonation states of Lys(212) and Lys(213), and for Mn2(+) binding. DeltaG and DeltaH values for the proton reorganization processes were calculated to analyze the energetic stability of the two different protonation states of Lys(212) and Lys(213) in wild-type and Glu(284)Gln S. cerevisiae PEP carboxykinase. Calculations were done using two modeling approaches, ab-initio density functional calculations and free energy perturbation (FEP) calculations. Both methods suggest that Lys(212) must be protonated and Lys(213) neutral in the wild-type enzyme. On the other hand, the calculations on the Glu284Gln mutant suggest a more stable neutral Lys(212) and protonated Lys(213). Experimental measurements showed 3 orders of magnitude lower activity and a threefold increase in Km for Mn2+ for Glu284Gln S. cerevisiae PEP carboxykinase when compared to wild type. The data here presented suggest that Glu(284) is required for Mn2+ binding by S. cerevisiae PEP carboxykinase. We propose that Glu(284) modulates the pK(a) value of Lys(213) through electrostatic effects mediated by Lys(212). (C) 2002 Elsevier Science B.V. All rights reserved.</t>
  </si>
  <si>
    <t>Gonzalez Nilo, Fernando Danilo/M-5671-2016</t>
  </si>
  <si>
    <t>Gonzalez Nilo, Fernando Danilo/0000-0001-6857-3575; Yevenes, Alejandro/0000-0003-3799-1509</t>
  </si>
  <si>
    <t>1570-9639</t>
  </si>
  <si>
    <t>1878-1454</t>
  </si>
  <si>
    <t>SEP 23</t>
  </si>
  <si>
    <t>PII S1570-9639(02)00400-4</t>
  </si>
  <si>
    <t>10.1016/S1570-9639(02)00400-4</t>
  </si>
  <si>
    <t>WOS:000178329100008</t>
  </si>
  <si>
    <t>Escalona, N; Ojeda, J; Cid, R; Alves, G; Agudo, AL; Fierro, JLG; Llambías, FJG</t>
  </si>
  <si>
    <t>Characterization and reactivity of Re(x)/γ-Al2O3 catalysts in hydrodesulfurization and hydrodenitrogenation of gas oil:: effect of Re loading</t>
  </si>
  <si>
    <t>APPLIED CATALYSIS A-GENERAL</t>
  </si>
  <si>
    <t>A series of Re(x)/gamma-Al2O3 catalysts containing 1.69-6.76 wt.% Re2O7 were prepared by wet impregnation and characterized using X-ray diffraction (XRD), BET surface area, diffuse reflectance spectroscopy (DRS), electrophoretic migration (EM), X-ray photoelectron spectroscopy (XPS) and surface acidity techniques. The catalysts were tested for simultaneous hydrodesulfurization (HDS) and hydrodenitrogenation (HDN) of commercial gas oil under typical industrial hydrotreating conditions. In general, the activities for both HDS and HDN reactions increased almost linearly with increasing Re loading, reaching maxima at about 0.5 Re atoms nm(-2) and then leveled off. These activity trends resemble that observed for the Re dispersion as measured by EM (in the oxided state) and XPS (in the sulfide state), which resulted in a monolayer-type deposition up to about 0.5 Re atoms nm(-2) and then in multilayers or small aggregates. The magnitude of the catalytic effect was, however, different for HDS and HDN, and strongly depends on the Re content and reaction temperature. This led to a marked increase in the HDN/HDS selectivity with decreasing temperature (values above 1.5 at 325 degreesC), due to the large differences in the apparent activation energies of HDS and HDN found for all catalysts. A gradual increase in the HDN/HDS selectivity with increasing Re loading was also found. Such selectivity increase was ascribed to the parallel increase of catalyst acidity observed. (C) 2002 Elsevier Science B.V. All rights reserved.</t>
  </si>
  <si>
    <t>Amorim Moreira Alves, Gabriel/KVZ-0462-2024; Escalona, Nestor/F-3593-2016; Garcia Fierro, Jose Luis/C-4774-2014</t>
  </si>
  <si>
    <t>Ojeda, Juan/0000-0002-9484-5017; Escalona Burgos, Nestor/0000-0002-2628-4609; Garcia Fierro, Jose Luis/0000-0002-6880-3737</t>
  </si>
  <si>
    <t>0926-860X</t>
  </si>
  <si>
    <t>1873-3875</t>
  </si>
  <si>
    <t>AUG 8</t>
  </si>
  <si>
    <t>PII S0926-860X(02)00197-7</t>
  </si>
  <si>
    <t>10.1016/S0926-860X(02)00197-7</t>
  </si>
  <si>
    <t>WOS:000177239800004</t>
  </si>
  <si>
    <t>Romero, J; Le Cam, S; Sanchez, J; Saavedra, A; Rios, GM</t>
  </si>
  <si>
    <t>Permeation of supercritical fluids through a MFI zeolite membrane</t>
  </si>
  <si>
    <t>CHEMICAL ENGINEERING SCIENCE</t>
  </si>
  <si>
    <t>This work involves the joining of two new technologies: supercritical fluids (SCF) and inorganic microporous materials. The objective of this study is the determination and description of transfer mechanisms of supercritical fluids through inorganic microporous membranes whose selective layer is constituted of MFI zeolite, a material with particular properties of porosity, crystalline structure and adsorption. To describe the evolution that experiences the supercritical fluid inside the microporous medium as a function of pressure and temperature, models based on the formulation of Stefan-Maxwell and ordinarily used for gas phase transfer were selected. A statistical analysis of permeation data allow to distinguish between the convective (or Poiseuille viscous) and diffusive (Knudsen flow) contributions, as well as to highlight the effect of adsorption at wall. As a whole it appears that the transfer of SCF results from a combination of diffusive mechanism and interaction with the membrane surface, well in agreement with what the proximity of sizes of pores and gas molecules enables to foresee. Under the assumption that adsorption is characterised by a low occupation rate of available places inside the micropores, the Stefan-Maxwell equations give a good description of the general system behavior. (C) 2001 Elsevier Science Ltd. All rights reserved.</t>
  </si>
  <si>
    <t>Romero, Julio/I-6705-2013; Sanchez-Marcano, Jose/E-1445-2012</t>
  </si>
  <si>
    <t>Sanchez-Marcano, Jose/0000-0003-1783-2092; Romero, Julio/0000-0002-1229-1592</t>
  </si>
  <si>
    <t>0009-2509</t>
  </si>
  <si>
    <t>10.1016/S0009-2509(01)00017-3</t>
  </si>
  <si>
    <t>WOS:000169348000010</t>
  </si>
  <si>
    <t>Gautier, JL; Ortiz, J; Heller-Ling, N; Poillerat, G; Chartier, P</t>
  </si>
  <si>
    <t>Oxygen reduction on bornite (Cu5FeS4) in alkaline medium</t>
  </si>
  <si>
    <t>JOURNAL OF APPLIED ELECTROCHEMISTRY</t>
  </si>
  <si>
    <t>The electroreduction of molecular oxygen is investigated between -0.1 and -0.5 V vs SHE on bornite, Cu5FeS4, at pH 9.2 and 14, by means of cyclic voltammetry (CV) and stationary voltammetry (SV), using a double channel electrode flow cell (DCEFC). Using an E/pH diagram established in this work, the CV results suggest that the bornite surface is stable between -0.1 and -0.5 V then oxidized to CuS and Fe(OH)(3) above -0.1 V whereas, below -0.5V the mineral reduces to metal sulphides: Cu2S and FeS. The SV results show that oxygen is reduced to peroxide ions, HO2-. At pH 9.2 the generated sulphide ions hinder the oxidation of HO2- on the collector electrode of the DCEFC, due to the formation of a blocking surface layer of elemental sulphur, S, impeding the determination of the kinetic parameters, k(1) (direct way) and k(2) (indirect way) of the oxygen electroreduction reaction. In contrast, at pH 14, as soluble polysulphides are formed, it was possible to determine these parameters, showing that the bornite is a poor catalyst for oxygen reduction. At pH 14, in the presence of potassium ethylxanthate, generally used as a flotation collector, the ethylxanthate ions, C2H5OCSSO-, are oxidized by HO2- to perxanthates, ROCSSO-, while at pH 9.2 the oxygen reduction is inhibited due to ethylxanthate chemisoption on the bornite surface.</t>
  </si>
  <si>
    <t>0021-891X</t>
  </si>
  <si>
    <t>10.1023/A:1003480225077</t>
  </si>
  <si>
    <t>WOS:000077463100009</t>
  </si>
  <si>
    <t>Staples, RJ; Fackler, JP; Costamagna, J</t>
  </si>
  <si>
    <t>Bis(N,N'-dimethylthiourea-S)gold(I) perchlorate and bis(N,N'-diethylthiourea-S)gold(I) percholorate</t>
  </si>
  <si>
    <t>ACTA CRYSTALLOGRAPHICA SECTION C-CRYSTAL STRUCTURE COMMUNICATIONS</t>
  </si>
  <si>
    <t>The gold(I) center in each of the title complexes, [Au(C3H8N2S)(2)]ClO4, (1), and [AU(C5H12N2S)(2)]ClO4, (2), is essentially linearly coordinated through the S atoms of the dialkylthiourea ligands. The complexes crystallize in pairs, with an Au ... Au separation of 3.620(4) and 4.294(2) Angstrom for (1) and (2), respectively. The perchlorate anion does not interact with the bis(alkylthiourea)gold(I) cation. Compound (1) sits on a twofold axis.</t>
  </si>
  <si>
    <t>Staples, Richard/ABC-8783-2021</t>
  </si>
  <si>
    <t>Staples, Richard/0000-0003-2760-769X</t>
  </si>
  <si>
    <t>0108-2701</t>
  </si>
  <si>
    <t>10.1107/S0108270197008317</t>
  </si>
  <si>
    <t>WOS:A1997YK41600018</t>
  </si>
  <si>
    <t>Cifuentes-Lobos, D; Pradenas, L; Parada, V</t>
  </si>
  <si>
    <t>Cifuentes-Lobos, Dagoberto; Pradenas, Lorena; Parada, Victor</t>
  </si>
  <si>
    <t>Enhanced MILP Approach for Long-Term Multi-Vessel Maritime Inventory Routing with Application to Antarctic Logistics</t>
  </si>
  <si>
    <t>JOURNAL OF MARINE SCIENCE AND ENGINEERING</t>
  </si>
  <si>
    <t>The maritime inventory routing problem (MIRP) integrates vessel routing and inventory management over a planning horizon to optimize logistical operations in marine environments. While existing models predominantly address short-term planning with single vessels, this research advances the field by presenting a tightened mixed-integer linear programming (MILP) model designed for long-term planning with multiple vessels. The proposed model leverages an improved mathematical formulation and state-of-the-art optimization solvers to enhance computational performance. To demonstrate its applicability, the model was evaluated using benchmark instances from the literature and new instances derived from the logistics of Chilean scientific bases in Antarctica, a challenging and underexplored maritime environment. The results show computational time reductions of up to 98% for small to medium-sized instances, achieved through the incorporation of valid inequalities into the model and the use of advanced hardware and solvers. For larger instances, optimal or near-optimal solutions were achieved within one hour for a planning horizon of 60 time units, with optimality gaps below 24.7% for a 120-time-unit horizon. These findings highlight the potential of the model to support decision-making in complex maritime logistics scenarios, extending its application to long-term, multi-vessel operations in remote and environmentally sensitive regions. The proposed framework provides a valuable tool for enhancing the sustainability and efficiency of maritime logistics systems.</t>
  </si>
  <si>
    <t>Cifuentes, Dagoberto/MIK-1968-2025; Parada, Victor/M-5840-2014; Pradenas, Lorena/ACZ-4624-2022</t>
  </si>
  <si>
    <t>Cifuentes-Lobos, Dagoberto/0000-0001-8409-3256</t>
  </si>
  <si>
    <t>2077-1312</t>
  </si>
  <si>
    <t>10.3390/jmse13020272</t>
  </si>
  <si>
    <t>WOS:001430081500001</t>
  </si>
  <si>
    <t>Amboa, R; Egovia, C; Ubry, M; Ockendorff, A; Eiva, J; Galván, C</t>
  </si>
  <si>
    <t>Amboa, Ricardo; Egovia, Carolina; Ubry, Marcel; Ockendorff, Andres; Eiva, Javier; Galvan, Camila</t>
  </si>
  <si>
    <t>INTEREST GROUPS IN THE DECISION-MAKING PROCESS IN CHILE, 1990-2020. WHO, WHERE AND HOW MUCH?</t>
  </si>
  <si>
    <t>IBEROAMERICANA</t>
  </si>
  <si>
    <t>1577-3388</t>
  </si>
  <si>
    <t>2255-520X</t>
  </si>
  <si>
    <t>10.18441/ibam.24.2024.85.253-283</t>
  </si>
  <si>
    <t>WOS:001237505100001</t>
  </si>
  <si>
    <t>Atalah, J; Blamey, L; Amenabar, MJ; Kelley-Loughnane, N; Blamey, JM</t>
  </si>
  <si>
    <t>Atalah, J.; Blamey, L.; Amenabar, M. J.; Kelley-Loughnane, N.; Blamey, J. M.</t>
  </si>
  <si>
    <t>Biochemical and microbiological characterization of a thermotolerant bacterial consortium involved in the corrosion of Aluminum Alloy 7075</t>
  </si>
  <si>
    <t>WORLD JOURNAL OF MICROBIOLOGY &amp; BIOTECHNOLOGY</t>
  </si>
  <si>
    <t>Microorganisms can play a significant role in material corrosion, with bacterial biofilms as major participants in microbially influenced corrosion (MIC). The exact mechanisms by which this takes place are poorly understood, resulting in a scarcity of information regarding MIC detection and prevention. In this work, a consortium of moderately thermophilic bacteria isolated from a biofilm growing over aluminum alloy 7075 was characterized. Its effect over the alloy was evaluated on a 40-day period using Electron Microscopy, demonstrating acceleration of corrosion in comparison to the abiotic control. The bacterial consortium was biochemically and microbiologically characterized as an attempt to elucidate factors contributing to corrosion. Molecular analysis revealed that the consortium consisted mainly of members of the Bacillus genus, with lower abundance of other genera such as Thermoanaerobacterium, Anoxybacillus and Paenibacillus. The EPS polysaccharide presented mainly mannose, galactose, rhamnose and ribose. Our observations suggest that the acidification of the culture media resulting from bacterial metabolism acted as the main contributor to corrosion, hinting at an unspecific mechanism. The consortium was not sulfate-reducing, but it was found to produce hydrogen, which could also be a compounding factor for corrosion.</t>
  </si>
  <si>
    <t>Blamey, Jenny/M-2637-2014; Atalah, Javier/AAV-9077-2021; Amenabar, Maximiliano/AAD-5354-2020</t>
  </si>
  <si>
    <t>Amenabar, Maximiliano/0000-0003-1890-5353</t>
  </si>
  <si>
    <t>0959-3993</t>
  </si>
  <si>
    <t>1573-0972</t>
  </si>
  <si>
    <t>10.1007/s11274-023-03808-9</t>
  </si>
  <si>
    <t>WOS:001115493200013</t>
  </si>
  <si>
    <t>Sandoval, MA; Coreño, O; García, V; Salazar-González, R</t>
  </si>
  <si>
    <t>Sandoval, Miguel A.; Coreno, Oscar; Garcia, Veronica; Salazar-Gonzalez, Ricardo</t>
  </si>
  <si>
    <t>Enhancing industrial swine slaughterhouse wastewater treatment: Optimization of electrocoagulation technique and operating mode</t>
  </si>
  <si>
    <t>JOURNAL OF ENVIRONMENTAL MANAGEMENT</t>
  </si>
  <si>
    <t>In this study, industrial swine slaughterhouse effluents were treated by an electrocoagulation process (EC) with aluminum and iron electrodes. Batch and semicontinuous operation were performed. EC tests were carried out in batch operating mode for 2.5 h using fixed current densities (j = 10, 20, and 30 mA cm-2) in sulfate and chloride media. At the laboratory scale, higher TOC removal efficiencies were observed using aluminum electrodes at 20 mA cm-2 without the addition of a supporting electrolyte (82.7%). However, the EC process with Fe electrodes consumed 43.6% less energy.After the best operating parameters were found at the laboratory scale, the process was tested as a semi -continuous prepilot process using a filter-press FM01-LC-type electrochemical reactor equipped with flat plate aluminum electrodes. In this stage, current densities and mean linear flow rates were assessed. The highest TOC removal efficiency of 72.7% (i.e., residual TOC concentration of 85.18 mg L-1) in the semicontinuous process was achieved by the application of j = 25 mA cm-2 and ur = 0.64 cm s- 1 with an energy consumption of 19.80 kW h m- 3. The residual COD and TP concentrations met the international standard limits. Moreover, complete decoloration and disinfection were accomplished. EDXRF, SEM, EDAX, XRD, and FTIR analyses indicated that pollutants were removed by adsorption on aluminum/iron hydroxides/oxyhydroxides.</t>
  </si>
  <si>
    <t>Sandoval, Miguel A/JCF-1838-2023; Salazar, Ricardo/L-7870-2013</t>
  </si>
  <si>
    <t>Salazar-Gonzalez, Ricardo/0000-0003-2180-6022; garcia, veronica/0000-0002-5312-925X</t>
  </si>
  <si>
    <t>0301-4797</t>
  </si>
  <si>
    <t>1095-8630</t>
  </si>
  <si>
    <t>10.1016/j.jenvman.2023.119556</t>
  </si>
  <si>
    <t>NOV 2023</t>
  </si>
  <si>
    <t>WOS:001122440600001</t>
  </si>
  <si>
    <t>Valdés, MFD; Canales, CD; del Sol, M; Escobar-Cabello, M; Vásquez, JV; Muñoz-Cofré, R</t>
  </si>
  <si>
    <t>Valdes, Maria Fernanda del Valle; Canales, Constanza Diaz; del Sol, Mariano; Escobar-Cabello, Maximo; Vasquez, Jorge Valenzuela; Munoz-Cofre, Rodrigo</t>
  </si>
  <si>
    <t>Impact of a Functional Recovery Program on Ventilatory and Appendicular Muscles in Patients Post-mechanical Ventilation for COVID-19</t>
  </si>
  <si>
    <t>Patients with COVID-19 requiring mechanical ventilation (MV) evolve with functional consequences in the ventilatory and appendicular muscles that are not necessarily addressed in a differentiated manner. The objective of this research was to evaluate the impact of a functional recovery program in these patients and determine if the interventions differentially affect ventilatory functions and appendicular muscles, using low-cost tests. 47 patients with COVID-19 who were on MV were evaluated. After a baseline spirometry, they were performed; maximum inspiratory pressure (MIP), handgrip strength (HGS), sit to stand test (STST) and 6-minute walk test (6MWT), before and after the intervention plan. This program included supervised aerobic and strength exercises for two weekly 60-minute sessions for 3 months. After the program, significant improvements were observed in forced vital capacity (FVC), expiratory volume in the first second (FEV1) and MIP. Significant relationships were found between these measurements and the distance traveled of the 6MWT, the HGS and the STST. In conclusion, the functional recovery program in patients with COVID-19 who required MV benefits both ventilatory function and appendicular muscle strength. Appendicular muscle strength tests can be useful to evaluate recovery since they can provide differentiated information about your performances. Finally, more research is needed to better understand the response of these patients to rehabilitation.</t>
  </si>
  <si>
    <t>Valdés, María Francisca/LBH-2927-2024; del sol, Mariano/I-4746-2018</t>
  </si>
  <si>
    <t>WOS:001145205400032</t>
  </si>
  <si>
    <t>Lazo, J; Escobar, C; Watts, D</t>
  </si>
  <si>
    <t>Lazo, Joaquin; Escobar, Carolina; Watts, David</t>
  </si>
  <si>
    <t>From blackouts to breakthroughs: Examining electricity's relevance in healthcare during COVID-19 and the future role of renewable energy</t>
  </si>
  <si>
    <t>ENERGY RESEARCH &amp; SOCIAL SCIENCE</t>
  </si>
  <si>
    <t>Power supply played a critical role during the COVID-19 pandemic in keeping hospitals and critical medical equipment operating, which was quickly reflected in electricity consumption and new consumption patterns. However, not all countries faced the same challenges. While developed countries could react adequately to changes in hospital electricity consumption patterns, low-income countries faced infrastructure and energy ac-cess challenges during the pandemic, which hampered the management of the pandemic in all of its dimensions. This paper reviews the importance of power supply in hospitals through a literature review and divides the discussion into three sections. First, the factors influencing new hospital consumption patterns during the pandemic are discussed. Then, the consequences of the lack of electricity in remote areas on managing the pandemic are reviewed. Finally, the impact of the pandemic on the design of hybrid power generation systems is reviewed, which must not only provide autonomy for similar future scenarios but also be prepared to respond to sudden increases in power consumption due to a greater number of patients or longer working hours, an increase in the number of critical loads, and possible restrictions on access to fuel. Thus, this work provides valuable insights for policymakers, academics, and researchers on the importance of updating hospital power supply standards and contributes to demonstrating the need to electrify remote hospitals.</t>
  </si>
  <si>
    <t>Watts, David/D-3559-2014</t>
  </si>
  <si>
    <t>Lazo, Joaquin/0000-0001-6677-5835</t>
  </si>
  <si>
    <t>2214-6296</t>
  </si>
  <si>
    <t>2214-6326</t>
  </si>
  <si>
    <t>10.1016/j.erss.2023.103224</t>
  </si>
  <si>
    <t>JUL 2023</t>
  </si>
  <si>
    <t>WOS:001048786400001</t>
  </si>
  <si>
    <t>Rojas, F; Aguilar, R; Almeida, S; Fritz, E; Corvalán, D; Ampuero, E; Abarzúa, S; Garcés, P; Amaro, A; Diaz, I; Arredondo, C; Cortes, N; Sanchez, M; Mercado, C; Varela-Nallar, L; Gao, FB; Montecino, M; van Zundert, B</t>
  </si>
  <si>
    <t>Rojas, Fabiola; Aguilar, Rodrigo; Almeida, Sandra; Fritz, Elsa; Corvalan, Daniela; Ampuero, Estibaliz; Abarzua, Sebastian; Garces, Polett; Amaro, Armando; Diaz, Ivan; Arredondo, Cristian; Cortes, Nicole; Sanchez, Mario; Mercado, Constanza; Varela-Nallar, Lorena; Gao, Fen-Biao; Montecino, Martin; van Zundert, Brigitte</t>
  </si>
  <si>
    <t>Mature iPSC-derived astrocytes of an ALS/FTD patient carrying the TDP43A90V mutation display a mild reactive state and release polyP toxic to motoneurons</t>
  </si>
  <si>
    <t>FRONTIERS IN CELL AND DEVELOPMENTAL BIOLOGY</t>
  </si>
  <si>
    <t>Astrocytes play a critical role in the maintenance of a healthy central nervous system and astrocyte dysfunction has been implicated in various neurodegenerative disorders, including amyotrophic lateral sclerosis (ALS) and frontotemporal dementia (FTD). There is compelling evidence that mouse and human ALS and ALS/FTD astrocytes can reduce the number of healthy wild-type motoneurons (MNs) in co-cultures or after treatment with astrocyte conditioned media (ACM), independently of their genotype. A growing number of studies have shown that soluble toxic factor(s) in the ACM cause non-cell autonomous MN death, including our recent identification of inorganic polyphosphate (polyP) that is excessively released from mouse primary astrocytes (SOD1, TARDBP, and C9ORF72) and human induced pluripotent stem cells (iPSC)-derived astrocytes (TARDBP) to kill MNs. However, others have reported that astrocytes carrying mutant TDP43 do not produce detectable MN toxicity. This controversy is likely to arise from the findings that human iPSC-derived astrocytes exhibit a rather immature and/or reactive phenotype in a number of studies. Here, we have succeeded in generating a highly homogenous population of functional quiescent mature astrocytes from control subject iPSCs. Using identical conditions, we also generated mature astrocytes from an ALS/FTD patient carrying the TDP43( A90V ) mutation. These mutant TDP43 patient-derived astrocytes exhibit key pathological hallmarks, including enhanced cytoplasmic TDP-43 and polyP levels. Additionally, mutant TDP43 astrocytes displayed a mild reactive signature and an aberrant function as they were unable to promote synaptogenesis of hippocampal neurons. The polyP-dependent neurotoxic nature of the TDP43( A90V ) mutation was further confirmed as neutralization of polyP in ACM derived from mutant TDP43 astrocytes prevented MN death. Our results establish that human astrocytes carrying the TDP43( A90V ) mutation exhibit a cell-autonomous pathological signature, hence providing an experimental model to decipher the molecular mechanisms underlying the generation of the neurotoxic phenotype.</t>
  </si>
  <si>
    <t>Aguilar, Rodrigo/AAG-6178-2019; Varela-Nallar, Lorena/AAV-3304-2021</t>
  </si>
  <si>
    <t>Aguilar, Rodrigo/0000-0003-0410-5478; Ampuero, Estibaliz/0000-0001-5543-1594; Varela-Nallar, Lorena/0000-0003-2588-6437; Corvalan Bustos, Daniela Alejandra/0009-0009-6939-0434; Amaro, Armando/0009-0001-7996-1730</t>
  </si>
  <si>
    <t>2296-634X</t>
  </si>
  <si>
    <t>JUL 28</t>
  </si>
  <si>
    <t>10.3389/fcell.2023.1226604</t>
  </si>
  <si>
    <t>WOS:001046596600001</t>
  </si>
  <si>
    <t>Maquieira, C; Gahona-Flores, O; Espinosa-Méndez, C</t>
  </si>
  <si>
    <t>Maquieira, Carlos; Gahona-Flores, Orlando; Espinosa-Mendez, Christian</t>
  </si>
  <si>
    <t>How does China economic policy uncertainty (EPU) impact copper-firms stock returns and copper prices returns?</t>
  </si>
  <si>
    <t>PurposeThis study focuses on how China EPU may impact copper-firms stock returns and also how China EPU mediates between stock returns and copper prices returns.Design/methodology/approachThe sample consists of 44 copper firms from January 2011 to March 2022. The study also considers a subsample of 29 net-exporters countries. Panel data methodology is used, allowing to control for unobservable heterogeneity and endogeneity problems. The equations are estimated through a dynamic panel using the generalized methods of moments (GMM).FindingsChina EPU has a negative and statistically significant relationship with stock returns. Copper price returns are positively associated with stock returns. This research also considers two scenarios: high and low levels of China EPU. For high levels of China EPU states it is reported a negative relationship between stock returns and China EPU and copper price returns show a positive relationship with stock returns.Research limitations/implicationsThere is need to explore other metals for what China exhibits a high demand and observe if China EPU and Global EPU have similar impacts on stock returns. It will be useful to identify main firm's consumers of copper and these other metals to explore the relationship between EPU and stock returns.Originality/valueTo the best of the authors' knowledge, this is the first paper that analyzes China EPU index and its impact on both copper-firms stocks returns and on changes in copper prices. This is done using all public copper firms worldwide.</t>
  </si>
  <si>
    <t>Espinosa-Méndez, Christian/G-5177-2019; Maquieira, Carlos/ISB-9473-2023</t>
  </si>
  <si>
    <t>Espinosa-Mendez, Christian/0000-0001-6499-2414; Maquieira, Carlos/0000-0001-5710-4669; Gahona-Flores, Doctor Orlando/0000-0002-6749-4522</t>
  </si>
  <si>
    <t>2056-5127</t>
  </si>
  <si>
    <t>2023 JUN 27</t>
  </si>
  <si>
    <t>10.1108/ARLA-11-2022-0203</t>
  </si>
  <si>
    <t>JUN 2023</t>
  </si>
  <si>
    <t>WOS:001014125900001</t>
  </si>
  <si>
    <t>Molina-Calderón, L; Basualto-Flores, C; Paredes-García, V; Gutierrez-Cutiño, M; Venegas-Yazigi, D</t>
  </si>
  <si>
    <t>Molina-Calderon, Lorena; Basualto-Flores, Carlos; Paredes-Garcia, Veronica; Gutierrez-Cutino, Marlen; Venegas-Yazigi, Diego</t>
  </si>
  <si>
    <t>Magnetic nanoadsorbent functionalized with aminophosphonic acid for NdIII ion extraction from aqueous media</t>
  </si>
  <si>
    <t>JOURNAL OF MOLECULAR LIQUIDS</t>
  </si>
  <si>
    <t>The adsorption performance of a new magnetic nanoadsorbent of Nd3+ was investigated. First, the nanoadsorbent was synthesized by chemical coprecipitation, and covered with a silica layer by the sol-gel method to obtain the silica-coated magnetic nanoparticles (MNP@SiO2). Subsequently, it was functionalized with nitrilotris (methylene)triphosphonic acid (NTMP), obtaining the goal aminophosphonic-functionalized nanoadsorbent (MNP@SiO2-NTMP). The functionalized nanoadsorbent was characterized using TEM, XRD, VSM, TGA, ATR-FTIR, EDS, and zeta potential measurements, confirming its nanoscale size, superparamagnetic behavior, and the presence of surface amino-phosphonic groups. The influence of different operational parameters on neodymium adsorption was investigated. The highest adsorption capacity of neodymium(III) was approximately 18 mg.g(-1) at pH 6.8, using an adsorbent dose of 1 g.L-1, a neodymium concentration of 100 mg.L-1, and a contact time of 15 min at room temperature. The neodymium(III) adsorption onto MNP@SiO2-NTMP followed a pseudosecond-order model, suggesting chemisorption mechanisms as the rate-limiting step. Batch experimental results showed that Nd3+ adsorption onto MNP@SiO2-NTMP was independent of the ionic strength, indicating the formation of inner-sphere surface complexes. Furthermore, the adsorption thermodynamic analyses suggested that neodymium adsorption was exothermic, entropy decreasing, and more favorable at low temperatures. The best adsorbent regeneration and neodymium desorption from the loaded adsorbent was achieved using acidic solutions of H2SO4, exhibiting excellent adsorbent reusability throughout the four adsorption-desorption cycles. The MNP@SiO2-NTMP was an effective adsorbent material for extracting neodymium(III) from dilute aqueous solutions. Therefore, it is expected that MNP@SiO2-NTMP can potentially be used in more sustainable recovery methods of neodymium from secondary sources, for example, from leaching solutions of NdFeB magnet scraps.</t>
  </si>
  <si>
    <t>Paredes-Garcia, Veronica/C-4415-2011</t>
  </si>
  <si>
    <t>Molina-Calderon, Lorena/0000-0002-4087-4306</t>
  </si>
  <si>
    <t>0167-7322</t>
  </si>
  <si>
    <t>1873-3166</t>
  </si>
  <si>
    <t>AUG 15</t>
  </si>
  <si>
    <t>10.1016/j.molliq.2023.122258</t>
  </si>
  <si>
    <t>WOS:001022227300001</t>
  </si>
  <si>
    <t>Navas, A</t>
  </si>
  <si>
    <t>Navas, Andres</t>
  </si>
  <si>
    <t>On Conjugates and the Asymptotic Distortion of One-Dimensional C1+bv Diffeomorphisms</t>
  </si>
  <si>
    <t>INTERNATIONAL MATHEMATICS RESEARCH NOTICES</t>
  </si>
  <si>
    <t>We show that a C1+bv circle diffeomorphism with absolutely continuous derivative and irrational rotation number can be conjugated to diffeomorphisms that are C1+bv arbitrary close to the corresponding rotation. This improves a theorem of M. Herman, who established the same result but starting with a C-2 diffeomorphism. We prove that the same holds for countable Abelian groups of circle diffeomorphisms acting freely, a result that is new even in the C-infinity context. Related results and examples concerning the asymptotic distortion of diffeomorphisms are presented. Along this path, we provide a straightened version of the classical Denjoy-Kocsma inequality for absolutely continuous potentials.</t>
  </si>
  <si>
    <t>Navas Flores, Andres Ignacio/0000-0002-0853-5136</t>
  </si>
  <si>
    <t>1073-7928</t>
  </si>
  <si>
    <t>1687-0247</t>
  </si>
  <si>
    <t>JAN 5</t>
  </si>
  <si>
    <t>10.1093/imrn/rnab281</t>
  </si>
  <si>
    <t>WOS:000790056800001</t>
  </si>
  <si>
    <t>Gramsch, E; Oyola, P; Reyes, F; Rojas, F; Henríquez, A; Kang, CM</t>
  </si>
  <si>
    <t>Gramsch, Ernesto; Oyola, Pedro; Reyes, Felipe; Rojas, Francisca; Henriquez, Andres; Kang, Choong-Min</t>
  </si>
  <si>
    <t>Trends in particle matter and its elemental composition in Santiago de Chile, 2011-2018</t>
  </si>
  <si>
    <t>JOURNAL OF THE AIR &amp; WASTE MANAGEMENT ASSOCIATION</t>
  </si>
  <si>
    <t>Daily fine (PM2.5) and coarse (PM10-2.5) particle matter (PM) samples collected at Parque O'Higgins station in downtown Santiago de Chile have been studied to find the trends in concentration from 1998 to 2018. Elemental concentration was obtained using X-ray fluorescence (XRF). Regression models from previous studies indicate that the PM2.5 and PM10-2.5 fractions have had a continuous decrease since 1988 mostly due to several policy control measures carried out over several decades. PM2.5 has decreased from 68.3 in 1988 to 27.6 mu g/m(3) in 2018 (60.4%). However, if only the last 8 years are considered (2011-2018), a leveling off can be observed in PM10-2.5 and PM2.5, which points to a change in the tendency. Cluster analysis of the elements in the fine and coarse fractions were identified to evaluate trends in the contributing sources. In the fine fraction, the mass contribution of crustal elements (Si, Al, Ca, and Fe) has remained stable in the last 8 years, and mass contribution of elements (Pb, Br, and Cl) associated to anthropogenic sources (traffic, wood burning) has also remained stable in the same period. For the coarse fraction, the contribution of one group of elements associated to crustal or anthropogenic sources has remained stable, and another group has decreased in the last 8 years. The leveling off can be ascribed to decreased rainfall during the last 8 years that have promoted soil dryness and resuspension of dust facilitated by wind or vehicular traffic. Mean temperatures have increased in the last 30 years, but have not contributed directly to the leveling of the concentration. Implications: Regression models indicate that the PM2.5 (fine) and PM10-2.5 (coarse) fractions at Parque O'Higgins station in Santiago de Chile have had a continuous decrease since 1988 mostly due to several policy control measures carried out over several decades. However, in the last 8 years (2011-2018), a leveling off can be observed in PM10-2.5 and PM2.5. X-ray fluorescence (XRF) analysis was performed in the fine fractions indicating that the mass contribution of crustal elements (Ca, Al, Si, Fe) to the fine fraction has remained stable. This phenomenon can be ascribed to decreased rainfall during the last 8 years that have promoted soil dryness and resuspension of dust facilitated by wind or vehicular traffic. The crustal elements in the coarse fraction have also remained stable.</t>
  </si>
  <si>
    <t>Gramsch, Ernesto/M-5507-2017; Henriquez, Andres/AAQ-6113-2021</t>
  </si>
  <si>
    <t>Henriquez, Andres/0000-0002-1917-4153</t>
  </si>
  <si>
    <t>1096-2247</t>
  </si>
  <si>
    <t>2162-2906</t>
  </si>
  <si>
    <t>JUN 3</t>
  </si>
  <si>
    <t>10.1080/10962247.2021.1877211</t>
  </si>
  <si>
    <t>MAR 2021</t>
  </si>
  <si>
    <t>WOS:000623874900001</t>
  </si>
  <si>
    <t>Barrionuevo, N; Gatica, S; Olivares, P; Cabello-Verrugio, C; Simon, F</t>
  </si>
  <si>
    <t>Barrionuevo, Nathaly; Gatica, Sebastian; Olivares, Pedro; Cabello-Verrugio, Claudio; Simon, Felipe</t>
  </si>
  <si>
    <t>Endothelial Cells Exhibit Two Waves of P-selectin Surface Aggregation Under Endotoxic and Oxidative Conditions</t>
  </si>
  <si>
    <t>PROTEIN JOURNAL</t>
  </si>
  <si>
    <t>Sepsis is a clinical syndrome characterized by the presence of circulating microbial endotoxins and oxidative stress. Endotoxin and oxidative stress activate endothelial cells via a convergent signaling pathway (TLR4/MyD88/PI3 K/PLC gamma/NF-B) that stimulates both the transcription of SELP gene (which encodes for human P-selectin) and the release of P-selectin from Weibel-Palade bodies (WPBs). However, time course pattern of P-selectin surface aggregation has not been established in endothelial cells under 24 h of endotoxic or oxidative stress. Our study shows that P-selectin has at least two waves of aggregation at the cell surface: one 10 min and the other 12 h after endotoxic or oxidative stress. The first wave depends exclusively on WPB delivery to the cell membrane, while the second depends on P-selectin translation machinery, ER-Golgi sorting, and WPB surface delivery. Understanding adhesion molecule dynamics in endothelial cells could provide further molecular insights to develop diagnostic or therapeutic tools to aid in the management of sepsis.</t>
  </si>
  <si>
    <t>Cabello-Verrugio, Claudio/AAD-1454-2020; Gatica, Sebastian/F-5669-2012</t>
  </si>
  <si>
    <t>Cabello-Verrugio, Claudio/0000-0001-7273-2102; Simon, Felipe/0000-0002-2653-9798</t>
  </si>
  <si>
    <t>1572-3887</t>
  </si>
  <si>
    <t>1875-8355</t>
  </si>
  <si>
    <t>10.1007/s10930-019-09865-0</t>
  </si>
  <si>
    <t>WOS:000492662300007</t>
  </si>
  <si>
    <t>Garcia-Hermoso, A; Oriol-Granado, X; Correa-Bautista, JE; Ramírez-Vélez, R</t>
  </si>
  <si>
    <t>Garcia-Hermoso, Antonio; Oriol-Granado, Xavier; Enrique Correa-Bautista, Jorge; Ramirez-Velez, Robinson</t>
  </si>
  <si>
    <t>Association between bullying victimization and physical fitness among children and adolescents</t>
  </si>
  <si>
    <t>INTERNATIONAL JOURNAL OF CLINICAL AND HEALTH PSYCHOLOGY</t>
  </si>
  <si>
    <t>Background/Objective: The aim of the study was to analyze the relationship between being bullied and the physical fitness components, and to determine whether a healthy physical fitness level is related with lower victimization in children and adolescents with overweight and obesity compared to unfit overweight/obese peers. Method:The present cross-sectional study included a total of 7,714 youths (9-17 years), categorized as normal-weight or overweight/obese and fit or unfit according to sex-specific handgrip strength and cardiorespiratory fitness (CRF) cut-points. Bullying (physical, verbal, social exclusion, sexual harassment, and cyberbullying) was assessed through the Standard Health Behavior in School-aged Children survey questions. Results:Boys and girls that were categorized as fit (healthy level of CRF) showed lower traditional bullying compared to unfit counterparts. Also, a healthy level of CRF could be a protective factor of traditional bullying among overweight/obese youths compared to unfit overweight/obese peers. Conclusions:CRF is related with lower risk for experiencing traditional bullying in Latino youths with and without obesity, thus emphasizing the role of fitness even among youth with excess of adiposity. (C) 2019 Published by Elsevier Espana, S.L.U. on behalf of Asociacion Espanola de Psicologia Conductual.</t>
  </si>
  <si>
    <t>García-Hermoso, Antonio/ADU-2591-2022; Correa-Bautista, Jorge Enrique/JDD-3131-2023; Oriol, Xavier/AAO-3112-2021; Correa-Bautista, Jorge Enrique/N-2741-2015; Ramirez-Velez, Robinson/D-5311-2016; Garcia-Hermoso, Antonio/P-1857-2017</t>
  </si>
  <si>
    <t>Oriol, Xavier/0000-0001-7130-7729; Correa-Bautista, Jorge Enrique/0000-0002-0646-2316; Ramirez-Velez, Robinson/0000-0003-3075-6960; Garcia-Hermoso, Antonio/0000-0002-1397-7182</t>
  </si>
  <si>
    <t>1697-2600</t>
  </si>
  <si>
    <t>1576-7329</t>
  </si>
  <si>
    <t>10.1016/j.ijchp.2019.02.006</t>
  </si>
  <si>
    <t>WOS:000467434100006</t>
  </si>
  <si>
    <t>Vergara, PM; Soto, GE; Rodewald, AD; Quiroz, M</t>
  </si>
  <si>
    <t>Vergara, Pablo M.; Soto, Gerardo E.; Rodewald, Amanda D.; Quiroz, Madelaine</t>
  </si>
  <si>
    <t>Behavioral switching in Magellanic woodpeckers reveals perception of habitat quality at different spatial scales</t>
  </si>
  <si>
    <t>LANDSCAPE ECOLOGY</t>
  </si>
  <si>
    <t>ContextThe switching pattern between behavioral modes provides a mechanistic basis for understanding how animals perceive and memorize the habitat quality in their home ranges.ObjectivesWe assessed if Magellanic woodpeckers (Campephilus magellanicus) move based on habitat quality at local (neighboring trees) and home range scales.MethodsWe used state-space models to examine the relationship between remotely-sensed estimates of habitat quality (tree decay) and movement of adult woodpeckers tracked with GPS telemetry in southern Chile.ResultsWoodpeckers spent most time (&gt;80%) in the area-restricted search (ARS) mode in contrast to the exploratory transient mode, characterized by frequent directional displacements (&gt;50m). The extent to which individuals switched between behavioral modes was related to habitat quality at different scales. Woodpeckers switched to and remained in the ARS mode when encountering moderate levels of heterogeneity in habitat quality. At very low or high heterogeneity levels, however, individuals switched to and remained in the transient mode, respectively. Likewise, as habitat quality declined locally and across home range, woodpeckers were more likely to adopt a transient mode.ConclusionsAlthough woodpeckers seemed to easily perceive and memorize habitat quality at different spatial scales, our results suggest that spatial memory will less effective under extreme levels of habitat heterogeneity.</t>
  </si>
  <si>
    <t>Quiroz, Madelaine/ACG-9162-2022; Soto, Gerardo/JAX-4165-2023; Vergara, Pablo/F-2519-2010; Rodewald, Amanda/I-6308-2016</t>
  </si>
  <si>
    <t>Rodewald, Amanda/0000-0002-6719-6306; Soto, Gerardo/0000-0002-9706-6588; Vergara, Pablo/0000-0002-0024-1678</t>
  </si>
  <si>
    <t>0921-2973</t>
  </si>
  <si>
    <t>1572-9761</t>
  </si>
  <si>
    <t>10.1007/s10980-018-0746-5</t>
  </si>
  <si>
    <t>WOS:000458986300007</t>
  </si>
  <si>
    <t>Vásquez, AM; Noya, AR</t>
  </si>
  <si>
    <t>Marin Vasquez, America; Rodriguez Noya, Angel</t>
  </si>
  <si>
    <t>COMPARISON OF THE LAWS REGULATING WASTE DEPOSITION IN SPAIN AND CHILE</t>
  </si>
  <si>
    <t>INTERCIENCIA</t>
  </si>
  <si>
    <t>The aim of this paper is to analyze the different laws regulating waste deposition in Europe, concretely their application in Spain, compared to a Latin-American country, Chile being chosen because it has the highest GDP per capita in region (IMF, 2014) and, additionally, since Chile is part of the OECD. To this end, we have compared the formalities required for construction, authorization, management and operation, as well as closure, of waste landfills. There exist many similarities between the laws in the two countries, but there are also differences as the legal requirements in Chile are less than in the European country.</t>
  </si>
  <si>
    <t>0378-1844</t>
  </si>
  <si>
    <t>WOS:000408519900010</t>
  </si>
  <si>
    <t>Fernández, F; Berríos, C; Garrido-Ramírez, E; Escalona, N; Gutiérrez, C; Ureta-Zañartu, MS</t>
  </si>
  <si>
    <t>Fernandez, Francisco; Berrios, Cristhian; Garrido-Ramirez, Elizabeth; Escalona, Nestor; Gutierrez, Claudio; Soledad Ureta-Zanartu, Maria</t>
  </si>
  <si>
    <t>Electrooxidation of 2-chlorophenol and 2,4,6-chlorophenol on glassy carbon electrodes modified with graphite-zeolite mixtures</t>
  </si>
  <si>
    <t>21st meeting of the Iberoamerican-Electrochemical-Society</t>
  </si>
  <si>
    <t>APR 06-11, 2014</t>
  </si>
  <si>
    <t>La Serena, CHILE</t>
  </si>
  <si>
    <t>This work reports the behavior of zeolite-graphite electrodes for the oxidation of 2,4,6-trichlorophenol (2,4,6-TCP) and 2-chlorophenol (2-CP) in a pH 3, 0.5 M Na2SO4 electrolyte using cyclic voltammetry, chronoamperometry, electrochemical impedance and galvanostatic electrolysis. Three zeolites with different hydrophobic/hydrophilic balance were used, in order to determine the possible effect of this parameter. On glassy carbon (GC) modified with 80-20 % graphite-zeolite mixtures the voltammetric peak charge of 2-CP oxidation was higher than that on GC modified with graphite alone, clearly showing a catalytic effect of the zeolites. ZSM-5 was the more active zeolite, probably due to its hydrophobic character, which should favor its interaction with the also hydrophobic 2-CP. In agreement with this, the charge-transfer resistance of GC modified with a graphite-ZSM-5 mixture was about half that of GC modified with graphite alone, and its double-layer capacity about 50 % higher, indicating a modification of the interface which favours the reaction. On the contrary, for 2,4,6-TCP both the oxidation peak charge, and the charge-transfer resistance, for GC electrodes modified with graphite-zeolite mixtures was about the same as that of GC modified with graphite alone. This lack of catalytic action could be due to the fact that the oxidation of 2,4,6-TCP requires the release of at least one chlorine atom, this release being so difficult that it cannot be promoted by any of the zeolites studied. However, in prolonged galvanostatic electrolysis practically all the current went to the oxidation of 2,4,6-TCP, while in the case of 2-CP only a small fraction was oxidized. Probably with 2-CP at long times surface poisoning blocked the reaction, as reflected by the fact that the electrolysis potential rose to a value 0.2 V higher than that reached by TCP, and so high that most of the current went to oxygen evolution. The zeolites ZA and ZY decreased the mineralization of 2,4,6-TCP, since they promoted a one-electron oxidation reaction, so that its concentration at 80 min was about 80 % of that observed with graphite alone. The oxidation of 2-CP was not significantly affected by any zeolite as compared with that on graphite.</t>
  </si>
  <si>
    <t>Fernandez, Francisco/K-5532-2014; Ureta-Zañartu, Maria/G-5239-2019; Escalona, Nestor/F-3593-2016</t>
  </si>
  <si>
    <t>Escalona Burgos, Nestor/0000-0002-2628-4609; Garrido-Ramirez, Elizabeth/0000-0002-1685-7979</t>
  </si>
  <si>
    <t>1572-8838</t>
  </si>
  <si>
    <t>10.1007/s10800-014-0763-2</t>
  </si>
  <si>
    <t>WOS:000344778900007</t>
  </si>
  <si>
    <t>Aguirre, SA; Pinto, RV; Alvarez, MN; Yáñez, RC</t>
  </si>
  <si>
    <t>Aracena Aguirre, Sebastian; Valdivia Pinto, Ricardo; Navarrete Alvarez, Monica; Cornejo Yanez, Robert</t>
  </si>
  <si>
    <t>DEVELOPMENT OF A GEOBI SOLUTION FOR THE OBSERVATION AND ANALYSIS OF CENSUS INFORMATION IN CHILE</t>
  </si>
  <si>
    <t>A Business Intelligence solution for the 1992 and 2002 censuses in Chile is described, aiming to integrate information from both periods so as to facilitate the observation and time-space data analysis. The solution involves the implementation of a Data Mart that includes geospatial information (GeoBI) and allows using GIS technology and spatial online analytical processing (SOLAP) tools for displaying information. To extend the dissemination of this information, a web map server 'Geo Analysis Census' has been implemented, through which it is possible to dynamically interact with the population data, considering the use of cubes, maps and dashboards. The existing alternative in the market is the REDATAM tool, widely used in Latin America to manage information census. However, it does not permit integrated queries between censuses in different years, nor to interact with cartographical data visualization. Therefore, this work contributes to the observation and census geo-information analysis by using open access tools that enable a more flexible and powerful integrated analysis.</t>
  </si>
  <si>
    <t>Navarrete, Monica/MCK-4970-2025</t>
  </si>
  <si>
    <t>WOS:000344723600002</t>
  </si>
  <si>
    <t>Tamayo, LA; Zapata, PA; Vejar, ND; Azócar, MI; Gulppi, MA; Zhou, X; Thompson, GE; Rabagliati, FM; Páez, MA</t>
  </si>
  <si>
    <t>Tamayo, L. A.; Zapata, P. A.; Vejar, N. D.; Azocar, M. I.; Gulppi, M. A.; Zhou, X.; Thompson, G. E.; Rabagliati, F. M.; Paez, M. A.</t>
  </si>
  <si>
    <t>Release of silver and copper nanoparticles from polyethylene nanocomposites and their penetration into Listeria monocytogenes</t>
  </si>
  <si>
    <t>MATERIALS SCIENCE AND ENGINEERING C-MATERIALS FOR BIOLOGICAL APPLICATIONS</t>
  </si>
  <si>
    <t>Since infection is a major cause of death in a patient whose immune responses have been compromised (immunocompromised patient), considerable attention has been focused on developing materials for the prevention of infections. This has been directed primarily at suppressing or eliminating the host's endogenous microbial burden and decreasing the acquisition of new organisms. In this study, the antibacterial properties of two nanocomposites, polyethylene modified with silver nanoparticles (PE-AgNps) or copper nanoparticles (PE-CuNps), against Listeria monocytogenes have been investigated. In order to elucidate the antibacterial mechanism, specifically whether this mechanism corresponds to bactericidal or bacteriolytic activities, we have determined the extent of release of metal ions (Ag2+ and Cu2+) and, also, the morphology of the bacteria. The metal ion release from nanocomposites was followed by inductively coupled plasma spectrometry and the morphology of the bacteria was revealed through examination of ultramicrotomed sections of bacteria in a transmission electron microscope. The study of metal ion release from the nanocomposites shows that for both nanocomposites the amount of ions released varies with time, which initially displays a linear behavior until an asymptotic behavior is reached. Further, TEM images show that silver nanoparticles (AgNps) and copper nanoparticles (CuNps), which are released from the nanocomposites, can penetrate to the cell wall and the plasma membrane of bacteria. Resulting morphological changes involve separation of the cytoplasmic membrane from the cell wall, which is known to be an effect of plasmolysis. It was revealed that the antibacterial abilities of the two nanocomposites against L. monocytogenes are associated with both bactericidal and bacteriolytic effects. (C) 2014 Elsevier B.V. All rights reserved.</t>
  </si>
  <si>
    <t>Vejar, Nelson/M-7784-2017; Paez, Maritza/M-2010-2014; Pappas, Georgios/F-7194-2014; Tamayo, Laura/I-8942-2018; Azocar, Manuel/I-1226-2013; Gulppi, Miguel/KTA-6210-2024; Zhou, Xiaorong/M-3600-2014</t>
  </si>
  <si>
    <t>Zhou, Xiaorong/0000-0001-9943-3997; Tamayo, Laura/0000-0003-1159-5305; Vejar, Nelson/0000-0002-9544-2199; paez, maritza/0000-0001-5881-884X; Zapata, Paula Andrea/0000-0003-3361-6226; Gulppi, Miguel/0000-0001-6099-4463; Azocar Guzman, Manuel/0000-0003-1098-4659</t>
  </si>
  <si>
    <t>0928-4931</t>
  </si>
  <si>
    <t>1873-0191</t>
  </si>
  <si>
    <t>JUL 1</t>
  </si>
  <si>
    <t>10.1016/j.msec.2014.03.037</t>
  </si>
  <si>
    <t>WOS:000338388400004</t>
  </si>
  <si>
    <t>Montalvo, SJ; Guerrero, LE; Borja, R</t>
  </si>
  <si>
    <t>Montalvo, S. J.; Guerrero, L. E.; Borja, R.</t>
  </si>
  <si>
    <t>Improvement in nitrification through the use of natural zeolite: influence of the biomass concentration and inoculum source</t>
  </si>
  <si>
    <t>INTERNATIONAL JOURNAL OF ENVIRONMENTAL SCIENCE AND TECHNOLOGY</t>
  </si>
  <si>
    <t>A batch nitrification process was studied using synthetic wastewater as substrate and Chilean natural zeolite as biomass carrier at ambient temperatures (20 degrees C). Three groups of experiments were carried out: a first experimental set (I) with and without added zeolite using initial biomass concentrations of 1,000 and 2,000 mg VSS/L; a second set of experiments (II) with added zeolite and at the same initial biomass concentrations. In these two experimental sets, biomass from an activated sludge process located in an urban wastewater treatment plant at La Farfana, Santiago de Chile, was used as inoculum (1). Finally, a third set of experiments (III) was carried out with zeolite at an initial biomass concentration of 1,000 mg VSS/L using an inoculum derived from an activated sludge process treating wastewater from a paper mill (inoculum 2). Nitrifying biomass concentration values in the range of 13,000-18,800 mg VSS/L were achieved when initial biomass concentrations varied between 1,000 and 2,000 mg VSS/L. Inoculum (1) generated higher biomass concentrations than inoculum (2). Ammonium N removals higher than 70 % were obtained in experimental sets II and III when zeolite was used. For both initial biomass concentrations tested, an exponential biomass growth was observed up to the second day of operation, and a slight decrease was evident afterwards, achieving stationary values after 10-12 days of operation. The third experimental set (III) revealed that the highest N consumption took place between days 11 and 16 of digestion.</t>
  </si>
  <si>
    <t>Borja, Rafael/P-5314-2016</t>
  </si>
  <si>
    <t>Borja, Rafael/0000-0002-3699-7223</t>
  </si>
  <si>
    <t>1735-1472</t>
  </si>
  <si>
    <t>1735-2630</t>
  </si>
  <si>
    <t>10.1007/s13762-013-0364-3</t>
  </si>
  <si>
    <t>WOS:000331626100005</t>
  </si>
  <si>
    <t>Buttigieg, A; Flores, O; Hernández, A; Sáez-Briones, P; Burgos, H; Morgan, C</t>
  </si>
  <si>
    <t>Buttigieg, Angie; Flores, Osvaldo; Hernandez, Alejandro; Saez-Briones, Patricio; Burgos, Hector; Morgan, Carlos</t>
  </si>
  <si>
    <t>Preference for high-fat diet is developed by young Swiss CD1 mice after short-term feeding and is prevented by NMDA receptor antagonists</t>
  </si>
  <si>
    <t>NEUROBIOLOGY OF LEARNING AND MEMORY</t>
  </si>
  <si>
    <t>Obesity is a worldwide epidemic that is increasing at an alarming rate. One of its causes is the increased availability and consumption of diets rich in fat. In the present study, we investigated the effects of short-term consumption of a high fat diet (HFD) on dietary preferences in Swiss CD1 mice and its relation in time to specific metabolic effects. Mice that were weaned 21 days postpartum and fed a chow diet for one week were afterward subjected to a diet preference test for 5 days, exposed to both a regular diet (RD) and HFD. We found that mice did not show any preferences. In a second experiment, two groups of mice that were weaned 21 days postpartum and subjected to a chow diet for one week were fed either RD or HFD for 18 days, and a diet preference test was performed for 5 days. After this short-term consumption of HFD, mice preferred HFD, while mice subjected to RD did not show any preference. Importantly, no differences in blood glucose levels were found between the groups prior to and after the experiments. The results support our hypothesis that the preference for HFD is not a spontaneous behavior in CD1 mice, but it can be observed after short-term consumption; additionally, this preference develops before metabolic effects appear. Finally, this preference for HFD could not be observed when the mice were i.p. injected daily with low doses of the NMDA receptor antagonists, ketamine, ifenprodil or MK-801 during the HFD feeding period. These data suggest that acquisition of dietary preference for HFD is a NMDA receptor-dependent learning process. (C) 2013 Elsevier Inc. All rights reserved.</t>
  </si>
  <si>
    <t>Hernandez, Alejandro/M-4796-2019; BURGOS, HECTOR/ABA-6821-2020</t>
  </si>
  <si>
    <t>Hernandez, Alejandro/0000-0001-9222-6522; BURGOS, HECTOR/0000-0001-7705-4347; Buttigieg, Angie/0000-0001-7361-8504</t>
  </si>
  <si>
    <t>1074-7427</t>
  </si>
  <si>
    <t>1095-9564</t>
  </si>
  <si>
    <t>10.1016/j.nlm.2013.10.018</t>
  </si>
  <si>
    <t>WOS:000329562300002</t>
  </si>
  <si>
    <t>Chacón, M; Sanhueza, C; Panerai, RB</t>
  </si>
  <si>
    <t>Braidot, A; Hadad, A</t>
  </si>
  <si>
    <t>Chacon, M.; Sanhueza, C.; Panerai, R. B.</t>
  </si>
  <si>
    <t>Dynamic Estimation of Non Invasive Intracranial Pressure Using SVM with External Recurrences</t>
  </si>
  <si>
    <t>VI LATIN AMERICAN CONGRESS ON BIOMEDICAL ENGINEERING (CLAIB 2014)</t>
  </si>
  <si>
    <t>IFMBE Proceedings</t>
  </si>
  <si>
    <t>6th Latin American Biomedical Engineering Conference (CLAIB)</t>
  </si>
  <si>
    <t>OCT 29-31, 2014</t>
  </si>
  <si>
    <t>Parana, ARGENTINA</t>
  </si>
  <si>
    <t>Reg Council Biomed Engn Latin America,Argentine Soc Bioengineering,Nacl Univ Entre Rios, Engn Sch,Int Federat Med &amp; Biol Engn,IEEE Engn Med &amp; Biol Soc</t>
  </si>
  <si>
    <t>Intracranial Pressure measurements are of great importance for the diagnosis, monitoring and treatment of many vascular brain disturbances. The standard measurement of Intracranial Pressure is performed invasively by perforation of the cranial scalp in the presence of a severe injury. Measuring Intracranial Pressure in a noninvasive way is relevant for a large number of pathologies where the invasive procedure represents a high risk. The method proposed in this study uses the Arterial Blood Pressure and the Cerebral Blood Flow Velocity - which may be obtained by noninvasive methods- to continuously estimate Intracranial Pressure. The results show that it is possible to estimate Intracranial Pressure using a non-linear Support Vector Machine with a correlation coefficient of 0.74 and a maximum deviation below 2 mmHg, which is comparable with (invasive) direct measurement instruments.</t>
  </si>
  <si>
    <t>1680-0737</t>
  </si>
  <si>
    <t>978-3-319-13116-0; 978-3-319-13117-7</t>
  </si>
  <si>
    <t>10.1007/978-3-319-13117-7_229</t>
  </si>
  <si>
    <t>WOS:000363767200228</t>
  </si>
  <si>
    <t>Urzúa, A; Modak, B; Santander, R; Heit, C; Echeverría, J</t>
  </si>
  <si>
    <t>Urzua, Alejandro; Modak, Brenda; Santander, Rocio; Heit, Cecilia; Echeverria, Javier</t>
  </si>
  <si>
    <t>Insecticidal properties of Heliotropium stenophyllum essential oil on the House fly, Musca domestica L.</t>
  </si>
  <si>
    <t>BOLETIN LATINOAMERICANO Y DEL CARIBE DE PLANTAS MEDICINALES Y AROMATICAS</t>
  </si>
  <si>
    <t>The composition of the essential oil (EO) obtained by hydro distillation from dry leaves of Heliotropium stenophyllum (Heliotropiaceae) was analyzed using gas chromatography (GC) and gas chromatography/mass spectrometry (GC/MS). The insecticidal activity of the oil against the house fly Musca domestica was evaluated and the dose necessary to kill 50% of flies (LC50) in 2 h was determined at 25 +/- 1 degrees C. The essential oil from Heliotropium stenophyllum showed potent insecticidal properties (LC50 = 1.09 mg/dm(3)) in comparison with other essential oils, in which at shorter times, the same bio-assay was used. According to GC and GC/MS analysis, junenol (19.08%); longiborneol (9.34%); (E, Z)-geranyl linalool (6.81%); selina-3,11-dien-6-alpha-ol (6.70%); alpha-cedrene epoxide (6.60%); heliofolen-12-al D (6.23%) and beta-epi-bisabolol (4.83%) were the principal components of the EO. The Heliotropium stenophyllum essential oil, made up exclusively of sesquiterpenes, showed a composition very different from the EOs of the other species of Heliotropium, studied, and present a great potential as a natural insecticide against houseflies.</t>
  </si>
  <si>
    <t>Echeverría, Javier/AAK-3323-2020; Santander, Rocio/K-7645-2013</t>
  </si>
  <si>
    <t>Echeverria, Javier/0000-0002-1688-968X; Urzua, Alejandro/0000-0003-2638-0921</t>
  </si>
  <si>
    <t>0717-7917</t>
  </si>
  <si>
    <t>WOS:000316942700009</t>
  </si>
  <si>
    <t>Arancibia, V; Zúñiga, M; Zúñiga, MC; Segura, R; Esteban, M</t>
  </si>
  <si>
    <t>Arancibia, V.; Zuniga, M.; Zuniga, M. C.; Segura, R.; Esteban, M.</t>
  </si>
  <si>
    <t>Optimization of Experimental Parameters in the Determination of Zinc in Sea Water by Adsorptive Stripping Voltammetry</t>
  </si>
  <si>
    <t>A procedure for the determination of zinc in sea water by square wave adsorptive stripping voltammetry (SWAdSV) using 8-hydroxyquinoline ( oxine) as an adsorbing and complexing agent has been optimized. First, a univariate study of the Zn-Ox complex peak current as a function of pH was carried out choosing values at which adequate currents were obtained. Then, selection of the experimental conditions was made using a multivariate experimental design. Variables like pH, oxine concentration (C-ox), adsorption time (t(ads)) and adsorption potential (E-ads) were optimized. The first optimization step was a 24 factorial design with 16 measurements made choosing high and low levels, and three measurements at the central point (Zn(II) 10.0 mu g L-1). Analysis of variance showed that pH and Cox were the most significant factors, while tads and Eads were not significant and were kept constant in later measurements. Next, to find the optimum values for pH and C-ox a 2(2) + star factorial design was used. The best experimental parameters were pH = 6.0; C-ox = 25 mu mol L-1; t(ads) = 10 s and E-ads = -0.70 V. Under these conditions the peak current was proportional to the concentration of zinc over the 0.1-48.0 mu g L-1 range, with a detection limit of 0.05 mu g L-1. Reproducibility for 5.0 mu g mL(-1) Zn(II) solution was 1.9 % (n = 16). The method was validated using spiked synthetic sea water (ASTM D665), sea water reference material (CRM-SW. Zn 5 mu g kg(-1)) and fortified water reference material (GBW08607. Zn 5 mg kg(-1)) with satisfactory results. Finally, the method was successfully applied to the determination of Zn(II) in sea water samples without prior treatment.</t>
  </si>
  <si>
    <t>Segura, Rodrigo/J-6696-2016</t>
  </si>
  <si>
    <t>Arancibia, Veronica/0000-0001-7493-0460; Esteban, Miquel/0000-0002-3793-6684</t>
  </si>
  <si>
    <t>10.1590/S0103-50532010000200010</t>
  </si>
  <si>
    <t>WOS:000276085500010</t>
  </si>
  <si>
    <t>Chacón, M; Araya, C; Muñoz, M; Panerai, RB</t>
  </si>
  <si>
    <t>Dourado, A; Rosa, A; Madani, K</t>
  </si>
  <si>
    <t>Chacon, Max; Araya, Claudio; Munoz, Marcela; Panerai, Ronney B.</t>
  </si>
  <si>
    <t>COMPARISON BETWEEN SVM AND ANN FOR MODELING THE CEREBRAL AUTOREGULATION BLOOD FLOW SYSTEM</t>
  </si>
  <si>
    <t>IJCCI 2009: PROCEEDINGS OF THE INTERNATIONAL JOINT CONFERENCE ON COMPUTATIONAL INTELLIGENCE</t>
  </si>
  <si>
    <t>1st International Joint Conference on Computational Intelligence</t>
  </si>
  <si>
    <t>OCT 05-07, 2009</t>
  </si>
  <si>
    <t>Funchal, PORTUGAL</t>
  </si>
  <si>
    <t>Inst Syst &amp; Technol Informat, Control &amp; Commun,Int Fuzzy Syst Assoc</t>
  </si>
  <si>
    <t>The performance of SVMs and ANNs as identifiers of time systems is compared with the purpose of analyzing the Cerebral blood flow Autoregulation System, one of the main systems in the field of cerebral hemodynamics. The main variables of this system are Arterial Blood Pressure (ABP) variations and changes in End-tidal pCO(2) (EtCO2). In this work we show that models that have ABP and EtCO2 as input, trained with the SVM, are superior to ANN models in terms of the fit of an unknown set, and they are also more adequate for measuring the influence of EtCO2 on Cerebral Blood Flow Velocity.</t>
  </si>
  <si>
    <t>978-989-674-014-6</t>
  </si>
  <si>
    <t>WOS:000290915300077</t>
  </si>
  <si>
    <t>Gómez-Polo, C; Socolovsky, LM; Denardin, JC; Knobel, M; Pérez-Landazábal, JI; Recarte, V</t>
  </si>
  <si>
    <t>Gomez-Polo, C.; Socolovsky, L. M.; Denardin, J. C.; Knobel, M.; Perez-Landazabal, J. I.; Recarte, V.</t>
  </si>
  <si>
    <t>Magnetocaloric effect in FeCr soft magnetic nanocrystalline alloys</t>
  </si>
  <si>
    <t>3rd Joint European Magnetic Symposia (JEMS 06)</t>
  </si>
  <si>
    <t>JUN 26-29, 2006</t>
  </si>
  <si>
    <t>San Sebastian, SPAIN</t>
  </si>
  <si>
    <t>Natl Advisory Comm</t>
  </si>
  <si>
    <t>In this work the magnetocaloric effect in a Fe63.5Cr10Si13.5B9CuNb3 soft magnetic nanocrystalline alloy is analysed. High resolution transmission electron microscocopy indicates the precipitation of the desired nanocrystalline structure (grains around 10nm in size surrounded by a residual amorphous phase) upon suitable treatments of the initial amorphous sample. The temperature dependence of the magnetic entropy variation, Delta S-M(T), calculated from the magnetization curves displays a maximum negative value around the Curie temperature of the residual amorphous phase (T-C,T-a approximate to 180 K). The dependence of Delta S-M(T) on the applied field and its evolution with the nanocrystalline volume fraction indicates the main contribution of the residual amorphous phase to the magnetic entropy change. Some specific low temperature magnetization features (spin freezing) are also analysed in terms of Delta S-M(T). (c) 2007 Elsevier B.V. All rights reserved.</t>
  </si>
  <si>
    <t>Denardin, Juliano/S-6407-2019; Socolovsky, Leandro/B-5318-2012; Perez-Landazabal, J.I./H-9712-2015; Knobel, Marcelo/A-2843-2009; Recarte, Vicente/P-7121-2014; Gomez-Polo, Cristina/A-4680-2017</t>
  </si>
  <si>
    <t>Perez-Landazabal, J.I./0000-0003-1172-6141; Knobel, Marcelo/0000-0002-6540-9267; Recarte, Vicente/0000-0002-5342-5403; Gomez-Polo, Cristina/0000-0001-8919-4822; Socolovsky, Leandro/0000-0001-9256-7183; Denardin, Juliano/0000-0002-1373-6207</t>
  </si>
  <si>
    <t>E876</t>
  </si>
  <si>
    <t>E878</t>
  </si>
  <si>
    <t>10.1016/j.jmmm.2007.03.127</t>
  </si>
  <si>
    <t>WOS:000248150000336</t>
  </si>
  <si>
    <t>Louisnard, O; Gomez, FJ; Grossier, R</t>
  </si>
  <si>
    <t>Louisnard, Olivier; Gomez, Francisco J.; Grossier, Romain</t>
  </si>
  <si>
    <t>Segregation of a liquid mixture by a radially oscillating bubble</t>
  </si>
  <si>
    <t>JOURNAL OF FLUID MECHANICS</t>
  </si>
  <si>
    <t>A theoretical formulation is proposed for forced mass transport by pressure gradients in a liquid binary mixture around a spherical bubble undergoing volume oscillations in a sound field. Assuming the impermeability of the bubble wall to both species, diffusion driven by pressure gradients and classical Fick-diffusion must cancel at the bubble wall, so that an oscillatory concentration gradient arises in the vicinity of the bubble. The Peclet number Pe is generally high in typical situations and Fick diffusion cannot restore equilibrium immediately, so that an asymptotic average concentration profile may progressively build up in the liquid over large times. Such a behaviour is reminiscent of the so-called rectified diffusion problem, leading to slow growth of a gas bubble oscillating in a sound field. A rigorous method formerly proposed by Fyrillas &amp; Szeri (J. Fluid Mech. vol. 277, 1994, p. 381) to solve the latter problem is used to solve the present one. It is based on splitting the problem into a smooth part and an oscillatory part. The smooth part is solved by a multiple scales method and yields the slowly varying average concentration field everywhere in the liquid. The oscillatory part is obtained by matched asymptotic expansions in terms of the small parameter Pe(-1/2) : the inner solution is required to satisfy the oscillatory balance between pressure diffusion and Fick diffusion at the bubble wall, while the outer solution is required to be zero. Matching both solutions yields a unique splitting of the problem. The final analytical solution, truncated to leading order, compares successfully to direct numerical simulation of the full convection-diffusion equation. The analytical expressions for both smooth and oscillatory parts are calculated for various sets of bubble parameters: driving pressure, frequency and ambient radius. The smooth problem always yields an average depletion of the heaviest species at the bubble wall, only noticeable for large molecules or nano-particles. For driving pressures sufficiently high to yield inertial oscillations of the bubble, the oscillatory problem predicts a periodic peak excess concentration of the heaviest species at the bubble wall at each collapse, lingering on several tens of the time of the characteristic duration of the bubble rebound. The two effects may compete for large molecules and practical implications of this segregation phenomenon are proposed for various processes involving acoustic cavitation.</t>
  </si>
  <si>
    <t>LOUISNARD, Olivier/G-5304-2015; GROSSIER, Romain/U-4432-2019</t>
  </si>
  <si>
    <t>Grossier, Romain/0000-0002-5207-2087; LOUISNARD, Olivier/0000-0002-3151-5192</t>
  </si>
  <si>
    <t>0022-1120</t>
  </si>
  <si>
    <t>1469-7645</t>
  </si>
  <si>
    <t>APR 25</t>
  </si>
  <si>
    <t>10.1017/S002211200700479X</t>
  </si>
  <si>
    <t>WOS:000246332900019</t>
  </si>
  <si>
    <t>Villanueva, RA; Guacucano, M; Pizarro, J; Sandino, AM</t>
  </si>
  <si>
    <t>Inhibition of virion-associated IPNV RNA polymerase, VP1, by radiolabeled nucleotide analogs</t>
  </si>
  <si>
    <t>VIRUS RESEARCH</t>
  </si>
  <si>
    <t>Infectious pancreatic necrosis virus (IPNV) is a bi-segmented, dsRNA virus of the Birnaviridae family. The structural protein VP1 has been postulated as the RNA-dependent RNA polymerase (RdRp), but its transcriptional activity has not been unequivocally identified from viral particles. Here, we assayed partially purified IPNV in an in vitro RNA synthesis system. To test the RdRp, dialdehyde-nucleotide analogs were used to covalently inhibit the polymerase-associated activity. Our results showed that dialdehyde-nucleotide analogs completely abrogated IPNV in vitro RNA synthesis. The protein involved in this process was identified as viral VP1, since: (a) after incubation of lPNV with [alpha-P-32]2',3'-dialdehyde-UTP, labeled VP1 protein was identified and (b) VP1 was unable to bind [alpha-P-32]GTP when particles were preincubated with 2',3'-dialdehyde-ATP. Thus, within viral particles, inhibition of the transcriptional activity is a result of the binding of 2',3'-dialdehyde-nucleotide analogs to the RdRp, VP1. (c) 2005 Elsevier B.V. All rights reserved.</t>
  </si>
  <si>
    <t>Villanueva, PhD., Rodrigo A/0000-0001-5611-0354; SANDINO, ANA MARIA/0000-0002-3862-3743</t>
  </si>
  <si>
    <t>0168-1702</t>
  </si>
  <si>
    <t>1872-7492</t>
  </si>
  <si>
    <t>10.1016/j.virusres.2005.02.011</t>
  </si>
  <si>
    <t>WOS:000231004300017</t>
  </si>
  <si>
    <t>Araya, MA; Swearingen, JW; Plishker, MF; Saavedra, CP; Chasteen, TG; Vásquez, CC</t>
  </si>
  <si>
    <t>Geobacillus stearothermophilus V ubiE gene product is involved in the evolution of dimethyl telluride in Escherichia coli K-12 cultures amended with potassium tellurate but not with potassium tellurite</t>
  </si>
  <si>
    <t>JOURNAL OF BIOLOGICAL INORGANIC CHEMISTRY</t>
  </si>
  <si>
    <t>A 3.8-kb fragment of chromosomal DNA of Geobacillus stearothermophilus V cloned in pSP72 (p1VH) confers resistance to potassium tellurite (K2TeO3) and to potassium tellurate (K2TeO4) when the encoded genes are expressed in Escherichia coli K-12. The nt sequence of the cloned fragment predicts three ORFs of 780, 399, and 600 bp, whose encoded protein products exhibit about 80% similarity with the SUMT methyltransferase and the BtuR protein of Bacillus megaterium, and with the UbiE methyltransferase of Bacillus anthracis A2012, respectively. In addition, E. coli/p1VH cells evolved dimethyl telluride, which was released into the headspace gas above liquid cultures when amended with K2TeO3 or with K2TeO4. After 48 h of growth in the presence of these compounds, a protein of about 25 kDa was found at a significantly higher level when crude extracts were analyzed by SDS-PAGE. The N-terminal amino acid (aa) sequence of this protein, obtained by Edman degradation, matched the deduced aa sequence predicted by the G. stearothermophilus V ubiE gene. This gene was amplified by PCR, subcloned in pET21b, and transformed into E. coli JM109(DE3). Interestingly, DMTe evolution occurred when these modified cells were grown in K2TeO4 - but not in K2TeO3 - amended media. These results may be indicative that the two Te oxyanions could be detoxified in the cell by different metabolic pathways.</t>
  </si>
  <si>
    <t>0949-8257</t>
  </si>
  <si>
    <t>1432-1327</t>
  </si>
  <si>
    <t>10.1007/s00775-004-0554-z</t>
  </si>
  <si>
    <t>WOS:000223014000012</t>
  </si>
  <si>
    <t>Sepulveda, W; Sandoval, R; Carstens, E; Gutierrez, J; Vasquez, P</t>
  </si>
  <si>
    <t>Hypohidrotic ectodermal dysplasia - Prenatal diagnosis by three-dimensional ultrasonography</t>
  </si>
  <si>
    <t>JOURNAL OF ULTRASOUND IN MEDICINE</t>
  </si>
  <si>
    <t>0278-4297</t>
  </si>
  <si>
    <t>10.7863/jum.2003.22.7.731</t>
  </si>
  <si>
    <t>WOS:000183827100014</t>
  </si>
  <si>
    <t>Parraguez, VH; Sales, F; Valenzuela, GJ; Vergara, M; Catalan, L; Seron-Ferre, M</t>
  </si>
  <si>
    <t>Diurnal changes in light intensity inside the pregnant uterus in sheep</t>
  </si>
  <si>
    <t>ANIMAL REPRODUCTION SCIENCE</t>
  </si>
  <si>
    <t>Penetration of light into the pregnant sheep uterus was studied in 9 ewes, gestational ages 40 to 142 days (term 147 days). Light sensors were placed inside the pregnant horn and over the flank skin overlying the position of the uterine horn. To perform the experiments, the ewes were placed in a study cage outdoors and light sensors were connected to a luxometer. Simultaneous measurements were obtained from the intrauterine and the external sensors in the shade at noon. The amount of light detected inside the uterus increased with gestational age from two lux at 40 days to 51.1 +/- 16.5 (n = 5) lux at 142 days (0.2 and 5.4% of be amount of light detected at the maternal flank). Measurements through the 24 h were done in four pregnant ewes at 142 days gestation under natural photoperiod (13.5 Light:10.5 dark). in these experiments, the intensity of intrauterine Light changed through the 24 h, reflecting the changes in the intensity of the sunlight. Maximal intrauterine light values were observed at noon, corresponding to 4.7% of incident light. Small but detectable values were observed at 0900 and 1800 h. Our data show that, at mid gestation, light reaches the pregnant uterus and that, at late gestation, changes in intrauterine lighting throughout the 24 h are present reflecting the changes in external daylight. Therefore the sheep fetus is exposed to light-dark transitions at dawn and dusk, and to a peak of light at midday. (C) 1998 Elsevier Science B.V. All rights reserved.</t>
  </si>
  <si>
    <t>Sales, Francisco/AAS-4220-2021; Parraguez, Victor/I-5415-2013</t>
  </si>
  <si>
    <t>Parraguez, Victor/0000-0002-3621-2705</t>
  </si>
  <si>
    <t>0378-4320</t>
  </si>
  <si>
    <t>AUG 21</t>
  </si>
  <si>
    <t>10.1016/S0378-4320(98)00094-3</t>
  </si>
  <si>
    <t>WOS:000076058900004</t>
  </si>
  <si>
    <t>Ribeiro, FJ; Latge, A; Pacheco, M; Barticevic, Z</t>
  </si>
  <si>
    <t>Quantum dots under electric and magnetic fields: Impurity-related electronic properties</t>
  </si>
  <si>
    <t>JOURNAL OF APPLIED PHYSICS</t>
  </si>
  <si>
    <t>A systematic study of the ground-state binding energies of a hydrogenic impurity in quantum dots subjected to external electric and magnetic fields is presented. The quantum dot is modelled by superposing a lateral parabolic potential and a square-well potential and the energies are calculated via a variational approach within the effective-mass approximation. The interplay between the confinement effects due to the applied fields and the quantum-size confinements on the binding energies is analysed. The role played by the impurity position along the well direction on the impurity energies is also discussed. We have shown that by changing the strength of the external electric and magnetic fields, a large spread in the range of the donor binding energy may be obtained, for a particular choice for the lateral confinement. The presented results could be used to tailor energy states in optoelectronic devices. (C) 1997 American Institute of Physics.</t>
  </si>
  <si>
    <t>Pacheco, Monica/AAG-8440-2019; Latge, Andrea/D-9171-2015; Pacheco, Monica/L-9669-2014</t>
  </si>
  <si>
    <t>Pacheco, Monica/0000-0002-4293-5213</t>
  </si>
  <si>
    <t>0021-8979</t>
  </si>
  <si>
    <t>1089-7550</t>
  </si>
  <si>
    <t>10.1063/1.365807</t>
  </si>
  <si>
    <t>WOS:A1997XG88000035</t>
  </si>
  <si>
    <t>VENEGAS, R; DEKANTER, FL; ACEBAL, S; GRASSI, R; RUEDA, EH; AGUIRRE, ME; SARAGOVI, C</t>
  </si>
  <si>
    <t>ANALYSIS OF IRON STATE IN SOME ARGENTINEAN SOILS BY DISSOLUTION METHODS AND MOSSBAUER-SPECTROSCOPY</t>
  </si>
  <si>
    <t>HYPERFINE INTERACTIONS</t>
  </si>
  <si>
    <t>Latin American Conference on the Applications of the Mossbauer Effect (Lacame 92)</t>
  </si>
  <si>
    <t>OCT 05-09, 1992</t>
  </si>
  <si>
    <t>BUENOS AIRES, ARGENTINA</t>
  </si>
  <si>
    <t>COMIS NACL ENERGIA ATOM,ALUAR ALUMINIO ARGENTINO,CONSEJO NACL INVESTIGAC CIENT &amp; TECN,FDN ANTORCHAS,UNIV BUENOS AIRES,INT CTR THEORET PHYS,CTR LATINO AMER FIS,NISHIN STEEL CO LTD,IBM,BRIT COUNCIL,PHILIPS,FUDETEC TECHINT,BELGIUM EMBASSY BUENOS AIRES,UNIV NACL LA PLATA,UNIV NACL SUR,UNIV NACL CTR PROV BUENOS AIRES</t>
  </si>
  <si>
    <t>Bahia Blanca (Argentina) soils, in particular entisols, are studied by Mossbauer spectroscopy. X-ray diffraction and scanning electron microscopy are used to characterize the samples. Samples were treated with different chemical iron extraction methods, in order to determine relative Fe(o) and Fe(d) fractions. The Fe(o)/Fe(d) ratios are obtained and the relative effect of iron extraction treatment on spectra components are determined. In addition, the effect of extraction procedures, dithionite-citrate-bicarbonate and oxalate, in the residual soil fraction are analyzed.</t>
  </si>
  <si>
    <t>0304-3843</t>
  </si>
  <si>
    <t>10.1007/BF02074315</t>
  </si>
  <si>
    <t>WOS:A1994MW39900062</t>
  </si>
  <si>
    <t>Escudey, M; Cáceres-Jensen, L; Gacitúa, M</t>
  </si>
  <si>
    <t>Escudey, Mauricio; Caceres-Jensen, Lizethly; Gacitua, Manuel</t>
  </si>
  <si>
    <t>Determination of Particle Mixture Composition by Visible Spectroscopy</t>
  </si>
  <si>
    <t>COLLOIDS AND INTERFACES</t>
  </si>
  <si>
    <t>Limited methods exist to determine the composition of particle mixtures. This research presents a simple UV-vis-spectroscopy-based method for the separate quantification of particles mixtures considering the following: synthesized ferrihydrite, commercial Fe2O3, and natural allophane. Calibration curves and adsorption/scattering coefficients are determined for each particle at different wavelengths. This is the main input to solve equation systems and, ultimately, quantify particle concentration in binary mixtures. The limit of detection varies with wavelength and particle type, yielding values as low as 1.5, 0.2, and 1.6 mg L-1 for ferrihydrite (500 nm), Fe2O3 (450 nm), and natural allophane (450 nm), respectively. This study provides a simple, low-cost and straightforward method, compared to atomic-spectroscopy- or chromatography-based techniques, for resolving the composition of binary particle mixtures in suspension.</t>
  </si>
  <si>
    <t>2504-5377</t>
  </si>
  <si>
    <t>MAR 12</t>
  </si>
  <si>
    <t>10.3390/colloids9020016</t>
  </si>
  <si>
    <t>WOS:001474361900001</t>
  </si>
  <si>
    <t>Cordero, S; Adasme, P; Firoozabadi, AD; Rosa, RL; Rodríguez, DZ</t>
  </si>
  <si>
    <t>Cordero, Sergio; Adasme, Pablo; Firoozabadi, Ali Dehghan; Rosa, Renata Lopes; Rodriguez, Demostenes Zegarra</t>
  </si>
  <si>
    <t>Mathematical Models for Coverage with Star Tree Backbone Topology for 5G Millimeter Waves Networks</t>
  </si>
  <si>
    <t>SYMMETRY-BASEL</t>
  </si>
  <si>
    <t>This paper proposes mathematical optimization models for solving the network planning problem using millimeter wave technology for 5G wireless communications networks. To this end, it is assumed that a set of users, M={1,&amp; mldr;,m}, and a set of base stations, N={1,&amp; mldr;,n}, are deployed randomly in a square area. In particular, the base stations should be connected, forming a star backbone so that users can connect to their nearest active base stations forming the backbone where the connections are symmetric. In particular, the first two models maximize the number of users connected to the backbone and minimize the distance costs of connecting users to the base stations, and distances of connecting the base stations themselves. Similarly, the last two models maximize and minimize the same objectives and the number of base stations to be activated to form the star backbone. Each user is allowed to connect to a unique active base station. In general, the millimeter wave technology presents a high path loss. Consequently, the transmission distances should be no larger than 300 m at most for different radial transmissions. Thus, a direct line of sight between users and base stations is assumed. Finally, we propose local search-based algorithms that allow finding near-optimal solutions for all our tested instances. Our numerical results indicate that we can solve network instances optimally with up to k=100, n=200, and m=5000 users.</t>
  </si>
  <si>
    <t>Adasme, Pablo/U-1735-2019; Dehghan Firoozabadi, Ali/AAD-4858-2019; Lopes Rosa, Renata/AAU-8544-2020; Zegarra Rodriguez, Demostenes/L-8322-2013</t>
  </si>
  <si>
    <t>Lopes Rosa, Renata/0000-0002-7595-7187; Zegarra Rodriguez, Demostenes/0000-0001-5401-7551</t>
  </si>
  <si>
    <t>2073-8994</t>
  </si>
  <si>
    <t>10.3390/sym17010141</t>
  </si>
  <si>
    <t>WOS:001405198700001</t>
  </si>
  <si>
    <t>Abarca-Ortega, A; González-Bermúdez, B; Plaza, GR</t>
  </si>
  <si>
    <t>Abarca-Ortega, Aldo; Gonzalez-Bermudez, Blanca; Plaza, Gustavo R.</t>
  </si>
  <si>
    <t>Enhancing micropipette aspiration with artificial-intelligence analysis</t>
  </si>
  <si>
    <t>BIOPHYSICAL JOURNAL</t>
  </si>
  <si>
    <t>The micropipette-aspiration technique is commonly used in the field of mechanobiology, offering a variety of measurement types. To extract biophysical parameters from the experiments, numerical analysis is required. Although previous works have developed techniques for the partial automation of these analyses, these approaches are relatively time consuming for the researchers. In this article, we describe the development and application of an artificial-intelligence tool for the completely automatic analysis of micropipette-aspiration experiments. The use of this tool is compared with previous methods and the impressive reduction in the time required for these analyses is discussed. The new tool opens new possibilities for the micro- pipette-aspiration technique by enabling dealing with large numbers of experiments and real-time measurements. SIGNIFICANCE This article presents the creation and utilization of an artificial-intelligence tool for analyzing micropipette-aspiration experiments. This innovation enables novel applications and significantly reduces the time needed for researchers to evaluate biophysical parameters.</t>
  </si>
  <si>
    <t>Gonzalez-Bermudez, Blanca/AAA-6726-2019; Abarca Ortega, Aldo Fabian/ABE-4995-2020; Plaza, Gustavo R./E-4455-2012</t>
  </si>
  <si>
    <t>Abarca Ortega, Aldo Fabian/0000-0002-1600-8555; Plaza, Gustavo R./0000-0002-5555-5498; Gonzalez-Bermudez, Blanca/0000-0002-1266-0917</t>
  </si>
  <si>
    <t>0006-3495</t>
  </si>
  <si>
    <t>1542-0086</t>
  </si>
  <si>
    <t>SEP 3</t>
  </si>
  <si>
    <t>10.1016/j.bpj.2024.04.006</t>
  </si>
  <si>
    <t>SEP 2024</t>
  </si>
  <si>
    <t>WOS:001306743400001</t>
  </si>
  <si>
    <t>Argandoña-Gómez, FA; Román-Palma, LP; Carmona-López, RJ; Sánchez-Henríquez, JA</t>
  </si>
  <si>
    <t>Argandona-Gomez, Fabiola Andrea; Roman-Palma, Luis Pedro; Carmona-Lopez, Rafael Jaime; Sanchez-Henriquez, Jorge Alejandro</t>
  </si>
  <si>
    <t>Innovación organizacional en la estrategia de internacionalización en pymes vitivinícolas: El caso chileno</t>
  </si>
  <si>
    <t>RIVAR-REVISTA IBEROAMERICANA DE VITICULTURA AGROINDUSTRIA Y RURALIDAD</t>
  </si>
  <si>
    <t>This investigation aims to determine the components of the organizational innovation in Chilean bottled wine SMEs, to strengthen the internationalization strategy in global markets, concerning the leading countries with international recognition. These results should help enhance competitiveness in cosmopolitan markets with wine tradition. In operational terms, it includes five stages: data collection from wine SMEs, instrument design (questionnaire), application of this instrument in companies through personalized field work, processing, analysis, and systematization of the collected data through office automation instruments- mainly the SPSS statistical program for a validation-and delivery of these results to each of the participant companies. As one of the primary outcomes, wine SMEs are gaining legitimacy through organization innovation as a corporate strategy to have opportunities to stay in national and international markets.</t>
  </si>
  <si>
    <t>0719-4994</t>
  </si>
  <si>
    <t>10.35588/rivar.v11i32.6153</t>
  </si>
  <si>
    <t>WOS:001296167100010</t>
  </si>
  <si>
    <t>Macêdo, TS; Neto, NMG; Parente, LEDS; Paiva, SD; Caetano, JA; Barros, LM</t>
  </si>
  <si>
    <t>Macedo, Thamires Sales; Neto, Nelson Miguel Galindo; Parente, Luana Eugenia de Andrade Siqueira; Paiva, Simone de Sousa; Caetano, Joselany Afio; Barros, Livia Moreira</t>
  </si>
  <si>
    <t>Lifestyle adaptations in cardiometabolic patients after COVID-19</t>
  </si>
  <si>
    <t>REVISTA CUIDARTE</t>
  </si>
  <si>
    <t>Introduction: Numerous factors contribute over time to changes in lifestyle behaviors, and the COVID-19 pandemic not only altered individuals' routines but also influenced the factors affecting their chronic conditions. Objective: To understand the perception of patients with cardiometabolic diseases regarding adaptations to their lifestyle after contracting COVID-19. Materials and methods: This exploratory study with a qualitative approach was conducted with nine patients diagnosed with cardiometabolic diseases who tested positive for COVID-19. Data collection involved semi-structured audio-recorded interviews, which were transcribed and processed using IRAMUTEQ software. Results: The collective discourse revealed that mass contamination by the coronavirus and subsequent Long COVID triggered significant fears and anxieties, as well as increases in muscle pain, fatigue, and difficulties in maintaining blood pressure and/or glycemic control. These issues directly impacted the daily routines of infected patients. However, there was also an awakening due to changes in lifestyle. Discussion: The complexity of the experiences reported by infected patients influenced their desire to adopt a healthy lifestyle and seek knowledge. Conclusion: The number of patients affected by COVID-19 in its acute and long phases is concerning for both society and health professionals, highlighting the need to expand strategies aimed at quality care and ensuring adequate monitoring across different spheres of care.</t>
  </si>
  <si>
    <t>Galindo Neto, Nelson Miguel/ACR-7571-2022; Moreira Barros, Livia/AAU-1303-2021</t>
  </si>
  <si>
    <t>Moreira Barros, Livia/0000-0002-9763-280X; DE SOUSA PAIVA, SIMONE/0000-0003-1887-6441; Sales Macedo, Thamires/0000-0002-3896-0184</t>
  </si>
  <si>
    <t>2216-0973</t>
  </si>
  <si>
    <t>2346-3414</t>
  </si>
  <si>
    <t>MAY-AUG</t>
  </si>
  <si>
    <t>e3841</t>
  </si>
  <si>
    <t>10.15649/cuidarte.3841</t>
  </si>
  <si>
    <t>WOS:001300107600001</t>
  </si>
  <si>
    <t>Faba, S; Agüero, A; Arrieta, MP; Martínez, S; Romero, J; Torres, A; Galotto, MJ</t>
  </si>
  <si>
    <t>Faba, Simon; Aguero, Angel; Arrieta, Marina P.; Martinez, Sara; Romero, Julio; Torres, Alejandra; Galotto, Maria Jose</t>
  </si>
  <si>
    <t>Foaming of 3D-Printed PLA/CaCO3 Composites by Supercritical CO2 Process for Sustainable Food Contact Materials</t>
  </si>
  <si>
    <t>In the last decade, among the emerging technologies in the area of bioplastics, additive manufacturing (AM), commonly referred to as 3D printing, stands out. This technology has gained great interest in the development of new products, mainly due to its capability to easily produce customized and low-cost plastic products. This work aims to evaluate the effect of supercritical foaming of 3D-printed parts based on a commercial PLA matrix loaded with calcium carbonate, for single-use sustainable food contact materials. 3D-printed PLA/CaCO3 parts were obtained by 3D printing with a 20% and 80% infill, and two infill patterns, rectilinear and triangular, were set for each of the infill percentages selected. Supercritical fluid foaming of PLA/CaCO3 composite printed parts was performed using a pressure of 25 MPa, a temperature of 130 degrees C for 23 min, with a fast depressurization rate (1 s). Closed-cell foams were achieved and the presence of CaCO3 did not influence the surface of the foams or the cell walls, and no agglomerations were observed. Foam samples with 80% infill showed subtle temperature fluctuations, and thermogravimetric analysis showed that samples were thermally stable up to similar to 300 degrees C, while the maximum degradation temperature was around 365 degrees C. Finally, tensile test analysis showed that for lower infill contents, the foams showed lower mechanical performance, while the 80% infill and triangular pattern produced foams with good mechanical performance. These results emphasize the interest in using the supercritical CO2 process to easily produce foams from 3D-printed parts. These materials represent a sustainable alternative for replacing non-biodegradable materials such as Expanded Polystyrene, and they are a promising option for use in many industrial applications, such as contact materials.</t>
  </si>
  <si>
    <t>Faba, Simón/MTD-2779-2025; Romero, Julio/I-6705-2013; Rodriguez, Angel/AAC-7501-2019; Arrieta, Marina Patricia/F-9067-2016</t>
  </si>
  <si>
    <t>Aguero Rodriguez, Angel/0000-0002-5298-3796; Arrieta, Marina Patricia/0000-0003-1816-011X; Romero, Julio/0000-0002-1229-1592; Faba, Simon/0000-0002-4299-0052</t>
  </si>
  <si>
    <t>10.3390/polym16060798</t>
  </si>
  <si>
    <t>WOS:001193446200001</t>
  </si>
  <si>
    <t>Morales-Quiroga, M; Pérez-Cosgaya, T</t>
  </si>
  <si>
    <t>Morales-Quiroga, Mauricio; Perez-Cosgaya, Teresa</t>
  </si>
  <si>
    <t>Religious Voting and the Gender Gap: Support for the Radical Right in Chile</t>
  </si>
  <si>
    <t>NORDIC JOURNAL OF RELIGION AND SOCIETY</t>
  </si>
  <si>
    <t>Research Question: What explains support for radical-right candidates and to what extent are voters' gender, income and religion good predictors of that support? Context:This article answers such questions using the case of Chile, specifically the 2021 presidential election, in which a candidate from the radical right, Jos &amp; eacute; Antonio Kast, reached the election's second round. Method: Based on opinion polls and electoral data aggregated at the municipality level, a series of multivariate statistical models was developed to explain the vote for Kast. Conclusions: The following three findings were obtained. First, there was a significant gender gap, with greater support from men than women. Second, this gender gap is highly dependent on the socioeconomic conditions of voters, with the support of men from higherincome segments of the population being more favourable to the radical right. The third is the radical right's robust backing from the evangelical population.</t>
  </si>
  <si>
    <t>Morales, Mauricio/0000-0001-6010-9604</t>
  </si>
  <si>
    <t>0809-7291</t>
  </si>
  <si>
    <t>1890-7008</t>
  </si>
  <si>
    <t>10.18261/njrs.37.1.2</t>
  </si>
  <si>
    <t>WOS:001294254300002</t>
  </si>
  <si>
    <t>Sáez, G; Saavedra, E; Vidal-Silva, N; Escrig, J; Vogel, EE</t>
  </si>
  <si>
    <t>Saez, Guidobeth; Saavedra, Eduardo; Vidal-Silva, Nicolas; Escrig, Juan; Vogel, Eugenio E.</t>
  </si>
  <si>
    <t>Dynamic susceptibility of a Bloch point singularity confined in a magnetic nanowire</t>
  </si>
  <si>
    <t>RESULTS IN PHYSICS</t>
  </si>
  <si>
    <t>In this work, we have explored the dynamic properties of a Bloch Point singularity confined in a diameter modulated magnetic nanowire. By means of micromagnetic simulations, we have characterized the system when varying the position at which the modulation is located as well as the response under a constant magnetic field. We found that the presence of the Bloch Point promotes the emergence of two distinct modes with energies above the lowest energy mode. These modes are differently affected when the geometry of the system changes and with the application of a magnetic field. However, as a general result, the Bloch Point modes are split for high magnetic fields and when the modulation is near the end of the nanowire. Thus, our results might establish a valuable strategy for detecting Bloch Point singularities.</t>
  </si>
  <si>
    <t>Saavedra, Eduardo/IQS-4264-2023; Escrig, Juan/N-4304-2015; Vidal Silva, Nicolas/IAN-0226-2023</t>
  </si>
  <si>
    <t>Vogel, Eugenio/0000-0002-1701-3030; Saavedra Diaz, Eduardo Andres/0000-0002-2842-2526; Vidal Silva, Nicolas/0000-0002-3717-3816; Saez, Guidobeth/0000-0003-1401-2531</t>
  </si>
  <si>
    <t>2211-3797</t>
  </si>
  <si>
    <t>10.1016/j.rinp.2022.105530</t>
  </si>
  <si>
    <t>WOS:000798984500006</t>
  </si>
  <si>
    <t>Merlet, G; Flores, M; Villarroel, E; Araya-López, C; Cabezas, R; Pino-Soto, L; Romero, J; Quijada-Maldonado, E</t>
  </si>
  <si>
    <t>Merlet, G.; Flores, M.; Villarroel, E.; Araya-Lopez, C.; Cabezas, R.; Pino-Soto, L.; Romero, J.; Quijada-Maldonado, E.</t>
  </si>
  <si>
    <t>Design of a perstraction-based extraction system for the removal of polychlorinated biphenyls from bovine milk via COSMO-RS: Membrane screening</t>
  </si>
  <si>
    <t>SEPARATION AND PURIFICATION TECHNOLOGY</t>
  </si>
  <si>
    <t>This study theoretically and experimentally selected a membrane for application in a perstraction process for PCB-77 removal using COSMO-RS predictions. To validate COSMO-RS, different studies of pollutants were analysed and compared using the activity coefficient computed by COSMO-RS, and the experimental reported results were in accordance with the predicted thermodynamic parameters. Then, the main components in milk were optimised using TMoleX (R) to screen for different polymers. The screening revealed that polychloroprene, polybutadiene, and polyoctylmethylsiloxane had the lowest activity coefficients for PCB-77, and a high selectivity for other components in milk. The results obtained by COSMO-RS were compared with experiments using nitrocellulose, polydimethylsiloxane, polyether sulfones, and polystyrene, where the simulated values were validated. Finally, analysis of the membrane structures revealed that the best membrane to be applied in perstraction is polyoctylmethylsiloxane.</t>
  </si>
  <si>
    <t>Cabezas, Rene/HAR-6189-2022; Romero, Julio/I-6705-2013; Villarroel Utreras, Eduardo/LCD-3437-2024; Araya Lopez, Claudio/KXR-0295-2024; Merlet Venturelli, Gaston/B-4109-2019</t>
  </si>
  <si>
    <t>Villarroel, Eduardo/0000-0001-5208-3512; Merlet Venturelli, Gaston/0000-0003-2602-6471; Quijada-Maldonado, Esteban/0000-0003-1411-4327; Pino, Luis/0000-0003-4475-7470; Cabezas, Rene/0000-0002-4162-3429; Romero, Julio/0000-0002-1229-1592; Pino Soto, Luis/0000-0002-6588-7867</t>
  </si>
  <si>
    <t>1383-5866</t>
  </si>
  <si>
    <t>1873-3794</t>
  </si>
  <si>
    <t>10.1016/j.seppur.2022.120879</t>
  </si>
  <si>
    <t>WOS:000807531700005</t>
  </si>
  <si>
    <t>Rezende, MC; Machado, VG; Morales, S; Vidal, M</t>
  </si>
  <si>
    <t>Caroli Rezende, Marcos; Machado, Vanderlei Gageiro; Morales, Simone; Vidal, Matias</t>
  </si>
  <si>
    <t>Use of Nonideality Parameters for the Analysis of the Thermodynamic Properties of Binary Mixtures</t>
  </si>
  <si>
    <t>ACS OMEGA</t>
  </si>
  <si>
    <t>Two parameters are introduced, a nonideality index (NII) and a nonideality area (NIA), for the analysis of the variations of thermodynamic properties of binary mixtures. Their calculation is based, for the NII, on experimental plots of the variation of a given property (density, refractive index, viscosity, etc.), and for the NIA, on experimental plots of its excess value (excess enthalpies, molar volumes, viscosities, refractive indices, isentropic compressibilities, etc.) with the mixture composition. Both nonideality parameters are therefore not based on any theoretical model or on its derived parameters, being applicable with any fitting equation. The NII or NIA values for a thermodynamic property of a series of related binary mixtures reveal interesting trends, which are not evident in most analyses of such systems. Besides their predictive value, these trends provide information on the relevance of solvent characteristics of the binary mixture, thus supporting new insights or interpretations of the experimental data.</t>
  </si>
  <si>
    <t>Caroli, Marcos/H-3570-2019; Gageiro Machado, Vanderlei/C-7045-2018</t>
  </si>
  <si>
    <t>Gageiro Machado, Vanderlei/0000-0002-6995-6591</t>
  </si>
  <si>
    <t>2470-1343</t>
  </si>
  <si>
    <t>JUN 29</t>
  </si>
  <si>
    <t>10.1021/acsomega.1c01790</t>
  </si>
  <si>
    <t>WOS:000670306400034</t>
  </si>
  <si>
    <t>Oyarzo, S; Avila, M; Alvear, P; Remonsellez, JP; Contreras-Porcia, L; Bulboa, C</t>
  </si>
  <si>
    <t>Oyarzo, Sebastian; Avila, Marcela; Alvear, Paula; Pierre Remonsellez, Jean; Contreras-Porcia, Loretto; Bulboa, Cristian</t>
  </si>
  <si>
    <t>Secondary attachment disc of edible seaweed Chondracanthus chamissoi (Rhodophyta, Gigartinales): Establishment of permanent thalli stock</t>
  </si>
  <si>
    <t>AQUACULTURE</t>
  </si>
  <si>
    <t>In this study we evaluated the productivity of an outdoor cultivation system based in secondary attachment discs (SADs) of Chondracanthus chamissoi as propagation strategy to produce and maintain a permanent thalli stock. For that, re-attachment of fronds, survival of SADs, growth rate of new erect axes, coverage and productivity were evaluated in three different artificial substrates: fiberglass plates, ceramic plates and PVC pipes. C. chamissoi SADs were formed in all three substrates, and they developed new erect axes reaching &gt;6 mm length after 12 weeks. Ceramic and fiberglass plates were the substrates with the best performance. Nonetheless, the cultivation system using fiberglass was the most suitable one, since it presented a higher survival of the SADs and a better use of tank space, improving the amount of seaweeds growing inside the tanks. Based on the results, the estimated cultivation using fiberglass plates would allow to produce 31,993 SADs on a 3m(3) tank after 90 days. This technology would allow: (i) to produce thalli to be used as propagules for seaweed cultivation based on vegetative propagation, since nowadays this depends of thalli from natural populations; (ii) to propagate and maintain a thalli stock with desirable commercial traits, providing an better biomass quality, (iii) to grow and maintain thalli in the same tank from diverse localities and/or reproductive phase; optimizing resources and space, which currently is not feasible using free-floating systems, due to the difficulty to recognize isomorphic haploid and diploid phases, and (iv) to adopt this strategy in other red seaweeds of commercial interest, such as the genus Chondracanthus, Gigartina and Solieria.</t>
  </si>
  <si>
    <t>Bulboa, Cristian/AFN-8027-2022; Contreras-Porcia, Loretto/F-9593-2016</t>
  </si>
  <si>
    <t>REMONSELLEZ, JEAN PIERRE/0000-0002-0095-7940; Bulboa, Cristian/0000-0003-3383-5816; Contreras-Porcia, Loretto/0000-0002-6511-2244</t>
  </si>
  <si>
    <t>0044-8486</t>
  </si>
  <si>
    <t>1873-5622</t>
  </si>
  <si>
    <t>10.1016/j.aquaculture.2020.735954</t>
  </si>
  <si>
    <t>WOS:000582169700105</t>
  </si>
  <si>
    <t>Saavedra, JM; Kristjánsdóttir, H; Gunnarsson, SB; García-Hermoso, A</t>
  </si>
  <si>
    <t>Saavedra, Jose M.; Kristjansdottir, Hafrun; Gunnarsson, Steinn B.; Garcia-Hermoso, Antonio</t>
  </si>
  <si>
    <t>|EFFECTS OF 2 PHYSICAL EXERCISE PROGRAMS (CIRCUIT TRAINING AND BRISK WALK) CARRIED OUT DURING WORKING HOURS ON MULTIDIMENSIONAL COMPONENTS OF WORKERS' HEALTH: A PILOT STUDY</t>
  </si>
  <si>
    <t>INTERNATIONAL JOURNAL OF OCCUPATIONAL MEDICINE AND ENVIRONMENTAL HEALTH</t>
  </si>
  <si>
    <t>Objectives: The objective of this study was to determine the effects of 2 physical exercise programs carried out during working hours in an office work environment on health-related parameters of employees. Material and Methods: The participants included 47 healthy office worker volunteers (aged 45 +/- 11.95 years, 27% males) who formed 3 groups: circuit training (CT). brisk walk (BW), and control (C) groups. The interventions lasted 12 weeks with a weekly frequency of three 30-minute sessions in the middle of the workday. All employees were evaluated with a multicomponent battery test which included: anthropometric and body composition measurements, a cardiorespiratory fitness test, lipid profile, blood pressure. and mental health (depression, anxiety, and stress). Basic descriptive statistics were calculated. A repeated measures ANOVA was performed to summarize changes in the variables studied after the application of the physical exercise programs. Results: Generally, both exercise programs (CT and BW) maintained the body weight and body mass index while reducing body fat mass (a group x time interaction: 4.864 &lt;= F &lt;= 6.524, 0.001 &lt;= p &lt;= 0.015), although the CT intervention also showed relevant (inter-group) reductions in the waist-hip ratio (F = 11.311, p = 0.007) and increased skeletal muscle mass (F = 15.062, p = 0.003). Both exercise programs (CT and BW) improved the cardiorespiratory fitness test scores (a group x time interaction; F = 18.054, p &lt; 0.001). There were no changes in the lipid profile or blood pressure after the interventions, but there was an improvement in mental health (4.760 &lt;= F &lt;= 8.087, 0.008 &lt;= p &lt;= 0.037). Conclusions: The findings suggest that both types of programs could be implemented in the employees' daily routine in order to improve their overall health. Nevertheless, studies with larger samples are necessary before the conclusions can be generalized.</t>
  </si>
  <si>
    <t>García-Hermoso, Antonio/ADU-2591-2022; Saavedra, Jose/C-2490-2011; Garcia-Hermoso, Antonio/P-1857-2017</t>
  </si>
  <si>
    <t>1232-1087</t>
  </si>
  <si>
    <t>1896-494X</t>
  </si>
  <si>
    <t>10.13075/ijomeh.1896.01647</t>
  </si>
  <si>
    <t>WOS:000613156800003</t>
  </si>
  <si>
    <t>Parada, SP; Barrera, C; Burbi, S; Rocha, D</t>
  </si>
  <si>
    <t>Peredo Parada, Santiago; Barrera, Claudia; Burbi, Sara; Rocha, Daniela</t>
  </si>
  <si>
    <t>Agroforestry in the Andean Araucania: An Experience of Agroecological Transition with Women from Cherquen in Southern Chile</t>
  </si>
  <si>
    <t>Agroforestry is a practice used for the establishment of integrated production systems as an economic alternative. In Chile, the most significant experiences have been developed with rainfed farmers in the central zone, where the arboreal component is the predominant one. This study analyses the agroecological transition process of a group of women from the Andean foothills of southern Chile in the establishment of an agroforestry system based on rosehip. The field work was developed in 4 stages: (1) problem survey and definition of strategy; (2) identification of an alternative market; (3) perception of the data collection work and; (4) implementation of a demonstration unit; which included (a) workshops and meetings for discussion, reflection, and feedback on what had been done and to agree on the actions to be implemented; and (b) the development of different activities to implement the actions agreed in the workshops and meetings. The results of this research show that agroecological projects open doors to the participation, visibility, and valorization of women's work while moving towards sustainable agroforestry systems integrated into the landscape.</t>
  </si>
  <si>
    <t>Burbi, Sara/AFM-2906-2022</t>
  </si>
  <si>
    <t>Burbi, Sara/0000-0002-9035-7374</t>
  </si>
  <si>
    <t>10.3390/su122410401</t>
  </si>
  <si>
    <t>WOS:000603175900001</t>
  </si>
  <si>
    <t>Barrientos, G; Llanos, P; Basualto-Alarcón, C; Estrada, M</t>
  </si>
  <si>
    <t>Barrientos, Genaro; Llanos, Paola; Basualto-Alarcon, Carla; Estrada, Manuel</t>
  </si>
  <si>
    <t>Androgen-Regulated Cardiac Metabolism in Aging Men</t>
  </si>
  <si>
    <t>FRONTIERS IN ENDOCRINOLOGY</t>
  </si>
  <si>
    <t>The prevalence of cardiovascular mortality is higher in men than in age-matched premenopausal women. Gender differences are linked to circulating sex-related steroid hormone levels and their cardio-specific actions, which are critical factors involved in the prevalence and features of age-associated cardiovascular disease. In women, estrogens have been described as cardioprotective agents, while in men, testosterone is the main sex steroid hormone. The effects of testosterone as a metabolic regulator and cardioprotective agent in aging men are poorly understood. With advancing age, testosterone levels gradually decrease in men, an effect associated with increasing fat mass, decrease in lean body mass, dyslipidemia, insulin resistance and adjustment in energy substrate metabolism. Aging is associated with a decline in metabolism, characterized by modifications in cardiac function, excitation-contraction coupling, and lower efficacy to generate energy. Testosterone deficiency -as found in elderly men- rapidly becomes an epidemic condition, associated with prominent cardiometabolic disorders. Therefore, it is highly probable that senior men showing low testosterone levels will display symptoms of androgen deficiency, presenting an unfavorable metabolic profile and increased cardiovascular risk. Moreover, recent reports establish that testosterone replacement improves cardiomyocyte bioenergetics, increases glucose metabolism and reduces insulin resistance in elderly men. Thus, testosterone-related metabolic signaling and gene expression may constitute relevant therapeutic target for preventing, or treating, age- and gender-related cardiometabolic diseases in men. Here, we will discuss the impact of current evidence showing how cardiac metabolism is regulated by androgen levels in aging men.</t>
  </si>
  <si>
    <t>Estrada, Manuel/AAS-5605-2020; Barrientos, Genaro/I-2778-2013; Estrada, Manuel/C-1269-2014</t>
  </si>
  <si>
    <t>Llanos, Paola/0000-0003-1383-7961; Barrientos, Genaro/0000-0003-1295-5181; Estrada, Manuel/0000-0001-7877-8160</t>
  </si>
  <si>
    <t>1664-2392</t>
  </si>
  <si>
    <t>10.3389/fendo.2020.00316</t>
  </si>
  <si>
    <t>WOS:000538536900001</t>
  </si>
  <si>
    <t>Contador, CA; Veas-Castillo, L; Tapia, E; Antipan, M; Miranda, N; Ruiz-Tagle, B; García-Araya, J; Andrews, BA; Marin, M; Dorador, C; Asenjo, JA</t>
  </si>
  <si>
    <t>Contador, Carolina A.; Veas-Castillo, Luis; Tapia, Emilio; Antipan, Marcela; Miranda, Noemi; Ruiz-Tagle, Benjamin; Garcia-Araya, Jonathan; Andrews, Barbara A.; Marin, Mauricio; Dorador, Cristina; Asenjo, Juan A.</t>
  </si>
  <si>
    <t>Atacama Database: a platform of the microbiome of the Atacama Desert</t>
  </si>
  <si>
    <t>ANTONIE VAN LEEUWENHOEK INTERNATIONAL JOURNAL OF GENERAL AND MOLECULAR MICROBIOLOGY</t>
  </si>
  <si>
    <t>The Atacama Desert is one of the oldest and driest places on Earth. In the last decade, microbial richness and diversity has been acknowledged as an important biological resource of this region. Owing to the value of the microbial diversity apparent in potential biotechnology applications and conservation purposes, it is necessary to catalogue these microbial communities to promote research activities and help to preserve the wide range of ecological niches of the Atacama region. A prototype Atacama Database has been designed and it provides a description of the rich microbial diversity of the Atacama Desert, and helps to visualise available literature resources. Data has been collected, curated, and organised into several categories to generate a single record for each organism in the database that covers classification, isolation metadata, morphology, physiology, genome and metabolism information. The current version of Atacama Database contains 2302 microorganisms and includes cultured and uncultured organisms retrieved from different environments within the desert between 1984 and 2016. These organisms are distributed in bacterial, archaeal or eukaryotic domains, along with those that are unclassified taxonomically. The initial prototype of the Atacama Database includes a basic search and taxonomic and advanced search tools to allow identification and comparison of microbial populations, and space distribution within this biome. A geolocation search was implemented to visualise the microbial diversity of the ecological niches defined by sectors and extract general information of the sampling sites. This effort will aid understanding of the microbial ecology of the desert, microbial population dynamics, seasonal behaviour, impact of climate change over time, and reveal further biotechnological applications of these microorganisms. The Atacama Database is freely available at: .</t>
  </si>
  <si>
    <t>Asenjo, Juan/L-8336-2013; Contador, Carolina/LQK-9216-2024; Dorador, Cristina/M-9936-2019; Marin, Mauricio/GLR-7700-2022; Miranda, Noemí/AAA-9502-2022</t>
  </si>
  <si>
    <t>Marin, Mauricio/0000-0003-0662-7149; Contador Sariego, Carolina/0000-0003-0761-3101; Andrews, Barbara/0000-0002-1001-2406; Dorador, Cristina/0000-0002-7641-2154; Veas-Castillo, Luis/0000-0003-3490-9995</t>
  </si>
  <si>
    <t>0003-6072</t>
  </si>
  <si>
    <t>1572-9699</t>
  </si>
  <si>
    <t>10.1007/s10482-019-01328-x</t>
  </si>
  <si>
    <t>WOS:000512010300004</t>
  </si>
  <si>
    <t>Pérez-Zuúiga, C; Negrete-Vergara, C; Yñnez, M; Aguirre, P; Zúñiga, CA; Cantero-López, P; Arratia-Pérez, R; Moya, SA</t>
  </si>
  <si>
    <t>Perez-Zuniga, C.; Negrete-Vergara, C.; Yanez-S, Mauricio; Aguirre, Pedro; Zuniga, Cesar A.; Cantero-Lopez, Plinio; Arratia-Perez, Ramiro; Moya, Sergio A.</t>
  </si>
  <si>
    <t>Catalytic activity of a new Ru(ii) complex for the hydrogen transfer reaction of acetophenone and N-benzylideneaniline: synthesis, characterization and relativistic DFT approaches</t>
  </si>
  <si>
    <t>NEW JOURNAL OF CHEMISTRY</t>
  </si>
  <si>
    <t>The synthesis and characterization of a new ruthenium(ii) complex containing a hemilabile P&lt;^&gt;N-ligand are reported. The catalytic activity of this complex was evaluated in the hydrogen transfer reaction of acetophenone and N-benzylideneaniline achieving conversions around 35 and 96% respectively. Condensed Fukui functions in a relativistic DFT scheme show that the regions for the electrophilic (f(-)) and nucleophilic (f(+)) attack are Cl- in the axial position, regions belonging to the P&lt;^&gt;N ligand and the metal center. The lability of the ligands is determined using different theoretical approaches like Morokuma-Ziegler energy decomposition analysis combined with the Extended Transition State with Natural Orbitals of Chemical Valence (ETS-NOCV). The major lability for the -Cl ligand (protic environment) is ideal for designing a new ruthenium hydride complex, suitable for catalytic applications. The sigma-donation determines the degree of covalence of the chemical bond involving a lower trend to dissociate, as is the case of the P&lt;^&gt;N-ligand. The most important excitation energies appear in the region between 250 and 410 nm and are assigned to ligand to ligand charge transfer (LLCT) and metal to ligand charge transfer (MLCT) transitions.</t>
  </si>
  <si>
    <t>Arratia-Perez, Ramiro/AAG-2648-2019; Negrete, Camila/GQZ-2620-2022</t>
  </si>
  <si>
    <t>Arratia-Perez, Ramiro/0000-0001-6140-2116; Cantero-Lopez, Plinio/0000-0003-4090-9879</t>
  </si>
  <si>
    <t>1144-0546</t>
  </si>
  <si>
    <t>1369-9261</t>
  </si>
  <si>
    <t>JUL 14</t>
  </si>
  <si>
    <t>10.1039/c8nj06250a</t>
  </si>
  <si>
    <t>WOS:000474625700036</t>
  </si>
  <si>
    <t>Mancilla-Almonacid, D; Leon, AO; Arias, RE; Allende, S; Altbir, D</t>
  </si>
  <si>
    <t>Mancilla-Almonacid, D.; Leon, Alejandro O.; Arias, R. E.; Allende, S.; Altbir, D.</t>
  </si>
  <si>
    <t>Synchronization of two spin-transfer-driven nano-oscillators coupled via magnetostatic fields</t>
  </si>
  <si>
    <t>The magnetization dynamics of nano-oscillators may be excited by both magnetic fields and spin-polarized currents. While the dynamics of single oscillators has been well characterized, the synchronization of several ones is not fully understood yet. An analytical and numerical study of the nonlinear dynamics of two magneto-statically coupled spin valves driven by spin-transfer torques is presented under the macrospin approximation. The oscillators interact via magnetostatic fields and exhibit a robust synchronized magnetization motion. We describe the magnetization dynamics of the system using the Landau-Lifshitz-Gilbert-Slonczewski equation. Using a modal decomposition technique, we describe the dynamics, synchronization, and competition of oscillatory modes as a function of the current density, and the geometrical parameters of the setup. Simulations of the Landau-Lifshitz-Gilbert-Slonczewski equation show good agreement with an approximate analytic solution.</t>
  </si>
  <si>
    <t>Mancilla Almonacid, Daniela/JEP-6778-2023; Altbir, Dora/R-6781-2018; Arias Federici, Rodrigo Enrique/F-2164-2017; Leon, Alejandro O./K-4833-2015</t>
  </si>
  <si>
    <t>Altbir, Dora/0000-0002-2945-4909; Mancilla Almonacid, Daniela/0000-0003-4356-5119; Arias Federici, Rodrigo Enrique/0000-0001-7627-2860; Leon, Alejandro O./0000-0001-9078-685X</t>
  </si>
  <si>
    <t>2470-0045</t>
  </si>
  <si>
    <t>2470-0053</t>
  </si>
  <si>
    <t>MAR 11</t>
  </si>
  <si>
    <t>10.1103/PhysRevE.99.032210</t>
  </si>
  <si>
    <t>WOS:000461060500006</t>
  </si>
  <si>
    <t>Cifuentes, M; Finsterbush, C; Perrot, I; Veragua, R; Opazo, C; Bernier, P</t>
  </si>
  <si>
    <t>Cifuentes, M.; Finsterbush, C.; Perrot, I; Veragua, R.; Opazo, C.; Bernier, P.</t>
  </si>
  <si>
    <t>Use of rectus abdominis fascial sling as treatment of recurrent stress urinary incontinence in a patient with removed previous synthetic sub-urethral sling</t>
  </si>
  <si>
    <t>INTERNATIONAL UROGYNECOLOGY JOURNAL</t>
  </si>
  <si>
    <t>Cifuentes, Manuel/I-6922-2018</t>
  </si>
  <si>
    <t>0937-3462</t>
  </si>
  <si>
    <t>1433-3023</t>
  </si>
  <si>
    <t>S132</t>
  </si>
  <si>
    <t>S133</t>
  </si>
  <si>
    <t>WOS:000473610400251</t>
  </si>
  <si>
    <t>León-Rodríguez, M; Rayas, JA; Cordero, RR; Martínez-García, A; Martínez-Gonzalez, A; Téllez-Quiñones, A; Yañez-Contreras, P; Medina-Cázares, O</t>
  </si>
  <si>
    <t>Leon-Rodriguez, Miguel; Rayas, Juan A.; Cordero, Raul R.; Martinez-Garcia, Amalia; Martinez-Gonzalez, Adrian; Tellez-Quinones, Alejandro; Yanez-Contreras, Pedro; Medina-Cazares, Orlando</t>
  </si>
  <si>
    <t>Dual-plane slightly off-axis digital holography based on a single cube beam splitter</t>
  </si>
  <si>
    <t>In order to recover the holographic object information, a method based on the recording of two digital holograms, not only at different planes but also in a slightly off-axis scheme, is presented. By introducing a pi-phase shift in the reference wave, the zero-order diffracted term and the twin image are removed in the frequency domain during the processing of the recorded holograms. We show that the zero-order elimination by the phase-shifted holograms is better than working with weak-order beam and average intensity removal methods. For recording experimentally two pi-shifted holograms at different planes slightly off-axis, a single cube beam splitter is used. Computer simulations and experimental results, carried out to validate our proposal, show a high accuracy of pi/14 that can be comparable with phase-shifting digital holography. For high fringe spacing, our proposal could be applied in electron holography, avoiding high voltage in a biprism. (c) 2018 Optical Society of America</t>
  </si>
  <si>
    <t>Téllez-Quiñones, Alejandro/C-6615-2016; Cordero, Raul/M-7979-2017; Rayas, Juan/CAG-8266-2022</t>
  </si>
  <si>
    <t>Medina, Orlando/0000-0002-8513-1450; Rayas, Juan Antonio/0000-0001-6809-2368; Martinez-Gonzalez, Adrian/0000-0003-1355-5921; Cordero, Raul R./0000-0001-7607-7993; Leon-Rodriguez, Miguel/0000-0003-1309-2226</t>
  </si>
  <si>
    <t>APR 1</t>
  </si>
  <si>
    <t>10.1364/AO.57.002727</t>
  </si>
  <si>
    <t>WOS:000428998400067</t>
  </si>
  <si>
    <t>Rojas-Aedo, JF; Gil-Durán, C; Del-Cid, A; Valdés, N; Alamos, P; Vaca, I; García-Rico, RO; Levicáan, G; Tello, M; Chávez, R</t>
  </si>
  <si>
    <t>Rojas-Aedo, Juan F.; Gil-Duran, Carlos; Del-Cid, Abdiel; Valdes, Natalia; Alamos, Pamela; Vaca, Inmaculada; Garcia-Rico, Ramn O.; Levican, Gloria; Tello, Mario; Chavez, Renato</t>
  </si>
  <si>
    <t>The Biosynthetic Gene Cluster for Andrastin A in Penicillium roqueforti</t>
  </si>
  <si>
    <t>Penicillium roqueforti is a filamentous fungus involved in the ripening of several kinds of blue cheeses. In addition, this fungus produces several secondary metabolites, including the meroterpenoid compound andrastin A, a promising antitumoral compound. However, to date the genomic cluster responsible for the biosynthesis of this compound in P. roqueforti has not been described. In this work, we have sequenced and annotated a genomic region of approximately 29.4 kbp (named the adr gene cluster) that is involved in the biosynthesis of andrastin A in P. roqueforti. This region contains ten genes, named adrA, adrC, adrD, adrE, adrF, adrG, adrH, adrI, adrJ and adrK. Interestingly, the adrB gene previously found in the adr cluster from P. chrysogenum, was found as a residual pseudogene in the adr cluster from P. roqueforti. RNA-mediated gene silencing of each of the ten genes resulted in significant reductions in andrastin A production, confirming that all of them are involved in the biosynthesis of this compound. Of particular interest was the adrC gene, encoding for a major facilitator superfamily transporter. According to our results, this gene is required for the production of andrastin A but does not have any role in its secretion to the extracellular medium. The identification of the adr cluster in P. roqueforti will be important to understand the molecular basis of the production of andrastin A, and for the obtainment of strains of P. roqueforti overproducing andrastin A that might be of interest for the cheese industry.</t>
  </si>
  <si>
    <t>Levican, Gloria/R-5191-2019; Valdes, Natalia/AAI-8151-2021; Garcia-Rico, Ramon/N-4289-2019; Tello, Mario/N-4198-2019; Vaca, Inmaculada/I-2758-2013</t>
  </si>
  <si>
    <t>Gil-Duran, Carlos Andres/0000-0001-9638-6902; Vaca, Inmaculada/0000-0002-8952-9036; Chavez, Renato/0000-0003-1754-3610; valdes parra, Natalia/0000-0002-6884-7799; Garcia-Rico, Ramon Ovidio/0000-0002-2451-7958; Levican, Gloria/0000-0002-1275-7399; Tello, Mario/0000-0003-4573-6460</t>
  </si>
  <si>
    <t>MAY 5</t>
  </si>
  <si>
    <t>10.3389/fmicb.2017.00813</t>
  </si>
  <si>
    <t>WOS:000400641200002</t>
  </si>
  <si>
    <t>Espinoza, A; Contreras, R; Zúñiga, G; Herrera, R; Moya-León, MA; Norambuena, L; Handford, M</t>
  </si>
  <si>
    <t>Espinoza, Analia; Contreras, Rodrigo; Zuniga, GustavoE.; Herrera, Raul; Alejandra Moya-Leon, Maria; Norambuena, Lorena; Handford, Michael</t>
  </si>
  <si>
    <t>FcLDP1, a Gene Encoding a Late Embryogenesis Abundant (LEA) Domain Protein, Responds to Brassinosteroids and Abscisic Acid during the Development of Fruits in Fragaria chiloensis</t>
  </si>
  <si>
    <t>FRONTIERS IN PLANT SCIENCE</t>
  </si>
  <si>
    <t>White Chilean strawberries (Fragaria chiloensis) are non-climacteric fruits, with an exotic color and aroma. In order to discover genes involved in the development of these fruits, we identified a fragment of a gene encoding a late embryogenesis abundant domain protein, FcLDP1, that was expressed in early stages of fruit development, particularly in receptacles. Hormones play key roles in regulating the development of non-climacteric fruits. We show that the brassinosteroid content of the white strawberry varies during development. Additionally, FcLDP1 as well as the closest ortholog in the woodland strawberry, F. vesca (FvLDP1) possess multiple brassinosteroid, as well as abscisic acid (ABA) response motifs in the promoter region, consistent with the response of transiently expressed FcLDP1 promoter-GFP fusions to these hormones, and the rise in FcLDP1 transcript levels in white strawberry fruits treated with brassinosteroids or ABA. These findings suggest that both hormones regulate FcLDP1 expression during the development of white strawberries.</t>
  </si>
  <si>
    <t>Handford, Michael/C-6127-2012; Zuñiga, Gustavo/P-8306-2015; Contreras, Rodrigo/I-1871-2013; Herrera, Raul/T-6935-2017; Norambuena, Lorena/I-1248-2013; Moya-Leon, Maria Alejandra/T-7152-2017</t>
  </si>
  <si>
    <t>Zuniga, Gustavo/0000-0002-8286-9468; Herrera, Raul/0000-0002-3369-0939; Norambuena, Lorena/0000-0002-6031-2394; Moya-Leon, Maria Alejandra/0000-0002-3475-0163; Contreras, Rodrigo/0000-0001-9970-3125; Handford, Michael/0000-0003-0969-3192</t>
  </si>
  <si>
    <t>1664-462X</t>
  </si>
  <si>
    <t>JUN 14</t>
  </si>
  <si>
    <t>10.3389/fpls.2016.00788</t>
  </si>
  <si>
    <t>WOS:000377651700001</t>
  </si>
  <si>
    <t>Guerrero, L; Van Diest, F; Barahona, A; Montalvo, S; Borja, R</t>
  </si>
  <si>
    <t>Guerrero, Lorna; Van Diest, Federico; Barahona, Andrea; Montalvo, Silvio; Borja, Rafael</t>
  </si>
  <si>
    <t>Influence of the type and source of inoculum on the start-up of anammox sequencing batch reactors (SBRs)</t>
  </si>
  <si>
    <t>Anammox (anaerobic ammonium oxidation) is an attractive option for the treatment of wastewaters with a low carbon/nitrogen ratio. This is due to its low operating costs when compared to the classical nitrification-denitrification processes. However, one of the main disadvantages of the Anammox process is slow biomass growth, meaning a relatively slow reactor start-up. This becomes even more complicated when Anammox microorganisms are not present in the inoculum. Four inocula were studied for the start-up of Anammox sequencing batch reactors (SBRs) 2 L in volume agitated at 100rpm, one of them using zeolite as a microbial support. Two inocula were taken from UASB reactors and two from aerobic reactors (activated sludge and SBR). The Anammox SBRs studied were operated at 36 +/- 0.5 degrees C. The results showed that the only inoculum that enabled the enrichment of the Anammox biomass came from an activated sludge plant treating wastewaters from a poultry slaughterhouse. This plant was designed for organic matter degradation and nitrogen removal (nitrification). This could explain the presence of Anammox microorganisms. This SBR operated without zeolite and achieved nitrite and ammonium removals of 96.3% and 68.4% respectively, at a nitrogen loading rate (NLR) of 0.1kg N/m(3)/d in both cases. The lower ammonium removal was due to the fact that a sub-stoichiometric amount of nitrite (1 molar ratio) was fed. The specific Anammox activity (SAA) achieved was 0.18g N/g VSS/d.</t>
  </si>
  <si>
    <t>AUG 24</t>
  </si>
  <si>
    <t>10.1080/10934529.2013.777268</t>
  </si>
  <si>
    <t>WOS:000318406500015</t>
  </si>
  <si>
    <t>Arroyuelo, D; Gil-Costa, V; González, S; Marin, M; Oyarzún, M</t>
  </si>
  <si>
    <t>Arroyuelo, Diego; Gil-Costa, Veronica; Gonzalez, Senen; Marin, Mauricio; Oyarzun, Mauricio</t>
  </si>
  <si>
    <t>Distributed search based on self-indexed compressed text</t>
  </si>
  <si>
    <t>INFORMATION PROCESSING &amp; MANAGEMENT</t>
  </si>
  <si>
    <t>Query response times within a fraction of a second in Web search engines are feasible due to the use of indexing and caching techniques, which are devised for large text collections partitioned and replicated into a set of distributed-memory processors. This paper proposes an alternative query processing method for this setting, which is based on a combination of self-indexed compressed text and posting lists caching. We show that a text self-index (i.e., an index that compresses the text and is able to extract arbitrary parts of it) can be competitive with an inverted index if we consider the whole query process, which includes index decompression, ranking and snippet extraction time. The advantage is that within the space of the compressed document collection, one can carry out the posting lists generation, document ranking and snippet extraction. This significantly reduces the total number of processors involved in the solution of queries. Alternatively, for the same amount of hardware, the performance of the proposed strategy is better than that of the classical approach based on treating inverted indexes and corresponding documents as two separate entities in terms of processors and memory space. (C) 2011 Elsevier Ltd. All rights reserved.</t>
  </si>
  <si>
    <t>Marin, Mauricio/GLR-7700-2022; Gil-Costa, Veronica/GPT-4785-2022; Arroyuelo, Diego/JJF-1083-2023; Oyarzún, Mauricio/AAE-6310-2019</t>
  </si>
  <si>
    <t>Marin, Mauricio/0000-0003-0662-7149; Gil-Costa, Veronica/0000-0003-4637-9725</t>
  </si>
  <si>
    <t>0306-4573</t>
  </si>
  <si>
    <t>1873-5371</t>
  </si>
  <si>
    <t>10.1016/j.ipm.2011.01.008</t>
  </si>
  <si>
    <t>WOS:000307682100002</t>
  </si>
  <si>
    <t>Aguilar, C; Roja, P; Ordoñez, S; Guzman, D</t>
  </si>
  <si>
    <t>Aguilar, Claudio; Roja, Paula; Ordonez, Stella; Guzman, Danny</t>
  </si>
  <si>
    <t>Structural study by X-ray profile analysis and thermodynamics properties of Cu-Cr and Cu-Mo alloys processed by mechanical alloying.</t>
  </si>
  <si>
    <t>ACTA CRYSTALLOGRAPHICA A-FOUNDATION AND ADVANCES</t>
  </si>
  <si>
    <t>Aguilar, Claudio/B-6774-2011</t>
  </si>
  <si>
    <t>2053-2733</t>
  </si>
  <si>
    <t>FA2-MS13-P</t>
  </si>
  <si>
    <t>S154</t>
  </si>
  <si>
    <t>10.1107/S0108767310096558</t>
  </si>
  <si>
    <t>WOS:000483128900344</t>
  </si>
  <si>
    <t>Burra, R; Fox, JD; Pradenas, GA; Vásquez, CC; Chasteen, TG</t>
  </si>
  <si>
    <t>Burra, Radhika; Fox, James D.; Pradenas, Gonzalo A.; Vasquez, Claudio C.; Chasteen, Thomas G.</t>
  </si>
  <si>
    <t>Biological interactions of selenocyanate: Bioprocessing, detection and toxicity</t>
  </si>
  <si>
    <t>ENVIRONMENTAL TECHNOLOGY</t>
  </si>
  <si>
    <t>The selenocyanate anion, SeCN-, has been reported in wastewater from refineries whose petroleum comes from Se-rich marine shales. A metalloid-resistant bacterium was exposed to aqueous solutions of SeCN- to examine the relative toxicity of SeCN-, and the results were compared with the toxicity of selenate and selenite and another G16 metalloid oxyanion, tellurite. We also determined the volatile organo-selenium species produced by bacterial cultures amended with selenocyanate anion, and we investigated a solid phase preconcentration technique for collecting SeCN- from aqueous samples with different ionic strengths and subsequent detection using capillary electrophoresis. The relative toxicity of SeCN- is comparable to that of selenate and selenite using the metalloid-resistant bacterium LHVE as the test organism. Tellurite was more toxic at all concentrations examined than all three selenium-containing anions, SeO42-, SeO32-, SeCN-. Live cultures of LHVE amended with 1 mM NaSeCN produced volatile organo-sulphides and organo-selenides that could be collected in headspace using a solid phase microextraction fibre. The bioprocessing, i.e. the reduction and methylation of SeCN-, is similar to that of selenate and selenite by other metalloid-resistant bacteria. An aqueous 1.0 mM solution of SeCN- could be captured from solution on solid-phase extraction (SPE) cartridges using an aminopropyl-based stationary phase. Selenocyanate anions, slowly pumped into a wetted SPE cartridge, were trapped on the cartridge's solid phase and were subsequently eluted, thereby providing an increase in concentration above that of the original SeCN--containing solution. Preconcentration factors of 3.9 were achieved using a mixed sodium hydroxide/methanol elution solvent and by adding NaCl to aqueous SeCN- before loading on the SPE cartridge.</t>
  </si>
  <si>
    <t>0959-3330</t>
  </si>
  <si>
    <t>1479-487X</t>
  </si>
  <si>
    <t>PII 915892510</t>
  </si>
  <si>
    <t>10.1080/09593330902998082</t>
  </si>
  <si>
    <t>WOS:000271510300012</t>
  </si>
  <si>
    <t>Hermosilla, G; Martínez, C; Retamales, P; León, R; Cifuentes, V</t>
  </si>
  <si>
    <t>Genetic determination of ploidy level in Xanthophyllomyces dendrorhous</t>
  </si>
  <si>
    <t>Xanthophyllomyces dendrorhous (formely Phaffia rhodozyma) is a basidiomycetous yeast-like fungus that produces carotenoids useful for the food industry. Recently, its sexual cycle was reported but little is known about its genetic constitution. To inquire into the ploidy state of X. dendrorhous, biased mutant spectrum, genetic complementation and mitotic recombination analysis were used. A wild-type strain was subjected to N-methyl-N'-nitro-N-nitrosoguanidine mutagenic treatment. Auxotrophic and carotene mutants were forced to revert to the wild-type phenotype. Pigment producing and prototroph revertants behaved as diploid except for adenine less mutants. These results are in agreement with the limited spectrum of auxotrophs obtained in this strain for the ADE1 locus. To analyze the genetic characteristic of the adenine genetic marker of X. dendrorhous, protoplast fusion experiments with several adenine less mutants were performed. The experiments presented in this work suggest that the ATCC 2430 (UDC 67-385) strain of X. dendrorhous is diploid and a heterozygous constitution is proposed for the ADE1 locus.</t>
  </si>
  <si>
    <t>Martinez, Claudio/MGS-9961-2025</t>
  </si>
  <si>
    <t>Martinez, Claudio/0000-0001-8564-9287</t>
  </si>
  <si>
    <t>10.1023/A:1026090008405</t>
  </si>
  <si>
    <t>WOS:000185682500005</t>
  </si>
  <si>
    <t>Bueno, C; Villegas, ML; Bertolotti, SG; Previtali, CM; Neumann, MG; Encinas, MV</t>
  </si>
  <si>
    <t>The excited-state interaction of resazurin and resorufin with amines in aqueous solutions. Photophysics and photochemical reaction</t>
  </si>
  <si>
    <t>PHOTOCHEMISTRY AND PHOTOBIOLOGY</t>
  </si>
  <si>
    <t>The photophysics and photochemical behavior of the phenoxazin-3-one dyes, resazurin and resorufin, have been studied in aqueous solutions. The irradiation of resazurin in the presence of amines leads to deoxygenation of the N-oxide group, giving resorufin. This photoreaction is highly dependent on the amine structure and is efficient only in the presence of tertiary aliphatic amines. The absorption and fluorescence properties of these dyes are dependent on pH. At pH above 7.5 both dyes are in their anionic form. For resorufin this form is highly fluorescent (Phi(F) = 0.75). At lower pH the fluorescence is strongly reduced. The N-oxide dye presents a very weak fluorescence quantum yield (0.11), which also is reduced at low pH. Flash photolysis experiments allowed characterization of the triplet state and the transients formed after irradiation of these dyes in the absence and presence of amines. The triplet quantum yields are 0.08 for resazurin and 0.04 for resorufin. The photodeoxygenation of N-oxide in the presence of amines occurs from the triplet state.</t>
  </si>
  <si>
    <t>Neumann, Miguel/AAM-1395-2021; Encinas, Maria/L-9686-2014</t>
  </si>
  <si>
    <t>0031-8655</t>
  </si>
  <si>
    <t>WOS:000178728000003</t>
  </si>
  <si>
    <t>Encinas, MV; Rufs, AM; Bertolotti, S; Previtali, CM</t>
  </si>
  <si>
    <t>Free radical polymerization photoinitiated by riboflavin/amines. Effect of the amine structure</t>
  </si>
  <si>
    <t>MACROMOLECULES</t>
  </si>
  <si>
    <t>Polymerization rates of 2-hydroxyethyl methacrylate (HEMA) photoinitiated by riboflavin were investigated using as co-initiator several amines of different structure. The photoinitiation efficiency is highly dependent on the structure of the amine. The photochemical behavior of these systems was investigated under the polymerization conditions. The results are explained in terms of the dependence of the amino radicals production and the reactivity of these radicals toward monomer double bonds with the structural features of the amines.</t>
  </si>
  <si>
    <t>0024-9297</t>
  </si>
  <si>
    <t>APR 24</t>
  </si>
  <si>
    <t>10.1021/ma001649r</t>
  </si>
  <si>
    <t>WOS:000168236600017</t>
  </si>
  <si>
    <t>de Leon, JP; Cruz, N</t>
  </si>
  <si>
    <t>Hydrostatic equilibrium of a perfect fluid sphere with exterior higher-dimensional Schwarzschild spacetime</t>
  </si>
  <si>
    <t>GENERAL RELATIVITY AND GRAVITATION</t>
  </si>
  <si>
    <t>We discuss the question of how the number of dimensions of space and time can influence the equilibrium configurations of stars. We find that dimensionality does increase the effect of mass but not the contribution of the pressure, which is the same in any dimension. In the presence of a (positive) cosmological constant the condition of hydrostatic equilibrium imposes a lower limit on mass and matter density. We show how this limit depends on the number of dimensions and suggest that Lambda &gt; 0 is more effective in 4D than in higher dimensions. We obtain a general limit for the degree of compactification (gravitational potential on the boundary) of perfect fluid stars in D dimensions. We argue that the effects of gravity are stronger in 4D than in any other number of dimensions. The generality of the results is also discussed.</t>
  </si>
  <si>
    <t>0001-7701</t>
  </si>
  <si>
    <t>1572-9532</t>
  </si>
  <si>
    <t>10.1023/A:1001982402392</t>
  </si>
  <si>
    <t>WOS:000088988100002</t>
  </si>
  <si>
    <t>Encinas, MV; Evangelio, JA; Andreu, JM; Goldie, H; Cardemil, E</t>
  </si>
  <si>
    <t>Stability of Escherichia coli phosphoenolpyruvate carboxykinase against urea-induced unfolding and ligand effects</t>
  </si>
  <si>
    <t>EUROPEAN JOURNAL OF BIOCHEMISTRY</t>
  </si>
  <si>
    <t>The urea-induced unfolding at pH 7.5 of Escherichia coli phosphoenolpyruvate (P-pyruvate) carboxykinase was studied by monitoring the enzyme activity, intrinsic protein fluorescence, circular dichroism spectra, and 1-anilino-8-naphthalenesulfonate binding. These studies were performed in the absence and presence of substrates and ligands. ATP or P-pyruvate plus MnCl2, or of the combined presence of ATP plus MnCl2 and oxalate, conferred great protection against urea-induced denaturation. The unfolding process showed the presence of at least one stable intermediate which is notably shifted to higher urea concentrations in the presence of substrates. This intermediate protein structure was inactive, contained less tertiary structure than the native protein and retained mos: of the original secondary structure. Hydrophobic surfaces were more exposed in the intermediate than in the native or unfolded species. Refolding experiments indicated that the secondary structure was completely recovered. Total recovery of tertiary structure and activity was obtained only from samples denatured at urea concentrations lower than those where the intermediate accumulates.</t>
  </si>
  <si>
    <t>Andreu, Jose M/0000-0001-8064-6933</t>
  </si>
  <si>
    <t>0014-2956</t>
  </si>
  <si>
    <t>10.1046/j.1432-1327.1998.2550439.x</t>
  </si>
  <si>
    <t>WOS:000074954500014</t>
  </si>
  <si>
    <t>Pérez, H; Ruiz, S; Laurido, C; Hernández, A</t>
  </si>
  <si>
    <t>Locus coeruleus-mediated inhibition of chemosensory responses in the rat nucleus tractus solitarius is mediated by α2-adrenoreceptors</t>
  </si>
  <si>
    <t>NEUROSCIENCE LETTERS</t>
  </si>
  <si>
    <t>It is known that electrical and L-glutamate stimulation of the locus coeruleus (LC) reduce the multiunit activity evoked in the nucleus of the tractus solitarius (NTS) by cyanoboro-hydride. In the present study, rats anaesthetised with urethane were microinjected with noradrenergic antagonists into the NTS, to test whether the inhibitory effects of LC stimulation on cyanide-evoked discharge in the NTS were mediated by noradrenaline. Microinjection of yohimbine into the NTS (0.2, 0.6, 1.8, 5.4 nmol) induced dose-dependent reduction of the inhibitory effect of LC stimulation on NTS neurones, while prazosin produced no effect. The results indicate that LC-induced inhibition of the cyanide-evoked discharge in the NTS is mediated by endogenous noradrenaline release acting on aa-adrenoreceptors. (C) 1998 Elsevier Science Ireland Ltd. All rights reserved.</t>
  </si>
  <si>
    <t>Hernandez, Alejandro/M-4796-2019</t>
  </si>
  <si>
    <t>Hernandez, Alejandro/0000-0001-9222-6522</t>
  </si>
  <si>
    <t>0304-3940</t>
  </si>
  <si>
    <t>JUN 12</t>
  </si>
  <si>
    <t>10.1016/S0304-3940(98)00387-5</t>
  </si>
  <si>
    <t>WOS:000074522000010</t>
  </si>
  <si>
    <t>SARAGOVI, C; LABENSKI, F; DUHALDE, SM; ACEBAL, S; VENEGAS, R</t>
  </si>
  <si>
    <t>MOSSBAUER STUDIES ON SOME ARGENTINEAN SOIL - MOLLISOLS FROM BAHIA-BLANCA</t>
  </si>
  <si>
    <t>International Conference on the Applications of the Mossbauer Effect (ICAME 93)</t>
  </si>
  <si>
    <t>AUG 08-14, 1993</t>
  </si>
  <si>
    <t>VANCOUVER, CANADA</t>
  </si>
  <si>
    <t>AECL RES CHALK RIVER,COLORADO SCH MINES,INT UNION PURE &amp; APPL CHEM,INT UNION PURE &amp; APPL PHYS,US DOE, LOS ALAMOS NATL LAB,MOSSBAUER EFFECT DATA CTR,NATL SCI FDN,SIMON FRASER UNIV,INT SCI FDN</t>
  </si>
  <si>
    <t>Clay fractions of a Mollisol sample as is, treated with ammonium oxalate (AO), with dithionite-citrate-bicarbonate (DCB) and with dithionite-ethilene-diamine- tetraacetic acid (D-EDTA) methods, were studied. Illite-montmorillonites together with hematites, goethites and maghemites, all of the Al-substituted and with a wide range of sizes, were identified. It is found that the AO attack extracts little iron, whereas the other two attacks extract the magnetic signal. Furthermore, the DCB attack facilitates the reduction of the Fe3+ ions, while the D-EDTA method does not. Instead, this attack extracts more clay mineral Fe ions. A comparison with large grain soil samples is made.</t>
  </si>
  <si>
    <t>10.1007/BF02064604</t>
  </si>
  <si>
    <t>WOS:A1994QB95100042</t>
  </si>
  <si>
    <t>Vallejo, F; Yánez-Sevilla, D; Díaz-Robles, LA; Cubillos, F; Espinoza-Pérez, A; Espinoza-Pérez, L; Pino-Cortés, E; Cereceda-Balic, F</t>
  </si>
  <si>
    <t>Vallejo, Fidel; Yanez-Sevilla, Diana; Diaz-Robles, Luis Alonso; Cubillos, Francisco; Espinoza-Perez, Andrea; Espinoza-Perez, Lorena; Pino-Cortes, Ernesto; Cereceda-Balic, Francisco</t>
  </si>
  <si>
    <t>Insights into hydrothermal treatment of biomass blends: Assessing energy yield and ash content for biofuel enhancement</t>
  </si>
  <si>
    <t>This study explores the Hydrothermal Carbonization (HTC) treatment of lignocellulosic biomass blends, delving into the influence of several key parameters: temperature, additive nature and dosage, residence time, and biomass composition. Rapeseeds, Pinus radiata sawdust, oat husks, and pressed olive served as the studied biomasses. One hundred twenty-eight experiments were conducted to assess the effects on mass yield (MY), energy yield (EY), higher heating value (HHV), and final ash content (ASH) by a Factorial Experimental Design. The derived model equations demonstrated a robust fit to the experimental data, averaging an R2 exceeding 0.94, affirming their predictive accuracy. The observed energy yield ranged between 65% and 80%, notably with sawdust and olive blends securing EY levels surpassing 70%, while rapeseed blends exhibited the highest HHV at 25 MJ/kg. Temperature emerged as the most influential factor, resulting in an 11% decrease in MY and a substantial 2.20 MJ/kg increase in HHV. Contrastingly, blend composition and additive presence significantly impacted ASH and EY, with all blends exhibiting increased ASH in the presence of additives. Higher initial hemicellulose and aqueous extractive content in raw biomass correlated proportionally with heightened HHV.</t>
  </si>
  <si>
    <t>Rashidi, Nor Adilla/I-2777-2019; Cereceda-Balic, Francisco/N-4479-2017; Cortés, Ernesto/Z-2777-2019; Espinoza, Lorena/GVU-7778-2022; Vallejo, Fidel/AAM-6353-2020; Espinoza Perez, Andrea Teresa/M-4426-2014</t>
  </si>
  <si>
    <t>Yanez Sevilla, Diana/0000-0003-2840-5731; Espinoza Perez, Andrea Teresa/0000-0002-6362-9100; Espinoza Perez, Lorena/0000-0001-6737-8479; Pino-Cortes, Ernesto/0000-0001-5133-2812; Vallejo, Fidel Ernesto/0000-0001-5835-298X</t>
  </si>
  <si>
    <t>MAY 22</t>
  </si>
  <si>
    <t>e0304054</t>
  </si>
  <si>
    <t>10.1371/journal.pone.0304054</t>
  </si>
  <si>
    <t>WOS:001229236500015</t>
  </si>
  <si>
    <t>Sanchez-SanMartín, J; Márquez, SL; Espina, G; Cortés-Antiquera, R; Sun, JS; Blamey, JM</t>
  </si>
  <si>
    <t>Sanchez-SanMartin, Jorge; Marquez, Sebastian L.; Espina, Giannina; Cortes-Antiquera, Rodrigo; Sun, Junsong; Blamey, Jenny M.</t>
  </si>
  <si>
    <t>Evaluation of Antibiotic Biodegradation by a Versatile and Highly Active Recombinant Laccase from the Thermoalkaliphilic Bacterium Bacillus sp. FNT</t>
  </si>
  <si>
    <t>BIOMOLECULES</t>
  </si>
  <si>
    <t>Laccases are industrially relevant enzymes that have gained great biotechnological importance. To date, most are of fungal and mesophilic origin; however, enzymes from extremophiles possess an even greater potential to withstand industrial conditions. In this study, we evaluate the potential of a recombinant spore-coat laccase from the thermoalkaliphilic bacterium Bacillus sp. FNT (FNTL) to biodegrade antibiotics from the tetracycline, beta-lactams, and fluoroquinolone families. This extremozyme was previously characterized as being thermostable and highly active in a wide range of temperatures (20-90 degrees C) and very versatile towards several structurally different substrates, including recalcitrant environmental pollutants such as PAHs and synthetic dyes. First, molecular docking analyses were employed for initial ligand affinity screening in the modeled active site of FNTL. Then, the in silico findings were experimentally tested with four highly consumed antibiotics, representatives of each family: tetracycline, oxytetracycline, amoxicillin, and ciprofloxacin. HPLC results indicate that FNTL with help of the natural redox mediator acetosyringone, can efficiently biodegrade 91, 90, and 82% of tetracycline (0.5 mg mL(-1)) in 24 h at 40, 30, and 20 C-degrees, respectively, with no apparent ecotoxicity of the products on E. coli and B. subtilis. These results complement our previous studies, highlighting the potential of this extremozyme for application in wastewater bioremediation.</t>
  </si>
  <si>
    <t>Blamey, Jenny/M-2637-2014; Espina, Giannina/AAD-5275-2020</t>
  </si>
  <si>
    <t>Espina, Giannina/0000-0002-6308-7217</t>
  </si>
  <si>
    <t>2218-273X</t>
  </si>
  <si>
    <t>10.3390/biom14030369</t>
  </si>
  <si>
    <t>WOS:001191999900001</t>
  </si>
  <si>
    <t>Aburto, S; Cisterna, M; Acuña, J; Ruíz, C; Viscardi, S; Márquez, JL; Villano, I; Letelier, P; Guzmán, N</t>
  </si>
  <si>
    <t>Aburto, Scarleth; Cisterna, Mischka; Acuna, Javiera; Ruiz, Camila; Viscardi, Sharon; Marquez, Jose Luis; Villano, Ines; Letelier, Pablo; Guzman, Neftali</t>
  </si>
  <si>
    <t>Obesity as a Risk Factor for Severe COVID-19 in Hospitalized Patients: Epidemiology and Potential Mechanisms</t>
  </si>
  <si>
    <t>HEALTHCARE</t>
  </si>
  <si>
    <t>SARS-CoV-2 infection is a global public health problem, causing significant morbidity and mortality. Evidence shows that obesity is a recognized risk factor for hospitalization, admission to critical care units, and the development of serious complications from COVID-19. This review analyzes the available epidemiological evidence that relates obesity to a higher risk of severity and mortality from COVID-19, examining the possible pathophysiological mechanisms that explain this phenomenon on a cellular and molecular level.</t>
  </si>
  <si>
    <t>Villano, Ines/ABU-5527-2022; Viscardi, Sharon/AAG-8101-2020; Ruiz, Camila/HKM-8767-2023; Marquez, Jose/AEV-0575-2022</t>
  </si>
  <si>
    <t>Letelier, Pablo/0000-0001-9803-9752; Marquez, Jose Luis/0000-0002-5606-9731; Viscardi, Sharon/0000-0002-5018-4122; VILLANO, INES/0000-0002-1755-358X; Guzman Oyarzo, Neftali/0000-0003-4872-9821</t>
  </si>
  <si>
    <t>2227-9032</t>
  </si>
  <si>
    <t>10.3390/healthcare10101838</t>
  </si>
  <si>
    <t>WOS:000873190400001</t>
  </si>
  <si>
    <t>da Silva, ACC; de Almeida, RR; Vidal, CS; Neto, JFC; Sousa, ACD; Martinez, FNA; Pinheiro, DP; Sales, SLA; Pessoa, C; Denardin, JC; Morais, SMD; Ricardo, NMPS</t>
  </si>
  <si>
    <t>da Silva, Aierta Cristina Carra; de Almeida, Raimundo Rafael; Vidal, Cristine Soares; Neto, Joao Francisco Camara; Sousa, Alexandre Carreira da Cruz; Martinez, Fabian Nicolas Araneda; Pinheiro, Daniel Pascoalino; Sales, Sarah Leyenne Alves; Pessoa, Claudia; Denardin, Juliano Casagrande; Morais, Selene Maia de; Ricardo, Nagila Maria Pontes Silva</t>
  </si>
  <si>
    <t>Sulfated xyloglucan-based magnetic nanocomposite for preliminary evaluation of theranostic potential</t>
  </si>
  <si>
    <t>Chemically sulfated xyloglucan (S_XLG) was applied to encapsulate hydrophilic quercetin sulfate (Q_SO3) into superparamagnetic nanocomposites (MNSXQ_SO3) synthesized via interfacial polyaddition reaction. This nanoplatform was evaluated concerning in vitro antitumor activity, drug release profile, and magnetic behavior under a magnetic field. MNSXQ_SO3 exhibited antitumor activity against four human tumor cell lines: leukemia HL-60 (IC50 = 1.58 +/- 0.54 mu g mL(-1)), glioblastoma SNB-19 (IC50 = 8.77 +/- 0.36 mu g mL(-1)), colorectal carcinoma HCT-116 (IC50 = 8.69 +/- 0.21 mu g mL(-1)) and prostate PC3 (IC50 = 17.42 +/- 3.57 mu g mL(-1)). Additionally, MNSXQ_SO3 was able to delay the release of Q_SO3 (76 %) compared to the free Q_SO3 (100 %), after 48 h of drug delivery assay, revealing a release profile compatible with the Korsmeyer-Peppas kinetic model. These results represent a relevant progress in the production of multifunctional hybrid nanocarriers, providing a versatile nanocomposite with potential for targeted drug delivery and theranostic applications.</t>
  </si>
  <si>
    <t>Claudia, Pessoa/F-1944-2015; Denardin, Juliano/S-6407-2019; Carreira da Cruz Sousa, Alexandre/HLQ-1316-2023; Soares Vidal de Menezes, Cristine/ISA-9247-2023; Ricardo, Nágila/C-3630-2015; FRANCISCO CAMARA NETO, JOAO/AFV-6408-2022</t>
  </si>
  <si>
    <t>FRANCISCO CAMARA NETO, JOAO/0000-0002-2678-8188; Carreira da Cruz Sousa, Alexandre/0000-0002-5455-7256; Soares Vidal de Menezes, Cristine/0000-0001-9750-8000</t>
  </si>
  <si>
    <t>10.1016/j.ijbiomac.2022.06.197</t>
  </si>
  <si>
    <t>JUL 2022</t>
  </si>
  <si>
    <t>WOS:000860291300005</t>
  </si>
  <si>
    <t>López, JV; Vergara, FV; Barría, RM</t>
  </si>
  <si>
    <t>Vanegas Lopez, Jairo; Vasquez Vergara, Fabian; Mauricio Barria, R.</t>
  </si>
  <si>
    <t>Evolution of infant mortality in Chile and how it has been reflected in scientific publications between 1980 and 2019</t>
  </si>
  <si>
    <t>ARCHIVOS ARGENTINOS DE PEDIATRIA</t>
  </si>
  <si>
    <t>Introduction. One of the Millennium Development Goals is to reduce the child mortality rate (CMR), an indicator still present in the Sustainable Development Goals (2015-2030). At the same time, scientific investigations and reports were necessary to assess the behavior of the infant mortality rate (IMR) and the effectiveness of interventions to approach it. Objective. To describe IMR behavior in Chile and how it has been reflected in the scientific publications made in the 1980-2019 period. Material and methods. Implementation of the multivariate adaptive regression spline (MARS) method in relation to IMR between 1980 and 2016, and search for related articles published between 1980 and 2019 in SciELO, Lilacs, PubMed, Cochrane Library, and Embase. The analysis included IMR behavior and its reflection in the publications made in that period. Results. IMR decreased from 28 % to 7.2 % per 1000 live births between 1980 and 2016 (-74 %) and 82 publications were identified in this period. Two types of studies about IMR were reported as of the cutoff point of 1996. In the first period, studies focused on preventable diseases and interventions, while IMR showed a slowing down in its reduction. After the cutoff point, studies focused on non-preventable diseases and factors related to inequalities and inequities. Conclusions. IMR prevails as a synthetic indicator of health conditions. Changes in its evolution and causes have been reflected in publications, which have shifted their focus and areas of interest in accordance with the changes in this indicator.</t>
  </si>
  <si>
    <t>Vanegas, Jairo/ACV-6689-2022; Barria, Mauricio/J-7907-2012</t>
  </si>
  <si>
    <t>Barria, R. Mauricio/0000-0002-3764-5254</t>
  </si>
  <si>
    <t>0325-0075</t>
  </si>
  <si>
    <t>1668-3501</t>
  </si>
  <si>
    <t>10.5546/aap.2021.eng.339</t>
  </si>
  <si>
    <t>WOS:000704188400010</t>
  </si>
  <si>
    <t>Leme, ACB; Haines, J; Tang, LS; Fisberg, M; Ferrari, G; da Silva, VA; Fisberg, RM</t>
  </si>
  <si>
    <t>Leme, Ana Carolina Barco; Haines, Jess; Tang, Lisa; Fisberg, Mauro; Ferrari, Gerson; da Silva, Vitoria Alexandra; Fisberg, Regina Mara</t>
  </si>
  <si>
    <t>Association between weight control behaviors and diet quality among Brazilian adolescents and young adults: Health Survey of Sao Paulo with Focus on Nutrition, 2015</t>
  </si>
  <si>
    <t>EATING AND WEIGHT DISORDERS-STUDIES ON ANOREXIA BULIMIA AND OBESITY</t>
  </si>
  <si>
    <t>Purpose Little is known about how behaviors to control weight are associated with diet quality among youth from low- and middle-income countries. The aim of this study was to examine associations between efforts to control weight (ECW) and diet quality among Brazilian adolescents and young adults. Methods Data from 731 participants (17.89 +/- 4.92 years, 51.1% female) of the 2015 Health Survey of Sao Paulo were used for this cross-sectional study. Dietary intake was assessed using a 24 h dietary recall and diet quality was calculated using the Brazilian Healthy Eating Index-Revised (BHEI-R). Participants reported their ECW, weight satisfaction, and socio-demographics. Descriptive statistics and linear regressions were calculated to investigate associations between ECW and diet quality. Results Approximately 47.7% of participants were dissatisfied with their current weight, and 41.0% reported ECW. Reported strategies to control weight included increased physical activity, taking care of what they eat, and dieting (8.2, 3.1, and 2.5%, respectively). After adjusting for age, sex, race/ethnicity, and body mass index, reporting at least one ECW (ss = 0.08; 95% CI 0.02, 0.13), taking care of what to eat (ss = 0.15; 0.08, 0.22) and being satisfied with their weight (0.08; 0.02, 0.13) were all associated with a higher overall BHEI-R score. Conclusion Overall diet quality score showed a small increase in participants reporting ECW. Further studies should be conducted to provide strategies used by adolescents from low- and middle-income countries to control their weight. Thus, developing public health policies, and behavioral-change strategies. Level V: Cross-sectional descriptive study.</t>
  </si>
  <si>
    <t>Fisberg, Mauro/E-7149-2010; Fisberg, Regina/Q-6494-2019; Ferrari, Gerson/ABG-6635-2021; Ferrari, Gerson/P-1152-2014; Barco Leme, Ana Carolina/H-3619-2015</t>
  </si>
  <si>
    <t>Ferrari, Gerson/0000-0003-3177-6576; Barco Leme, Ana Carolina/0000-0003-2782-4301</t>
  </si>
  <si>
    <t>1124-4909</t>
  </si>
  <si>
    <t>1590-1262</t>
  </si>
  <si>
    <t>10.1007/s40519-021-01198-1</t>
  </si>
  <si>
    <t>APR 2021</t>
  </si>
  <si>
    <t>WOS:000645887800001</t>
  </si>
  <si>
    <t>Eyelade, AV; Stepanova, M; Espinoza, CM; Moya, PS</t>
  </si>
  <si>
    <t>Eyelade, Adetayo V.; Stepanova, Marina; Espinoza, Cristobal M.; Moya, Pablo S.</t>
  </si>
  <si>
    <t>On the Relation between Kappa Distribution Functions and the Plasma Beta Parameter in the Earth's Magnetosphere: THEMIS Observations</t>
  </si>
  <si>
    <t>ASTROPHYSICAL JOURNAL SUPPLEMENT SERIES</t>
  </si>
  <si>
    <t>The Earth's magnetosphere represents a natural plasma laboratory that allows us to study the behavior of particle distribution functions in the absence of Coulomb collisions, typically described by the kappa distributions. We have investigated the properties of these functions for ions and electrons in different magnetospheric regions, thereby making it possible to reveal the k-parameters for a wide range of plasma beta (beta) values (from 10(-3) to 10(2)). This was done using simultaneous ion and electron measurements from the five Time History of Events and Macroscale Interactions during Substorms (THEMIS) spacecraft spanning the years 2008-2018. It was found that for a fixed plasma beta, the kappa-index and core energy (E-c) of the distribution can be modeled by the power law kappa = AE(c)(gamma) for both species, and the relation between beta, kappa, and E-c is much more complex than earlier reported: both A and gamma exhibit systematic dependencies with beta. Our results indicate that beta similar to 0.1-0.3 is a range where the plasma is more dynamic, since it is influenced by both the magnetic field and temperature fluctuations, which suggests that the transition between magnetically and kinetically dominated plasmas occurs at these values of beta. For beta &gt; 1, both A and gamma take nearly constant values, a feature that is especially notable for the electrons and might be related to their demagnetization. The relation between beta, kappa, and E-c that we present is an important result that can be used by theoretical models in the future.</t>
  </si>
  <si>
    <t>Eyelade, Adetayo/AAD-9716-2020; Espinoza, Cristobal/U-4428-2017; Stepanova, Marina/D-6329-2011; Moya, Pablo S./C-3163-2011</t>
  </si>
  <si>
    <t>Espinoza, Cristobal/0000-0003-2481-2348; Stepanova, Marina/0000-0002-1053-3375; EYELADE, ADETAYO/0000-0002-2301-307X; Moya, Pablo S./0000-0002-9161-0888</t>
  </si>
  <si>
    <t>0067-0049</t>
  </si>
  <si>
    <t>1538-4365</t>
  </si>
  <si>
    <t>10.3847/1538-4365/abdec9</t>
  </si>
  <si>
    <t>WOS:000629957900001</t>
  </si>
  <si>
    <t>Fritz, RA; Colón, YJ; Herrera, F</t>
  </si>
  <si>
    <t>Fritz, Ruben A.; Colon, Yamil J.; Herrera, Felipe</t>
  </si>
  <si>
    <t>Engineering entangled photon pairs with metal-organic frameworks</t>
  </si>
  <si>
    <t>CHEMICAL SCIENCE</t>
  </si>
  <si>
    <t>The discovery and design of new materials with competitive optical frequency conversion efficiencies can accelerate the development of scalable photonic quantum technologies. Metal-organic framework (MOF) crystals without inversion symmetry have shown potential for these applications, given their nonlinear optical properties and the combinatorial number of possibilities for MOF self-assembly. In order to accelerate the discovery of MOF materials for quantum optical technologies, scalable computational assessment tools are needed. We develop a multi-scale methodology to study the wavefunction of entangled photon pairs generated by selected non-centrosymmetric MOF crystals via spontaneous parametric down-conversion (SPDC). Starting from an optimized crystal structure, we predict the shape of the G(2) intensity correlation function for coincidence detection of the entangled pairs, produced under conditions of collinear type-I phase matching. The effective nonlinearities and photon pair correlation times obtained are comparable to those available with inorganic crystal standards. Our work thus provides fundamental insights into the structure-property relationships for entangled photon generation with metal-organic frameworks, paving the way for the automated discovery of molecular materials for optical quantum technology.</t>
  </si>
  <si>
    <t>Fritz Fritz, Ruben Alejandro/0000-0002-6691-4740; Colon, Yamil/0000-0001-5316-9692</t>
  </si>
  <si>
    <t>2041-6520</t>
  </si>
  <si>
    <t>2041-6539</t>
  </si>
  <si>
    <t>MAR 14</t>
  </si>
  <si>
    <t>10.1039/d0sc05572g</t>
  </si>
  <si>
    <t>WOS:000630166700039</t>
  </si>
  <si>
    <t>Navarrete, A; Chen, ZM; Aranda, P; Poblete, D; Utrera, A; García-Herrera, CM; Gonzalez-Candia, A; Beñaldo, FA; Ebensperger, G; Reyes, RV; Herrera, EA; Llanos, AJ</t>
  </si>
  <si>
    <t>Navarrete, Alvaro; Chen, Zhuoming; Aranda, Pedro; Poblete, Daniel; Utrera, Andres; Garcia-Herrera, Claudio M.; Gonzalez-Candia, Alejandro; Benaldo, Felipe A.; Ebensperger, German; Reyes, Roberto V.; Herrera, Emilio A.; Llanos, Anibal J.</t>
  </si>
  <si>
    <t>Study of the Effect of Treatment With Atrial Natriuretic Peptide (ANP) and Cinaciguat in Chronic Hypoxic Neonatal Lambs on Residual Strain and Microstructure of the Arteries</t>
  </si>
  <si>
    <t>FRONTIERS IN BIOENGINEERING AND BIOTECHNOLOGY</t>
  </si>
  <si>
    <t>In this study, we assessed the effects of Atrial Natriuretic Peptide (ANP) and Cinaciguat, as experimental medicines to treat neonatal lambs exposed to chronic hypoxic conditions. To compare the different treatments, the mechanical responses of aorta, carotid, and femoral arterial walls were analyzed by means of axial pre-stretch and ring-opening tests, through a study with n = 6 animals for each group analyzed. The axial pre-stretch test measures the level of shortening in different zones of the arteries when extracted from lambs, while the ring-opening test is used to quantify the degree of residual circumferential deformation in a given zone of an artery. In addition, histological studies were carried out to measure elastin, collagen, and smooth muscle cell (SMC) nuclei densities, both in control and treated groups. The results show that mechanical response is related with histological results, specifically in the proximal abdominal aorta (PAA) and distal carotid zones (DCA), where the cell nuclei content is related to a decrease of residual deformations. The opening angle and the elastic fibers of the aorta artery were statistically correlated (p &lt; 0.05). Specifically, in PAA zone, there are significant differences of opening angle and cell nuclei density values between control and treated groups (p-values to opening angle: Control-ANP = 2 . 10(-2), Control-Cinaciguat = 1 . 10(-2); p-values to cell nuclei density: Control-ANP = 5 . 10(-4), Control-Cinaciguat = 2 . 10(-2)). Respect to distal carotid zone (DCA), significant differences between Control and Cinaciguat groups were observed to opening angle (p-value = 4 . 10(-2)), and cell nuclei density (p-value = 1 . 10(-2)). Our findings add evidence that medical treatments may have effects on the mechanical responses of arterial walls and should be taken into account when evaluating the complete medical outcome.</t>
  </si>
  <si>
    <t>Gonzalez-Candia, Alejandro/GOV-6045-2022; García-Herrera, Claudio/ABE-8991-2020; Ebensperger, Germán/I-1093-2013; Herrera, Emilio A/H-5992-2018</t>
  </si>
  <si>
    <t>Gonzalez-Candia, Alejandro/0000-0001-8429-367X; Benaldo, Felipe/0009-0001-7466-8930; Llanos, Anibal/0000-0002-6285-9158; Herrera, Emilio A/0000-0002-6342-085X</t>
  </si>
  <si>
    <t>2296-4185</t>
  </si>
  <si>
    <t>10.3389/fbioe.2020.590488</t>
  </si>
  <si>
    <t>WOS:000591642400001</t>
  </si>
  <si>
    <t>Gatica, S; Villegas, V; Vallejos, A; Cabello-Verrugio, C; Varela, D; Simon, F</t>
  </si>
  <si>
    <t>Gatica, Sebastian; Villegas, Vicente; Vallejos, Alejandro; Cabello-Verrugio, Claudio; Varela, Diego; Simon, Felipe</t>
  </si>
  <si>
    <t>INHIBITION OF TRPM7 PROTECTS AGAINST INFLAMMATORY CYTOKINE OVERPRODUCTION, MULTIPLE ORGAN DYSFUNCTION, AND MORTALITY DURING ENDOTOXEMIA</t>
  </si>
  <si>
    <t>SHOCK</t>
  </si>
  <si>
    <t>43rd Annual Conference on Shock</t>
  </si>
  <si>
    <t>JUN 06-09, 2020</t>
  </si>
  <si>
    <t>Gatica, Sebastian/F-5669-2012; Cabello-Verrugio, Claudio/AAD-1454-2020; Varela, Diego/AAG-7489-2019</t>
  </si>
  <si>
    <t>1073-2322</t>
  </si>
  <si>
    <t>1540-0514</t>
  </si>
  <si>
    <t>P166</t>
  </si>
  <si>
    <t>WOS:000587668800216</t>
  </si>
  <si>
    <t>Chaumont, C; Oliveras, C; Chavez, E; Valencia, J; Dintrans, PV</t>
  </si>
  <si>
    <t>Chaumont, Claire; Oliveras, Carlo; Chavez, Enrique; Valencia, Jaime; Villalobos Dintrans, Pablo</t>
  </si>
  <si>
    <t>Out-of-pocket expenditures for HIV in the Dominican Republic: findings from a community-based participatory survey</t>
  </si>
  <si>
    <t>REVISTA PANAMERICANA DE SALUD PUBLICA-PAN AMERICAN JOURNAL OF PUBLIC HEALTH</t>
  </si>
  <si>
    <t>Objectives. The aim of this study was to estimate out-of-pocket expenditures incurred by individuals with HIV in the Dominican Republic. The study utilized different definitions and components for these expenditures and differentiated the results by wage ranges. Methods. Data was obtained from an in-person survey of people living with HIV. The study was developed and implemented in collaboration with Dominican grassroots organizations and networks of people with HIV, through a process of community-based participatory research. Results. The mean HIV-related expenditure reported by individuals in the sample in the last six months prior to the survey was in US$ 181; 15.4% of this total was spent for transportation and housing and costs to access the HIV facility. The mean expenditure reported by individuals for their current visit to an HIV center was US$ 10. These out-of-pocket expenditures exhibited regressivity, with lower-wage patients spending proportionally more to receive care. The results highlight the importance of considering other resources required to access treatment, such as lodging expenses and the time needed to travel to an HIV center and then to wait to be seen by a care provider. Conclusions. There should be more focus on expenditures made directly by people with HIV in the Dominican Republic so that these payments do not become a barrier to accessing health care. Using a community-based participatory design can ensure that such data can be leveraged to address the specific barriers to care that are faced by individuals with HIV.</t>
  </si>
  <si>
    <t>Dintrans, Pablo/AAM-6248-2020</t>
  </si>
  <si>
    <t>Villalobos Dintrans, Pablo/0000-0002-2236-6447; Chaumont, Claire/0000-0003-2982-6474</t>
  </si>
  <si>
    <t>1020-4989</t>
  </si>
  <si>
    <t>e56</t>
  </si>
  <si>
    <t>10.26633/RPSP.2019.56</t>
  </si>
  <si>
    <t>WOS:000515373800003</t>
  </si>
  <si>
    <t>Ahumada, M; Orellana, PA; Retamal, JC</t>
  </si>
  <si>
    <t>Ahumada, M.; Orellana, P. A.; Retamal, J. C.</t>
  </si>
  <si>
    <t>Bound states in the continuum in whispering gallery resonators</t>
  </si>
  <si>
    <t>We report the formation of bound states in the continuum in a whispering gallery resonator coupled to a one-dimensional waveguide. We find that an incident photon wave packet is partially stored in the bound state in the continuum due to a roughness-induced symmetry breaking. We discuss quantum interference effects such as Fano in the transmission spectra and the photonic density of states. The conditions under which the bound state can be accessed through single-photon transport processes are investigated.</t>
  </si>
  <si>
    <t>Retamal, Juan/G-6425-2010; Orellana, Pedro/L-4895-2018</t>
  </si>
  <si>
    <t>Ahumada, Maritza/0000-0003-0320-5768; Orellana, Pedro/0000-0001-7688-4111; Retamal Abarzua, Juan Carlos/0000-0002-7174-7879</t>
  </si>
  <si>
    <t>2469-9926</t>
  </si>
  <si>
    <t>2469-9934</t>
  </si>
  <si>
    <t>AUG 13</t>
  </si>
  <si>
    <t>10.1103/PhysRevA.98.023827</t>
  </si>
  <si>
    <t>WOS:000441461000022</t>
  </si>
  <si>
    <t>Bascuñán-Godoy, L; Sanhueza, C; Hernández, CE; Cifuentes, L; Pinto, K; Alvarez, R; González-Teuber, M; Bravo, LA</t>
  </si>
  <si>
    <t>Bascunan-Godoy, Luisa; Sanhueza, Carolina; Hernandez, Cristian E.; Cifuentes, Leonardo; Pinto, Katherine; Alvarez, Rodrigo; Gonzalez-Teuber, Marcia; Bravo, Leon A.</t>
  </si>
  <si>
    <t>Nitrogen Supply Affects Photosynthesis and Photoprotective Attributes During Drought-Induced Senescence in Quinoa</t>
  </si>
  <si>
    <t>Drought during senescence has become more common in Mediterranean climates in recent years. Chenopodium quinoa Willd has been identified as tolerant to poor soil conditions and drought. Previous observations have found that sufficient nitrogen (N) supply mitigates yield losses under terminal drought conditions. However, there is no understanding of the mechanisms behind this effect. We hypothesized that N up-regulates both photosynthetic and photoprotective elements during drought-induced senescence, alleviating the negative impact of drought on yield. The role of N supply and terminal drought on photoprotection was tested using three Chilean quinoa genotypes from different climatic zones: Faro, UdeC9, and BO78. Plants were grown under high nitrogen (HN) or low nitrogen (LN) conditions and subjected to terminal drought at the onset of senescence. Photosynthetic and photochemical and non-photochemical processes were evaluated at both the onset of drought and after 15 days of drought conditions. N supplementation modified most of the physiological parameters related to photochemical dissipation of energy, photosynthesis, and yield in quinoa. In contrast, water restriction did not affect photosynthesis in quinoa, and its effect on yield was dependent on the genotype. A significant interaction N x G was observed in photosynthesis, relative water content, protein content, Fv/Fm, and chlorophylls. In general, Faro was able to maintain higher levels of these attributes under LN conditions than UdeC9 and BO78. In addition, the interacting effects of N x W regulated the level of most pigments in quinoa as well as the photoprotective induction of non-photochemical quenching (NPQ) during senescence. During terminal drought at LN conditions, Faro presented a larger NPQ induction under drought conditions than UdeC9 and BO78, which was supported by a larger zeaxanthin content and de-epoxidation state of the xanthophyll pool. Interestingly, BO78 did not induce NPQ in response to drought-induced senescence but instead enhanced the content of betacyanins. This response needs to be researched in future works. Finally, we observed that LN supply reduced the correlationship between the de-epoxidation state of the xanthophyll cycle and NPQ. This could be an indication that N supply not only compromised the capacity for photosynthetic performance in quinoa plants, but also affected the plasticity of thermal dissipation, restricting further changes during drought-induced senescence.</t>
  </si>
  <si>
    <t>Godoy, Luisa/AAF-2978-2019; Bravo, León/AAO-8437-2020; González-Teuber, Marcia/ABH-2318-2021; Sanhueza, Carolina/AAG-7456-2019; Hernandez, Cristian E./GLS-1111-2022; Bravo, Leon/H-9251-2018</t>
  </si>
  <si>
    <t>Hernandez, Cristian E./0000-0002-9811-2881; Gonzalez-Teuber, Marcia/0000-0003-0565-9333; Bravo, Leon/0000-0003-4705-4842</t>
  </si>
  <si>
    <t>JUL 30</t>
  </si>
  <si>
    <t>10.3389/fpls.2018.00994</t>
  </si>
  <si>
    <t>WOS:000440151800001</t>
  </si>
  <si>
    <t>Lefio, A; Bachelet, VC; Jiménez-Paneque, R; Gomolán, P; Rivas, K</t>
  </si>
  <si>
    <t>Lefio, Alvaro; Bachelet, Vivienne C.; Jimenez-Paneque, Rosa; Gomolan, Patricio; Rivas, Katherinne</t>
  </si>
  <si>
    <t>A systematic review of the effectiveness of interventions to reduce motor vehicle crashes and their injuries among the general and working populations</t>
  </si>
  <si>
    <t>Objective. To summarize the best available international scientific evidence on the effectiveness of interventions to reduce motor vehicle collisions and their consequences among the working and general populations. Methods. A broad and systematic review was conducted of the literature available in biomedical databases and grey literature. At least two investigators working in parallel performed data extraction, synthesis, and risk of bias analysis. Results. Forty-one studies with low to moderate risk of bias were included. Of these, 18 had an ecological design (time series), 10 were quasi-experimental, one was a population survey, one was a randomized clinical trial, and 11 were systematic reviews. Conclusions. The interventions that most consistently show a positive effect on incidence, morbidity, and mortality due to motor vehicle collisions are national policies or programs that: regulate, enforce, and penalize driving under the influence of alcohol; improve driving safety and driver conditions; improve road infrastructure with the purpose of preventing collisions; and educate and penalize drivers with a history of road violations.</t>
  </si>
  <si>
    <t>Bachelet, Vivienne/JAN-7158-2023</t>
  </si>
  <si>
    <t>1680-5348</t>
  </si>
  <si>
    <t>e60</t>
  </si>
  <si>
    <t>10.26633/RPSP.2018.60</t>
  </si>
  <si>
    <t>WOS:000441147400040</t>
  </si>
  <si>
    <t>Ross, C</t>
  </si>
  <si>
    <t>Badi, MK; Ross, C</t>
  </si>
  <si>
    <t>Ross, Cesar</t>
  </si>
  <si>
    <t>The cepalist-dependency thought in sub-Saharan Africa: A quantitative approach</t>
  </si>
  <si>
    <t>TRANSITOS MATERIALES E INMATERIALES ENTRE AFRICA, LATINOAMERICA Y EL CARIBE</t>
  </si>
  <si>
    <t>Coleccion Conversaciones Sur Sur</t>
  </si>
  <si>
    <t>978-956-8416-68-3</t>
  </si>
  <si>
    <t>WOS:000448454900012</t>
  </si>
  <si>
    <t>Ovalle, EM; Foppiano, AJ; Stepanova, MV; Weatherwax, AT</t>
  </si>
  <si>
    <t>Ovalle, E. M.; Foppiano, A. J.; Stepanova, M. V.; Weatherwax, A. T.</t>
  </si>
  <si>
    <t>Intermittency on simultaneous observations of riometer at several Antarctic locations</t>
  </si>
  <si>
    <t>ADVANCES IN SPACE RESEARCH</t>
  </si>
  <si>
    <t>It is well known that auroral radio wave absorption, as measured by riometers, consists of periods of relative quiescence which are interrupted by short bursts of activity. Such patterns in activity are observed in systems ranging from the stock market to turbulence, i.e. they exhibit intermittency. In the case of the auroral absorption it has also been found that intermittency strongly depends on the magnetic local time, being largest in the night-time sector. This can be interpreted as indicating that the precipitating particles responsible of the absorption exhibit intermittency, especially near the substorm eye, where the level of turbulence increases. Here, we analyse simultaneous observations of riometer absorption at seven Antarctic locations, to determine whether they exhibit intermittency. We determine the Probability Distribution Functions of the fluctuations of riometer absorption for absorption events larger than 0.1 dB, as well as those for the time-intervals between absorption events. Observations are for locations within the austral auroral absorption zone and on the polar cap. It is found that the parameters of a power law used to describe the calculated PDFs are consistent with the formation of coherent structures being more frequent within the auroral zone, as a manifestation of intermittency. (C) 2015 COSPAR. Published by Elsevier Ltd. All rights reserved.</t>
  </si>
  <si>
    <t>Ovalle, Elias/AAD-9289-2020; Foppiano, Alberto/LJM-1122-2024; Stepanova, Marina/D-6329-2011</t>
  </si>
  <si>
    <t>Weatherwax, Allan/0000-0003-4732-358X; Stepanova, Marina/0000-0002-1053-3375</t>
  </si>
  <si>
    <t>0273-1177</t>
  </si>
  <si>
    <t>1879-1948</t>
  </si>
  <si>
    <t>10.1016/j.asr.2015.08.038</t>
  </si>
  <si>
    <t>WOS:000372681800008</t>
  </si>
  <si>
    <t>Andrade, RD; Skurtys, O; Osorio, F; Zuluaga, R; Gañán, P; Castro, C</t>
  </si>
  <si>
    <t>Andrade, Ricardo D.; Skurtys, Olivier; Osorio, Fernando; Zuluaga, Robin; Ganan, Piedad; Castro, Cristina</t>
  </si>
  <si>
    <t>Rheological and physical properties of gelatin suspensions containing cellulose nanofibers for potential coatings</t>
  </si>
  <si>
    <t>FOOD SCIENCE AND TECHNOLOGY INTERNATIONAL</t>
  </si>
  <si>
    <t>Rheological and physical properties of edible coating formulations containing gelatin, cellulose nanofibers (CNFs), and glycerol are characterized. Measured properties are analyzed in order to optimize edible coating thickness. Results show that coating formulations density increases linearly with gelatin concentration in presence of CNFs. Surface tension decreases with either gelatin or CNF concentration increases. Power law model well described the rheological behavior of edible coating formulations since determination coefficient was high (R-2&gt;0.98) and standard error was low (SE&lt;0.0052). Formulations showed pseudoplastic (shear-thinning) flow behavior and no time-dependent features were observed. The flow behavior index was not significantly affected by any factor. Consistency coefficient increases with gelatin concentrations but it decreases with glycerol concentrations.</t>
  </si>
  <si>
    <t>Gallego, Robin/AAF-6535-2020; skurtys, olivier/HNS-4835-2023; osorio, fernando/AAY-7304-2021; Ganan Rojo, Piedad Felisinda/AAD-4636-2019; Zuluaga, Robin/G-6486-2018; Andrade-Pizarro, Ricardo/H-4016-2017</t>
  </si>
  <si>
    <t>osorio, fernando/0000-0001-7206-0924; Ganan Rojo, Piedad Felisinda/0000-0003-2596-2591; Zuluaga, Robin/0000-0002-7039-0038; skurtys, olivier/0000-0003-1432-7242; Andrade-Pizarro, Ricardo/0000-0002-1673-0361</t>
  </si>
  <si>
    <t>1082-0132</t>
  </si>
  <si>
    <t>1532-1738</t>
  </si>
  <si>
    <t>10.1177/1082013214535944</t>
  </si>
  <si>
    <t>WOS:000355758900002</t>
  </si>
  <si>
    <t>Bridi, R; González, A; Bordeu, E; López-Alarcón, C; Aspée, A; Diethelm, B; Lissi, E; Parpinello, GP; Versari, A</t>
  </si>
  <si>
    <t>Bridi, Raquel; Gonzalez, Alvaro; Bordeu, Edmund; Lopez-Alarcon, Camilo; Aspee, Alexis; Diethelm, Benjamin; Lissi, Eduardo; Paola Parpinello, Giuseppina; Versari, Andrea</t>
  </si>
  <si>
    <t>Monitoring peroxides generation during model wine fermentation by FOX-1 assay</t>
  </si>
  <si>
    <t>The quality of wine is mainly determined during the alcoholic fermentation that gradually transforms the grape juice into wine. Along this process the yeast goes through several stressful stages which can affect its fermentative ability and industrial performance, affecting wine quality. Based on their actual application on industrial winemaking, commercial Saccharomyces cerevisiae strains (EC1118, QA23, VIN7 and VL3) were used. They were inoculated in batch laboratory fermentations in a model wine solution for evaluating the production of reactive oxygen species (ROS) during the yeast's alcoholic fermentation. For first time total hydroperoxides were determined by FOX-1 assay to follow ROS generation. The total hydroperoxides accumulated along the 10 days of fermentation peaked up to 10.0 mu M in yeast EC1118, of which 1.3 mu M was hydrogen peroxide (H2O2). The FOX-1 based analytical approach herein presented is a valuable tool for the quantification of ROS oxidative damage during winemaking. (C) 2015 Published by Elsevier Ltd.</t>
  </si>
  <si>
    <t>Bridi, Raquel/JCN-9916-2023; Lopez, Camilo/J-5770-2013; bridi, raquel/F-1572-2015</t>
  </si>
  <si>
    <t>Versari, Andrea/0000-0003-2960-0619; bridi, raquel/0000-0002-3891-5770; Lopez, Camilo/0000-0002-0174-8972; GONZALEZ, ALVARO/0000-0001-7453-0360; Diethelm-Varela, Benjamin/0000-0002-5465-6924</t>
  </si>
  <si>
    <t>10.1016/j.foodchem.2014.11.126</t>
  </si>
  <si>
    <t>WOS:000348878500004</t>
  </si>
  <si>
    <t>Hahn, IJ; Vergara, PM; Baumeister, J; Soto, GE; Römer, U</t>
  </si>
  <si>
    <t>Hahn, Ingo J.; Vergara, Pablo M.; Baumeister, Julia; Soto, Gerardo E.; Roemer, Uwe</t>
  </si>
  <si>
    <t>Impact of the 2010 tsunami on an endangered insular soil-plant system</t>
  </si>
  <si>
    <t>NATURAL HAZARDS</t>
  </si>
  <si>
    <t>Natural catastrophes could damage island biodiversity and ecosystems, and their effects could become devastating if combined with human disturbances. In this study, we determined the effects of the tsunami occurred in Robinson Crusoe Island (Chile) on 27 February 2010 on an endangered soil-plant system. Using data of endemic Cabbage Trees (Dendroseris litoralis Skottsb.) and soil attributes taken before and after the 2010 event, we developed thematic maps to assess the changes in population size and soil substrate of Cabbage Trees caused by the tsunami. We determined that from 153 pre-tsunami (2009) standing Cabbage Trees, only 66 (43 %) survived in 2011, mostly in elevations above 25 m a.s.l. Before the tsunami, 86 (56 %) of Cabbage Trees were established in humus-rich soil sites whereas after the tsunami, this number declined to 53 (35 %). These results represent the first report of a severe population decline after a tsunami and indicate that tsunamis are an important source of species extinction in small oceanic islands not only by reducing the population size but also by reducing the quality of sites for plant growth.</t>
  </si>
  <si>
    <t>Vergara, Pablo/F-2519-2010; Soto, Gerardo/JAX-4165-2023</t>
  </si>
  <si>
    <t>Soto, Gerardo/0000-0002-9706-6588; Vergara, Pablo/0000-0002-0024-1678</t>
  </si>
  <si>
    <t>0921-030X</t>
  </si>
  <si>
    <t>1573-0840</t>
  </si>
  <si>
    <t>10.1007/s11069-013-0904-7</t>
  </si>
  <si>
    <t>WOS:000331395900048</t>
  </si>
  <si>
    <t>Mueller, KT; Waters, O; Bubnovich, V; Orlovskaya, N; Chen, RH</t>
  </si>
  <si>
    <t>Mueller, Kyle T.; Waters, Oliver; Bubnovich, Valeri; Orlovskaya, Nina; Chen, Ruey-Hung</t>
  </si>
  <si>
    <t>Super-adiabatic combustion in Al2O3 and SiC coated porous media for thermoelectric power conversion</t>
  </si>
  <si>
    <t>ENERGY</t>
  </si>
  <si>
    <t>The combustion of ultra-lean fuel/air mixtures provides an efficient way to convert the chemical energy of hydrocarbons and low-calorific fuels into useful power. Matrix-stabilized porous medium combustion is an advanced technique in which a solid porous medium within the combustion chamber conducts heat from the hot gaseous products in the upstream direction to preheat incoming reactants. This heat recirculation extends the standard flammability limits, allowing the burning of ultra-lean and low-calorific fuel mixtures and resulting a combustion temperature higher than the thermodynamic equilibrium temperature of the mixture (i.e., super-adiabatic combustion). The heat generated by this combustion process can be converted into electricity with thermoelectric generators, which is the goal of this study. The design of a porous media burner coupled with a thermoelectric generator and its testing are presented. The combustion zone media was a highly-porous alumina matrix interposed between upstream and downstream honeycomb structures with pore sizes smaller than the flame quenching distance, preventing the flame from propagating outside of the central section. Experimental results include temperature distributions inside the combustion chamber and across a thermoelectric generator; along with associated current, voltage and power output values. Measurements were obtained for a catalytically inert Al2O3 medium and a SiC coated medium, which was tested for the ability to catalyze the super-adiabatic combustion. The combustion efficiency was obtained for stoichiometric and ultra-lean (near the lean flammability limit) mixtures of CH4 and air. (C) 2013 Elsevier Ltd. All rights reserved.</t>
  </si>
  <si>
    <t>0360-5442</t>
  </si>
  <si>
    <t>1873-6785</t>
  </si>
  <si>
    <t>10.1016/j.energy.2013.04.068</t>
  </si>
  <si>
    <t>WOS:000321230800012</t>
  </si>
  <si>
    <t>Espinoza, J; Echeverría, J; Urzúa, A; Niemeyer, HM</t>
  </si>
  <si>
    <t>Espinoza, Javier; Echeverria, Javier; Urzua, Alejandro; Niemeyer, Hermann M.</t>
  </si>
  <si>
    <t>Withanolid amine and nicotine from Dunalia spinosa (Solanaceae)</t>
  </si>
  <si>
    <t>A new withanolid amine was isolated from Dunalia spinosa (Solanaceae). Its relative stereochemistry was determined using FT-IR, H-1 and C-13 NMR spectroscopies and high resolution mass spectrometry. Nicotine was also isolated; chemotaxonomic and archaeological implications are discussed.</t>
  </si>
  <si>
    <t>Espinoza, Javier/L-1183-2019; Echeverría, Javier/AAK-3323-2020; Niemeyer, Hermann/I-1100-2013</t>
  </si>
  <si>
    <t>Niemeyer, Hermann/0000-0003-2273-1608; Espinoza Maldonado, Javier/0000-0003-0153-8534; Urzua, Alejandro/0000-0003-2638-0921; Echeverria, Javier/0000-0002-1688-968X</t>
  </si>
  <si>
    <t>WOS:000304713000009</t>
  </si>
  <si>
    <t>Soto, L; Pavéz, C; Moreno, J; Tarifeño, A; Pedreros, J; Altamirano, L</t>
  </si>
  <si>
    <t>Hammer, DA; Kusse, BR</t>
  </si>
  <si>
    <t>Soto, Leopoldo; Pavez, Cristian; Moreno, Jose; Tarifeno, Ariel; Pedreros, Jose; Altamirano, Luis</t>
  </si>
  <si>
    <t>Nanofocus of tenth of joules and a portable plasma focus of few joules for field applications</t>
  </si>
  <si>
    <t>DENSE Z-PINCHES</t>
  </si>
  <si>
    <t>AIP Conference Proceedings</t>
  </si>
  <si>
    <t>7th International Conference on Dense Z-Pinches</t>
  </si>
  <si>
    <t>AUG 12-21, 2008</t>
  </si>
  <si>
    <t>Alexandria, VA</t>
  </si>
  <si>
    <t>US DOE, Natl Nucl Secur Agcy,US DOE, Off Fus Energy Sci,US Naval Res Lab,Sandia Natl Lab</t>
  </si>
  <si>
    <t>A repetitive pinch plasma focus that works with stored energy less than 1J per shot has be developed at the Chilean Nuclear Energy Commission. The main features of this device, repetitive Nanofocus, are 5nF of capacity, 5nH of inductance, 5-10kV charging voltage, 60-250mJ stored energy, 5-10kA current peak, per shot. The device has been operated at 20Hz in hydrogen and deuterium. X-ray radiographs of materials of different thickness were obtained. Neutrons were detected using a system based Upon He-3 proportional counter in chare integrated mode. However, the reproducibility of this miniaturized device is low and several technological subjects have to be previously solved in order to produce neutrons for periods greater than minutes. Further studies in the Nanofocus are being carried out. In addition, a device with a stored energy of a few joules is being explored. A preliminary compact, low weight (3kg), portable PF device (25cm x 5cm x 5 cm) for field applications has been designed. This device was designed to operate with few kilovolts (10kV or less) with a stored energy of 2J and a repetition rate of 10Hz: without cooling. A neutron flux of the order of 10(4)-10(5) n/s is expected.</t>
  </si>
  <si>
    <t>Moreno, Jose/A-7125-2012; Pavez, Cristian/A-7441-2012; Soto, Leopoldo/A-7084-2012; Tarifeno-Saldivia, Ariel/A-7583-2012</t>
  </si>
  <si>
    <t>Tarifeno-Saldivia, Ariel/0000-0001-8552-5030</t>
  </si>
  <si>
    <t>0094-243X</t>
  </si>
  <si>
    <t>978-0-7354-0620-9</t>
  </si>
  <si>
    <t>WOS:000265177700050</t>
  </si>
  <si>
    <t>Escrig, J; Altbir, D; Jaafar, M; Navas, D; Asenjo, A; Vázquez, M</t>
  </si>
  <si>
    <t>Escrig, J.; Altbir, D.; Jaafar, M.; Navas, D.; Asenjo, A.; Vazquez, M.</t>
  </si>
  <si>
    <t>Remanence of Ni nanowire arrays:: Influence of size and labyrinth magnetic structure</t>
  </si>
  <si>
    <t>PHYSICAL REVIEW B</t>
  </si>
  <si>
    <t>The influence of the macroscopic size of the Ni nanowire array system on their remanence state has been investigated. A simple magnetic phenomenological model has been developed to obtain the remanence as a function of the magnetostatic interactions in the array. We observe that, due to the long range of the dipolar interactions between the wires, the size of the sample strongly influence the remanence of the array. On the other hand, the magnetic state of nanowires has been studied by variable field magnetic force microscopy for different remanent states. The distribution of nanowires with the magnetization in up or down directions and the subsequent remanent magnetization has been deduced from the magnetic images. The existence of two short-range magnetic orderings with similar energies can explain the typical labyrinth pattern observed in magnetic force microscopy images of the nanowire arrays.</t>
  </si>
  <si>
    <t>Navas, David/JFL-0598-2023; Jaafar, Miriam/G-4788-2013; Vázquez, Manuel/A-6370-2011; Asenjo, Agustina/G-4380-2011; Altbir, Dora/R-6781-2018; Escrig, Juan/N-4304-2015; Jaafar Ruiz-Castellanos, Miriam/S-9254-2017; navas, David/M-8252-2013</t>
  </si>
  <si>
    <t>Asenjo, Agustina/0000-0001-6524-9702; Altbir, Dora/0000-0002-2945-4909; Vazquez Villalabeitia, Manuel/0000-0001-5591-0157; Escrig, Juan/0000-0002-3958-8185; Jaafar Ruiz-Castellanos, Miriam/0000-0002-9086-6187; navas, David/0000-0002-2044-486X</t>
  </si>
  <si>
    <t>2469-9950</t>
  </si>
  <si>
    <t>2469-9969</t>
  </si>
  <si>
    <t>10.1103/PhysRevB.75.184429</t>
  </si>
  <si>
    <t>WOS:000246890600067</t>
  </si>
  <si>
    <t>San Martin, S; Soto-Suazo, M; Zorn, TMT</t>
  </si>
  <si>
    <t>Perlecan and syndecan-4 in uterine tissues during the early pregnancy in mice</t>
  </si>
  <si>
    <t>AMERICAN JOURNAL OF REPRODUCTIVE IMMUNOLOGY</t>
  </si>
  <si>
    <t>PROBLEM: During early pregnancy in mice, there is recruitment of specific immune cells, remodeling of the endometrium, cell differentiation and synthesis of new molecules. METHOD OF STUDY: Immunohistochemistry was used to determine the distribution of perlecan and syndecan-4 in the uteri before and after embryo implantation. RESULTS: During pre-implantation, perlecan was identified in basement membranes and extracellular spaces of the endometrial stroma. In contrast, expression of syndecan-4 was quite weak. In the peri-implantation period, perlecan remained in the basement membranes, and it was no longer observed in the stroma and it was identified in the embryonic cells. On day 4 of pregnancy, syndecan-4 increased in the fibroblasts of the subepithelial stroma. After implantation, syndecan-4 was pronounced in pre-decidual and mature decidual cells. CONCLUSIONS: The coordinate balance between the pre- and post-implantation periods suggests a role of these two molecules in the adaptive modification of the uterine microenvironment to receive and implant the embryo.</t>
  </si>
  <si>
    <t>San Martin, Sebastian/S-5268-2019; Zorn, Telma/C-4065-2008</t>
  </si>
  <si>
    <t>San Martin, Sebastian/0000-0002-2569-1114</t>
  </si>
  <si>
    <t>8755-8920</t>
  </si>
  <si>
    <t>10.1111/j.1600-0897.2004.00182.x</t>
  </si>
  <si>
    <t>WOS:000222259600008</t>
  </si>
  <si>
    <t>Oyarzún, AA; Santos, MJL; Carrasco, PE; Albala, BC; Salinas, TA; Pérez, BF</t>
  </si>
  <si>
    <t>Bovine serum albumin (BSA) antibodies in children with recently diagnosed type 1 diabetes</t>
  </si>
  <si>
    <t>Background, Environmental and genetic factors; (viruses, toxins and diet) are, involved in the aetiology of type I diabetes. Among the dietary factors; the role of breast feeding and exposure to cow milk proteins deserve special attention. Aim: To determine the anti-BSA-IgG levels in type I diabetic children and to analyse the possible associotion with breast feeding duration, exposure to cow's milk and beta pancreatic auto-antibodies. Patients and methods: Blood samples were. collected from 161 diabetic children and 14141 controls 10 measure anti-BSA-IgG level, GAD65, IA-2 and ICA autoantibody. All children answered a questionnaire about dietary habits during infancy. Results: anti-BSA-IgG was positive (using a cut off point of 25.6 ng/ml) in 98016 of diabetic children and 0016 of the control population. Me cut of length of breast feeding or early exposure to cow's milk did not influence the concentration of anti-BSA-IgG. Positive BSA titers did not increase the beta pancreatic reactivity (ICA+, GAD+, IA-2+). Conclusions: Our data confirm the high frequency of anti-BSA-IgG among diabetic children. However; specific role in the immunological process of type I diabetes cannot be attributed to this protein.</t>
  </si>
  <si>
    <t>SANTOS, JOSE/JVD-7250-2023; Albala, Cecilia/A-7260-2015; Santos, Jose L./D-1818-2017</t>
  </si>
  <si>
    <t>Santos, Jose L./0000-0003-2895-0369</t>
  </si>
  <si>
    <t>WOS:000185683000005</t>
  </si>
  <si>
    <t>Cerda, E; Mahadevan, L</t>
  </si>
  <si>
    <t>Geometry and physics of wrinkling</t>
  </si>
  <si>
    <t>The wrinkling of thin elastic sheets occurs over a range of length scales, from the fine scale patterns in substrates on which cells crawl to the coarse wrinkles seen in clothes. Motivated by the wrinkling of a stretched elastic sheet, we deduce a general theory of wrinkling, valid far from the onset of the instability, using elementary geometry and the physics of bending and stretching. Our main result is a set of simple scaling laws; the wavelength of the wrinkles lambdasimilar toK(-1/4), where K is the stiffness due to an elastic substrate effect with a multitude of origins, and the amplitude of the wrinkle Asimilar tolambda. These could form the basis of a highly sensitive quantitative wrinkling assay for the mechanical characterization of thin solid membranes.</t>
  </si>
  <si>
    <t>1079-7114</t>
  </si>
  <si>
    <t>10.1103/PhysRevLett.90.074302</t>
  </si>
  <si>
    <t>WOS:000181090800011</t>
  </si>
  <si>
    <t>Aguirre, P; López, R; Villagra, D; Azocar-Guzman, I; Pardey, AJ; Moya, SA</t>
  </si>
  <si>
    <t>Synthesis of ruthenium complexes with carbonyl and polypyridyl ligands derived from dipyrido[3,2-α:2′,3′-c]phenazine:: application to the water gas shift reaction</t>
  </si>
  <si>
    <t>APPLIED ORGANOMETALLIC CHEMISTRY</t>
  </si>
  <si>
    <t>The preparation and spectroscopic properties of new dipyrido[3,2-a:2',3'-c]phenazine ruthenium complexes are described. The complexes show high catalytic activity in the water gas shift reaction in a basic medium under mild conditions (P-CO = 0.9 atm at 100degreesC). Copyright (C) 2002 John Wiley Sons, Ltd.</t>
  </si>
  <si>
    <t>Azocar, Manuel/I-1226-2013; Villagra, Diego/H-6694-2013</t>
  </si>
  <si>
    <t>Azocar Guzman, Manuel/0000-0003-1098-4659</t>
  </si>
  <si>
    <t>0268-2605</t>
  </si>
  <si>
    <t>1099-0739</t>
  </si>
  <si>
    <t>10.1002/aoc.385</t>
  </si>
  <si>
    <t>WOS:000180181700007</t>
  </si>
  <si>
    <t>Kondakova, I; Lissi, EA; Pizarro, M</t>
  </si>
  <si>
    <t>Total reactive antioxidant potential in human saliva of smokers and non-smokers</t>
  </si>
  <si>
    <t>BIOCHEMISTRY AND MOLECULAR BIOLOGY INTERNATIONAL</t>
  </si>
  <si>
    <t>Uric acid is the most important non-enzymatic antioxidant present in human saliva. There is a great variability among individuals, both in salivary uric acid content and saliva total reactive antioxidant potential (TRAP). The uric acid present in saliva correlates with plasma uric acid, suggesting that the former is imported from plasma. There are not statistical differences between uric acid or TRAP values in saliva of smokers and nonsmokers. Also, smoking a cigarette does not modify the levels of antioxidants present in saliva.</t>
  </si>
  <si>
    <t>Kondakova, Irina/C-8658-2012</t>
  </si>
  <si>
    <t>Kondakova, Irina/0000-0002-0947-8778</t>
  </si>
  <si>
    <t>1039-9712</t>
  </si>
  <si>
    <t>WOS:000081104700001</t>
  </si>
  <si>
    <t>ZUNIGA, GE; FERNANDEZ, J; CRISTI, R; ALBERDI, M; CORCUERA, LJ</t>
  </si>
  <si>
    <t>LIPID CHANGES IN BARLEY SEEDLINGS SUBJECTED TO WATER AND COLD STRESS</t>
  </si>
  <si>
    <t>PHYTOCHEMISTRY</t>
  </si>
  <si>
    <t>Barley [Hordeum vulgare] seedlings were subjected to water and cold stress, and the composition of lipid fractions and the accumulation of several low molecular weight metabolites in leaves determined. Proline, glycine-betaine and the total polar lipid content increased in seedlings under water stress. Proline and sucrose content decreased to 50% after 48 hr of cold treatment. The fatty acid composition and unsaturation ratio of phosphatidyl choline, phosphatidyl inositol, phosphatidyl ethanolamine, phosphatidyl glycerol, monogalactosyl diacylglycerol and digalactosyl diacylglycerol were determined in seedlings under both stress treatments. The content of linolenic acid increased in stressed seedlings but was significantly higher in cold stressed plants.</t>
  </si>
  <si>
    <t>Corcuera, Luis/G-1714-2014; Zuñiga, Gustavo/P-8306-2015</t>
  </si>
  <si>
    <t>0031-9422</t>
  </si>
  <si>
    <t>1873-3700</t>
  </si>
  <si>
    <t>10.1016/0031-9422(90)80162-A</t>
  </si>
  <si>
    <t>WOS:A1990ED15100004</t>
  </si>
  <si>
    <t>Muñoz-Guzmán, F; Quintrel, P; Benavides-Parra, J; Muñoz-Tapia, C; Larrond, LF; Cubillos, FA</t>
  </si>
  <si>
    <t>Munoz-Guzman, Felipe; Quintrel, Pablo; Benavides-Parra, Jose; Munoz-Tapia, Catalina; Larrond, Luis F.; Cubillos, Francisco A.</t>
  </si>
  <si>
    <t>In Vivo Monitoring of Transcriptional Activity During Metabolic Transition Using a Bioluminescent Reporter in Yeast</t>
  </si>
  <si>
    <t>JOVE-JOURNAL OF VISUALIZED EXPERIMENTS</t>
  </si>
  <si>
    <t>Sequential sugar consumption, from a preferred sugar source to a less preferred one, represents a critical metabolic adaptation in yeast, which is particularly relevant for survival in fluctuating environments such as those found in beer fermentation. However, sugartransitions are an environmental variable that is challenging to predict and detect, impacting the outcome of beer fermentations. This protocol describes an in vivo system to monitor transcriptional activation associated with the glucose-to- maltose metabolic shift in Saccharomyces eubayanus that applies to different wild Saccharomyces yeast strains. The system employs an episomal bioluminescent transcriptional reporter for maltose metabolism, focusing on MAL32, since it provides a good readout for metabolic shifts, as studied in S. cerevisiae. For this, yeast strains were transformed with plasmids containing the MAL32 regulatory region from S. eubayanus, controlling the expression of a gene encoding for a destabilized version of firefly luciferase1, and a hygromycin resistance gene used exclusively during transformation to ensure plasmid acquisition. Following selection, transformed yeast cells can be cultured under non-selective conditions, as the episomal plasmid remains stable in culture conditions for up to 7 days. This system was validated under a complex sugar environment in microfermentation assays, confirming the effectiveness of the luciferase reporter in informing metabolic transitions. Samples were collected regularly and analyzed with a luminometer, providing continuous insights into yeast responses. While broadly applicable, this protocol is particularly valuable for assessing yeast performance under fermentation conditions, where metabolic changes pose a significant challenge. Additionally, this methodology can be adapted by selecting alternative promoters to explore a broader range of responses to environmental changes, allowing characterization as well as optimization of wild yeast strains for diverse industrial applications.</t>
  </si>
  <si>
    <t>Cubillos, Francisco/MIT-2389-2025; Cubillos, Francisco/G-5195-2019</t>
  </si>
  <si>
    <t>Cubillos, Francisco/0000-0003-3022-469X</t>
  </si>
  <si>
    <t>1940-087X</t>
  </si>
  <si>
    <t>e68161</t>
  </si>
  <si>
    <t>10.3791/68161</t>
  </si>
  <si>
    <t>WOS:001435843200017</t>
  </si>
  <si>
    <t>Jiménez-Martínez, C; Orchard, X; Herrada, N</t>
  </si>
  <si>
    <t>Jimenez-martinez, Cesar; Orchard, Ximena; Herrada, Nadia</t>
  </si>
  <si>
    <t>Rethinking the Protest Paradigm: Media Kettling in the Television Coverage of the 2019 Chilean Uprising</t>
  </si>
  <si>
    <t>INTERNATIONAL JOURNAL OF COMMUNICATION</t>
  </si>
  <si>
    <t>Although the protest paradigm remains the default analytical framework in mediated protest studies, recent scholarship has questioned its explanatory capacity, particularly in light of changes to collective action and the increasing criminalization of protests. We advance these discussions by analyzing 361 reports on the 2019 Chilean uprising aired on both a private and a public broadcasting station, using television coverage as a heuristic device. Drawing on Chan and Lee's original argument describing the existence of several protest paradigms, as well as debates on policing demonstrations, we propose that 2 paradigms were at play in the coverage: an antagonistic one, which delegitimizes and marginalizes dissent, and a paternalistic one, which celebrates good protesters and well-behaved collective action. These paradigms echo developments in policing protests, with journalists manufacturing what we call media kettling, a type of coverage that celebrates the right to protest but severely restricts collective action.</t>
  </si>
  <si>
    <t>Orchard, Ximena/JWP-2934-2024</t>
  </si>
  <si>
    <t>1932-8036</t>
  </si>
  <si>
    <t>WOS:001415846600012</t>
  </si>
  <si>
    <t>Uribe, M; Cavallieri, I; Rojas, GA</t>
  </si>
  <si>
    <t>Cid Uribe, Miriam; Reynolds Cavallieri, Isadora; Farias Rojas, Gabriel Arturo</t>
  </si>
  <si>
    <t>Processes leading to fostering fluency in English as a foreign language (EFL) in a university context</t>
  </si>
  <si>
    <t>ONOMAZEIN</t>
  </si>
  <si>
    <t>This action research describes a two-part intervention aimed at fostering spoken fluency in a chosen teaching environment. These parts were based on theoretical -practical and authentic material, and made use of form -focused instruction and peer revisions. The success rate of the intervention was measured using qualitative and quantitative data to assess the teaching environment, as well as the quality of the materials and methods used in both interventions. Quantitative data were analyzed to find a correlation between fluency and characteristics of continuous speech, as well as to measure improvement in participants' performance. These data were triangulated with the perception of native speakers of such performance. The intervention proved effective as participants achieved greater competence in accessing functions of continuous speech. Correlation results failed to demonstrate the relationship between characteristics of continuous speech and fluency, according to the perception of surveyed native speakers. This reveals the need for further research in the area.</t>
  </si>
  <si>
    <t>0717-1285</t>
  </si>
  <si>
    <t>0718-5758</t>
  </si>
  <si>
    <t>10.7764/onomazein.63.06</t>
  </si>
  <si>
    <t>WOS:001230027900012</t>
  </si>
  <si>
    <t>Leighton, P; Silva, C; Sanchez, SA; Morales, J; Sandoval-Altamirano, C; Gunther, G</t>
  </si>
  <si>
    <t>Leighton, P.; Silva, C.; Sanchez, S. A.; Morales, J.; Sandoval-Altamirano, C.; Gunther, G.</t>
  </si>
  <si>
    <t>Exploring multivalent protein-glycosensitizer interaction with phenalenone derivatives in mixed micelles</t>
  </si>
  <si>
    <t>Carbohydrates are involved in several biological processes, and they have been widely used in several technological applications. Carbohydrate-based surfactants have low toxicity, and they are environmental friendly, however, their physicochemical properties restrict their use in potential applications. Mixed micelles are an attractive model system to use for carbohydrate-based surfactants since their physical properties may be easily modulated with simple changes in the surfactants mixture ratio. In this study, we design a mixed micelle system composed by new synthesized glycolipids bearing a photosensitizer in their hydrophobic moiety. We hypothesize that this system would have two main functions a) singlet oxygen generation and b) multivalent capability to interact with lectins. These combined capabilities will permit the generation of the short-lived excited oxygen neighboring the targets to be oxidized. In this design, non-ionic mixed micelles were used to modify the interfacial properties and to improve the solubility in water of the synthesized glycosensitizers. In summary, our results show that both glycolipids retain their capability to generate singlet oxygen in homogeneous media and the mixed micelles behave as an adequate multivalent system to interact with Con A. We provide a promising system to be successfully employed in antibacterial photodynamic therapy.</t>
  </si>
  <si>
    <t>; Gunther, German/I-1028-2013</t>
  </si>
  <si>
    <t>Morales Valenzuela, Javier Eduardo/0000-0002-9880-2567; Sandoval-Altamirano, Catalina/0000-0002-8550-3218; Gunther, German/0000-0002-4733-8426</t>
  </si>
  <si>
    <t>OCT 1</t>
  </si>
  <si>
    <t>10.1016/j.molliq.2023.122664</t>
  </si>
  <si>
    <t>WOS:001049586900001</t>
  </si>
  <si>
    <t>Sepúlveda, P; Campos, SA; Calzadilla, W; Marco, JF; Denardin, JC; Salazar-González, R</t>
  </si>
  <si>
    <t>Sepulveda, Pamela M.; Campos, Sebastiaïn A.; Calzadilla, Wendy; Marco, Jose F.; Denardin, Juliano C.; Salazar-Gonzalez, Ricardo A.</t>
  </si>
  <si>
    <t>Pd-Based Nanoparticles as Catalysts for Improved Removal of Florfenicol via Heterogeneous Fenton and Photo-Fenton(-like) Processes</t>
  </si>
  <si>
    <t>ACS APPLIED NANO MATERIALS</t>
  </si>
  <si>
    <t>In this work, Fe2O3-Ni, Fe2O3-Ni-Pd, MgO-Ni, and MgO-Ni-Pd nanoparticles weresynthesized,characterized, and used for the degradation of florfenicol (FLO).The main goals were to compare the removal capacity of Fe2O3-Ni and MgO-Ni nanocatalysts and evaluate the effectof Pd incorporation on Fe2O3-Ni and MgO-Ni nanoparticleson the degradation of FLO by heterogeneous Fenton(-like) and photo-Fenton(-like)processes. The adsorption and degradation processes of FLO were assessed,determining that the latter process is the principal mechanism forFLO degradation. Through the heterogeneous photo-Fenton process, theantibiotic was 78 and 44% removed using the Fe2O3-Ni and MgO-Ni nanocatalyst, respectively, improving degradationby 22% when Pd is incorporated into both nanostructures. FLO degradationoccurs because of the generation of hydroxyl and superoxide radicaland holes in the interface and the Fenton reaction with Fe and Mgpresent in the nanoparticles. Finally, the main organic intermediatesproduced during the degradation were identified, allowing the proposalof a degradation pathway. Thus, heterogeneous Fenton(-like) and photo-Fenton(-like)processes using nanoparticles as solid phase catalysts are an excellentalternative to FLO degradation from water, especially consideringthe easy recovery of the nanoparticles through a simple separationprocess such as filtration.</t>
  </si>
  <si>
    <t>Denardin, Juliano/S-6407-2019; Salazar, Ricardo/L-7870-2013; Calzadilla, Wendy/KHY-6999-2024; Marco, JF/N-3176-2014</t>
  </si>
  <si>
    <t>Campos milla, Sebastian/0000-0003-4023-1017; Marco, JF/0000-0002-5147-1449; Calzadilla, Wendy/0000-0002-1082-7875; Denardin, Juliano/0000-0002-1373-6207; Salazar-Gonzalez, Ricardo/0000-0003-2180-6022</t>
  </si>
  <si>
    <t>2574-0970</t>
  </si>
  <si>
    <t>2023 JUN 20</t>
  </si>
  <si>
    <t>10.1021/acsanm.3c01915</t>
  </si>
  <si>
    <t>WOS:001040657400001</t>
  </si>
  <si>
    <t>Castillo-Sepúlveda, J; Tirado, F; Gálvez, A</t>
  </si>
  <si>
    <t>Castillo-Sepulveda, Jorge; Tirado, Francisco; Galvez, Ana</t>
  </si>
  <si>
    <t>Biopolitics and speculative objects in Chilean health projects</t>
  </si>
  <si>
    <t>SOCIAL STUDIES OF SCIENCE</t>
  </si>
  <si>
    <t>'Biopolitics' is a much-used concept in recent academic literature. One of its main fields of application is in the analysis of public health projects. This article analyses the national Explicit Health Guarantees project in Chile from that perspective. However, we criticize the standard invocation of 'biopolitics' by observing that such public health projects require technoscientific operations that establish truths and regimes of obligation for the groups involved -understanding regime both as a set of imposed orders and a set of regulated processes. Specifically, the Explicit Health Guarantees project defines what we call 'speculative objects'. These have two characteristics: (a) They relate highly diverse entities into integrated wholes that are and involve objects of knowledge and uncertainty, and (b) this integration creates regimes of obligation considered as scientific truths on many different groups. We conclude by proposing new questions about the notion of biopolitics and its relationship with uncertainty and speculation.</t>
  </si>
  <si>
    <t>Serrano, Francisco/G-8956-2011; Galvez Mozo, Ana/Q-4412-2017; Castillo-Sepulveda, Jorge/E-8632-2014</t>
  </si>
  <si>
    <t>Galvez Mozo, Ana/0000-0003-4195-4823; Castillo-Sepulveda, Jorge/0000-0002-6315-3798</t>
  </si>
  <si>
    <t>0306-3127</t>
  </si>
  <si>
    <t>1460-3659</t>
  </si>
  <si>
    <t>10.1177/03063127221136804</t>
  </si>
  <si>
    <t>WOS:000886693300001</t>
  </si>
  <si>
    <t>Lecannelier, F; Guajardo, H; Kushner, D; Barrientos, C; Monje, G</t>
  </si>
  <si>
    <t>Lecannelier, Felipe; Guajardo, Humberto; Kushner, Diana; Barrientos, Carlos; Monje, German</t>
  </si>
  <si>
    <t>THE COMPLEXITY OF COMPLEX DEVELOPMENTAL TRAUMA: A PROPOSAL FROM THE ATTACHMENT &amp; COMPLEXITY MODEL (MAC)</t>
  </si>
  <si>
    <t>REVISTA DE PSICOTERAPIA</t>
  </si>
  <si>
    <t>Actual proposals about infant trauma seek to explain the process which can understand the organization of the experience and the style of functioning of the many children who suffers multiple, chronic, and interpersonal pain, especially during the most important period of human development (0 to 5). This proposal has been headed under the name of Complex Developmental Trauma, and has made majors advances in the understanding, explanation, and treatment of this atrocious phenomena, through multi-level and multi-discipline approaches. However, we think that Complex Trauma can made more and better advances in the areas of explaining (and intervening) it if paradoxically can take the input of the whole area of Complex System approach, chaos theory, combined with the recent developments in the psychobiology of attachment, evolutionary perspectives on human nature and human mind(such as the comprehension of hunter-gatherer evidences), and the embodiment of human action and cognition. The present paper made some initials proposals considering the areas already mentioned under a model called Attachment and Complexity Model, which we humble considered a paradigmatic in understanding development, psychopathology, and intervention modalities.</t>
  </si>
  <si>
    <t>1130-5142</t>
  </si>
  <si>
    <t>2339-7950</t>
  </si>
  <si>
    <t>10.33898/rdp.v32i120.463</t>
  </si>
  <si>
    <t>WOS:000714592700007</t>
  </si>
  <si>
    <t>Santander, P; Butter, B; Oyarce, E; Yáñez, M; Xiao, LP; Sánchez, J</t>
  </si>
  <si>
    <t>Santander, Paola; Butter, Bryan; Oyarce, Estefania; Yanez, Mauricio; Xiao, Ling-Ping; Sanchez, Julio</t>
  </si>
  <si>
    <t>Lignin-based adsorbent materials for metal ion removal from wastewater: A review</t>
  </si>
  <si>
    <t>Water is essential for the development of life on earth; therefore, its decontamination is essential. Among the pollutants that threaten this water resources are metal ions, since they are considered highly toxic and carcinogenic. In recent years, the use of biodegradable raw materials for the development of new adsorbent materials has generated great attention for being environmentally friendly materials. Lignin is an amorphous biopolymer and one of the most abundant on the planet. It has carboxyl groups and phenolic units in its macromolecular structure, capable of interacting with metal ions. Lignin can be chemically and physically modified to obtain new materials with improved properties. For this reason, this article provides a comprehensive review of the latest research on heavy metal ion removal using lignin-based adsorbent materials. This review considers the mechanisms to obtain the lignin-based materials, the metal removal efficiency and the adsorption capacity. Likewise, the methods for incorporating oxygen, nitrogen and sulfur into the biopolymeric structure, the formation of lignin nanoparticles, composites, lignin-based hydrogels and lignin-based biochars were also reviewed.</t>
  </si>
  <si>
    <t>Sanchez, Julio/AEO-4360-2022; Santander, Paola/ITU-5257-2023; Xiao, Ling-Ping/C-1259-2011</t>
  </si>
  <si>
    <t>Xiao, Ling-Ping/0000-0003-4088-6101; Santander, Paola/0000-0002-2084-6658</t>
  </si>
  <si>
    <t>10.1016/j.indcrop.2021.113510</t>
  </si>
  <si>
    <t>WOS:000663249800006</t>
  </si>
  <si>
    <t>Espina, G; Cáceres-Moreno, P; Mejías-Navarrete, G; Ji, MH; Sun, JS; Blamey, JM</t>
  </si>
  <si>
    <t>Espina, Giannina; Caceres-Moreno, Paulina; Mejias-Navarrete, Guillermo; Ji, Minghua; Sun, Junsong; Blamey, Jenny M.</t>
  </si>
  <si>
    <t>A novel and highly active recombinant spore-coat bacterial laccase, able to rapidly biodecolorize azo, triarylmethane and anthraquinonic dyestuffs</t>
  </si>
  <si>
    <t>Laccases are enzymes able to catalyze the oxidation of a wide array of phenolic and non-phenolic compounds using oxygen as co-substrate and releasing water as by-product. They are well known to have wide substrate specificity and in recent years, have gained great biotechnological importance. To date, most well studied laccases are from fungal and mesophilic origin, however, enzymes from extremophiles possess an even greater potential to withstand the extreme conditions present in many industrial processes. This research work presents the heterologous production and characterization of a novel laccase from a thermoalkaliphilic bacterium isolated from a hot spring in a geothermal site. This recombinant enzyme exhibits remarkably high specific activity (&gt;450,000 U/mg) at 70 degrees C. pH 6.0, using syringaldazine substrate, it is active in a wide range of temperature (20-90 degrees C) and maintains over 60% of its activity after 2 h at 60 degrees C. Furthermore, this novel spore-coat laccase is able to biodecolorize eight structurally different recalcitrant synthetic dyes (Congo red, methyl orange, methyl red, Coomassie brilliant blue 8250, bromophenol blue, malachite green, crystal violet and Remazol brilliant blue R), in just 30 min at 40 degrees C in the presence of the natural redox mediator acetosyringone. (C) 2020 Elsevier B.V. All rights reserved.</t>
  </si>
  <si>
    <t>Espina, Giannina/AAD-5275-2020; Blamey, Jenny/M-2637-2014</t>
  </si>
  <si>
    <t>10.1016/j.ijbiomac.2020.12.123</t>
  </si>
  <si>
    <t>WOS:000613921400029</t>
  </si>
  <si>
    <t>Santana, AM; Freire, TM; da Silva, FLF; Menezes, FL; Ramos, LL; Cavalcante, GR; Fechine, LMUD; Vieira, LHS; Ferreira, OP; Freire, RM; Denardin, JC; Lopes, GS; Matos, WO; Fechine, PBA</t>
  </si>
  <si>
    <t>Santana, Allan M.; Freire, Tiago M.; da Silva, Francisco L. F.; Menezes, Fernando L.; Ramos, Lauren L.; Cavalcante, Giovanna R.; Fechine, Lillian M. U. D.; Vieira, Lais H. S.; Ferreira, Odair P.; Freire, Rafael M.; Denardin, Juliano C.; Lopes, Gisele S.; Matos, Wladiana O.; Fechine, Pierre B. A.</t>
  </si>
  <si>
    <t>Organophosphorus halloysite nanotubes as adsorbent for lead preconcentration in wine and grape juice</t>
  </si>
  <si>
    <t>APPLIED CLAY SCIENCE</t>
  </si>
  <si>
    <t>Preconcentration of Pb(II) in grape-based beverages using organophosphate-functionalized halloysite nanotubes was investigated by flame atomic absorption spectroscopy (FAAS). For this proposal, a central composition design (CCD) was performed for an optimum experimental condition on Pb(II) preconcentration procedure, pH 7.5, preconcentration time of 7.5 min and adsorbent mass of 40 mg. The detection and quantification limit values were calculated as 12 and 40 mu g kg(-1), respectively. Additionally, considering Pb(II) tolerable recovery, the nanotubes could be reuse for six cycles. The preconcentration method was applied to wine and grape juice samples and concentrations below LOD were found for all samples. The proposed methodology presented great accuracy and limits compatible with current legislation, since spike/recovery tests were performed, and quantitative recoveries were obtained.</t>
  </si>
  <si>
    <t>Vieira, Lais/AAC-2305-2019; Fechine, Pierre/B-7937-2013; matos, wladiana/T-9283-2019; Lopes, Gisele/B-3867-2013; Dutra, Lillian/AAD-7774-2022; Denardin, Juliano/S-6407-2019; Ferreira, Odair Pastor/E-2228-2013; Fonseca da Silva, Francisco Luan/P-8492-2019; Melo Freire, Tiago/AED-7512-2022</t>
  </si>
  <si>
    <t>Menezes, Fernando Lima de/0000-0001-9845-2475; Sousa Vieira, Lais Helena/0000-0002-1204-2510; Ferreira, Odair Pastor/0000-0001-8274-5222; Fonseca da Silva, Francisco Luan/0000-0003-3519-3191; Melo Freire, Tiago/0000-0001-5389-1087; Lopes, Gisele/0000-0002-9495-1207</t>
  </si>
  <si>
    <t>0169-1317</t>
  </si>
  <si>
    <t>1872-9053</t>
  </si>
  <si>
    <t>10.1016/j.clay.2020.105912</t>
  </si>
  <si>
    <t>WOS:000609020700003</t>
  </si>
  <si>
    <t>Overcoming electrostatic repulsions during amyloid assembly: Effect of pH and interaction with divalent metals using model peptides (vol 621, pg 46, 2017)</t>
  </si>
  <si>
    <t>10.1016/j.abb.2020.108372</t>
  </si>
  <si>
    <t>WOS:000536143900004</t>
  </si>
  <si>
    <t>Zorondo-Rodríguez, F; Díaz, M; Simonetti-Grez, G; Simonetti, JA</t>
  </si>
  <si>
    <t>Zorondo-Rodriguez, Francisco; Diaz, Marion; Simonetti-Grez, Gabriela; Simonetti, Javier A.</t>
  </si>
  <si>
    <t>Why would would new protected areas be accepted or rejected by the public?: Lessons from an ex-ante evaluation of the new Patagonia Park Network in Chile</t>
  </si>
  <si>
    <t>LAND USE POLICY</t>
  </si>
  <si>
    <t>Social support is one of the key factors that determines the success of protected areas. An ex-ante evaluation of the social support regarding the establishment process of protected areas could facilitate a more effective formation and hence improved management of such areas. Public backing for new parks could depend on several factors, including relationships with already established protected areas, changes in land ownership, changes in management actions, and potential impacts on the territory. We evaluated the support of local indigenous and non-indigenous communities for the creation of the new Patagonia Parks Network. This involves the donation of land by the Tompkins Conservation to the Chilean State, the second of which is committed to creating, expanding or reclassifying protected areas. We analyzed the renaming and reclassifying of the Alacalufes National Reserve to the Kawesqar National Park. We estimated local peoples' perceived costs and benefits and their support of (i) the donation process, (ii) the reclassification from reserve to park, and (iii) potential changes within the territory associated with new protected areas. The balance between the costs and benefits that people perceived of already established protected areas influenced their support for new ones. Although there is general social acceptation of the donation process and the establishment of parks among local people, indigenous communities may reject parks if their land-use requests for the park, including terrestrial and marine areas, are not included within the park's management plans. Partial rejection by Kawesqar representatives may inhibit the success of parks. Our ex-ante evaluation provides empirical evidence about underlying social factors related to the successful establishment of protected areas.</t>
  </si>
  <si>
    <t>Zorondo-Rodríguez, Francisco/GWU-8371-2022; Díaz, Marion/ABA-9997-2021; Simonetti, Javier/A-4658-2008; Zorondo-Rodriguez, Francisco/I-8273-2014</t>
  </si>
  <si>
    <t>Zorondo-Rodriguez, Francisco/0000-0001-6469-9859</t>
  </si>
  <si>
    <t>0264-8377</t>
  </si>
  <si>
    <t>1873-5754</t>
  </si>
  <si>
    <t>10.1016/j.landusepol.2019.104248</t>
  </si>
  <si>
    <t>WOS:000501651100033</t>
  </si>
  <si>
    <t>González, T; Ureta-Zañartu, MS; Marco, JF; Vidal, G</t>
  </si>
  <si>
    <t>Gonzalez, Thais; Ureta-Zanartu, M. S.; Marco, J. F.; Vidal, Gladys</t>
  </si>
  <si>
    <t>Effect of Zeolite-Fe on graphite anode in electroactive biofilm development for application in microbial fuel cells</t>
  </si>
  <si>
    <t>APPLIED SURFACE SCIENCE</t>
  </si>
  <si>
    <t>The performance of microbial fuel cells (MFCs) is highly dependent on the electrode materials. The electrode surface can be modified to provide a favorable environment for biofilms to enhance electron transfer from the bacteria to the anode. In this work, Faujasite zeolite-Y (ZY) was exchanged with iron (Fe) and was used to modify glassy carbon/graphite electrodes (GC/gr-ZY(Fe)) evaluating its effect in electroactive biofilm development for application in microbial fuel cells. The novel material was evaluated as an anode in MFCs by comparing its performance with GC/gr and GC/gr-ZY electrodes. The results show that when using a GC/gr-ZY(Fe) electrode, an electroactive biofilm with good electrochemical activity for acetate degradation can be generated on the electrode surface. The maximum current density obtained with a GC/gr-ZY(Fe)-BF electrode (where BF is biofilm) was 7.7 times higher than that of a GC/gr anode. The modification generates a less hydrophobic electrode surface that facilitates microbial cell attachment, thereby improving bioelectricity production. By using scanning electron microscopy, a homogeneous microbial community with bacteria that had a similar short rod-shaped morphology was observed. Furthermore, electrochemical impedance spectroscopy demonstrated that the charge transfer resistance (R-ct) decreased as the biofilm grew, revealing that the presence of the biofilm facilitated the electrochemical reaction. After 7 days of MFC operation, the GC/gr-ZY(Fe) bioanode showed a reduction in R-ct from 212.9 +/- 1.81 Omega to 151.5 +/- 1.46 Omega, which was 2.4 times lower than that achieved with GC/gr. The biofilm on GC/gr-ZY Fe was characterized using cyclic voltammetry, and the results showed a larger oxidation peak (169.8 mu A cm(-2)) than that of the GC/gr electrode (36.5 mu A cm(-2)), further supporting the better electron-transfer properties of the modified electrode. Additionally, this result confirms the capability of biofilms to act as bioelectrocatalysts under acetate-oxidizing conditions.</t>
  </si>
  <si>
    <t>Vidal, Gladys/G-9000-2011; Ureta-Zañartu, Maria/G-5239-2019; Marco, JF/N-3176-2014</t>
  </si>
  <si>
    <t>Gonzalez-Perez, Thais/0000-0002-4313-2404; Vidal, Gladys/0000-0001-7433-5004; Marco, JF/0000-0002-5147-1449</t>
  </si>
  <si>
    <t>0169-4332</t>
  </si>
  <si>
    <t>1873-5584</t>
  </si>
  <si>
    <t>10.1016/j.apsusc.2018.10.120</t>
  </si>
  <si>
    <t>WOS:000451023500099</t>
  </si>
  <si>
    <t>Delgado, LE; Negrete, IAR; Torres-Gómez, M; Alfonso, A; Zorondo-Rodríguez, F</t>
  </si>
  <si>
    <t>Delgado, LE; Marin, VH</t>
  </si>
  <si>
    <t>Delgado, Luisa E.; Rojo Negrete, Iskra Alejandra; Torres-Gomez, Marcela; Alfonso, Amanda; Zorondo-Rodriguez, Francisco</t>
  </si>
  <si>
    <t>Social-ecological Systems and Human Well-Being</t>
  </si>
  <si>
    <t>SOCIAL-ECOLOGICAL SYSTEMS OF LATIN AMERICA: COMPLEXITIES AND CHALLENGES</t>
  </si>
  <si>
    <t>Human well-being is a socio-cultural construct, originated within human experiences, that changes through time. The current literature shows a renewed interest to develop new measures and approaches to relate it to the progress of nations. One of the challenges is whether inequality is a key component and how to measure it. Furthermore, are indicators appropriate for the realities and diversity of environments of Latin American countries? In this chapter, we analyze human well-being and its subjective and objective dimensions in social-ecological systems. We propose that one way to study the relationships between both concepts is through an ecosystem services perspective. This includes the social-ecological interactions reflecting human-nature dependencies and their contributions to the well-being of local people and local and national economies. Its application shows a direct dependence of subsistence economies within Latin American rural zones on those services. One consequence is that these zones will be more affected by the degradation of ecosystems than populations from developed countries. Latin American countries still have important groups of ancestral populations whose social, cultural, and economic development has occurred within society-nature interactions for hundreds of years, shaping their well-being. We assert that their co-evolution and adaptations to maintain their interactions are of worldwide interest since they represent learning experiences for contemporary cultures that may help on the generation of co-learning and management structures.</t>
  </si>
  <si>
    <t>Zorondo-Rodríguez, Francisco/GWU-8371-2022; Zorondo-Rodriguez, Francisco/I-8273-2014</t>
  </si>
  <si>
    <t>Rojo Negrete, Iskra A./0000-0003-0691-2935; Torres Gomez, Marcela/0009-0007-8327-6238; Zorondo-Rodriguez, Francisco/0000-0001-6469-9859</t>
  </si>
  <si>
    <t>978-3-030-28452-7; 978-3-030-28451-0</t>
  </si>
  <si>
    <t>10.1007/978-3-030-28452-7_4</t>
  </si>
  <si>
    <t>10.1007/978-3-030-28452-7</t>
  </si>
  <si>
    <t>WOS:000631257800005</t>
  </si>
  <si>
    <t>Carreño, A; Rodríguez, L; Páez-Hernández, D; Martin-Trasanco, R; Zúñiga, C; Oyarzún, DP; Gacitúa, M; Schott, E; Arratia-Pérez, R; Fuentes, JA</t>
  </si>
  <si>
    <t>Carreno, Alexander; Rodriguez, Leonardo; Paez-Hernandez, Dayan; Martin-Trasanco, Rudy; Zuniga, Cesar; Oyarzun, Diego P.; Gacitua, Manuel; Schott, Eduardo; Arratia-Perez, Ramiro; Fuentes, Juan A.</t>
  </si>
  <si>
    <t>Two New Fluorinated Phenol Derivatives Pyridine Schiff Bases: Synthesis, Spectral, Theoretical Characterization, Inclusion in Epichlorohydrin-β-Cyclodextrin Polymer, and Antifungal Effect</t>
  </si>
  <si>
    <t>FRONTIERS IN CHEMISTRY</t>
  </si>
  <si>
    <t>It has been reported that the structure of the Schiff bases is fundamental for their function in biomedical applications. Pyridine Schiff bases are characterized by the presence of a pyridine and a phenolic ring, connected by an azomethine group. In this case, the nitrogen present in the pyridine is responsible for antifungal effects, where the phenolic ring may be also participating in this bioactivity. In this study, we synthesized two new pyridine Schiff Bases: (E)-2-[(3-Amino-pyridin-4-ylimino)-methyl]-4,6-difluoro-phenol (F1) and (E)-2-[(3-Amino-pyridin-4-ylimino)-methyl]-6-fluoro-phenol (F2), which only differ in the fluorine substitutions in the phenolic ring. We fully characterized both F1 and F2 by FTIR, UV-vis, H-1; C-13; F-19-NMR, DEPT, HHCOSY, TOCSY, and cyclic voltammetry, as well as by computational studies (DFT), and NBO analysis. In addition, we assessed the antifungal activity of both F1 (two fluorine substitution at positions 4 and 6 in the phenolic ring) and F2 (one fluorine substitution at position 6 in the phenolic ring) against yeasts. We found that only F1 exerted a clear antifungal activity, showing that, for these kind of Schiff bases, the phenolic ring substitutions can modulate biological properties. In addition, we included F1 and F2 into in epichlorohydrin-beta-cyclodextrin polymer (beta CD), where the Schiff bases remained inside the beta CD as determined by the k(i), TGA, DSC, and S-BET. We found that the inclusion in beta CD improved the solubility in aqueous media and the antifungal activity of both F1 and F2, revealing antimicrobial effects normally hidden by the presence of common solvents (e.g , DMSO) with some cellular inhibitory activity. The study of structural prerequisites for antimicrobial activity, and the inclusion in polymers to improve solubility, is important for the design of new drugs.</t>
  </si>
  <si>
    <t>Martin-Trasancos, Rudy/L-2791-2017; Oyarzun, Diego/MTF-4062-2025; Carreno, Alexander/I-6374-2019; Páez-Hernández, Dayán/AAJ-3317-2020; Arratia-Perez, Ramiro/AAG-2648-2019; Gacitua, Manuel/R-8868-2019; Schott, Eduardo/J-7540-2015</t>
  </si>
  <si>
    <t>Paez-Hernandez, Dayan/0000-0002-8163-1343; Fuentes, Juan A./0000-0002-9374-0707; Schott, Eduardo/0000-0002-2546-304X; Carreno, Alexander/0000-0001-9733-8224; Gacitua, Manuel/0000-0003-0807-2677</t>
  </si>
  <si>
    <t>2296-2646</t>
  </si>
  <si>
    <t>10.3389/fchem.2018.00312</t>
  </si>
  <si>
    <t>WOS:000440156500001</t>
  </si>
  <si>
    <t>Costa, DG; Quoirin, HR; Tehrani, H</t>
  </si>
  <si>
    <t>Costa, David G.; Ramos Quoirin, Humberto; Tehrani, Hossein</t>
  </si>
  <si>
    <t>A VARIATIONAL APPROACH TO SUPERLINEAR SEMIPOSITONE ELLIPTIC PROBLEMS</t>
  </si>
  <si>
    <t>PROCEEDINGS OF THE AMERICAN MATHEMATICAL SOCIETY</t>
  </si>
  <si>
    <t>In this paper we present a variational approach to a class of elliptic problems with superlinear semipositone nonlinearities. We consider the parametrized family of problems {-Delta u - lambda a(x) (f(u) - l) in Omega, u=0 on partial derivative Omega, with l &gt; 0, a continuous, and f subcritical and superlinear at infinity. We obtain positive solutions of such problems for 0</t>
  </si>
  <si>
    <t>Costa, David/B-4293-2008</t>
  </si>
  <si>
    <t>Ramos Quoirin, Humberto/0000-0001-6252-2515</t>
  </si>
  <si>
    <t>0002-9939</t>
  </si>
  <si>
    <t>1088-6826</t>
  </si>
  <si>
    <t>10.1090/proc/13426</t>
  </si>
  <si>
    <t>WOS:000398833500031</t>
  </si>
  <si>
    <t>Hoffmeister, L; Mendez, C; Vargas, C; Lavados, P</t>
  </si>
  <si>
    <t>Hoffmeister, L.; Mendez, C.; Vargas, C.; Lavados, P.</t>
  </si>
  <si>
    <t>The great Chilean earthquake and their effect on stroke mortality</t>
  </si>
  <si>
    <t>JOURNAL OF THE NEUROLOGICAL SCIENCES</t>
  </si>
  <si>
    <t>22nd World Congress of Neurology (WCN)</t>
  </si>
  <si>
    <t>OCT 31-NOV 05, 2015</t>
  </si>
  <si>
    <t>Lavados, Pablo/E-9918-2016; Vargas, Claudio/AAX-6076-2020</t>
  </si>
  <si>
    <t>0022-510X</t>
  </si>
  <si>
    <t>1878-5883</t>
  </si>
  <si>
    <t>E381</t>
  </si>
  <si>
    <t>10.1016/j.jns.2015.08.1356</t>
  </si>
  <si>
    <t>WOS:000384634802174</t>
  </si>
  <si>
    <t>Cárdenas, JP; Moya, F; Covarrubias, P; Shmaryahu, A; Levicán, G; Holmes, DS; Quatrini, R</t>
  </si>
  <si>
    <t>Pablo Cardenas, Juan; Moya, Francisco; Covarrubias, Paulo; Shmaryahu, Amir; Levican, Gloria; Holmes, David S.; Quatrini, Raquel</t>
  </si>
  <si>
    <t>Comparative genomics of the oxidative stress response in bioleaching microorganisms</t>
  </si>
  <si>
    <t>HYDROMETALLURGY</t>
  </si>
  <si>
    <t>International Biohydrometallurgy Symposium (IBS)</t>
  </si>
  <si>
    <t>SEP 18-22, 2011</t>
  </si>
  <si>
    <t>Changsha, PEOPLES R CHINA</t>
  </si>
  <si>
    <t>Bioleaching acidophiles inhabit environments with unusually high concentrations of iron that can potentially cause oxidative stress via the Fenton reaction in which dangerous reactive oxygen species (ROS) are generated. ROS can cause damage to proteins, nucleic acids, lipids and other macromolecules and thus have deleterious effects on cell growth and survival. Many of these microorganisms are chemolithotrophs with unusually high oxygen consumption rates that may exacerbate the problem of oxidative stress. Although some knowledge has been gained in recent years regarding the oxidative stress response in a few acidophiles, the general strategies used by them to face ROS challenges are still inadequately understood. Comparative genomics and multiple bioinformatic tools were used to explore 44 sequenced genomes of acidophilic bacteria and archaea in order to reconstruct their individual oxidative stress responses and to identify conserved strategies. The analyses revealed that acidophiles lack genes encoding typical oxidative stress response regulators and have an underrepresentation of classical ROS consumption enzymes (e.g. catalases) although they have a complete repertoire of repair systems for macromolecules (DNA, proteins and lipids). This suggests that stress mitigation is an active strategy in acidophiles confronting unavoidable ROS formation in their environment. Insights into the oxidative stress response in bioleaching acidophiles may contribute to a better understanding of the aspects that influence fitness of the microbial consortium driving bioleaching. (C) 2012 Elsevier B.V. All rights reserved.</t>
  </si>
  <si>
    <t>Levican, Gloria/R-5191-2019; Quatrini, Raquel/GSD-7689-2022; Cardenas, Juan/AAB-2469-2020; Quatrini, Raquel/N-1801-2013</t>
  </si>
  <si>
    <t>Holmes, David/0000-0001-9555-138X; Levican, Gloria/0000-0002-1275-7399; Quatrini, Raquel/0000-0003-2600-2605; Cardenas, Juan Pablo/0000-0001-6715-7270</t>
  </si>
  <si>
    <t>0304-386X</t>
  </si>
  <si>
    <t>10.1016/j.hydromet.2012.07.014</t>
  </si>
  <si>
    <t>WOS:000310410000021</t>
  </si>
  <si>
    <t>Pavez, C; Pedreros, J; Zambra, M; Veloso, F; Moreno, J; Tarifeño-Saldivia, A; Soto, L</t>
  </si>
  <si>
    <t>Pavez, Cristian; Pedreros, Jose; Zambra, Marcelo; Veloso, Felipe; Moreno, Jose; Tarifeno-Saldivia, Ariel; Soto, Leopoldo</t>
  </si>
  <si>
    <t>Potentiality of a small and fast dense plasma focus as hard x-ray source for radiographic applications</t>
  </si>
  <si>
    <t>PLASMA PHYSICS AND CONTROLLED FUSION</t>
  </si>
  <si>
    <t>Currently, a new generation of small plasma foci devices is being developed and researched, motivated by its potential use as portable sources of x-ray and neutron pulsed radiation for several applications. In this work, experimental results of the accumulated x-ray dose angular distribution and characterization of the x-ray source size are presented for a small and fast plasma focus device, 'PF-400J' (880 nF, 40 nH, 27-29 kV, similar to 350 J, T/4 similar to 300 ns). The experimental device is operated using hydrogen as the filling gas in a discharge region limited by a volume of around 80 cm(3). The x-ray radiation is monitored, shot by shot, using a scintillator-photomultiplier system located outside the vacuum chamber at 2.3 m far away from the radiation emission region. The angular x-ray dose distribution measurement shows a well-defined emission cone, with an expansion angle of 5 degrees, which is observed around the plasma focus device symmetry axis using TLD-100 crystals. The x-ray source size measurements are obtained using two image-forming aperture techniques: for both cases, one small (pinhole) and one large for the penumbral imaging. These results are in agreement with the drilling made by the energetic electron beam coming from the pinch region. Additionally, some examples of image radiographic applications are shown in order to highlight the real possibilities of the plasma focus device as a portable x-ray source. In the light of the obtained results and the scaling laws observed in plasma foci devices, we present a discussion on the potentiality and advantages of these devices as pulsed and safe sources of x-radiation for applications.</t>
  </si>
  <si>
    <t>Soto, Leopoldo/A-7084-2012; Pavez, Cristian/A-7441-2012; Zambra, Marcelo/A-7565-2012; Moreno, Jose/A-7125-2012; Veloso, Felipe/A-6864-2012; Tarifeno-Saldivia, Ariel/A-7583-2012</t>
  </si>
  <si>
    <t>Veloso, Felipe/0000-0002-6703-5449; Tarifeno-Saldivia, Ariel/0000-0001-8552-5030; Zambra, Marcelo/0009-0000-7299-0515</t>
  </si>
  <si>
    <t>0741-3335</t>
  </si>
  <si>
    <t>1361-6587</t>
  </si>
  <si>
    <t>10.1088/0741-3335/54/10/105018</t>
  </si>
  <si>
    <t>WOS:000309051700019</t>
  </si>
  <si>
    <t>How Hertzian solitary waves interact with boundaries in a 1D granular medium</t>
  </si>
  <si>
    <t>We perform measurements, numerical simulations, and quantitative comparisons with available theory on solitary wave propagation in a linear chain of beads without static preconstraint. By designing a nonintrusive force sensor to measure the impulse as it propagates along the chain, we study the solitary wave reflection at a wall. We show that the main features of solitary wave reflection depend on wall mechanical properties. Since previous studies on solitary waves have been performed at walls without these considerations, our experiment provides a more reliable tool to characterize solitary wave propagation. We find, for the first time, precise quantitative agreements.</t>
  </si>
  <si>
    <t>Melo, Francisco/M-3923-2014; Job, Stephane/D-9735-2011</t>
  </si>
  <si>
    <t>MAY 6</t>
  </si>
  <si>
    <t>10.1103/PhysRevLett.94.178002</t>
  </si>
  <si>
    <t>WOS:000228932200068</t>
  </si>
  <si>
    <t>Pacheco, M; Barticevic, Z; Tutor, J</t>
  </si>
  <si>
    <t>Stark optical transitions in bidimensional arrays of quantum dots</t>
  </si>
  <si>
    <t>SOLID STATE COMMUNICATIONS</t>
  </si>
  <si>
    <t>The optical spectrum of a bidimensional array of coupled quantum dots (QDs) under an external electric field is investigated. We show calculations on the interband absorption coefficient in the effective-mass scheme, for several geometrical QD confinement parameters. We study the dependence of the optical properties of the array with the strength and direction of the applied electric field. The different spectra show the characteristic Stark ladder structure associated to each discrete level in the dot depending on the electric field direction. In particular, for a diagonal applied electric field, the energy levels are degenerated, giving an optical spectrum with basically the same features as a linear array. For any other electric field direction, the optical spectrum consists of two overlapped Stark ladders, which are differently spaced. (C) 2001 Published by Elsevier Science Ltd.</t>
  </si>
  <si>
    <t>Pacheco, Monica/AAG-8440-2019; Pacheco, Monica/L-9669-2014</t>
  </si>
  <si>
    <t>0038-1098</t>
  </si>
  <si>
    <t>1879-2766</t>
  </si>
  <si>
    <t>10.1016/S0038-1098(01)00015-1</t>
  </si>
  <si>
    <t>WOS:000167475900008</t>
  </si>
  <si>
    <t>Rezende, MC; Urzua, A; Bortoluzzi, AJ; Vásquez, L</t>
  </si>
  <si>
    <t>Variation of the antimicrobial activity of Pseudognaphalium vira vira (Asteraceae):: isolation and X-ray structure of ent-3β-hydroxy-16-kauren-19-oic acid</t>
  </si>
  <si>
    <t>JOURNAL OF ETHNOPHARMACOLOGY</t>
  </si>
  <si>
    <t>The antimicrobial properties of the resinous exudate from twigs and leaves of a population of Pseudonaphalium vira vira were re-examined against five Gram positive bacteria. The observed decrease in the antimicrobial activity might reflect a change in the diterponoid composition of the exudate. The title compound 2 was isolated in substantial amount, together with ent-16-kauren-19-oic acid (I), and its structure determined by X-ray diffraction analysis. (C) 2000 Elsevier Science Ireland Ltd. All rights reserved.</t>
  </si>
  <si>
    <t>; Bortoluzzi, Adailton/G-2287-2012</t>
  </si>
  <si>
    <t>Urzua, Alejandro/0000-0003-2638-0921; Bortoluzzi, Adailton/0000-0002-9493-5987; Rezende, Marcos/0000-0003-2040-9009</t>
  </si>
  <si>
    <t>0378-8741</t>
  </si>
  <si>
    <t>10.1016/S0378-8741(00)00239-7</t>
  </si>
  <si>
    <t>WOS:000089382500010</t>
  </si>
  <si>
    <t>Velásquez, E; de Dicastillo, CL; Rojas, A; Garrido, L; Pérez, CJ; Lira, M; Guarda, A; Galotto, MJ</t>
  </si>
  <si>
    <t>Velasquez, Eliezer; de Dicastillo, Carol Lopez; Rojas, Adrian; Garrido, Luan; Perez, C. J.; Lira, Marcia; Guarda, Abel; Galotto, Maria Jose</t>
  </si>
  <si>
    <t>Multiple mechanical recycling of a post-industrial flexible polypropylene and its nanocomposite with clay: Impact on properties for food packaging applications</t>
  </si>
  <si>
    <t>FOOD PACKAGING AND SHELF LIFE</t>
  </si>
  <si>
    <t>The development of polymer nanocomposites for food packaging has been increasing, but there is a lack of studies on their recyclability. The modification of the physical-mechanical properties and overall migration of post-industrial flexible recycled polypropylene (PIPP) and PIPP/compatibilizer/NI.44P clay nanocomposite with the simulated repetitive mechanical recycling were comparatively studied. The structure, thermal properties, crystallinity, and water vapor permeability of the nanocomposite were not significantly affected by multiple recycling (three re-extrsuion cyles). Among the mean findings, the melt flow rate of the polymer was the parameter more affected by the reprocessing, especially in the nanocomposite. PIPP and PIPP nanocomposite tended to molar mass reduction by repetitive reprocessing. However, a narrower molar mass distribution was obtained according to the rheological analysis. Clay addition significantly reduced the ductility of the films in the first reprocessing cycle but interestingly, the tensile properties for PIPP and nanocomposite were similar in the fourth cycle. Prominently, overall migration of the nanocomposite to olive oil diminished by reprocessing cycles, while the opposite was found for the PIPP without clay. Nonetheless, in all cases, the overall migration values to ethanol 10% and olive oil were below the maximum limit permitted for food packaging.</t>
  </si>
  <si>
    <t>Rojas, Adrián/AAR-9441-2021; Lopez-de-Dicastillo, Carol/C-6347-2019</t>
  </si>
  <si>
    <t>Lopez-de-Dicastillo, Carol/0000-0003-0067-9765; Perez, Claudio J./0000-0003-1934-501X; VELASQUEZ, ELIEZER/0000-0001-8858-8926</t>
  </si>
  <si>
    <t>2214-2894</t>
  </si>
  <si>
    <t>10.1016/j.fpsl.2024.101272</t>
  </si>
  <si>
    <t>MAR 2024</t>
  </si>
  <si>
    <t>WOS:001215499300001</t>
  </si>
  <si>
    <t>Cerpa, E; Courdurier, M; Hernández, E; Medina, LE; Paduro, E</t>
  </si>
  <si>
    <t>Cerpa, Eduardo; Courdurier, Matias; Hernandez, Esteban; Medina, Leonel E.; Paduro, Esteban</t>
  </si>
  <si>
    <t>A partially averaged system to model neuron responses to interferential current stimulation</t>
  </si>
  <si>
    <t>JOURNAL OF MATHEMATICAL BIOLOGY</t>
  </si>
  <si>
    <t>The interferential current (IFC) therapy is a noninvasive electrical neurostimulation technique intended to activate deep neurons using surface electrodes. In IFC, two independent kilohertz-frequency currents purportedly intersect where an interference field is generated. However, the effects of IFC on neurons within and outside the interference field are not completely understood, and it is unclear whether this technique can reliable activate deep target neurons without side effects. In recent years, realistic computational models of IFC have been introduced to quantify the effects of IFC on brain cells, but they are often complex and computationally costly. Here, we introduce a simplified model of IFC based on the FitzHugh-Nagumo (FHN) model of a neuron. By considering a modified averaging method, we obtain a non-autonomous approximated system, with explicit representation of relevant IFC parameters. For this approximated system we determine conditions under which it reliably approximates the complete FHN system under IFC stimulation, and we mathematically prove its ability to predict nonspiking states. In addition, we perform numerical simulations that show that the interference effect is observed only for a narrow set of IFC parameters and, in particular, for a beat frequency no higher than about 100 [Hz]. Our novel model tailored to the IFC technique contributes to the understanding of neurostimulation modalities using this type of signals, and can have implications in the design of noninvasive electrical stimulation therapies.</t>
  </si>
  <si>
    <t>Cerpa, Eduardo/HTP-0809-2023; Hernandez, Esteban/LRV-1797-2024; Courdurier, Matias/AGR-1533-2022; Medina, Leonel E/AAE-2173-2019</t>
  </si>
  <si>
    <t>Hernandez, Esteban/0000-0001-5158-0437; Medina, Leonel E/0000-0002-4170-9281; Cerpa, Eduardo/0000-0001-9974-324X; Paduro, Esteban/0000-0003-1769-0055; Courdurier, Matias/0000-0002-2161-0356</t>
  </si>
  <si>
    <t>0303-6812</t>
  </si>
  <si>
    <t>1432-1416</t>
  </si>
  <si>
    <t>10.1007/s00285-022-01839-8</t>
  </si>
  <si>
    <t>WOS:000894485000002</t>
  </si>
  <si>
    <t>Perez, OD</t>
  </si>
  <si>
    <t>Perez, Omar D.</t>
  </si>
  <si>
    <t>Action sequences, habits, and attention in copying strategies</t>
  </si>
  <si>
    <t>BEHAVIORAL AND BRAIN SCIENCES</t>
  </si>
  <si>
    <t>Understanding how culture evolves in society is an extremely difficult task. The bifocal stance theory (BST) deploys two copying strategies which can be linked to dual-system theories of behavior. BST would benefit from incorporating results from these theories, such as the evolution of attention to goals or steps of a behavioral sequence, and the role of the environment in prompting different copying strategies.</t>
  </si>
  <si>
    <t>Perez, Omar/IAO-4501-2023</t>
  </si>
  <si>
    <t>Perez, Omar David/0000-0002-4168-5435</t>
  </si>
  <si>
    <t>0140-525X</t>
  </si>
  <si>
    <t>1469-1825</t>
  </si>
  <si>
    <t>e265</t>
  </si>
  <si>
    <t>10.1017/S0140525X22001388</t>
  </si>
  <si>
    <t>WOS:001083755500017</t>
  </si>
  <si>
    <t>Ayub, MS; Adasme, P; Melgarejo, DC; Rosa, RL; Rodriguez, DZ</t>
  </si>
  <si>
    <t>Shoaib Ayub, Muhammad; Adasme, Pablo; Melgarejo, Dick Carrillo; Rosa, Renata Lopes; Rodriguez, Demostenes Zegarra</t>
  </si>
  <si>
    <t>Intelligent Hello Dissemination Model for FANET Routing Protocols</t>
  </si>
  <si>
    <t>IEEE ACCESS</t>
  </si>
  <si>
    <t>The routing mechanisms in flying ad-hoc networks (FANETs) using unmanned aerial vehicles (UAVs) have been a challenging issue for many reasons, such as its high speed and different directions of use. In FANETs, the routing protocols send hello messages periodically for the maintenance of routes. However, the hello messages that are sent in the network increase the bandwidth wastage on some occasions and the excessive number of hello messages can also cause the problem of energy loss. Scarce works deal with the problem of excessive hello messages in dynamic UAVs scenarios, and treat several other problems, such as bandwidth and energy wastage simultaneously. Generally, the existing solutions configure the hello interval to an excessive long or short time period originating delay in neighbors discovery. Thus, a self-acting approach is necessary for calculating the exact number of hello messages with the aim to reduce the bandwidth wastage of the network and the energy loss; this approach needs to be low complex in terms of computational resource consumption. In order to solve this problem, an intelligent Hello dissemination model, AI-Hello, based on reinforcement learning algorithms, that adapts the hello message interval scheme is proposed to produce a dense reward structure, and facilitating the network learning. Experimental results, considering FANET dynamic scenarios of high speed range with 40 UAVs, show that the proposed method implemented in two widely adopted routing protocols (AODV and OLSR) saved 30.86% and 27.57% of the energy consumption in comparison to the original AODV and OLSR protocols, respectively. Furthermore, our proposal reached better network performance results in relation to the state-of-the-art methods that are implemented in the same protocols, considering parameters, such as routing overhead, packet delivery ratio, throughput and delay.</t>
  </si>
  <si>
    <t>Lopes Rosa, Renata/AAU-8544-2020; Ayub, Muhammad Shoaib/JEZ-2644-2023; Adasme, Pablo/U-1735-2019; Carrillo Melgarejo, Dick/KCX-9494-2024; Zegarra Rodriguez, Demostenes/L-8322-2013</t>
  </si>
  <si>
    <t>Carrillo Melgarejo, Dick/0000-0001-7290-5755; Zegarra Rodriguez, Demostenes/0000-0001-5401-7551; Ayub, Muhammad Shoaib/0000-0002-6566-8832; Adasme, Pablo/0000-0003-2500-3294</t>
  </si>
  <si>
    <t>2169-3536</t>
  </si>
  <si>
    <t>10.1109/ACCESS.2022.3170066</t>
  </si>
  <si>
    <t>WOS:000791723000001</t>
  </si>
  <si>
    <t>Carvajal, MA; Alaniz, AJ; Vergara, PM; Hernández-Valderrama, C; Fierro, A; Toledo, G; Gamin, J</t>
  </si>
  <si>
    <t>Carvajal, Mario A.; Alaniz, Alberto J.; Vergara, Pablo M.; Hernandez-Valderrama, Carlos; Fierro, Andres; Toledo, Gisela; Gamin, Juan</t>
  </si>
  <si>
    <t>Climate-induced tree senescence leads to a transient increase in reproductive success of a large woodpecker species</t>
  </si>
  <si>
    <t>SCIENCE OF THE TOTAL ENVIRONMENT</t>
  </si>
  <si>
    <t>Climate change-induced mortality of trees is a concerning phenomenon for global forest ecosystems. The rapid decay and death of long-lived trees can significantly impact forest dynamics, with effects that transmit through ecological networks, becoming more evident in organisms occupying high trophic levels, such as large and spe-cialized woodpecker species. However, understanding how populations of high trophic level species respond to climate change is still a challenge. In this study it was analyzed 32-year data of social groups of the Magellanic Woodpecker (Campephilus magellanicus) in North Patagonia, a region facing increasingly frequent droughts and increased temperatures. A positive trend in the size of woodpecker social groups as a response to climate-induced tree senescence was tested. A causal structural equation model examining climate-tree senescence-woodpecker relationships was used. Increasing nonlinear trends and positive interannual growth rates (&gt;10%) for tree senescence and group size were found. Lowland forest sites had higher levels of tree senescence and more numerous social groups. The causal model supported the positive effect of mean temperature on tree senes-cence and the positive association of woodpeckers with tree senescence. These results provide evidence of a climate-induced increase in tree senescence that causes an increase in the size of woodpecker social groups. It is suggested that accelerated decay and mortality of trees in the northern Patagonian forests will decrease the stocks of deadwood in the long term, threatening the persistence of this large woodpecker species. (c) 2021 Elsevier B.V. All rights reserved.</t>
  </si>
  <si>
    <t>Vergara, Pablo/F-2519-2010; Carvajal, Mario/GYU-2659-2022; Alaniz, Alberto/J-3104-2019</t>
  </si>
  <si>
    <t>Alaniz, Alberto J./0000-0003-4878-8848; Vergara, Pablo/0000-0002-0024-1678</t>
  </si>
  <si>
    <t>0048-9697</t>
  </si>
  <si>
    <t>1879-1026</t>
  </si>
  <si>
    <t>10.1016/j.scitotenv.2021.150604</t>
  </si>
  <si>
    <t>WOS:000707641100012</t>
  </si>
  <si>
    <t>Menares, C; Perez, P; Parraguez, S; Fleming, ZL</t>
  </si>
  <si>
    <t>Menares, Camilo; Perez, Patricio; Parraguez, Santiago; Fleming, Zoe L.</t>
  </si>
  <si>
    <t>Forecasting PM2.5 levels in Santiago de Chile using deep learning neural networks</t>
  </si>
  <si>
    <t>URBAN CLIMATE</t>
  </si>
  <si>
    <t>Air pollution has been shown to have a direct effect on human health. In particular, PM2.5 has been proven to be related to cardiovascular and respiratory problems. Therefore, it is important to have accurate models to predict high pollution events for this and other pollutants. We present different models that forecast PM2.5 maximum concentrations using a Long Short-Term Memory (LSTM) based neural network and a Deep Feedforward Neural Network (DFFNN). Ten years of air pollution and meteorological measurements from the network of monitoring stations in the city of Santiago, Chile were used, focusing on the behaviour of three zones of the city. All missing values were rebuilt using a method based on discrete cosine transforms and photochemical predictors selected through unsupervised clustering. Deep learning techniques provide significant improvements compared to a traditional multi-layer neural networks, particularly the LSTM model configured with a 7-day memory window (synoptic scale of pollution patterns) can capture critical pollution events at sites with both primary and secondary air pollution problems. Furthermore, the LSTM model consistently outperform deterministic models currently used in Santiago, Chile.</t>
  </si>
  <si>
    <t>Fleming, Zoe/AHB-1124-2022; Fleming, Zoe/G-4796-2018</t>
  </si>
  <si>
    <t>Fleming, Zoe/0000-0001-5732-1479; Parraguez, Santiago/0000-0002-3049-5302</t>
  </si>
  <si>
    <t>2212-0955</t>
  </si>
  <si>
    <t>10.1016/j.uclim.2021.100906</t>
  </si>
  <si>
    <t>JUL 2021</t>
  </si>
  <si>
    <t>WOS:000679341600003</t>
  </si>
  <si>
    <t>Rubin, IN; Ispolatov, I; Doebeli, M</t>
  </si>
  <si>
    <t>Rubin, Ilan N.; Ispolatov, Iaroslav; Doebeli, Michael</t>
  </si>
  <si>
    <t>Evolution to alternative levels of stable diversity leaves areas of niche space unexplored</t>
  </si>
  <si>
    <t>PLOS COMPUTATIONAL BIOLOGY</t>
  </si>
  <si>
    <t>One of the oldest and most persistent questions in ecology and evolution is whether natural communities tend to evolve toward saturation and maximal diversity. Robert MacArthur's classical theory of niche packing and the theory of adaptive radiations both imply that populations will diversify and fully partition any available niche space. However, the saturation of natural populations is still very much an open area of debate and investigation. Additionally, recent evolutionary theory suggests the existence of alternative evolutionary stable states (ESSs), which implies that some stable communities may not be fully saturated. Using models with classical Lotka-Volterra ecological dynamics and three formulations of evolutionary dynamics (a model using adaptive dynamics, an individual-based model, and a partial differential equation model), we show that following an adaptive radiation, communities can often get stuck in low diversity states when limited by mutations of small phenotypic effect. These low diversity metastable states can also be maintained by limited resources and finite population sizes. When small mutations and finite populations are considered together, it is clear that despite the presence of higher-diversity stable states, natural populations are likely not fully saturating their environment and leaving potential niche space unfilled. Additionally, within-species variation can further reduce community diversity from levels predicted by models that assume species-level homogeneity. Author summary Understanding if and when communities evolve to saturate their local environments is imperative to our understanding of natural populations. Using computer simulations of classical evolutionary models, we study whether adaptive radiations tend to lead toward saturated communities, in which no new species can invade or remain trapped in alternative, lower diversity stable states. We show that with asymmetric competition and small effect mutations, evolutionary Red Queen dynamics can trap communities in low diversity metastable states. Moreover, limited resources not only reduces community population sizes, but also reduces community diversity, denying the formation of saturated communities and stabilizing low diversity, non-stationary evolutionary dynamics. Our results are directly relevant to the longstanding questions important to both ecological empiricists and theoreticians on the species packing and saturation of natural environments. Also, by showing the ease evolution can trap communities in low diversity metastable states, we demonstrate the potential harm in relying solely on ESSs to answer questions of biodiversity.</t>
  </si>
  <si>
    <t>; Ispolatov, Iaroslav/E-8544-2010</t>
  </si>
  <si>
    <t>Rubin, Ilan/0000-0001-5820-2068; Ispolatov, Iaroslav/0000-0002-0201-3396</t>
  </si>
  <si>
    <t>1553-734X</t>
  </si>
  <si>
    <t>1553-7358</t>
  </si>
  <si>
    <t>e1008650</t>
  </si>
  <si>
    <t>10.1371/journal.pcbi.1008650</t>
  </si>
  <si>
    <t>WOS:000685215100001</t>
  </si>
  <si>
    <t>Martínez, L; Lozano, F; Soto, I; Palominos, P; Neves, PD,; Laplagne, C</t>
  </si>
  <si>
    <t>Martinez, Liliana; Lozano, Fernanda; Soto, Ismael; Palominos, Pedro; Neves Junior, Paulo de Tarso; Laplagne, Cristina</t>
  </si>
  <si>
    <t>Acceptance of the implementation of a smart campus based on 5G technology by the University's constituents</t>
  </si>
  <si>
    <t>2021 THIRD SOUTH AMERICAN COLLOQUIUM ON VISIBLE LIGHT COMMUNICATIONS (SACVLC 2021)</t>
  </si>
  <si>
    <t>3rd South American Colloquium on Visible Light Communications (SACVLC)</t>
  </si>
  <si>
    <t>NOV 12-12, 2021</t>
  </si>
  <si>
    <t>Toledo, BRAZIL</t>
  </si>
  <si>
    <t>Univ Tecnologica Fed Parana,IEEE Commun Soc,IEEE,Univ Santiago Chile, Departtamento Ingn Electrica,SBrT</t>
  </si>
  <si>
    <t>This work systematises the requirements of users circulating in the different spaces of a university campus that can be resolved through the services offered by SG. The methodology is based on the application of surveys to the different actors that interact on university campuses in three South American countries, in order to focus efforts in each country.</t>
  </si>
  <si>
    <t>Palominos, Pedro/0000-0002-5695-3025</t>
  </si>
  <si>
    <t>978-1-6654-4225-1</t>
  </si>
  <si>
    <t>10.1109/SACVLC53127.2021.9652255</t>
  </si>
  <si>
    <t>WOS:000760247000011</t>
  </si>
  <si>
    <t>Carreño, C; Seguel, F; Soto, I; Krommenacker, N; Charpentier, P; Adasme, P</t>
  </si>
  <si>
    <t>Carreno, Cristobal; Seguel, Fabian; Soto, Ismael; Krommenacker, Nicolas; Charpentier, Patrick; Adasme, Pablo</t>
  </si>
  <si>
    <t>Opportunistic Hybrid VLC-IMU Positioning</t>
  </si>
  <si>
    <t>2020 12TH INTERNATIONAL SYMPOSIUM ON COMMUNICATION SYSTEMS, NETWORKS AND DIGITAL SIGNAL PROCESSING, CSNDSP</t>
  </si>
  <si>
    <t>12th International Symposium on Communication Systems, Networks and Digital Signal Processing (CSNDSP)</t>
  </si>
  <si>
    <t>JUL 20-22, 2020</t>
  </si>
  <si>
    <t>Porto, PORTUGAL</t>
  </si>
  <si>
    <t>IMU systems can provide positioning without requiring deployed infrastructure. Nonetheless, they suffer from large cumulative errors. On the other hand, visible light communications (VLC) systems can deliver highly accurate positioning as long as communication coverage is assured, which does not always happens in indoor environments. In order to overcome these drawbacks, we propose an opportunistic hybrid VLC-IMU positioning system. The function of VLC system is to refresh the position calculated by IMU system, reducing errors caused by drifting effect and noise, contributing to demonstrate that VLC communication provides the down-link data to IMU refreshing with a correct position. In the other hand, IMU positioning system is used when there does not exist sufficient VLC coverage. Real scenario experiments were carried out to evaluate the performance of our opportunistic method.</t>
  </si>
  <si>
    <t>Adasme, Pablo/U-1735-2019; Krommenacker, Nicolas/IAR-4851-2023; Seguel, Fabian/ABC-4765-2020</t>
  </si>
  <si>
    <t>978-1-7281-6743-5</t>
  </si>
  <si>
    <t>WOS:001331796100042</t>
  </si>
  <si>
    <t>Robert, P; Zamorano, M; González, E; Silva-Weiss, A; Cofrades, S; Giménez, B</t>
  </si>
  <si>
    <t>Robert, Paz; Zamorano, Marcela; Gonzalez, Estefania; Silva-Weiss, Andrea; Cofrades, Susana; Gimenez, Begona</t>
  </si>
  <si>
    <t>Double emulsions with olive leaves extract as fat replacers in meat systems with high oxidative stability</t>
  </si>
  <si>
    <t>FOOD RESEARCH INTERNATIONAL</t>
  </si>
  <si>
    <t>Double emulsions (DE) with a healthy oil blend as lipid phase and an olive leave extract (OLE) encapsulated in the internal aqueous phase (DE/OLE) were incorporated as fat replacers in meat systems, in order to improve both the lipid profile and the oxidative stability. After 14 days of storage at 4 degrees C, DE/OLE showed good physical stability (90% of globule population was still below 10 mu m diameter), and high antioxidant capacity (over 80%), longer than time required for this type of food ingredients. A high correlation was found between the remaining oleuropein content and the antioxidant capacity in both meat systems with DE/OLE (MS-DE/OLE) and meat systems with the oil blend as liquid oil and non-encapsulated OLE (MS-L/OLE). MS-DE/OLE were technologically feasible and showed higher retention of oleuropein (69%), oxidative stability and antioxidant capacity at 60 degrees C for 7 days than MS-L/OLE, where oleuropein was almost depleted. The encapsulation of OLE in DE could be a suitable strategy to avoid lipid oxidation in meat systems with healthier lipid profile.</t>
  </si>
  <si>
    <t>Silva-Weiss, Andrea/AAL-3271-2021; Cofrades, Susana/K-5859-2014; Robert, Paz/G-8198-2014</t>
  </si>
  <si>
    <t>Cofrades, Susana/0000-0002-0348-451X; /0000-0001-7541-9947</t>
  </si>
  <si>
    <t>0963-9969</t>
  </si>
  <si>
    <t>1873-7145</t>
  </si>
  <si>
    <t>10.1016/j.foodres.2018.12.014</t>
  </si>
  <si>
    <t>WOS:000467195400096</t>
  </si>
  <si>
    <t>de Oliveira, RC; Sousa, CP; Freire, TM; Freire, RM; Denardin, JC; Fechine, PBA; Becker, H; Morais, S; de Lima-Neto, P; Correia, AN</t>
  </si>
  <si>
    <t>de Oliveira, Raissa C.; Sousa, Camila P.; Freire, Tiago M.; Freire, Rafael M.; Denardin, Juliano C.; Fechine, Pierre B. A.; Becker, Helena; Morais, Simone; de Lima-Neto, Pedro; Correia, Adriana N.</t>
  </si>
  <si>
    <t>Chitosan-magnetite nanocomposite as a sensing platform to bendiocarb determination</t>
  </si>
  <si>
    <t>ANALYTICAL AND BIOANALYTICAL CHEMISTRY</t>
  </si>
  <si>
    <t>A novel platform for carbamate-based pesticide quantification using a chitosan/magnetic iron oxide (Chit-Fe3O4) nanocomposite as a glassy carbon electrode (GCE) modifier is shown for an analytical methodology for determination of bendiocarb (BND). The BND oxidation signal using GCE/Chit-Fe3O4 compared with bare GCE was catalyzed, showing a 37.5% of current increase with the peak potential towards less positive values, showing method's increased sensitivity and selectivity. Using square-wave voltammetry (SWV), calibration curves for BND determination were obtained (n = 3), and calculated detection and quantification limits values were 2.09 x 10(-6) mol L-1 (466.99 ppb) and 6.97 x 10(-6) mol L-1 (1555.91 ppb), respectively. The proposed electroanalytical methodology was successfully applied for BND quantification in natural raw waters without any sample pretreatment, proving that the GCE/Chit-Fe3O4 modified electrode showed great potential for BND determination in complex samples.</t>
  </si>
  <si>
    <t>Becker, Helena/AAZ-3269-2020; Correia, Adriana/K-3953-2015; Morais, Simone/D-8653-2013; De Lima-Neto, Pedro/F-2440-2012; Denardin, Juliano/S-6407-2019; Melo Freire, Tiago/AED-7512-2022; Sousa, Camila/M-3959-2015; Fechine, Pierre/B-7937-2013</t>
  </si>
  <si>
    <t>Melo Freire, Tiago/0000-0001-5389-1087; Morais, Simone/0000-0001-6433-5801; Sousa, Camila/0000-0003-0158-0281; Fechine, Pierre/0000-0002-7822-2354</t>
  </si>
  <si>
    <t>1618-2642</t>
  </si>
  <si>
    <t>1618-2650</t>
  </si>
  <si>
    <t>10.1007/s00216-018-1330-1</t>
  </si>
  <si>
    <t>WOS:000447361700026</t>
  </si>
  <si>
    <t>Cerrillo-Urbina, AJ; García-Hermoso, A; Martínez-Vizcaíno, V; Pardo-Guijarro, MJ; Ruiz-Hermosa, A; Sánchez-López, M</t>
  </si>
  <si>
    <t>Jose Cerrillo-Urbina, Alberto; Garcia-Hermoso, Antonio; Martinez-Vizcaino, Vicente; Jesus Pardo-Guijarro, Maria; Ruiz-Hermosa, Abel; Sanchez-Lopez, Mairena</t>
  </si>
  <si>
    <t>Prevalence of probable Attention-Deficit/Hyperactivity Disorder symptoms: result from a Spanish sample of children</t>
  </si>
  <si>
    <t>BMC PEDIATRICS</t>
  </si>
  <si>
    <t>Background: The aims of our study were to: (i) determine the prevalence of children aged 4 to 6 years with probable Attention-Deficit/Hyperactivity Disorder (ADHD) symptoms in the Spanish population; and (ii) analyse the association of probable ADHD symptoms with sex, age, type of school, origin (native or foreign) and socioeconomic status in these children. Methods: This cross-sectional study included 1189 children (4 to 6 years-old) from 21 primary schools in 19 towns from the Ciudad Real and Cuenca provinces, Castilla-La Mancha region, Spain. The ADHD Rating Scales IV for parents and teachers was administered to determine the probability of ADHD. The 90th percentile cut-off was used to establish the prevalence of inattention, hyperactivity/impulsivity and combined subtype. Results: The prevalence of children with probable ADHD symptoms was 5.4% (2.6% inattention subtype symptoms, 1.5% hyperactivity/impulsivity subtype symptoms, and 1.3% combined subtype symptoms). Children aged 4 to 5 years showed a higher prevalence of probable ADHD in the inattention subtype symptoms and in total of all subtypes than children aged 6 years, and children with low socio-economic status reported a higher prevalence of probable ADHD symptoms (each subtype and total of all of them) than those with medium and high socioeconomic status. Conclusions: Early diagnosis and an understanding of the predictors of being probable ADHD are needed to direct appropriate identification and intervention efforts. These screening efforts should be especially addressed to vulnerable groups, particularly low socio-economic status families and younger children.</t>
  </si>
  <si>
    <t>García-Hermoso, Antonio/ADU-2591-2022; SANCHEZ-LOPEZ, MAIRENA/J-7933-2016; VIZCAINO, VICENTE/R-4336-2017; Garcia-Hermoso, Antonio/P-1857-2017</t>
  </si>
  <si>
    <t>Cerrillo Urbina, Alberto Jose/0000-0001-5854-069X; Sanchez Lopez, Mairena/0000-0002-0217-0623; Ruiz-Hermosa, Abel/0000-0002-5127-0591; Garcia-Hermoso, Antonio/0000-0002-1397-7182</t>
  </si>
  <si>
    <t>1471-2431</t>
  </si>
  <si>
    <t>10.1186/s12887-018-1083-1</t>
  </si>
  <si>
    <t>WOS:000427541300001</t>
  </si>
  <si>
    <t>Firoozabadi, AD; Seguel, F; Soto, I; Guevara, D; Huenupan, F; Curilem, M; Franco, L</t>
  </si>
  <si>
    <t>Dehghan Firoozabadi, Ali; Seguel, Fabian; Soto, Ismael; Guevara, David; Huenupan, Fernando; Curilem, Millaray; Franco, Luis</t>
  </si>
  <si>
    <t>Evaluation of Llaima volcano activities for localization and classification of LP, VT and TR events</t>
  </si>
  <si>
    <t>JOURNAL OF ELECTRICAL ENGINEERING-ELEKTROTECHNICKY CASOPIS</t>
  </si>
  <si>
    <t>Evaluation of seismic signals is one of the most important research topics on Volcanology. Volcanoes have daily activity; therefore, high speed evaluation of recorded signals is a challenge for improving the study of the natural phenomena occurring inside these natural formations. The aim of this paper is the evaluation (denoising, localization and classification) and analysis of Llaima volcano activities, one of the most actives volcanoes in South America. Different already proposed methods, such as, Butterworth, Spectral Subtraction (SS) and Wiener Filter (WF) are compared to the proposed Modified Spectral Subtraction (MSS) and Modified Wiener Filter (MWF) to find the best method for denoising the volcano signals. Then, event localization based on received signals of volcano is performed. In this step, Time Delay Estimation (TDE)-based method is used on data acquired from 3 mechanical sensors located in the volcano area. The proposed method is used to estimate the area for event location. The proposed denoising methods make the starting point for the event more evident to increase the localization accuracy for events where the starting point is difficult to find. In the last step, a method based on the novel DNN technique is proposed to classify the three main events occurring in the Llaima volcano (TR (Tremor), LP (Long Period) and VT (Volcano Tectonic)).</t>
  </si>
  <si>
    <t>Dehghan Firoozabadi, Ali/AAD-4858-2019; Seguel, Fabian/ABC-4765-2020</t>
  </si>
  <si>
    <t>Seguel, Fabian/0000-0001-6567-8988; Dehghan Firoozabadi, Ali/0000-0002-6391-6863; Huenupan, Fernando/0000-0002-8145-0251; Curilem, Millaray/0000-0001-8685-221X; Soto, Ismael/0000-0002-5501-5651</t>
  </si>
  <si>
    <t>1335-3632</t>
  </si>
  <si>
    <t>1339-309X</t>
  </si>
  <si>
    <t>10.1515/jee-2017-0064</t>
  </si>
  <si>
    <t>WOS:000418491200001</t>
  </si>
  <si>
    <t>Brossard, N; Cai, HF; Osorio, F; Bordeu, E; Chen, JS</t>
  </si>
  <si>
    <t>Brossard, Natalia; Cai, Huifang; Osorio, Fernando; Bordeu, Edmundo; Chen, Jianshe</t>
  </si>
  <si>
    <t>Oral Tribological Study on the Astringency Sensation of Red Wines</t>
  </si>
  <si>
    <t>JOURNAL OF TEXTURE STUDIES</t>
  </si>
  <si>
    <t>Astringency is a specific oral sensation dominated by a dryness and puckering feeling and is one of the main quality factors for red wines, teas as well as some fruit products. Various hypotheses have been proposed to explain the mechanisms of the astringency sensation; however which prevails is still unknown. Here we used a tribological system to determine if the astringency is predominantly a physical perception. Mixtures of whole human saliva and typical astringent compounds such as tannins and red wines were evaluated for their lubrication behavior. Friction coefficient was measured over a wide range of lubrication speed. By comparing friction coefficient with human sensory results of astringency, a positive correlation was found. In particular the highest correlation was observed (R-2=0.93) at a sliding speed of 0.075 mm/s. Results from this work demonstrate that astringency of polyphenol-rich products is a sensory perception via a physical stimulus and can be quantified using tribology techniques. Practical ApplicationsThere is an increasing interest in sensory astringency, particularly its signaling process in oral cavity and the quantitative assessment of its intensity. This is due to the fact that astringency is an important quality characteristic which strongly influences consumer's acceptability for many polyphenol-rich foods. This research achieved the first experimental approach to sensory astringency determination on red wines by using a tribological technique. Results from this work positively confirm the hypothesis that astringency is a tactile sensation. The method established in this work provides a useful tool for efficient determination of astringent intensity both as industrial quality control and for the prediction of consumer's sensory perception.</t>
  </si>
  <si>
    <t>Chen, Jianshe/KXR-9203-2024; Brossard, Natalia/ABH-2990-2021; osorio, fernando/AAY-7304-2021</t>
  </si>
  <si>
    <t>Chen, Jianshe/0000-0002-7000-1469; osorio, fernando/0000-0001-7206-0924; Cai, Huifang/0000-0003-4837-8785; Brossard, Natalia/0000-0001-7444-8869</t>
  </si>
  <si>
    <t>0022-4901</t>
  </si>
  <si>
    <t>1745-4603</t>
  </si>
  <si>
    <t>10.1111/jtxs.12184</t>
  </si>
  <si>
    <t>WOS:000385410800002</t>
  </si>
  <si>
    <t>Del-Cid, A; Gil-Durán, C; Vaca, I; Rojas-Aedo, JF; García-Rico, RO; Levicán, G; Chávez, R</t>
  </si>
  <si>
    <t>Del-Cid, Abdiel; Gil-Duran, Carlos; Vaca, Inmaculada; Rojas-Aedo, Juan F.; Garcia-Rico, Ramon O.; Levican, Gloria; Chavez, Renato</t>
  </si>
  <si>
    <t>Identification and Functional Analysis of the Mycophenolic Acid Gene Cluster of Penicillium roqueforti</t>
  </si>
  <si>
    <t>The filamentous fungus Penicillium roqueforti is widely known as the ripening agent of blue-veined cheeses. Additionally, this fungus is able to produce several secondary metabolites, including the meroterpenoid compound mycophenolic acid (MPA). Cheeses ripened with P. roqueforti are usually contaminated with MPA. On the other hand, MPA is a commercially valuable immunosuppressant. However, to date the molecular basis of the production of MPA by P. roqueforti is still unknown. Using a bioinformatic approach, we have identified a genomic region of approximately 24.4 kbp containing a seven-gene cluster that may be involved in the MPA biosynthesis in P. roqueforti. Gene silencing of each of these seven genes (named mpaA, mpaB, mpaC, mpaDE, mpaF, mpaG and mpaH) resulted in dramatic reductions in MPA production, confirming that all of these genes are involved in the biosynthesis of the compound. Interestingly, the mpaF gene, originally described in P. brevicompactum as a MPA self-resistance gene, also exerts the same function in P. roqueforti, suggesting that this gene has a dual function in MPA metabolism. The knowledge of the biosynthetic pathway of MPA in P. roqueforti will be important for the future control of MPA contamination in cheeses and the improvement of MPA production for commercial purposes.</t>
  </si>
  <si>
    <t>Garcia-Rico, Ramon/N-4289-2019; Levican, Gloria/R-5191-2019; Vaca, Inmaculada/I-2758-2013</t>
  </si>
  <si>
    <t>Vaca, Inmaculada/0000-0002-8952-9036; Garcia-Rico, Ramon Ovidio/0000-0002-2451-7958; Gil-Duran, Carlos Andres/0000-0001-9638-6902; Chavez, Renato/0000-0003-1754-3610; Levican, Gloria/0000-0002-1275-7399</t>
  </si>
  <si>
    <t>JAN 11</t>
  </si>
  <si>
    <t>e0147047</t>
  </si>
  <si>
    <t>10.1371/journal.pone.0147047</t>
  </si>
  <si>
    <t>WOS:000367888100190</t>
  </si>
  <si>
    <t>Carvalho-Santos, VL; Elias, RG; Altbir, D; Fonseca, JM</t>
  </si>
  <si>
    <t>Carvalho-Santos, V. L.; Elias, R. G.; Altbir, D.; Fonseca, J. M.</t>
  </si>
  <si>
    <t>Stability of skyrmions on curved surfaces in the presence of a magnetic field</t>
  </si>
  <si>
    <t>We study the stability and energetics associated to skyrmions appearing as excitations on curved surfaces. Using a continuum model we show that the presence of cylindrically radial and azimuthal fields destabilize the skyrmions that appear in the absence of an external field. Weak fields generate fractional skyrmions while strong magnetic fields yield stable 2 pi-skyrmions, which have their widths diminished by the magnetic field strength. Under azimuthal fields vortex appears as stable state on the curved surface. (C) 2015 Elsevier B.V. All rights reserved.</t>
  </si>
  <si>
    <t>Elias, Ricardo/F-2608-2012; Altbir, Dora/R-6781-2018; Carvalho-Santos, Vagson/E-8806-2013; Fonseca, Jakson/N-7354-2013</t>
  </si>
  <si>
    <t>Altbir, Dora/0000-0002-2945-4909; Carvalho-Santos, Vagson/0000-0002-2759-2152; Fonseca, Jakson/0000-0001-9441-026X</t>
  </si>
  <si>
    <t>WOS:000355260900029</t>
  </si>
  <si>
    <t>Redel, YD; Escudey, M; Alvear, M; Conrad, J; Borie, F</t>
  </si>
  <si>
    <t>Redel, Y. D.; Escudey, M.; Alvear, M.; Conrad, J.; Borie, F.</t>
  </si>
  <si>
    <t>Effects of land use change on P bioavailability determined by chemical fractionation and 31P-NMR spectroscopy in a Nothofagus forest and adjacent grassland</t>
  </si>
  <si>
    <t>JOURNAL OF SOIL SCIENCE AND PLANT NUTRITION</t>
  </si>
  <si>
    <t>The aim of this study was to compare P bioavailability in a Nothofagus rainforest Andisol (FS) and an adjacent clear-cut grassland soil (GS) in southern Chile to evaluate the effects of land use change on P chemical forms determined by chemical fractionation and P-31-NMR spectroscopy. Total phosphorus (P), Olsen P, microbial P, different soil P fractions (determined using a modified Hedley procedure), P-31-NMR spectroscopy results, acid phosphatase (P-ase) activity, pH and organic C were analyzed and compared. Forest samples were collected from the mineral soil at a depth of 2-20 cm and were compared with those collected from grassland soil at the same depth. Total P ranged from 2028 mg kg(-1) (FS) to 2157 mg kg(-1) (GL) and total organic P ranged from 829 mg kg(-1) (FS) to 1176 mg kg(-1) (GL). On the contrary, Olsen P, microbial P, labile P and P-ase activity were higher in the evergreen forest soil than in the grassland, with the predominance of the moderately labile (NaOH-P-o) fraction, which ranged from 668 to 720 mg kg(-1) in both soils. Phosphorus was mainly present in monoester-P form in the NMR extract in both soils (67 % on average). Other P-31-NMR signals were identified as C-2-myo-inositol phosphate and scyllo-inositol hexakisphosphate. The results suggest that land use change from forest to grassland will reduce P bioavailability and P-ase activity.</t>
  </si>
  <si>
    <t>redel, yonathan/JCE-1544-2023</t>
  </si>
  <si>
    <t>0718-9508</t>
  </si>
  <si>
    <t>0718-9516</t>
  </si>
  <si>
    <t>WOS:000374767800019</t>
  </si>
  <si>
    <t>Montalvo, S; San Martina, J; Huiliñir, C; Guerrero, L; Borja, R</t>
  </si>
  <si>
    <t>Montalvo, Silvio; San Martina, Julio; Huilinir, Cesar; Guerrero, Lorna; Borja, Rafael</t>
  </si>
  <si>
    <t>Assessment of a UASB reactor with high ammonia concentrations: Effect of zeolite addition on process performance</t>
  </si>
  <si>
    <t>PROCESS BIOCHEMISTRY</t>
  </si>
  <si>
    <t>The UASB process for wastewater treatment has been extensively studied, but the use of zeolite to improve UASB reactor performance has rarely been explored. In this study, a UASB reactor modified with natural zeolite operating at high nitrogen concentrations (0.5, 0.7 and 1 g/L) was evaluated. Two laboratory bioreactors, one with zeolite and one without, were operated at ambient temperatures ranging between 18 degrees C and 21 degrees C. The experimental phase had a start-up period of 21 days. In the reactor with zeolite, the pH was found to be between 7.9 and 9.1, with a COD removal efficiency of about 60% after 80 days of operation at ammonia concentrations of between 0.229 and 0.429 g/L in the effluent. In the reactor without zeolite, the pH was between 8.3 and 9.3, and the COD removal efficiency was about 40% at ammonia concentrations between 0.244 and 0.535 g/L in the effluent. The addition of zeolite also decreased the volatile suspended solids (VSS) concentration in the effluent, generating a biomass with larger granules and higher settling rates as compared to a UASB reactor without zeolite. Taking the lower ammonia concentration, the higher COD removal and the improved granulation into account, it can be concluded that natural zeolite positively influenced the behavior and performance of the UASB reactor operating with high nitrogen concentrations. (C)2014 Elsevier Ltd. All rights reserved.</t>
  </si>
  <si>
    <t>Borja, Rafael/0000-0002-3699-7223; Huilinir, Cesar/0000-0002-3487-684X</t>
  </si>
  <si>
    <t>1359-5113</t>
  </si>
  <si>
    <t>1873-3298</t>
  </si>
  <si>
    <t>10.1016/j.procbio.2014.09.011</t>
  </si>
  <si>
    <t>WOS:000347761100027</t>
  </si>
  <si>
    <t>Zapata, PA; Rabagliati, FM; Lieberwirth, I; Catalina, F; Corrales, T</t>
  </si>
  <si>
    <t>Zapata, Paula A.; Rabagliati, Franco M.; Lieberwirth, Ingo; Catalina, Fernando; Corrales, Teresa</t>
  </si>
  <si>
    <t>Study of the photodegradation of nanocomposites containing TiO2 nanoparticles dispersed in polyethylene and in poly(ethylene-co-octadecene)</t>
  </si>
  <si>
    <t>POLYMER DEGRADATION AND STABILITY</t>
  </si>
  <si>
    <t>Composites of polyethylene (PE) and poly(ethylene-co-1-octadecene) copolymer with 0.063 mol/L (LLDPE-1) and 0.38 mol/L (LLDPE-2) were synthesized by in situ polymerization using metallocene catalysts in the presence of titanium dioxide (TiO2) nanoparticles. There were two effects on the photoaged polymers: One was related to the insertion of comonomer in the polymer, which causes a large increase of chemiluminescence (CL) during photoaging, a behavior that is due to large branching of the polymer. The other effect was due to nanoparticles incorporated into the polymer, which promote and accelerate its photodegradation due to reactive species generated during irradiation. The photodegradation of the nanocomposites was confirmed by CL, carbonyl index (Cl), degree of crystallinity (%x), and microhardness (MH), which increased with photoaging time. After photoaging, the viscosity molecular weight of the copolymers, and consequently of their respective nanocomposites, decreased markedly. LLDPE-2-5TiO(2) nanocomposites had the highest degradation and presented an increase of the degree of crystallinity from 2 to 12% and also of the microhardness (ca. 90%) compared with the neat polymer. Furthermore, according to SEM analysis, after photoaging the polymers presented cavities of ca. 50 mu m. (C) 2014 Elsevier Ltd. All rights reserved.</t>
  </si>
  <si>
    <t>Lieberwirth, Ingo/Q-5862-2017; Catalina, Fernando/AAF-2569-2019; corrales, teresa/AAN-5978-2020</t>
  </si>
  <si>
    <t>Corrales, Teresa/0000-0002-0171-2283; Zapata, Paula Andrea/0000-0003-3361-6226; Catalina, Fernando/0000-0002-4620-8582</t>
  </si>
  <si>
    <t>0141-3910</t>
  </si>
  <si>
    <t>1873-2321</t>
  </si>
  <si>
    <t>10.1016/j.polymdegradstab.2014.06.020</t>
  </si>
  <si>
    <t>WOS:000345472900014</t>
  </si>
  <si>
    <t>Stability bands for moving solitons in uniform and inhomogeneous damped ac-driven circular Toda lattices</t>
  </si>
  <si>
    <t>CENTRAL EUROPEAN JOURNAL OF PHYSICS</t>
  </si>
  <si>
    <t>By means of systematic simulations, we study the motion of discrete solitons in weakly dissipative Toda lattices (TLs) with periodic boundary conditions, resonantly driven by a spatially staggered time-periodic (ac) force. A complex set of alternating stability bands and instability gaps, including scattered isolated stability points, is revealed in the parametric plane of the soliton's velocity and forcing amplitude for a given size of the circular lattice. The analysis is also reported for the circular TL including a single light- or heavymass defect. The stability chart as a whole shrinks and eventually disappears with the increase of the lattice's size and strength of the mass defect. Qualitative explanations to these findings are proposed. We also report the dependence of the stability area on the initial position of the soliton, finding that the area is largest for some intersite position. For a pair of solitons traveling in opposite directions, there exist regimes where both solitons survive periodic collisions in small-size lattices.</t>
  </si>
  <si>
    <t>1895-1082</t>
  </si>
  <si>
    <t>1644-3608</t>
  </si>
  <si>
    <t>10.2478/s11534-013-0281-6</t>
  </si>
  <si>
    <t>WOS:000328838400003</t>
  </si>
  <si>
    <t>Garcia-Marcos, P; Pacheco-Gonzalez, R; Sanchez-Solis, M; Mallol, J; Brand, P; Sole, D; Garcia-Marcos, L</t>
  </si>
  <si>
    <t>Garcia-Marcos, Patricia; Pacheco-Gonzalez, Rosa; Sanchez-Solis, Manuel; Mallol, Javier; Brand, Paul; Sole, Dirceu; Garcia-Marcos, Luis</t>
  </si>
  <si>
    <t>Parental history of atopy modifies the effect of breast feeding on recurrent wheeze in infants</t>
  </si>
  <si>
    <t>EUROPEAN RESPIRATORY JOURNAL</t>
  </si>
  <si>
    <t>Sanchez-Solis, Manuel/AAQ-8717-2020; Brand, Paul/ABB-3693-2021; Solé, Dirceu/JAO-0340-2023</t>
  </si>
  <si>
    <t>0903-1936</t>
  </si>
  <si>
    <t>1399-3003</t>
  </si>
  <si>
    <t>WOS:000209370401239</t>
  </si>
  <si>
    <t>Neumann, RF; Bahiana, M; Allende, S; Escrig, J; Altbir, D</t>
  </si>
  <si>
    <t>Neumann, R. F.; Bahiana, M.; Allende, S.; Escrig, J.; Altbir, D.</t>
  </si>
  <si>
    <t>Confinement of magnetic nanoparticles inside multisegmented nanotubes by means of magnetic field gradients</t>
  </si>
  <si>
    <t>The possibility of confining magnetic nanoparticles inside multisegmented nanotubes by using strong field gradients is considered by means of Monte Carlo simulations. The problem is reduced to the random walk performed by the nanoparticle on the energy landscape produced by the tube's magnetic field. The role of tube material, number of segments, and spacer thickness in the amount of time spent by the particle inside the tube is examined, concluding that it is possible to control the encapsulation time by using different architectures. (C) 2012 American Institute of Physics. [doi:10.1063/1.3676285]</t>
  </si>
  <si>
    <t>Escrig, Juan/N-4304-2015; Altbir, Dora/R-6781-2018; Neumann, Rodrigo/D-8111-2013</t>
  </si>
  <si>
    <t>Escrig, Juan/0000-0002-3958-8185; Altbir, Dora/0000-0002-2945-4909; Neumann, Rodrigo/0000-0003-4435-0507</t>
  </si>
  <si>
    <t>10.1063/1.3676285</t>
  </si>
  <si>
    <t>WOS:000299127200069</t>
  </si>
  <si>
    <t>Cortez, MI; Solomyak, B</t>
  </si>
  <si>
    <t>Cortez, M. I.; Solomyak, B.</t>
  </si>
  <si>
    <t>INVARIANT MEASURES FOR NON-PRIMITIVE TILING SUBSTITUTIONS</t>
  </si>
  <si>
    <t>We consider self-affine tiling substitutions in Euclidean space and the corresponding tiling dynamical systems. It is well known that in the primitive case, the dynamical system is uniquely ergodic. We investigate invariant measures when the substitution is not primitive and the tiling dynamical system is non-minimal. We prove that all ergodic invariant probability measures are supported on minimal components, but there are other natural ergodic invariant measures, which are infinite. Under some mild assumptions, we completely characterize sigma-finite invariant measures which are positive and finite on a cylinder set. A key step is to establish recognizability of non-periodic tilings in our setting. Examples include the integer Sierpinski gasket and carpet tilings. For such tilings, the only invariant probability measure is supported on trivial periodic tilings, but there is a fully supported sigma-finite invariant measure that is locally finite and unique up to scaling.</t>
  </si>
  <si>
    <t>Cortez, Maria Isabel/0000-0002-1819-032X</t>
  </si>
  <si>
    <t>10.1007/s11854-011-0031-x</t>
  </si>
  <si>
    <t>WOS:000300373400011</t>
  </si>
  <si>
    <t>Olmos, C; Sandoval, R; Rozas, C; Navarro, S; Wyneken, U; Zeise, M; Morales, B; Pancetti, F</t>
  </si>
  <si>
    <t>Olmos, Cristina; Sandoval, Rodrigo; Rozas, Caros; Navarro, Sebastian; Wyneken, Ursula; Zeise, Marc; Morales, Bernardo; Pancetti, Floria</t>
  </si>
  <si>
    <t>Effect of short-term exposure to dichlorvos on synaptic plasticity of rat hippocampal slices: Involvement of acylpeptide hydrolase and α7 nicotinic receptors</t>
  </si>
  <si>
    <t>TOXICOLOGY AND APPLIED PHARMACOLOGY</t>
  </si>
  <si>
    <t>Dichlorvos is the active molecule of the pro-drug metrifonate used to revert the cognitive deficits associated with Alzheimer's disease. A few years ago it was reported that dichlorvos inhibits the enzyme acylpeptide hydrolase at lower doses than those necessary to inhibit acetylcholinesterase to the same extent. Therefore, the aim of our investigation was to test the hypothesis that dichlorvos can enhance synaptic efficacy through a mechanism that involves acylpeptide hydrolase instead of acetylcholinesterase inhibition. We used long-term potentiation induced in rat hippocampal slices as a model of synaptic plasticity. Our results indicate that short-term exposures (20 min) to 50 mu M dichlorvos enhance long-term potentiation in about 200% compared to the control condition. This effect is correlated with approximately 60% inhibition of acylpeptide hydrolase activity, whereas acetylcholinesterase activity remains unaffected. Paired-pulse facilitation and inhibition experiments indicate that dichlorvos does not have any presynaptic effect in the CA3 -&gt; CA1 pathway nor affect gabaergic interneurons. Interestingly, the application of 100 nM methyllicaconitine, all alpha(7) nicotinic receptor antagonist, blocked the enhancing effect of dichlorvos on long-term potentiation. These results indicate that under the exposure conditions described above, dichlorvos enhances long-term potentiation through a postsynaptic mechanism that involves (a) the inhibition of the enzyme acylpeptide hydrolase and (b) the modulation Of alpha(7) nicotinic receptors. (c) 2009 Elsevier Inc. All rights reserved.</t>
  </si>
  <si>
    <t>Morales Castañeda, Bernardo/GPP-1642-2022; Pancetti, Floria/A-2491-2013; Sandoval, Rodrigo/I-2792-2013; Wyneken, Ursula/AEF-2609-2022</t>
  </si>
  <si>
    <t>Rozas, Carlos/0000-0002-6422-9600; Pancetti, Floria/0000-0002-6990-9832; Wyneken, Ursula/0000-0001-8913-4475</t>
  </si>
  <si>
    <t>0041-008X</t>
  </si>
  <si>
    <t>1096-0333</t>
  </si>
  <si>
    <t>10.1016/j.taap.2009.04.011</t>
  </si>
  <si>
    <t>WOS:000267009800005</t>
  </si>
  <si>
    <t>Vera-Villarroel, P; Buela-Casal, G; Celis-Atenas, K; Córdova-Rubio, N; Encina-Olea, N; Spielberger, CD</t>
  </si>
  <si>
    <t>Vera-Villarroel, Pablo; Buela-Casal, Gualberto; Celis-Atenas, Karem; Cordova-Rubio, Natalia; Encina-Olea, Natalia; Spielberger, Charles D.</t>
  </si>
  <si>
    <t>Chilean experimental version of the State-Trait Depression Questionnaire (ST-DEP):: Trait sub-scale (T-DEP)</t>
  </si>
  <si>
    <t>This instrumental study presents the first validity and reliability data for the Trait subscale (T-DEP) of the Chilean experimental version of the State and Trait Depression Inventory (ST-DEP): Euthymia and Dysthymia. The data were obtained from a sample of 300 university students. The internal consistency values for the T-DEP were high (.90). The test-retest values from eight weeks time interval (fifty six days) were elevated (.78). A factorial analysis of the principal components revealed a principal factor for all of the constructed items in this experimental version of the T-DEP. The last, promax rotation showed two clear main factors similar in size: negative affectivity (Dysthymia) and positive affectivity (Euthymia). The convergent validity indexes for the Beck Depression Inventory and the Zung Self Rating Depression Scale, were also high, with indexes ranging from .64 to .71. The correlation between State-Trait Anxiety Inventory and the depression scales used in this study was high (between .63 and .78), once again indicating the usual overlapping between anxiety and depression seen in most depression inventories.</t>
  </si>
  <si>
    <t>Vera-Villarroel, Pablo/AAQ-8476-2020; Vera-Villarroel, Pablo/A-1134-2011</t>
  </si>
  <si>
    <t>Vera-Villarroel, Pablo/0000-0001-9187-8414</t>
  </si>
  <si>
    <t>WOS:000255769800014</t>
  </si>
  <si>
    <t>Useglio, M; Castellano, PM; Operto, MA; Torres, R; Kaufman, TS</t>
  </si>
  <si>
    <t>Useglio, Mariana; Castellano, Patricia M.; Operto, Maria A.; Torres, Rene; Kaufman, Teodoro S.</t>
  </si>
  <si>
    <t>Synthesis of 3H-spiro[benzofuran-2,1′-cyclohexane] derivatives from naturally occurring filifolinol and their classical complement pathway inhibitory activity</t>
  </si>
  <si>
    <t>BIOORGANIC &amp; MEDICINAL CHEMISTRY LETTERS</t>
  </si>
  <si>
    <t>Six 3H-spiro[benzofuran-2,1 '-cyclohexane] derivatives were synthesized from naturally occurring filifolinol, and their classical complement pathway inhibitory activity was determined. IC50 values of the most potent compounds were comparable to the activity of the natural complement inhibitor K76-COOH and some synthetic tricyclic analogs of it. (c) 2006 Elsevier Ltd. All rights reserved.</t>
  </si>
  <si>
    <t>Kaufman, Teodoro/0000-0003-3173-2178</t>
  </si>
  <si>
    <t>0960-894X</t>
  </si>
  <si>
    <t>1464-3405</t>
  </si>
  <si>
    <t>10.1016/j.bmcl.2006.07.029</t>
  </si>
  <si>
    <t>WOS:000240615400023</t>
  </si>
  <si>
    <t>Dobrego, KV; Gnesdilov, NN; Kozlov, IM; Bubnovich, VI; Gonzalez, HA</t>
  </si>
  <si>
    <t>Numerical-investigation of the new regenerator-recuperator scheme of VOC oxidizer</t>
  </si>
  <si>
    <t>INTERNATIONAL JOURNAL OF HEAT AND MASS TRANSFER</t>
  </si>
  <si>
    <t>The new regenerator-recuperator scheme of filtration combustion VOC oxidizing reactor is under research. Its main characteristics, such as maximum temperature of reactor, temperature of exhaust gases, NO emission and others are calculated and compared with the same characteristics of other types of reactors (co-flow filtration combustion wave reactor, counter-flow heat exchange recuperative reactor, reverse flow regenerative reactor). It is shown that the regenerator-recuperator scheme provides important advantages (wide range of flow rate, and equivalence ratio of the combustible, low temperature of the exhaust gases) compared to conventional schemes. (c) 2005 Elsevier Ltd. All rights reserved.</t>
  </si>
  <si>
    <t>Dobrego, Kirill/HTM-4644-2023; González Rojas, Hernán A./HTQ-1244-2023</t>
  </si>
  <si>
    <t>Gonzalez Rojas, Hernan Alberto/0000-0001-8911-0115</t>
  </si>
  <si>
    <t>0017-9310</t>
  </si>
  <si>
    <t>1879-2189</t>
  </si>
  <si>
    <t>23-24</t>
  </si>
  <si>
    <t>10.1016/j.ijheatmasstransfer.2005.07.003</t>
  </si>
  <si>
    <t>WOS:000232602900002</t>
  </si>
  <si>
    <t>Cong, HN; El Abbassi, K; Gautier, JL; Chartier, P</t>
  </si>
  <si>
    <t>Oxygen reduction on oxide/polypyrrole composite electrodes: effect of doping anions</t>
  </si>
  <si>
    <t>Multilayered composite electrodes on glassy carbon, GC, having the structure GC/PPy/PPy(Ox)/PPy, with PPy the polypyrrole and Ox a mixed valence oxide of transition metals, exhibit high reactivity and stability towards the oxygen reduction reaction (orr), when the orr proceeds electrocatalytically on the oxide particles dispersed throughout the inner layer, PPy(Ox). However the nature and concentration of the doping anions, A, of PPy have a profound effect on the resulting orr currents, due to their effects on the conductivity and morphology of the PPy layers. The paper shows and discusses these effects in the case of the composite electrode with Ox = Cu1.4Mn1.6O4 and A = Cl-, ClO4-, NO3-, PF6- and SO42-, in acid solution (pH 2.2). Optimal conditions were encountered with Cl-. (C) 2004 Elsevier Ltd. All rights reserved.</t>
  </si>
  <si>
    <t>JAN 30</t>
  </si>
  <si>
    <t>10.1016/j.electacta.2004.08.025</t>
  </si>
  <si>
    <t>WOS:000226470200012</t>
  </si>
  <si>
    <t>Mimica, D; Bedioui, F; Zagal, JH</t>
  </si>
  <si>
    <t>Reversibility of the L-cysteine/L-cystine redox process at physiological pH on graphite electrodes modified with coenzyme B12 and vitamin B12</t>
  </si>
  <si>
    <t>We report on the electrocatalytic activity of immobilized coenzyme B-12 and vitamin B-12 (as aquocobalamin) for the electrooxidation Of L-cysteine and their effects on the electrochemical reversibility of the L-cysteine/L-cystine redox couple, a crucial biological system. Cyclic voltammograms of coenzyme B-12 adsorbed on a graphite electrode show that upon the reductive elimination of the 5'-deoxyadenosyl group from the cobalt center, at approximately -1.1 V, the electrochemical response of the modified electrode becomes similar to that of aquocobalamin. The electrochemically pretreated coenzyme B-12 shows a high electrocatalytic activity for the electro-oxidation Of L-cysteine at physiological pH that has never been observed before with the commonly used metallophthalocyanine catalysts. Also, its activity is slightly higher than that exhibited by aquocobalamin. (C) 2002 Elsevier Science Ltd. All rights reserved.</t>
  </si>
  <si>
    <t>zagal, jose/L-9648-2014; Bedioui, Fethi/N-3507-2014</t>
  </si>
  <si>
    <t>Bedioui, Fethi/0000-0002-0063-4412</t>
  </si>
  <si>
    <t>DEC 20</t>
  </si>
  <si>
    <t>PII S0013-4686(02)00647-3</t>
  </si>
  <si>
    <t>10.1016/S0013-4686(02)00647-3</t>
  </si>
  <si>
    <t>WOS:000180408400004</t>
  </si>
  <si>
    <t>Dall'Oglio, E; Caro, MB; Gesser, JC; Zucco, C; Rezende, MC</t>
  </si>
  <si>
    <t>The influence of substituents on the tautomerism of symmetrically substituted 2,2′-bisbenzimidazoles</t>
  </si>
  <si>
    <t>The tautomerism of five symmetrically substituted 2,2'-bis-benzimidazoles [5(6),5'(6')-tetramethyl- (1); 5(6),5'(6')-dimethyl-(2); 5(6),5'(6')-dichloro-(3); 5(6),5'(6')-dimethoxy-(4) and 4(7),4'(7')-dimethyl-2,2'-bis-benzimidazole (5)], was studied by means of H-1 NMR spectroscopy at variable temperatures, and the influence of the substituents on the energy barriers for tautomeric interconversion was interpreted with the aid of theoretical calculations.</t>
  </si>
  <si>
    <t>Caroli, Marcos/H-3570-2019; Dall´Oglio, Evandro/S-1896-2019</t>
  </si>
  <si>
    <t>Rezende, Marcos/0000-0003-2040-9009</t>
  </si>
  <si>
    <t>10.1590/S0103-50532002000200018</t>
  </si>
  <si>
    <t>WOS:000174728900017</t>
  </si>
  <si>
    <t>Chacón, M; Rocco, V; Morgado, E; Sáez, E; Pliscoff, S</t>
  </si>
  <si>
    <t>Prediction of the length of stay in Intensive Care Units using artificial neural networks</t>
  </si>
  <si>
    <t>Background: The prediction of the length of stay at the moment of hospital admission is of outmost importance. Many studies have used lineal models to predict this variable, but there are inherent limitations to these models. The use of non lineal models has been scarce. Aim. To develop a non lineal model to predict length of stay in intensive care units. Material and methods: Retrospective analysis of 294 patients admitted to two intensive care units in Santiago, Chile. The severity of the disease motivating the admission was nominally quantified. This and other physiological variables were included in the model. The length of stay was modeled using Artificial Neural Networks. Results: The model yielded an en-or of 8.7% (3.6 +/- 0.4 days, CI 95010 and a correlation coefficient of 0.9 (p &lt;0.001)for, the prediction of length of stay. Using net sensitivity analysis, the model determined that gastrointestinal diseases, infections and respiratory problems were the main causes of prolongation of intensive care unit stay. Conclusions: Intensive care units should have, in the future, computer systems that gather vital information to predict length of stay.</t>
  </si>
  <si>
    <t>WOS:000174303900010</t>
  </si>
  <si>
    <t>Campos, AM; Lissi, EA; Vergara, C; Lanio, ME; Alvarez, C; Pazos, I; Morera, V; García, Y; Martinez, D</t>
  </si>
  <si>
    <t>Kinetics and mechanism of St I modification by peroxyl radicals</t>
  </si>
  <si>
    <t>JOURNAL OF PROTEIN CHEMISTRY</t>
  </si>
  <si>
    <t>St I is a toxin present in the Caribbean Sea anemone Stichodactyla helianthus which is highly hemolytic in the nanomolar concentration range. Exposure of the toxin to free radicals produced in the pyrolysis of 2,2'-azobis(2-amidinopropane) hydrochloride leads to a progressive loss of hemolytic activity. This loss of hemolytic activity is accompanied by extensive modification of tryptophan residues. On the average, three tryptophan residues are modified by each inactivated toxin. The loss of hemolytic activity of St I takes place without significant changes in the protein structure, as evidenced by the similarity of the fluorescence and CD spectra of native and modified proteins. Also, the native and modified ensembles present a similar resistance to their denaturation by guanidinium chloride. The hemolytic behavior and the performance of the toxin at the single-channel level when incorporated to black lipid membranes suggest that the modified ensemble can be considered as composed of inactive toxins and active toxins whose behavior is similar to that of the native proteins. These results, together with the lack of induction time in the activity loss, suggest that the fall of hemolytic activity takes place by an all-or-nothing inactivation mechanism in which the molecules become inactive when a critical amino acid residue is modified.</t>
  </si>
  <si>
    <t>Vergara, Cecilia/H-6964-2014; Campos Staffico, Alessandra/IOK-4172-2023</t>
  </si>
  <si>
    <t>Morera, Vivian/0000-0003-3026-9716; Fabiola, Isabel/0000-0002-9502-2186</t>
  </si>
  <si>
    <t>0277-8033</t>
  </si>
  <si>
    <t>10.1023/A:1021087312176</t>
  </si>
  <si>
    <t>WOS:000080782300006</t>
  </si>
  <si>
    <t>Rigorous estimates for correlation functions and existence of phase transitions in some models of interacting bosons</t>
  </si>
  <si>
    <t>INTERNATIONAL JOURNAL OF MODERN PHYSICS B</t>
  </si>
  <si>
    <t>Using the so-called method of infrared bounds and a Roepstorff's inequality we obtain a lower bound for the amount of condensate and derive an upper bound for the anomalous average lim(delta-0)lim(v--&gt;infinity)(1/V)/[a(0) dagger](delta)\(2) of Huang-Davies (HD) model. A lower bound for ab the static structure factor is also obtained. We generalize the HD model and prove the existence of Bose condensation for this kind of model systems. Finally we derived upper and lower bounds for correlation functions associated to a system of Fermi-particles interacting with a field of phonons.</t>
  </si>
  <si>
    <t>Sankovich, Dmitry/0000-0001-7325-3146</t>
  </si>
  <si>
    <t>0217-9792</t>
  </si>
  <si>
    <t>10.1142/S0217979297001635</t>
  </si>
  <si>
    <t>WOS:000071164000006</t>
  </si>
  <si>
    <t>KERRES, U; MACK, G; PALMA, G</t>
  </si>
  <si>
    <t>A SELF-CONSISTENT STUDY OF THE PHASE-TRANSITION IN THE SCALAR ELECTROWEAK THEORY AT FINITE-TEMPERATURE</t>
  </si>
  <si>
    <t>NUCLEAR PHYSICS B</t>
  </si>
  <si>
    <t>XIIth International Symposium on Lattice Field Theory (LATTICE 94)</t>
  </si>
  <si>
    <t>SEP 27-OCT 01, 1994</t>
  </si>
  <si>
    <t>BIELEFELD, GERMANY</t>
  </si>
  <si>
    <t>ALENIA SPAZIO,CRAY RES,DEUT FORSCHUNGSGEMEINSCH,INT SCI FDN,STADT BIELEFELD,THINKING MACHINES,WESTFALISCH LIPPISCHE UNIVERSITATSGESELL</t>
  </si>
  <si>
    <t>We propose the study of tile phase transition ill the scalar electroweak theory at finite temperature by a two - step method. It combines i) dimensional reduction to a 3-dimensional lattice theory via perturbative blockspin transformation, and ii) either further real space renormalization group transformations, or solution of gap equations, for tile 3d lattice theory. A gap equation can be obtained by using tile Peierls inequality to find the best quadratic approximation to the 3d action. This Method avoids the lack of self consistency of tile usual treatments which do not separate infrared and UV-problems by introduction of a lattice cutoff. The effective 3d lattice action could also be used ill computer simulations.</t>
  </si>
  <si>
    <t>0550-3213</t>
  </si>
  <si>
    <t>1873-1562</t>
  </si>
  <si>
    <t>10.1016/0920-5632(95)00318-4</t>
  </si>
  <si>
    <t>WOS:A1995QZ61700139</t>
  </si>
  <si>
    <t>Escobar-Farfán, M; García-Salirrosas, EE; Guerra-Velásquez, M; Veas-González, I; Gómez-Bayona, L; Gallardo-Canales, R</t>
  </si>
  <si>
    <t>Escobar-Farfan, Manuel; Garcia-Salirrosas, Elizabeth Emperatriz; Guerra-Velasquez, Mauricio; Veas-Gonzalez, Ivan; Gomez-Bayona, Ledy; Gallardo-Canales, Rodrigo</t>
  </si>
  <si>
    <t>Psychological Determinants of Healthy Food Purchase Intention: An Integrative Model Based on Health Consciousness</t>
  </si>
  <si>
    <t>NUTRIENTS</t>
  </si>
  <si>
    <t>Background/Objectives: Health consciousness has emerged as a key driver of healthy food purchase decisions in the post-pandemic era. Despite growing interest in health-oriented products, the psychological mechanisms through which health consciousness influences purchase intentions remain understudied. This research examined how health consciousness impacts healthy food purchase intentions through multiple psychological pathways, integrating the Theory of Planned Behavior with additional constructs. Methods: Data were collected through an online survey of 573 Peruvian consumers. Healthy foods were operationalized based on their nutritional quality, including a high nutrient content, low saturated fats and added sugars levels, and minimal processing. Structural equation modeling was employed to test the hypothesized relationships between health consciousness, attitudes, perceived behavioral control, self-identity, moral norms, and purchase intention. Results: Health consciousness demonstrated significant direct effects on all psychological mediators (attitudes: beta = 0.643; perceived behavioral control: beta = 0.593; self-identity: beta = 0.638; moral norms: beta = 0.613) and purchase intention (beta = 0.163). However, only perceived behavioral control (beta = 0.261) and self-identity (beta = 0.107) significantly influenced the purchase intention, while the effects of attitudes and moral norms were non-significant. Conclusions: The findings challenge traditional assumptions about the primacy of attitudes in consumer decision making and highlight the importance of perceived behavioral control and self-identity in translating health consciousness into purchase intentions. Successfully promoting healthy food consumption requires strategies addressing both practical barriers and identity-related aspects of food choice, providing valuable insights for food marketers and public health initiatives.</t>
  </si>
  <si>
    <t>García-salirrosas, Elizabeth/JBJ-6862-2023; Escobar Farfán, Manuel/HJH-8388-2023; Veas, Ivan/KHV-0130-2024</t>
  </si>
  <si>
    <t>Veas-Gonzalez, Ivan/0000-0003-0608-0788</t>
  </si>
  <si>
    <t>2072-6643</t>
  </si>
  <si>
    <t>MAR 26</t>
  </si>
  <si>
    <t>10.3390/nu17071140</t>
  </si>
  <si>
    <t>WOS:001463736500001</t>
  </si>
  <si>
    <t>Sánchez-Zamorano, S; Rolack-Jaramillo, S; Ossandón-Pérez, M; Moruno-Miralles, P</t>
  </si>
  <si>
    <t>Sanchez-Zamorano, Soledad; Rolack-Jaramillo, Samanta; Ossandon-Perez, Mariapaz; Moruno-Miralles, Pedro</t>
  </si>
  <si>
    <t>Exploring professional reasoning in occupational therapy: A scoping review of recent research</t>
  </si>
  <si>
    <t>BRITISH JOURNAL OF OCCUPATIONAL THERAPY</t>
  </si>
  <si>
    <t>Background: Professional reasoning in occupational therapy has become a key line of research. Updating and analyzing recent publications is crucial for the discipline. The objective of the research was to describe new findings and changes in the characteristics of research on professional reasoning in occupational therapy between 2019 and 2023.Method: A scoping review was used with the aim of identifying the development and scope of the literature on professional reasoning in occupational therapy from 2019 to 2023. The review was conducted in five stages following the PRISMA-ScR guidelines.Results: Seventy-six articles were described in terms of their nature and volume under the following categories: specific fields of practice, educational strategies for professional reasoning, theoretical discussions, and instruments related to professional reasoning. New findings include two professional reasoning modalities, five practice-related areas, and intervention programs that had not been previously described. Additionally, there has been an increase in the use of mixed methods.Conclusion: This scoping review identifies the nature and volume of literature on professional reasoning in recent years. The study reveals consolidated research lines focused on practice and teaching, alongside new findings and changes observed in recent studies.</t>
  </si>
  <si>
    <t>Moruno, Pedro/AAR-5944-2021</t>
  </si>
  <si>
    <t>Ossandon Perez, Maria Paz/0000-0001-7115-1197; Sanchez-Zamorano, Soledad/0009-0008-5007-8160</t>
  </si>
  <si>
    <t>0308-0226</t>
  </si>
  <si>
    <t>1477-6006</t>
  </si>
  <si>
    <t>2025 JAN 21</t>
  </si>
  <si>
    <t>10.1177/03080226241310724</t>
  </si>
  <si>
    <t>WOS:001400924600001</t>
  </si>
  <si>
    <t>Hunersen, K; Ramaiya, A; Cabral, CS; Maddaleno, M; Mmari, K</t>
  </si>
  <si>
    <t>Hunersen, Kara; Ramaiya, Astha; Cabral, Cristiane S.; Maddaleno, Matilde; Mmari, Kristin</t>
  </si>
  <si>
    <t>Supporting Young Learners During Remote Education: How Context and Gender Shape Adolescent Experiences</t>
  </si>
  <si>
    <t>JOURNAL OF ADOLESCENT HEALTH</t>
  </si>
  <si>
    <t>Purpose: The COVID-19 pandemic prompted a global closing of schools that raised questions on the implications for students. This study examines the impact of remote education, and subsequent social isolation, on adolescent well-being among urban poor young adolescents worldwide. Methods: Qualitative data were collected through focus group discussions with urban poor adolescents in 7 countries and 8 sites, for a total sample size of 249 adolescents. Discussion guides addressed attitudes toward remote education strategies and its perceived impact on health, relationships, and learning. Analysis used an inductive thematic coding approach, with comparison by site and gender. Results: Adolescents experienced opposite extremes of remote education, with those from lower- income sites feeling abandoned by educators and systems and those from higher-income sites feeling increased external pressure and loneliness. Both boys and girls reported declining mental health, although boys reported more access to support structures than girls. All students missed connections with peers and teachers. Discussion: Although all adolescents struggled with remote education, their challenges differed by context and gender. School systems should consider conducting a student needs assessment to ensure future remote education is accessible and beneficial to adolescents in each site. Families and teachers should take a gender-equal approach to assistance, ensuring adolescents have equal opportunities and agency to reach out for, and receive, educational and emotional support. (c) 2024 Published by Elsevier Inc. on behalf of Society for Adolescent Health and Medicine. This is an open access article under the CC BY-NC-ND license (http://creativecommons.org/licenses/by-nc-nd/ 4.0/).</t>
  </si>
  <si>
    <t>Ramaiya, Astha/AAB-7826-2019</t>
  </si>
  <si>
    <t>1054-139X</t>
  </si>
  <si>
    <t>1879-1972</t>
  </si>
  <si>
    <t>S43</t>
  </si>
  <si>
    <t>S49</t>
  </si>
  <si>
    <t>10.1016/j.jadohealth.2024.08.007</t>
  </si>
  <si>
    <t>NOV 2024</t>
  </si>
  <si>
    <t>WOS:001364654000006</t>
  </si>
  <si>
    <t>Andrade, D; Maldonado-Bravo, F; Alburquerque, A; Pérez, C; Gamboa, A; Caro, N; Díaz-Dosque, M; Gotelland, M; Abugoch, L; Tapia, C</t>
  </si>
  <si>
    <t>Andrade, Daniela; Maldonado-Bravo, Francisca; Alburquerque, Amador; Perez, Camilo; Gamboa, Alexander; Caro, Nelson; Diaz-Dosque, Mario; Gotelland, Martin; Abugoch, Lilian; Tapia, Cristian</t>
  </si>
  <si>
    <t>Nanoencapsulation of Maqui (Aristotelia chilensis) Extract in Chitosan-Tripolyphosphate and Chenopodin-Based Systems</t>
  </si>
  <si>
    <t>ANTIOXIDANTS</t>
  </si>
  <si>
    <t>Maqui berries contain a high percentage of anthocyanins with high antioxidant and anti-inflammatory capacity but that are unstable in the colonic site. Nanocarriers based on polysaccharides and/or proteins can protect against the degradation of anthocyanins. The aim of this study was the nanoencapsulation of maqui extract (ME) in chitosan-tripolyphosphate (CTPP-ME), chenopodin (CH-ME), and chenopodin-alginate (CHA-ME). A standardised ME was prepared and then encapsulated in the nanosystems. The physicochemical properties, encapsulation parameters, and the interactions of ME with the nanovehicles were characterised. The cyanidin-3-glucoside released and ORAC activity in phosphate buffer at pH 7.4 were evaluated. The content of ME was 8-9 mg of cyanidin-3-glucoside/g of extract. CTPP with ME at 3% obtained the highest encapsulation efficiency (EE = 91%), and no significant differences were observed in size (274-362 nm), PDI (0.5-0.7), and zeta potential (+34-+41 mV) when the concentration of ME changed from 1% to 5%. CH-ME was shown to be smaller (152 nm) than CTPP-ME, and CH-ME and CHA-ME showed lower EE (79% and 54%, respectively) than CTPP-ME. FT-IR revealed a stronger interaction of ME with CTPP-ME than with CH-ME. Both systems showed a significantly lower release than free ME, and the T50 value of CTPP-ME 3% (328 min) was higher than CH-ME (197 min). Both protected the ORAC activity of ME.</t>
  </si>
  <si>
    <t>Diaz- Dosque, Mario/IUO-0636-2023; Gotteland, Martin/AAT-5962-2021; Gotteland, Martin/A-1841-2008</t>
  </si>
  <si>
    <t>Diaz-Dosque, Mario/0000-0001-5843-1274; Gotteland, Martin/0000-0002-8833-6558; Gamboa, Alexander/0000-0002-1423-9632</t>
  </si>
  <si>
    <t>2076-3921</t>
  </si>
  <si>
    <t>10.3390/antiox13030273</t>
  </si>
  <si>
    <t>WOS:001192095900001</t>
  </si>
  <si>
    <t>Torres-Ossandón, MJ; Castillo, L; Uribe, E; Bilbao-Sainz, C; Ah-Hen, KS; Vega-Gálvez, A</t>
  </si>
  <si>
    <t>Torres-Ossandon, Maria Jose; Castillo, Luis; Uribe, Elsa; Bilbao-Sainz, Cristina; Ah-Hen, Kong Shun; Vega-Galvez, Antonio</t>
  </si>
  <si>
    <t>Combined Effect of High Hydrostatic Pressure and Proteolytic Fraction P1G10 from Vasconcellea cundinamarcensis Latex against Botrytis cinerea in Grape Juice</t>
  </si>
  <si>
    <t>FOODS</t>
  </si>
  <si>
    <t>The effect of high hydrostatic pressure (HHP) and the proteolytic fraction P1G10 from papaya latex was studied to find out whether a synergy exists in the growth inhibition of Botrytis cinerea in grape juice, contributing to the improvement of conservation techniques and extending the shelf life and quality of food products. Grape juice (GJ) diluted to 16 degrees Brix with a water activity (a(w)) of 0.980 was prepared from a concentrated GJ and used in this study. Results indicated a 92% growth inhibition of B. cinerea when exposed to 1 mg/mL of P1G10 and 250 MPa/4 min of pressure treatment. The proximate composition and antioxidant compounds present in the GJ were not significantly affected after the treatments. Eight phenolic compounds and two flavonoids in GJ were identified and quantified, with values fluctuating between 12.77 +/- 0.51 and 240.40 +/- 20.9 mg/L in the control sample (0.1 MPa). The phenolic compounds showed a significant decrease after the applied treatments, with the HHP sample having a content of 65.4 +/- 6.9 mg GAE/100 mL GJ. In conclusion, a synergistic effect at moderate HHP of 250 MPa/4 min with the addition of P1G10 was observed, and the successful development of a stable and acceptable GJ product was possible.</t>
  </si>
  <si>
    <t>Ah-Hen, Kong/D-2591-2011; Vega-Galvez, Antonio/F-1089-2015</t>
  </si>
  <si>
    <t>Vega-Galvez, Antonio/0000-0001-9991-6139; Castillo, Luis/0000-0003-1834-8390</t>
  </si>
  <si>
    <t>2304-8158</t>
  </si>
  <si>
    <t>10.3390/foods12183400</t>
  </si>
  <si>
    <t>WOS:001076208300001</t>
  </si>
  <si>
    <t>Fuentes, I; Mmbaga, JP; Blanco, A; Hayes, RE; Gracia, F</t>
  </si>
  <si>
    <t>Fuentes, Ismael; Mmbaga, Joseph P.; Blanco, Adriana; Hayes, Robert E.; Gracia, Francisco</t>
  </si>
  <si>
    <t>Kinetic model of CO2 methanation in a microreactor under Power-to-Gas conditions</t>
  </si>
  <si>
    <t>JOURNAL OF CO2 UTILIZATION</t>
  </si>
  <si>
    <t>The kinetics of CO2 methanation using a 12%Ni/gamma-Al2O3 catalyst was modeled in a catalytic microreactor, considering the three-dimensional momentum, heat and species continuity balances in stationary state. The microreactor consisted of 80 microchannels with dimensions 0.45 x 0.15 x 50 mm(3) in each one with an average 0.04 mm catalytic thickness. Several experimental tests were carried out at various conditions of flow rate (110, 130 and 140 mL/min), temperature (275, 300, 325 and 350 degrees C) and reactants partial pressure. Kinetic parameters were modeled and fitted using COMSOL Multiphysics 6.0 and Matlab 2021 R. Using the corrected Akaike information criterion (AICc), it was determined that a power kinetic model with a low kinetic exponent, 0.12 &lt;= n &lt;= 0.18, is adequate to represent a wide range of experimental CO2 conversion and CH4 yield (up to 86%) data. An activation energy around 83-85 kJ/mol was estimated, as well as a correlation between the different parameters of the power rate law. The temperature raise significantly increases the CO2 conversion and methane yield under the operational conditions used, due to the distance from thermodynamic equilibrium. It was numerically verified that under the experimental conditions the microchannels operate isothermally. Using this model, it is possible to evaluate the effect of operational variables (temperature, volumetric flow and H-2/CO2 ratio) and reactor design (microchannel surface/volume ratio) on methane production, proving potential application in catalytic efficiency studies for Power-to-Gas applications. It is clear that processes intensification is useful to achieve higher CO2 conversions fostering sustainable development of closed-carbon production cycles.</t>
  </si>
  <si>
    <t>; Gracia, Francisco/I-2145-2013</t>
  </si>
  <si>
    <t>Fuentes Pereira, Ismael/0009-0000-9016-6976; Gracia, Francisco/0000-0001-5266-3234; Blanco-Leal, Adriana/0000-0002-2864-4778</t>
  </si>
  <si>
    <t>2212-9820</t>
  </si>
  <si>
    <t>2212-9839</t>
  </si>
  <si>
    <t>10.1016/j.jcou.2023.102552</t>
  </si>
  <si>
    <t>WOS:001055232500001</t>
  </si>
  <si>
    <t>Espinoza, M; Diaz, M; Espina, E; Mora, A; Letelier, A; Donoso, F; Cárdenas, R</t>
  </si>
  <si>
    <t>Espinoza, Mauricio; Diaz, Matias; Espina, Enrique; Mora, Andres; Letelier, Arturo; Donoso, Felipe; Cardenas, Roberto</t>
  </si>
  <si>
    <t>The Closed-Loop Control of the Half-Bridge-Based MMC Drive with Variable DC-Link Voltage</t>
  </si>
  <si>
    <t>ELECTRONICS</t>
  </si>
  <si>
    <t>The modular multilevel converter (MMC) based on half-bridge modules is a power converter topology suitable for high-power medium-voltage variable-speed drives. However, the voltage of its flying capacitors is negatively affected when low frequencies appear at the AC port. This paper analyzes the influence of using a variable DC port voltage in a machine-side MMC by implementing a closed-loop approach, ensuring a constant voltage fluctuation in the capacitors of the MMC during the whole operating range. The effectiveness of the proposed control scheme is demonstrated through simulation studies and experimental validation tests conducted using a 7.5 kW experimental prototype composed of an induction machine fed by an MMC with 18 half-bridge cells.</t>
  </si>
  <si>
    <t>Espina, Enrique/AGZ-7297-2022; Espinoza, Mauricio/AAH-8647-2019; Mora, Andres/I-6953-2015; Diaz, Matias/R-7570-2018; Cardenas, Roberto/C-6395-2011</t>
  </si>
  <si>
    <t>Espina, Enrique/0000-0002-2075-2010; Diaz, Matias/0000-0003-4489-9532; MORA, ANDRES/0000-0002-5606-2783; Cardenas, Roberto/0000-0003-3853-7703</t>
  </si>
  <si>
    <t>2079-9292</t>
  </si>
  <si>
    <t>10.3390/electronics12132791</t>
  </si>
  <si>
    <t>WOS:001031195200001</t>
  </si>
  <si>
    <t>Jaimes, DMA; Broens, MI; Saavedra, E; Luna, NB; Escrig, J</t>
  </si>
  <si>
    <t>Arciniegas Jaimes, Diana M.; Broens, Martin I.; Saavedra, Eduardo; Luna, Noelia Bajales; Escrig, Juan</t>
  </si>
  <si>
    <t>Wave reversal mode in permalloy wire-tube nanostructures</t>
  </si>
  <si>
    <t>AIP ADVANCES</t>
  </si>
  <si>
    <t>We have investigated hysteresis curves and magnetization reversal mechanisms in permalloy wire-tube nanostructures when an external magnetic field is applied perpendicular to the axis of the nanostructure, in the x direction. Our results show that the nanotube reverses its magnetization through the wave reversal mechanism, while the nanowire does so through pseudo-coherent rotation, according to the literature. The wire-tube nanostructure exhibits a more complex reversal mechanism, where each segment begins to revert depending on whether it is a wire or tube segment, but quickly the entire nanostructure adopts the wire segment reversal mechanism as its own, considerably reducing the area within of the hysteresis curve exhibited by the nanostructure. The possibility to alter the magnetization reversal mode in such nanostructures provides an attractive way to control the motion of the magnetic domain walls.(c) 2022 Author(s). All article content, except where otherwise noted, is licensed under a Creative Commons Attribution (CC BY) license(http://creativecommons.org/licenses/by/4.0/).</t>
  </si>
  <si>
    <t>Saavedra, Eduardo/IQS-4264-2023; Broens, Martin/IXD-9708-2023; Bajales, Noelia/AGE-1802-2022; Escrig, Juan/N-4304-2015</t>
  </si>
  <si>
    <t>Arciniegas Jaimes, Diana Marcela/0000-0002-1487-5858; Broens, Martin Ignacio/0000-0003-2224-5204; Saavedra Diaz, Eduardo Andres/0000-0002-2842-2526; Escrig, Juan/0000-0002-3958-8185</t>
  </si>
  <si>
    <t>2158-3226</t>
  </si>
  <si>
    <t>10.1063/9.0000312</t>
  </si>
  <si>
    <t>WOS:000780210300006</t>
  </si>
  <si>
    <t>Gonzalez, A; Abrigo, J; Achiardi, O; Simon, F; Cabello-Verrugio, C</t>
  </si>
  <si>
    <t>Gonzalez, Andrea; Abrigo, Johanna; Achiardi, Oscar; Simon, Felipe; Cabello-Verrugio, Claudio</t>
  </si>
  <si>
    <t>Intensive care unit-acquired weakness: A review from molecular mechanisms to its impact in COVID-2019</t>
  </si>
  <si>
    <t>EUROPEAN JOURNAL OF TRANSLATIONAL MYOLOGY</t>
  </si>
  <si>
    <t>Intensive Care Unit-Acquired Weakness (ICU-AW) is a generalized and symmetric neuromuscular dysfunction associated with critical illness and its treatments. Its incidence is approximately 80% in intensive care unit patients, and it manifests as critical illness polyneuropathy, critical illness myopathy, and muscle atrophy. Intensive care unit patients can lose an elevated percentage of their muscle mass in the first days after admission, producing short- and long-term sequelae that affect patients' quality of life, physical health, and mental health. In 2019, the world was faced with coronavirus disease 2019 (COVID-19), caused by the acute respiratory syndrome coronavirus 2. COVID-19 produces severe respiratory disorders, such as acute respiratory distress syndrome, which increases the risk of developing ICU-AW. COVID-19 patients treated in intensive care units have shown early diffuse and symmetrical muscle weakness, polyneuropathy, and myalgia, coinciding with the clinical presentation of ICU-AW. Besides, these patients require prolonged intensive care unit stays, invasive mechanical ventilation, and intensive care unit pharmacological therapy, which are risk factors for ICU-AW. Thus, the purposes of this review are to discuss the features of ICU-AW and its effects on skeletal muscle. Further, we will describe the mechanisms involved in the probable development of ICU-AW in severe COVID-19 patients.</t>
  </si>
  <si>
    <t>Achiardi, Oscar/LFU-4968-2024; gonzalez, Andrea/JBJ-3290-2023; Cabello-Verrugio, Claudio/AAD-1454-2020</t>
  </si>
  <si>
    <t>Cabello-Verrugio, Claudio/0000-0001-7273-2102; Gonzalez, Andrea/0000-0001-5003-7109; Achiardi, Oscar/0000-0003-3623-0994</t>
  </si>
  <si>
    <t>2037-7452</t>
  </si>
  <si>
    <t>2037-7460</t>
  </si>
  <si>
    <t>10.4081/ejtm.2022.10511</t>
  </si>
  <si>
    <t>WOS:000883251000018</t>
  </si>
  <si>
    <t>Harmandar, K; Granados-Tavera, K; Gezgin, M; Nebioglu, M; Sisman, I; Cárdenas-Jirón, G; Atilla, D; Gürek, AG</t>
  </si>
  <si>
    <t>Harmandar, Kevser; Granados-Tavera, Kevin; Gezgin, Merve; Nebioglu, Mehmet; Sisman, Ilkay; Cardenas-Jiron, Gloria; Atilla, Devrim; Gurek, Ayse Gul</t>
  </si>
  <si>
    <t>A new sterically hindered asymmetric zinc phthalocyanine as an efficient sensitizer for dye-sensitized solar cells</t>
  </si>
  <si>
    <t>An asymmetric zinc phthalocyanine dye (KH1) bearing three 2,6-di-tert-butyl-4-methylphenoxy donor groups and one carboxylic acid anchoring group was synthesized as a sensitizer for dye-sensitized solar cells (DSSCs). The DSSC based on KH1 showed a 3.12% power conversion efficiency (PCE) under AM 1.5G conditions. Upon addition of chenodeoxycholic acid (CDCA) as a coadsorbent, the PCE slightly enhanced to 3.21%, probably because the bulky donor groups on the dye can efficiently inhibit dye aggregation. Furthermore, this blue dye (KH1) was also applied to combine with a commercially available red-brown metal-free organic dye (RK1) for a co-sensitized DSSC, which exhibited an improved PCE of 6.67% than RK1 alone (5.75%). Theoretical calculations based on density functional theory (DFT) (B3LYP/def2-SVP) and time-dependent DFT (TPSSh/def2-SVP) were performed to study the structural, electronic and optical properties of eight isomers of KH1. We found that the isomers are neatly isoenergetic structures (0.38-1.07 kcal mol(-1)) and the eLectronic absorption spectra show two strong Q bands in the visible region (625-660 nm) and a less intense B band in the UV region (345-350 nm) for all the isomers, in agreement with the UV-Vis spectrum with deviations of up to 0.15 eV. Excited states that show a contribution of the carboxyl moiety in the unoccupied MOs at regions of 370-420 nm and 650 nm suggest that electron injection into the semiconductor would be favored at these wavelengths. These results are coherent with the IPCE values determined in this study for KH1 where the maximum values are near to 400 nm and 690 nm. The adsorption of each of the isomers on a TiO2 duster was analyzed resulting in energetically favorable complexes. The results demonstrate that the co-sensitization of phthalocyanine and organic dyes may lead to further improvement of photovoltaic performance. In addition, theoretical calculations may provide a molecular comprehension of the electronic and optical properties of the dyes.</t>
  </si>
  <si>
    <t>Gurek, Ayse/AAG-5919-2019; HARMANDAR, KEVSER/GRS-7532-2022; Nebioğlu, Mehmet/HLH-0386-2023; Sisman, Ilkay/HKV-9967-2023; Cardenas-Jiron, Gloria/H-9508-2012</t>
  </si>
  <si>
    <t>Nebioglu, Mehmet/0000-0002-2603-3906; Granados-Tavera, Kevin/0000-0002-7585-4022; Cardenas-Jiron, Gloria/0000-0003-4305-8088; Sisman, Ilkay/0000-0002-0943-2817; GUREK, Ayse Gul/0000-0002-8565-2424</t>
  </si>
  <si>
    <t>JAN 4</t>
  </si>
  <si>
    <t>10.1039/d1nj04441a</t>
  </si>
  <si>
    <t>NOV 2021</t>
  </si>
  <si>
    <t>WOS:000729561400001</t>
  </si>
  <si>
    <t>Cabrera-Reina, A; Miralles-Cuevas, S; Pérez, JAS; Salazar, R</t>
  </si>
  <si>
    <t>Cabrera-Reina, A.; Miralles-Cuevas, S.; Sanchez Perez, J. A.; Salazar, R.</t>
  </si>
  <si>
    <t>Application of solar photo-Fenton in raceway pond reactors: A review</t>
  </si>
  <si>
    <t>This work critically reviews the present knowledge about the use of Raceway Pond Reactors (RPR) to treat municipal wastewater treatment plant (MWWTP) secondary effluents by solar photo-Fenton process. The possibility of using RPR to treat industrial wastewater, which has been barely explored, is also reviewed. Initially, the general concepts and operation principles of RPR are described as well as their origin for photo-Fenton applications. Then, the main results and advances related to contaminants of emerging concern (CECs) removal, inactivation of microorganisms, industrial wastewater treatment and kinetic modelling are presented. Key aspects such as the impact of liquid depth, the continuous flow operation feasibility, the increase in treatment capacity, and the kinetic modelling are addressed along the review. At the end, main challenges and research gaps are identified, which should be the focuses of future research. (c) 2021 Elsevier B.V. All rights reserved.</t>
  </si>
  <si>
    <t>Salazar, Ricardo/L-7870-2013; Miralles-Cuevas, Sara/HGF-1348-2022; Cabrera, Alejandro/GNH-3181-2022; Sanchez Perez, Jose Antonio/B-5328-2015</t>
  </si>
  <si>
    <t>Cabrera Reina, Alejandro/0000-0002-0425-5487; Sanchez Perez, Jose Antonio/0000-0001-5635-3137; Salazar-Gonzalez, Ricardo/0000-0003-2180-6022</t>
  </si>
  <si>
    <t>DEC 15</t>
  </si>
  <si>
    <t>10.1016/j.scitotenv.2021.149653</t>
  </si>
  <si>
    <t>AUG 2021</t>
  </si>
  <si>
    <t>WOS:000701672200003</t>
  </si>
  <si>
    <t>Pino-Rios, R; Baez-Grez, R; Solà, M</t>
  </si>
  <si>
    <t>Pino-Rios, Ricardo; Baez-Grez, Rodrigo; Sola, Miquel</t>
  </si>
  <si>
    <t>Acenes and phenacenes in their lowest-lying triplet states. Does kinked remain more stable than straight?</t>
  </si>
  <si>
    <t>PHYSICAL CHEMISTRY CHEMICAL PHYSICS</t>
  </si>
  <si>
    <t>The larger stability of phenacenes compared to their acene isomers in their ground states is attributed to the larger aromaticity of the former. To our knowledge the relative stability of acenes and phenacenes in their lowest-lying triplet states (T-1) has not been discussed yet. Using unrestricted density functional theory calculations, our results show that for the smallest members of the series, acenes in their T-1 states are more stable than the corresponding phenacenes. However, when the number of the rings (n) involved increases, the energy difference is reduced and for n &gt; 12, phenacenes become more stable than acenes in their T-1 states. To rationalize this trend, we analyze the aromaticity of acenes and phenacenes using a set of aromaticity descriptors. We find that in the T-1 states of both acenes and phenacenes, the outer rings form aromatic Clar pi-sextets. In acenes, delocalization of spin density in the central rings leads to the preferred formation of the largest antiaromatic diradical. Resonant structures in the form of antiaromatic diradical Baird pi-octadectets and pi-tetradectets are the major contributors, while the smaller ones, such as pi-doublets and pi-sextets, contribute the least. In phenacenes, structures with diradical antiaromatic Baird pi-sextets in some of the central rings contribute the most. These results are relevant to understand the (anti)aromaticity of larger polycyclic aromatic hydrocarbons in their triplet states.</t>
  </si>
  <si>
    <t>Báez-Grez, Rodrigo/AAM-4876-2021; Sola, Miquel/A-6155-2009</t>
  </si>
  <si>
    <t>Sola, Miquel/0000-0002-1917-7450; Baez-Grez, Rodrigo/0000-0001-9303-1559; Pino Rios, Ricardo/0000-0003-4756-1115</t>
  </si>
  <si>
    <t>1463-9076</t>
  </si>
  <si>
    <t>1463-9084</t>
  </si>
  <si>
    <t>JUN 28</t>
  </si>
  <si>
    <t>10.1039/d1cp01441b</t>
  </si>
  <si>
    <t>WOS:000659473700001</t>
  </si>
  <si>
    <t>Rios, J; Linfati, R; Morillo-Torres, D; Derpich, I; Gatica, G</t>
  </si>
  <si>
    <t>Rios, John; Linfati, Rodrigo; Morillo-Torres, Daniel; Derpich, Ivan; Gatica, Gustavo</t>
  </si>
  <si>
    <t>Optimal placement design for picking and packing in distribution centers</t>
  </si>
  <si>
    <t>ADVANCES IN MECHANICAL ENGINEERING</t>
  </si>
  <si>
    <t>An efficient distribution center (DC) is one that receives, stores, picks and packs products into new logistics units and then dispatches them to points of sale at the minimal operating cost. The picking and packing processes represent the highest operating cost of a DC, and both require a suitable space for their operation. An effective coordination between these zones prevents bottlenecks and has a direct impact on the DC's operational results. In the existing literature, there are no studies that optimize the distribution of the picking and packing areas simultaneously while also reducing operating costs. This article proposes an integer nonlinear integer programming model that minimizes order preparation costs. It does so by predicting customer demand based on historical data and defining the ideal area for picking and packing activities. The model is validated through a real case study of seven clients and fifteen products. It achieves a 15% reduction in operating costs when the optimal allocation of the picking and packing areas is made.</t>
  </si>
  <si>
    <t>Torres, Daniel/V-6582-2019; derpich, ivan/T-1160-2019; Linfati, Rodrigo/X-9326-2018; gatica, gustavo/KXR-7308-2024</t>
  </si>
  <si>
    <t>Derpich, Ivan/0000-0001-9759-7285; Morillo-Torres, Daniel/0000-0001-7731-1104</t>
  </si>
  <si>
    <t>1687-8132</t>
  </si>
  <si>
    <t>1687-8140</t>
  </si>
  <si>
    <t>10.1177/16878140211010657</t>
  </si>
  <si>
    <t>WOS:000698107700001</t>
  </si>
  <si>
    <t>Jaimes, DMA; Márquez, P; Escrig, J; Pérez, OL; Bajales, N</t>
  </si>
  <si>
    <t>Jaimes, Diana M. Arciniegas; Marquez, Paulina; Escrig, Juan; Perez, Omar Linarez; Bajales, Noelia</t>
  </si>
  <si>
    <t>A comparative analysis of the electrochemical performance obtained for magnetic graphene oxide-based composites</t>
  </si>
  <si>
    <t>MATERIALS LETTERS</t>
  </si>
  <si>
    <t>Low dimensional carbon allotropes are the most used materials in composites. In addition, when magnetic nanostructures are assembled with carbon-based materials, a versatile material for building sensitive electrodes is achieved. Here, we propose a route to obtain magnetic composites based on both graphene oxide and reduced graphene oxide with permalloy nanowires. A comparative analysis of the electrochemical performance for such composites reveals that a relatively small amount of magnetic nanowires leads to an increased conductivity with respect to that of the pristine matrix, being such effect more pronounced for the graphene oxide-based composite. Therefore, the presence of permalloy nanostructures plays a determinant role in the conductive properties of graphene oxide-based materials, providing an attractive alternative for sensing purposes. CO 2021 Elsevier B.V. All rights reserved.</t>
  </si>
  <si>
    <t>Bajales, Noelia/AGE-1802-2022; Pérez, Omar/J-3417-2019; Escrig, Juan/N-4304-2015</t>
  </si>
  <si>
    <t>Bajales, Noelia/0000-0002-2507-9224; Escrig, Juan/0000-0002-3958-8185; Arciniegas Jaimes, Diana Marcela/0000-0002-1487-5858; Linarez Perez, Omar Ezequiel/0000-0002-4034-6175; Marquez, Paulina/0000-0002-8020-6273</t>
  </si>
  <si>
    <t>0167-577X</t>
  </si>
  <si>
    <t>1873-4979</t>
  </si>
  <si>
    <t>10.1016/j.matlet.2021.129473</t>
  </si>
  <si>
    <t>FEB 2021</t>
  </si>
  <si>
    <t>WOS:000632869200023</t>
  </si>
  <si>
    <t>Gidi, L; Arce, R; Ibarra, J; Isaacs, M; Aguirre, MJ; Ramirez, G</t>
  </si>
  <si>
    <t>Gidi, Leyla; Arce, Roxana; Ibarra, Jose; Isaacs, M.; Aguirre, M. J.; Ramirez, Galo</t>
  </si>
  <si>
    <t>Hydrogen evolution reaction highly electrocatalyzed by MWCNT/N-octylpyridinum hexafluorophosphate metal-free system</t>
  </si>
  <si>
    <t>A mixed electrocatalyst that consists of multi walled carbon nanotubes (MWCNTs) and the ionic liquid (IL) N-octylpyridinum hexafluorophosphate (OPyPF6) as binder (MWCNT/IL system) was used in the study of hydrogen evolution reaction. This electrocatalyst was compared to graphite/mineral oil (Gr), graphite/OPyPF6 (Gr/IL), MWCNT/mineral oil (MWCNT) systems. All systems were characterized by cyclic voltammetry determining that MWCNT/IL system is highly electrocatalytic (E onset = -0.3 V vs Ag/AgCl) in relation to the other systems studied containing MWCNT or IL separately. The presence of each of the components that form the electrodic surface is corroborated by XRD, Raman, and FESEM-EDX, and it is demonstrated by chronoamperometric analysis that MWCNT/IL system is highly stable. The efficiency of the electrode, determined by its electrocatalytic activity, is confirmed by the quantification by gas chromatography of the hydrogen produced. Moreover, an elevated TON value (16274) and faradaic efficiency close to 60% are calculated, in comparison to other electrocatalysts found in literature. All these attractive properties are complemented by the fact that the MWCNT/IL system is simple, novel and easy to prepare. (C) 2021 Elsevier Ltd. All rights reserved.</t>
  </si>
  <si>
    <t>Isaacs, Mauricio/N-3027-2013; Aguirre, Maria/A-3935-2013; Arce, Roxana/V-8140-2019</t>
  </si>
  <si>
    <t>ARCE, ROXANA/0000-0002-1387-9232; Aguirre, Maria/0000-0003-1134-4469; Isaacs Casanova, Mauricio/0000-0003-0503-0949; , Jose Fernando Ibarra Ibarra/0009-0001-7426-1815; Ramirez, Galo/0000-0002-6217-4730</t>
  </si>
  <si>
    <t>MAR 10</t>
  </si>
  <si>
    <t>10.1016/j.electacta.2021.137859</t>
  </si>
  <si>
    <t>WOS:000619727200004</t>
  </si>
  <si>
    <t>Larrazábal-Fuentes, MJ; Fernández-Galleguillos, C; Palma-Ramírez, J; Romero-Parra, J; Sepúlveda, K; Galetovic, A; González, J; Paredes, A; Bórquez, J; Simirgiotis, MJ; Echeverría, J</t>
  </si>
  <si>
    <t>Jose Larrazabal-Fuentes, Maria; Fernandez-Galleguillos, Carlos; Palma-Ramirez, Jenifer; Romero-Parra, Javier; Sepulveda, Kevin; Galetovic, Alexandra; Gonzalez, Jorge; Paredes, Adrian; Borquez, Jorge; Simirgiotis, Mario J.; Echeverria, Javier</t>
  </si>
  <si>
    <t>Chemical Profiling, Antioxidant, Anticholinesterase, and Antiprotozoal Potentials of Artemisia copa Phil. (Asteraceae)</t>
  </si>
  <si>
    <t>Artemisia copa Phil. (Asteraceae) (known as copa-copa) is a native species of Chile used as an infusion in traditional medicine by Atacamenos people in the Altiplano, highlands of northern Chile. In this research, we have investigated for the first time the cholinesterase inhibition potential against acetylcholinesterase (AChE) and butyrylcholinesterase (BChE), and the chemical profiling of the infusions prepared from the aerial parts of A. copa by high resolution spectrometry. In addition, total phenolic, total flavonoid content, antioxidant (DPPH, FRAP, and ORAC) and antiprozoal activity were tested. Artemisia copa showed good inhibitory activity against AChE and BChE (3.92 +/- 0.08 mu g/ml and 44.13 +/- 0.10 mu g/ml). The infusion displayed a total phenolics content of 155.6 +/- 2.9 mg of gallic acid equivalents/g and total flavonoid content of 5.5 +/- 0.2 mg quercetin equivalents/g. Additionally, trypanocidal activity against Trypanosoma cruzi was found (LD50 of 131.8 mu g/ml). Forty-seven metabolites were detected in the infusion of A. copa including several phenolic acids and flavonoids which were rapidly identified using ultrahigh performance liquid chromatography orbitrap mass spectrometry analysis (UHPLC-Orbitrap-MS) for chemical profiling. The major compounds identified in the infusions were studied by molecular docking against AChE and BChE. The UHPLC-MS fingerprints generated can be also used for the authentication of these endemic species. These findings reveal that A. copa infusions can be used as beverages with protective effects.</t>
  </si>
  <si>
    <t>Echeverría, Javier/AAK-3323-2020; Simirgiotis, Mario/P-3871-2017; Galleguillos, Carlos/ABA-5721-2020</t>
  </si>
  <si>
    <t>Echeverria, Javier/0000-0002-1688-968X</t>
  </si>
  <si>
    <t>DEC 4</t>
  </si>
  <si>
    <t>10.3389/fphar.2020.594174</t>
  </si>
  <si>
    <t>WOS:000599577400001</t>
  </si>
  <si>
    <t>Gonzalez, A; Corsini, G; Lobos, S; Seelenfreund, D; Tello, M</t>
  </si>
  <si>
    <t>Gonzalez, Alex; Corsini, Gino; Lobos, Sergio; Seelenfreund, Daniela; Tello, Mario</t>
  </si>
  <si>
    <t>Metabolic Specialization and Codon Preference of Lignocellulolytic Genes in the White Rot Basidiomycete Ceriporiopsis subvermispora</t>
  </si>
  <si>
    <t>GENES</t>
  </si>
  <si>
    <t>Ceriporiopsis subvermispora is a white-rot fungus with a high specificity towards lignin mineralization when colonizing dead wood or lignocellulosic compounds. Its lignocellulose degrading system is formed by cellulose hydrolytic enzymes, manganese peroxidases, and laccases that catalyze the efficient depolymerization and mineralization of lignocellulose. To determine if this metabolic specialization has modified codon usage of the lignocellulolytic system, improving its adaptation to the fungal translational machine, we analyzed the adaptation to host codon usage (CAI), tRNA pool (tAI, and AAtAI), codon pair bias (CPB), and the number of effective codons (Nc). These indexes were correlated with gene expression of C. subvermispora, in the presence of glucose and Aspen wood. General gene expression was not correlated with the index values. However, in media containing Aspen wood, the induction of expression of lignocellulose-degrading genes, showed significantly (p &lt; 0.001) higher values of CAI, AAtAI, CPB, tAI, and lower values of Nc than non-induced genes. Cellulose-binding proteins and manganese peroxidases presented the highest adaptation values. We also identified an expansion of genes encoding glycine and glutamic acid tRNAs. Our results suggest that the metabolic specialization to use wood as the sole carbon source has introduced a bias in the codon usage of genes involved in lignocellulose degradation. This bias reduces codon diversity and increases codon usage adaptation to the tRNA pool available in C. subvermispora. To our knowledge, this is the first study showing that codon usage is modified to improve the translation efficiency of a group of genes involved in a particular metabolic process.</t>
  </si>
  <si>
    <t>González, Alex/GYU-3220-2022; Tello, Mario/N-4198-2019</t>
  </si>
  <si>
    <t>Tello, Mario/0000-0003-4573-6460; Gonzalez, Alex/0000-0001-9968-8623; Corsini, Gino/0000-0002-0418-8616</t>
  </si>
  <si>
    <t>2073-4425</t>
  </si>
  <si>
    <t>10.3390/genes11101227</t>
  </si>
  <si>
    <t>WOS:000586843700001</t>
  </si>
  <si>
    <t>Cortés, JL; Gamboa, J</t>
  </si>
  <si>
    <t>Cortes, J. L.; Gamboa, J.</t>
  </si>
  <si>
    <t>Deformed classical-quantum mechanics transition</t>
  </si>
  <si>
    <t>An approach to study a generalization of the classical-quantum transition for general systems is proposed. In order to develop the idea, a deformation of the ladder operators algebra is proposed that contains a realization of the quantum group SU(2)(q) as a particular case. In this deformation Planck's constant becomes an operator whose eigenvalues approach (sic) for small values of n (the eigenvalue of the number operator) and zero for large values of n (the system is classicalized).</t>
  </si>
  <si>
    <t>Gamboa, Jorge/R-8744-2019; cortes, jose/C-3257-2012</t>
  </si>
  <si>
    <t>cortes, jose/0000-0002-8282-3435; Gamboa, Jorge/0000-0001-7992-7199</t>
  </si>
  <si>
    <t>AUG 17</t>
  </si>
  <si>
    <t>10.1103/PhysRevD.102.036015</t>
  </si>
  <si>
    <t>WOS:000559925900005</t>
  </si>
  <si>
    <t>Letelier, MF; Siginer, DA; Barrera, C; González, A; Boutaous, M</t>
  </si>
  <si>
    <t>Letelier, Mario F.; Siginer, Dennis A.; Barrera, Cristian; Gonzalez, Amaru; Boutaous, M'hamed</t>
  </si>
  <si>
    <t>Forced convection in non-circular tubes with non-linear viscoelastic fluids including viscous dissipation</t>
  </si>
  <si>
    <t>INTERNATIONAL JOURNAL OF THERMAL SCIENCES</t>
  </si>
  <si>
    <t>The steady, laminar, non-isothermal fully developed flow of a class of non-linear viscoelastic fluids in tubes of arbitrary contour is analyzed under constant wall heat flux including viscous dissipation. Equations of motion and energy are solved analytically and velocity and temperature fields are determined through an asymptotic approach in terms of the Weissenberg number coupled with the shape factor method a one-to-one and continuous mapping taking the circular boundary into a large, continuous spectrum of non-circular tube contours. The analysis developed is general and covers all members of the family of constitutive models considered as well as a large array of non-circular tubes. The case of tubes with circular and triangular contours are discussed as specific examples for various numerical combinations of the Weissenberg, Reynolds, Peclet and Brinkman numbers and the Nusselt number variation is computed for fluids abiding by the Modified Phan-Thien-Tanner (MPTT) and Simplified Phan-Thien-Tanner (SPTT) models. Newtonian velocity and temperature fields in a large spectrum of non-circular tubes are recovered at the lowest order of the asymptotic analysis. Through a matching procedure we also extend the computation of the Nusselt number in round tubes to any desired value of the Weissenberg number.</t>
  </si>
  <si>
    <t>Barrera-Hinojosa, Cristian/GOE-4973-2022</t>
  </si>
  <si>
    <t>Boutaous, M'hamed/0000-0002-3633-0736; Barrera Hinojosa, Cristian/0000-0003-4976-3028; Gonzalez, Amaru/0000-0003-4403-2154</t>
  </si>
  <si>
    <t>1290-0729</t>
  </si>
  <si>
    <t>1778-4166</t>
  </si>
  <si>
    <t>10.1016/j.ijthermalsci.2019.106122</t>
  </si>
  <si>
    <t>WOS:000510853600013</t>
  </si>
  <si>
    <t>Juárez, AR; Ortíz-Chi, F; Pino-Ríos, R; Cárdenas-Jirón, G; Villanueva, MS; Anota, EC</t>
  </si>
  <si>
    <t>Rodriguez Juarez, A.; Ortiz-Chi, F.; Pino-Rios, R.; Cardenas-Jiron, G.; Salazar Villanueva, M.; Chigo Anota, E.</t>
  </si>
  <si>
    <t>The boron nitride (B116N124) fullerene: Stability and electronic properties from DFT simulations</t>
  </si>
  <si>
    <t>The stability, electronic and optical properties of an isomer of B116N124 fullerene were analyzed by using the DFT calculations. The results indicate that the structure is stable and exhibits a high cohesion energy (E-coh = -7.82 eV/atom). The quantum descriptors of this fullerene revealed: low values for polarity, chemical reactivity and work function, as well as electronic behavior like conductor. According to above features, this system can be considered in electrical, electronic or biological applications. This cluster presents its highest absorption peak around 244-281 nm and it was characterized through the natural transition orbitals showing a pi -&gt; pi* behavior.</t>
  </si>
  <si>
    <t>Chigo, Ernesto/ABE-8083-2021; Ortiz-Chi, Filiberto/L-6279-2017; Cardenas-Jiron, Gloria/H-9508-2012; Salazar, Martin/HNJ-1129-2023</t>
  </si>
  <si>
    <t>Cardenas-Jiron, Gloria/0000-0003-4305-8088; Chigo, Ernesto/0000-0001-6037-7123; Salazar, Martin/0000-0002-8611-7685</t>
  </si>
  <si>
    <t>10.1016/j.cplett.2020.137097</t>
  </si>
  <si>
    <t>WOS:000512281100029</t>
  </si>
  <si>
    <t>Hermosilla-Ibáñez, P; Wrighton-Araneda, K; Scarpetta-Pizo, L; Cañón-Mancisidor, W; Gutierrez-Cutiño, M; Le Fur, E; Paredes-García, V; Venegas-Yazigi, D</t>
  </si>
  <si>
    <t>Hermosilla-Ibanez, Patricio; Wrighton-Araneda, Kerry; Scarpetta-Pizo, Laura; Canon-Mancisidor, Walter; Gutierrez-Cutino, Marlen; Le Fur, Eric; Paredes-Garcia, Veronica; Venegas-Yazigi, Diego</t>
  </si>
  <si>
    <t>The origin of the electronic transitions of mixed valence polyoxovanadoborates [V12B18O60]: from an experimental to a theoretical understanding</t>
  </si>
  <si>
    <t>Mixed-valence polyoxovanadates (POVs) constitute a family of polyoxometalates whose electronic properties are still unclear. Polyoxovanadoborates (POVBs), a subfamily of POVs, show different electronic and magnetic properties compared to those of POVs. Upon the interpretation of the electronic spectra of these compounds, only three bands in the 350-800 nm range were reported in the literature. This is the first theoretical study of the electronic spectra of the [V12B18O60] family, and we showed that these three bands are the contributions of different excitations, i.e., LMCT + IVCT, d-d + IVCT and d-d + IVCT. We showed experimentally that in the NIR region, up to 1800 nm, IVCT transitions appear, whose intensity is dependent on the mixed-valence ratio. We also showed that the condensation of borate groups resulted in the loss of the differentiation of the vanadyl stretching vibration that depends on the oxidation state, which is as expected for other types of polyoxovanadates. This feature was proposed as a probe to observe the delocalized to localized phase transition in POVs.</t>
  </si>
  <si>
    <t>Paredes-Garcia, Veronica/C-4415-2011; Venegas-Yazigi, Diego/C-5022-2009; Canon-Mancisidor, Walter/K-8764-2014; Wrighton-Araneda, Kerry Jeffry/X-2381-2019; Hermosilla-Ibanez, Patricio/Y-7454-2018</t>
  </si>
  <si>
    <t>Venegas-Yazigi, Diego/0000-0001-7816-2841; Canon-Mancisidor, Walter/0000-0003-1703-8729; Wrighton-Araneda, Kerry Jeffry/0000-0003-4872-8976; Hermosilla-Ibanez, Patricio/0000-0002-2272-9690; Scarpetta-Pizo, Laura/0000-0002-5437-9058; Gutierrez Cutino, Marlen/0000-0001-6839-6353</t>
  </si>
  <si>
    <t>DEC 7</t>
  </si>
  <si>
    <t>10.1039/c9nj02549a</t>
  </si>
  <si>
    <t>WOS:000503050500002</t>
  </si>
  <si>
    <t>Bruneau, V; Miranda, P; Parra, D; Popoff, N</t>
  </si>
  <si>
    <t>Bruneau, Vincent; Miranda, Pablo; Parra, Daniel; Popoff, Nicolas</t>
  </si>
  <si>
    <t>Eigenvalue and Resonance Asymptotics in Perturbed Periodically Twisted Tubes: Twisting Versus Bending</t>
  </si>
  <si>
    <t>ANNALES HENRI POINCARE</t>
  </si>
  <si>
    <t>We consider a three-dimensional waveguide that is a small deformation of a periodically twisted tube (including in particular the case of a straight tube). The deformation is given by a bending and an additional twisting of the tube, both parametrized by a coupling constant delta. In this deformed waveguide, we consider the Dirichlet Laplacian. We expand its resolvent near the bottom of its essential spectrum, and we show the existence of exactly one resonance, in the asymptotic regime of delta small. We are able to perform the asymptotic expansion of the resonance in delta, which in particular permits us to give a quantitative geometric criterion for the existence of a discrete eigenvalue below the essential spectrum. In the case of perturbations of straight tubes, we are able to show the existence of resonances not only near the bottom of the essential spectrum but near each threshold in the spectrum, showing in particular what are the spectral effects of the bending for higher energies. We also obtain the asymptotic behavior of the resonances in this situation, which is generically different from the first case.</t>
  </si>
  <si>
    <t>Miranda, Pablo/AAD-3559-2019; Miranda, Pablo/KIH-3542-2024; Parra, Daniel/ITV-0134-2023</t>
  </si>
  <si>
    <t>Miranda, Pablo/0000-0003-0370-9288; Parra, Daniel/0000-0001-6488-531X</t>
  </si>
  <si>
    <t>1424-0637</t>
  </si>
  <si>
    <t>1424-0661</t>
  </si>
  <si>
    <t>10.1007/s00023-019-00865-5</t>
  </si>
  <si>
    <t>NOV 2019</t>
  </si>
  <si>
    <t>WOS:000495018900001</t>
  </si>
  <si>
    <t>Armijo, A; Pacifico, MJ</t>
  </si>
  <si>
    <t>Armijo, Alma; Pacifico, Maria Jose</t>
  </si>
  <si>
    <t>EXPANSIVE MEASURES VERSUS LYAPUNOV EXPONENTS</t>
  </si>
  <si>
    <t>In this paper we investigate the relation between measure-expansiveness and hyperbolicity. We prove that non-atomic invariant ergodic measures with all of their Lyapunov exponents positive are positively measure-expansive. We also prove that local diffeomorphisms robustly positively measure-expansive are expanding. Finally, we prove that a C1-volume-preserving diffeomorphism that cannot be accumulated by positively measure-expansive diffeomorphisms has a dominated splitting.</t>
  </si>
  <si>
    <t>10.1090/proc/14089</t>
  </si>
  <si>
    <t>WOS:000438582900023</t>
  </si>
  <si>
    <t>Alfaro, M; Fuertes, G; Vargas, M; Sepúlveda, J; Veloso-Poblete, M</t>
  </si>
  <si>
    <t>Alfaro, Miguel; Fuertes, Guillermo; Vargas, Manuel; Sepulveda, Juan; Veloso-Poblete, Matias</t>
  </si>
  <si>
    <t>Forecast of Chaotic Series in a Horizon Superior to the Inverse of the Maximum Lyapunov Exponent</t>
  </si>
  <si>
    <t>COMPLEXITY</t>
  </si>
  <si>
    <t>In this article, two models of the forecast of time series obtained from the chaotic dynamic systems are presented: the Lorenz system, the manufacture system, and the volume of the Great Salt Lake of Utah. The theory of the nonlinear dynamic systems indicates the capacity of making good-quality predictions of series coming from dynamic systems with chaotic behavior up to a temporal horizon determined by the inverse of the major Lyapunov exponent. The analysis of the Fourier power spectrum and the calculation of the maximum Lyapunov exponent allow confirming the origin of the series from a chaotic dynamic system. The delay time and the global dimension are employed as parameters in the models of forecast of artificial neuronal networks (ANN) and support vector machine (SVM). This research demonstrates how forecast models built with ANN and SVM have the capacity of making forecasts of good quality, in a superior temporal horizon at the determined interval by the inverse of the maximum Lyapunov exponent or theoretical forecast frontier before deteriorating exponentially.</t>
  </si>
  <si>
    <t>vargas, manuel/AAG-4780-2020; Fuertes, Guillermo/Q-2341-2016</t>
  </si>
  <si>
    <t>Fuertes, Guillermo/0000-0003-3044-5919; Alfaro, Miguel/0000-0002-1633-8853; Sepulveda, Juan M./0000-0003-3755-0981; Vargas Guzman, Manuel Eduardo/0000-0003-4161-6621</t>
  </si>
  <si>
    <t>1076-2787</t>
  </si>
  <si>
    <t>1099-0526</t>
  </si>
  <si>
    <t>10.1155/2018/1452683</t>
  </si>
  <si>
    <t>WOS:000445537900001</t>
  </si>
  <si>
    <t>Martínez, P; Castro, A; Alonso, D; Vöhringer, PA; Rojas, G</t>
  </si>
  <si>
    <t>Martinez, Pablo; Castro, Ariel; Alonso, Diego; Vohringer, Paul A.; Rojas, Graciela</t>
  </si>
  <si>
    <t>Effectiveness of the management of major depressive episodes/disorder in adults with comorbid chronic physical diseases: a protocol for a systematic review and meta-analysis</t>
  </si>
  <si>
    <t>BMJ OPEN</t>
  </si>
  <si>
    <t>Introduction Depression is a global-scale public health problem, and a significant association has been established between depression and chronic physical diseases. This growing comorbidity poses a challenge to healthcare systems. We aim to assess the effectiveness of the management of major depressive episodes/disorder in adults with comorbid chronic physical diseases. Methods and analysis We will conduct a systematic review and meta-analysis of randomised clinical trials. Two databases MEDLINE and Cochrane Library (Cochrane Database for Systematic Reviews and CENTRAL), as well as the reference lists of the included articles, will be searched for studies either in English or Spanish with published results within the 2005-2015 period. Studies must fulfil the following conditions: (1) participants aged 18 years or older, diagnosed as having a major depressive episodes/disorder according to standardised criteria and chronic physical diseases; (2) interventions (be it pharmacological, psychological, psychosocial or a combination) must be compared with control conditions (other 'active' intervention, treatment as usual, waiting list or placebo); (3) and must report reduction in depressive symptoms after treatment, response to treatment, remission of major depressive episodes/disorder and significant improvement in quality of life. Data extraction, risk of bias evaluation, results summarisation and quality of the evidence (GRADE) will be performed as recommended by the Cochrane Collaboration. A qualitative synthesis and a random effects meta-analysis will be carried out. Effect sizes will be calculated (relative risk and Cohen's d), I-2 and Q statistics will be employed to study heterogeneity and publication bias analysis will be performed. Subgroup analyses and meta-regression will be carried out. Ethics and dissemination Results are expected to be published in specialised peer-reviewed journals (preferred topics: Mental Health, Psychology, Psychiatry and/or Systematic Reviews) and dissemination activities will be targeted to all the healthcare providers. Trial registration number International Prospective Register of Systematic Reviews (CRD42016029166) submitted on 11 January 2016.</t>
  </si>
  <si>
    <t>Martínez, Pablo/LZF-5853-2025; Vohringer, Paul A/B-5860-2013</t>
  </si>
  <si>
    <t>Martinez, Pablo/0000-0003-4482-7993; Vohringer, Paul A/0000-0002-2460-4680</t>
  </si>
  <si>
    <t>2044-6055</t>
  </si>
  <si>
    <t>e011249</t>
  </si>
  <si>
    <t>10.1136/bmjopen-2016-011249</t>
  </si>
  <si>
    <t>WOS:000410203700001</t>
  </si>
  <si>
    <t>Génova, G; González, MR</t>
  </si>
  <si>
    <t>Genova, Gonzalo; Gonzalez, M. Rosario</t>
  </si>
  <si>
    <t>Teaching Ethics to Engineers: A Socratic Experience</t>
  </si>
  <si>
    <t>SCIENCE AND ENGINEERING ETHICS</t>
  </si>
  <si>
    <t>In this paper we present the authors' experience of teaching a course in Ethics for Engineers, which has been delivered four times in three different universities in Spain and Chile. We begin by presenting the material context of the course (its place within the university program, the number of students attending, its duration, etc.), and especially the intellectual background of the participating students, in terms of their previous understanding of philosophy in general, and of ethics in particular. Next we set out the objectives of the course and the main topics addressed, as well as the methodology and teaching resources employed to have students achieve a genuine philosophical reflection on the ethical aspects of the profession, starting from their own mindset as engineers. Finally we offer some results based on opinion surveys of the students, as well as a more personal assessment by the authors, recapitulating the most significant achievements of the course and indicating its underlying Socratic structure.</t>
  </si>
  <si>
    <t>Martín, Rosario/AAK-8557-2021; Génova, Gonzalo/ABF-4284-2021</t>
  </si>
  <si>
    <t>GONZALEZ MARTIN, MARIA ROSARIO/0000-0002-4013-7381; Genova, Gonzalo/0000-0003-0299-286X</t>
  </si>
  <si>
    <t>1353-3452</t>
  </si>
  <si>
    <t>1471-5546</t>
  </si>
  <si>
    <t>10.1007/s11948-015-9661-1</t>
  </si>
  <si>
    <t>WOS:000373378100014</t>
  </si>
  <si>
    <t>Saavedra, JM; Escalante, Y; Mansilla, M; Tella, V; Madera, J; García-Hermoso, A</t>
  </si>
  <si>
    <t>Saavedra, Jose M.; Escalante, Yolanda; Mansilla, Mirella; Tella, Victor; Madera, Joaquin; Garcia-Hermoso, Antonio</t>
  </si>
  <si>
    <t>Water polo game-related statistics in women's international championships as a function of final score differences</t>
  </si>
  <si>
    <t>INTERNATIONAL JOURNAL OF PERFORMANCE ANALYSIS IN SPORT</t>
  </si>
  <si>
    <t>The aims of this study were: (i) to compare water polo game-related statistics by context (winning and losing teams) and final score differences (using three categories - close games, unbalanced games, and very unbalanced games); and (ii) to identify characteristics that mark the differences in performances for each of these three categories of final score differences. The game-related statistics of the 213 women's matches played in seven international championships were analysed. Differences between contexts (winning or losing teams) and final score differences (close, unbalanced, and very unbalanced games) were determined using the chi-squared statistic, also calculating the effect sizes of the differences. A discriminant analysis was then performed applying the sample-splitting method according to context in each final score. It was found that the game-related statistics differentiate the winning from the losing teams in each final score group, with one variable (penalty goals) differentiating winners from losers in close games, 12 in unbalanced games, and 13 (both offensive and defensive variables) in very unbalanced games. In all three types of game, the game-related statistics were shown to discriminate performance (82% or more), with three variables being discriminatory by context (winning or losing teams): goals, offensive fouls, and goalkeeper-blocked shots.</t>
  </si>
  <si>
    <t>Madera, Joaquin/M-8546-2015; García-Hermoso, Antonio/ADU-2591-2022; Saavedra, Jose/C-2490-2011; Garcia-Hermoso, Antonio/P-1857-2017</t>
  </si>
  <si>
    <t>2474-8668</t>
  </si>
  <si>
    <t>1474-8185</t>
  </si>
  <si>
    <t>10.1080/24748668.2016.11868886</t>
  </si>
  <si>
    <t>WOS:000374982300022</t>
  </si>
  <si>
    <t>Hidalgo-Rasmussen, C; Molina, T; Molina, R; Sepúlveda, R; Martínez, V; Montaño, R; González, E; George, M</t>
  </si>
  <si>
    <t>Hidalgo-Rasmussen, Carlos; Molina, Temistocles; Molina, Ramiro; Sepulveda, Rodrigo; Martinez, Vania; Montano, Rosa; Gonzalez, Electra; George, Myriam</t>
  </si>
  <si>
    <t>Influence of bullying on the quality of life perception of Chilean students</t>
  </si>
  <si>
    <t>Background: Bullying has a negative impact on the perception of adolescents of their quality of life. Aim: To analyze the association between being bullied and health related quality of life in Chilean adolescents. Material and Methods: The bullying module of the KIDSCREEN 52 survey and the KIDSCREEN 10 survey to assess health related quality of life were applied to 7737 students aged 10 to 18 years. Social and demographic data, information about disability and type of school were also gathered. Results: Fifteen percent of surveyed students were bullied. A lower quality of life perception increased by a factor of 2.6 among bullied students. It also increased by a factor of 4.4 among students with a low self-esteem, by a factor of 3.1 among those who perceived their health status as regular or bad and by a factor of 1.4 among women. Conclusions: Bullying is associated with a lower quality of life perception among Chilean students.</t>
  </si>
  <si>
    <t>Sepulveda, Rodrigo/JRW-3215-2023; martinez, vania/HTR-5513-2023; Martinez, Vania/LBT-7587-2024; Hidalgo-Rasmussen, Carlos Alejandro/L-3565-2019</t>
  </si>
  <si>
    <t>Martinez, Vania/0000-0001-5980-7122; Hidalgo-Rasmussen, Carlos Alejandro/0000-0002-5287-2076</t>
  </si>
  <si>
    <t>10.4067/S0034-98872015000600004</t>
  </si>
  <si>
    <t>WOS:000358558700004</t>
  </si>
  <si>
    <t>Velásquez, EA; Mazo-Zuluaga, J; Altbir, D; Mejía-López, J</t>
  </si>
  <si>
    <t>Alberto Velasquez, Ever; Mazo-Zuluaga, Johan; Altbir, Dora; Mejia-Lopez, Jose</t>
  </si>
  <si>
    <t>Ornstein-Zernike correlations and magnetic ordering in nanostructures</t>
  </si>
  <si>
    <t>EUROPEAN PHYSICAL JOURNAL B</t>
  </si>
  <si>
    <t>In this paper we propose a Heisenberg variational approach to study pseudo-critical phenomena on ferromagnetic nanostructures. We combine a two-spin cluster 3-dimensional Heisenberg Hamiltonian with Orstein-Zernike correlations and consider several geometries and crystalline lattices to explore the relationship among these factors and the effective number of nearest neighbors defined in several kind of nanometric structures. With this method we examine the size at which the pseudo-critical temperature of a magnetic nanoparticle reaches its bulk value. Our results shed light on the nanoscopic-microscopic limit, evidencing in particular that when one dimension is very small, independently of how big the other dimensions become, it is not possible for the structure to reach the bulk-like behavior. The results of our model are in good agreement with experimental data and other available analytical models.</t>
  </si>
  <si>
    <t>Mazo-Zuluaga, Johan/AAL-7141-2021; Mejia-Lopez, Jose/T-6773-2017; Altbir, Dora/R-6781-2018</t>
  </si>
  <si>
    <t>Velasquez, Ever/0000-0002-5058-8530; Mejia-Lopez, Jose/0000-0003-0301-3408; Altbir, Dora/0000-0002-2945-4909; Mazo Zuluaga, Johan/0000-0002-3512-6530</t>
  </si>
  <si>
    <t>1434-6028</t>
  </si>
  <si>
    <t>1434-6036</t>
  </si>
  <si>
    <t>10.1140/epjb/e2014-40712-6</t>
  </si>
  <si>
    <t>WOS:000332697900004</t>
  </si>
  <si>
    <t>Cañon-Mancisidor, W; Spodine, E; Paredes-Garcia, V; Venegas-Yazigi, D</t>
  </si>
  <si>
    <t>Canon-Mancisidor, Walter; Spodine, Evgenia; Paredes-Garcia, Veronica; Venegas-Yazigi, Diego</t>
  </si>
  <si>
    <t>Theoretical description of the magnetic properties of μ3-hydroxo bridged trinuclear copper(II) complexes</t>
  </si>
  <si>
    <t>JOURNAL OF MOLECULAR MODELING</t>
  </si>
  <si>
    <t>A theoretical study of the magnetic properties, using density functional theory, of a family of trinuclear mu(3)-OH copper(II) complexes reported in the literature is presented. The reported X-ray crystal structures of [Cu-3(mu(3)-OH)(aat)(3)(H2O)(3)](NO3)(2)center dot H2O (HUKDUM), where aat: 3-acetylamine-1,2,4-triazole; [Cu-3(mu(3)-OH)(aaat)(3)(H2SO4)(HSO4)(H2O)] (HUKDOG), where aaat: 3-acetylamine-5-amine-1,2,4-triazole; [Cu-3(mu(3)-OH)(PhPyCNO)(3)(tchlphac)(2)] (HOHQUR), where PhPyCNO: phenyl 2-pyridyl-ketoxime and tchlphac: acid 2,4,5-trichlorophenoxyacetic; [Cu-3(mu(3)-OH)(PhPyCNO)(3)(NO3)(2)(CH3OH)] (ILEGEM); [Cu-3(mu(3)-OH)(pz)(3)(Hpz)(3)(ClO4)(2)] (QOPJIP), where Hpz = pyrazole; [Cu-3(mu(3)-OH)(pz)(3)(Hpz)(Me3CCOO)(2)]a (TM) 2Me(3)CCOOH (DEFSEN) and [Cu-3(mu(3)-OH)(8-amino-4-methyl-5-azaoct-3-en-2-one)(3)][CuI3] (RITXUO), were used in the calculations. The magnetic exchange constants were calculated using the broken-symmetry approach. The calculated J values are for HUKDUM J(1) = -68.6 cm(-1), J(2) = -69.9 cm(-1), J(3) = -70.4 cm(-1); for HUKDOG, J(1) = -73.5 cm(-1), J(2) = -58.9 cm(-1), J(3) = -62.1 cm(-1); for HOHQUR J(1) = -128.3 cm(-1), J(2) = -134.1 cm(-1), J(3) = -120.4 cm(-1); for ILEGEM J(1) = -151.6 cm(-1), J(2) = -173.9 cm(-1), J(3) = -186.9 cm(-1); for QOPJIP J(1) = -118.3 cm(-1), J(2) = -106.0 cm(-1), J(3) = -120.6 cm(-1); for DEFSEN J(1) = -74.9 cm(-1), J(2) = -64.0 cm(-1), J(3) = -57.7 cm(-1) and for RITXUO J(1) = -10.9 cm(-1), J(2) = +14.3 cm(-1), J(3) = -35.4 cm(-1). The Kahn-Briat model was used to correlate the calculated magnetic properties with the overlap of the magnetic orbitals. Spin density surfaces show that the delocalization mechanism is predominant in all the studied compounds.</t>
  </si>
  <si>
    <t>Paredes-Garcia, Veronica/C-4415-2011; Venegas-Yazigi, Diego/C-5022-2009; Canon-Mancisidor, Walter/K-8764-2014</t>
  </si>
  <si>
    <t>Venegas-Yazigi, Diego/0000-0001-7816-2841; Canon-Mancisidor, Walter/0000-0003-1703-8729</t>
  </si>
  <si>
    <t>1610-2940</t>
  </si>
  <si>
    <t>0948-5023</t>
  </si>
  <si>
    <t>10.1007/s00894-012-1696-5</t>
  </si>
  <si>
    <t>WOS:000320954600018</t>
  </si>
  <si>
    <t>Riquelme, MA; Lucero, MA; Villagrán, M; Arévalo, MC; Hernández-Creus, A; Velez, JH; Aguirre, MJ; Arce, R; Ramírez, G</t>
  </si>
  <si>
    <t>Riquelme, M. A.; Lucero, M. A.; Villagran, M.; Arevalo, M. C.; Hernandez-Creus, A.; Velez, J. H.; Aguirre, M. J.; Arce, R.; Ramirez, G.</t>
  </si>
  <si>
    <t>Glassy Carbon Modified Electrode: Polymer and Supramolecular Assembly of Co(II)-[Tetra(O-Aminophenyl) Porphyrin] New Material for Electrocatalytic Assays</t>
  </si>
  <si>
    <t>INTERNATIONAL JOURNAL OF ELECTROCHEMICAL SCIENCE</t>
  </si>
  <si>
    <t>A glassy carbon electrode was electrochemically coated with a Co(II)[tetra(o-aminophenyl) porphyrin] (Co(II) TAPP) polymeric layer. The poly-Co(II) TAPP modified electrode presented Z 60.26 nm and RMS 4.73 nm values. In addition, a supramolecular assembly of Co(II) TAPP physisorbed on the polymeric film of the same porphyrin modified electrode was prepared (SMA-Co(II)TAPP/poly-Co(II)TAPP/GC). This supramolecular assembly presented Z 115.55 nm and RMS 37 nm values obtained by atomic force microscopy (AFM) surface characterization. The polymer film and the p-p staking supramolecular assemblies were characterized by atomic force microscopy, scanning electron microscopy (SEM) and cyclic voltammetry (CV). These modified electrodes were compared as electrocatalysts for oxygen reduction reaction at pH 6.8, phosphate buffer. Oxygen electrocatalytic reduction at the supramolecular modified electrode started at 0.20 V vs. Ag/AgCl, shifting the potential ca. 0.15 V with respect to the polymer modified electrode. On the other hand, under the same experimental conditions the catalytic current increased ca. 30 %. Carbon dioxide electrocatalytic reduction assays afforded similar results at both modified electrodes. Nevertheless, within the studied potential range for the reaction, hydrogen evolution takes place decreasing thus the carbon dioxide electrocatalytic reduction.</t>
  </si>
  <si>
    <t>Cifuentes, Jorge/P-7533-2018; Arce, Roxana/V-8140-2019; Aguirre, Maria/A-3935-2013; Arévalo, M./AAY-1729-2020; Hernandez Creus, Alberto/K-3621-2014</t>
  </si>
  <si>
    <t>Hernandez Creus, Alberto/0000-0002-8793-6236; ARCE, ROXANA/0000-0002-1387-9232; Aguirre, Maria/0000-0003-1134-4469; Ramirez, Galo/0000-0002-6217-4730; Arevalo, M. Carmen/0000-0003-4629-1643</t>
  </si>
  <si>
    <t>1452-3981</t>
  </si>
  <si>
    <t>WOS:000312933600056</t>
  </si>
  <si>
    <t>de Armas-Ricard, M; Levicán, G; Katz, A; Moser, J; Jahn, D; Orellana, O</t>
  </si>
  <si>
    <t>de Armas-Ricard, Merly; Levican, Gloria; Katz, Assaf; Moser, Jurgen; Jahn, Dieter; Orellana, Omar</t>
  </si>
  <si>
    <t>Cellular levels of heme affect the activity of dimeric glutamyl-tRNA reductase</t>
  </si>
  <si>
    <t>BIOCHEMICAL AND BIOPHYSICAL RESEARCH COMMUNICATIONS</t>
  </si>
  <si>
    <t>Glutamyl-tRNA reductase (GluTR) is the first enzyme committed to tetrapyrrole biosynthesis by the C-5-pathway. This enzyme transforms glutamyl-tRNA into glutamate-1-semi-aldehyde, which is then transformed into 5-amino levulinic acid by the glutamate-1-semi-aldehyde 2,1-aminomutase. Binding of heme to GluTR seems to be relevant to regulate the enzyme function. Recombinant GluTR from Acidithiobacillus ferrooxidans an acidophilic bacterium that participates in bioleaching of minerals was expressed in Escherichia coli and purified as a soluble protein containing type b heme. Upon control of the cellular content of heme in E. con, GluTR with different levels of bound heme was obtained. An inverse correlation between the activity of the enzyme and the level of bound heme to GluTR suggested a control of the enzyme activity by heme. Heme bound preferentially to dimeric GluTR. An intact dimerization domain was essential for the enzyme to be fully active. We propose that the cellular levels of heme might regulate the activity of GluTR and ultimately its own biosynthesis. (c) 2011 Elsevier Inc. All rights reserved.</t>
  </si>
  <si>
    <t>Katz, Assaf/K-7130-2018; Levican, Gloria/R-5191-2019</t>
  </si>
  <si>
    <t>de Armas-Ricard, Merly/0000-0001-7766-4938; Jahn, Dieter/0000-0002-4064-9205; Levican, Gloria/0000-0002-1275-7399; Katz, Assaf/0000-0001-5481-7399</t>
  </si>
  <si>
    <t>0006-291X</t>
  </si>
  <si>
    <t>1090-2104</t>
  </si>
  <si>
    <t>FEB 4</t>
  </si>
  <si>
    <t>10.1016/j.bbrc.2011.01.013</t>
  </si>
  <si>
    <t>WOS:000287336800025</t>
  </si>
  <si>
    <t>Sureda, A; Muñoz, A; Pena, R; Cardenas, R; Clare, J; Wheeler, P</t>
  </si>
  <si>
    <t>Sureda, Alvaro; Munoz, Andres; Pena, Ruben; Cardenas, Roberto; Clare, Jon; Wheeler, Pat</t>
  </si>
  <si>
    <t>Control of a Brushless Doubly-Fed Induction Generator via a Matrix Converter</t>
  </si>
  <si>
    <t>PROCEEDINGS OF THE 2011-14TH EUROPEAN CONFERENCE ON POWER ELECTRONICS AND APPLICATIONS (EPE 2011)</t>
  </si>
  <si>
    <t>European Conference on Power Electronics and Applications</t>
  </si>
  <si>
    <t>14th European Conference on Power Electronics and Applications (EPE)/ECCE Europe Conference on Power Electronics and Adjustable Speed Drives - Towards the 20-20-20 Target</t>
  </si>
  <si>
    <t>AUG 30-SEP 01, 2011</t>
  </si>
  <si>
    <t>Birmingham, ENGLAND</t>
  </si>
  <si>
    <t>IEEE,IEEE Power Elect Soc (PELS),Alstom,Mitsubishi Elect Europ,Star Alliance,PPM Power,Plexim,CITCEA,Dynex,TRW Conekt,MDL Technol,Chroma,United Technol Res Ctr,Converteam,Australian Comm Power Engn (ACPE),Assoc Ingenieurs Electriciens Inst Montefiore (AIM),Czech Electrotech Soc (CES),European Ctr Power Elect (ECPE),IEEE Ind Applicat Soc (IAS),IEEE Ind Elect Soc (IES),Inst Engn &amp; Technol (IET),Korean Inst Power Elect (KIPE),Koninklijk Inst Ingenieurs (KIVI-NIRIA),Leonardo Energy,Norsk Elektroteknisk Forening (NEF),NMI,Osterreichischer Verband Elektrotechnik (OVE),Soc Elect, Elect &amp; Technol Informat &amp; Commun (SEE),Assoc Polish Elect Engineers,Svenska Elektro Dataingenjorers Riksforening (SER),Soc Royale Belge Electriciens - Koninklijke Belgische Vereniging Elektrotechnici (SRBE-KBVE),Technol Inst - Koninklijke Vlaamse Ingenieursvereniging (TI-KVIV),Assoc Elect, Elect &amp; Informat Technol</t>
  </si>
  <si>
    <t>The Doubly-Fed Induction Generator (DFIG) is one of the most widely used generators for wind energy applications and more of 50% of the installed Wind Energy Conversion Systems (WECS) are using this sort of variable speed technology. However, the machine requires brushes for the operation which increases the maintenance work. To overcome this drawback a Brushless Double Fed Induction Generator (BDFIG), composed of two cascaded doubly-fed machines with the rotor windings interconnected, could be used. In this work, the control of a BDFIG is presented using a matrix converter (MC). Matrix converters may be seen as suitable converter choice for this application instead of the standard back-to-back PWM voltage source converter topology. Results from an experimental rig are presented for operation of the BDFIG at variable speed with the machine driven by a commercial AC drive as a prime mover.</t>
  </si>
  <si>
    <t>Munoz, Andres/HGC-8739-2022; pena, ruben/H-1806-2018; Clare, Jon/M-2032-2018; Cardenas, Roberto/C-6395-2011; Munoz, Andres/G-5106-2015</t>
  </si>
  <si>
    <t>Clare, Jon/0000-0001-8243-4280; Cardenas, Roberto/0000-0003-3853-7703; Munoz, Andres/0000-0002-8491-4592; Wheeler, Patrick/0000-0003-0307-581X</t>
  </si>
  <si>
    <t>2325-0313</t>
  </si>
  <si>
    <t>978-90-75815-15-3</t>
  </si>
  <si>
    <t>WOS:000308003503043</t>
  </si>
  <si>
    <t>Sandoval, JM; Levêque, P; Gallez, B; Vásquez, CC; Calderon, PB</t>
  </si>
  <si>
    <t>Sandoval, Juan M.; Leveque, Philippe; Gallez, Bernard; Vasquez, Claudio C.; Buc Calderon, Pedro</t>
  </si>
  <si>
    <t>Tellurite-induced oxidative stress leads to cell death of murine hepatocarcinoma cells</t>
  </si>
  <si>
    <t>BIOMETALS</t>
  </si>
  <si>
    <t>Data regarding tellurium (Te) toxicity are scarce. Studies on its metabolism, performed mainly in bacteria, underline a major role of reactive oxygen species (ROS). We investigated whether tellurite undergoes redox cycling leading to ROS formation and cancer cell death. The murine hepatocarcinoma Transplantable Liver Tumor (TLT) cells were challenged with tellurite either in the presence or in the absence of different compounds as N-acetylcysteine (NAC), 3-methyladenine, BAPTA-AM, and catalase. NAC inhibition of tellurite-mediated toxicity suggested a major role of oxidative stress. Tellurite also decreased both glutathione (GSH) and ATP content by 57 and 80%, respectively. In the presence of NAC however, the levels of such markers were almost fully restored. Tellurite-mediated ROS generation was assessed both by using the fluorescent, oxidation-sensitive probe dichlorodihydrofluorescein diacetate (DCHF-DA) and electron spin resonance (ESR) spectroscopy to detect hydroxyl radical formation. Cell death occurs by a caspase-independent mechanism, as shown by the lack of caspase-3 activity and no cleavage of poly(ADP-ribose)polymerase (PARP). The presence of gamma-H2AX suggests tellurite-induced DNA strand breaking, NAC being unable to counteract it. Although the calcium chelator BAPTA-AM did show no effect, the rapid phosphorylation of eIF2 alpha suggests that, in addition to oxidative stress, an endoplasmic reticulum (ER) stress may be involved in the mechanisms leading to cell death by tellurite.</t>
  </si>
  <si>
    <t>Buc Calderon, Pedro/0000-0003-0483-2624</t>
  </si>
  <si>
    <t>0966-0844</t>
  </si>
  <si>
    <t>1572-8773</t>
  </si>
  <si>
    <t>10.1007/s10534-010-9316-2</t>
  </si>
  <si>
    <t>WOS:000280063700004</t>
  </si>
  <si>
    <t>Alarcón, E; Aspée, A; González-Béjar, M; Edwards, AM; Lissi, E; Scaiano, JC</t>
  </si>
  <si>
    <t>Alarcon, E.; Aspee, A.; Gonzalez-Bejar, M.; Edwards, A. M.; Lissi, E.; Scaiano, J. C.</t>
  </si>
  <si>
    <t>Photobehavior of merocyanine 540 bound to human serum albumin</t>
  </si>
  <si>
    <t>PHOTOCHEMICAL &amp; PHOTOBIOLOGICAL SCIENCES</t>
  </si>
  <si>
    <t>The photobehavior of merocyanine 540 (MC) was studied in homogeneous media (ethanol, buffer and glycerol), and in microheterogenous systems (Triton X-100 micelles and in the presence of human serum albumin) using stationary and time-resolved techniques. Merocyanine 540 in aqueous solution mostly forms aggregates, which in the presence of Triton X-100 or HSA are disaggregated. The extent of binding to HSA and its characteristics were estimated from dye absorption and fluorescence changes following protein addition; the Trp-214 fluorescence quenching was also employed to assess the extent of dye association, and physical separation was employed to evaluate the dye's apparent association constant. These results showed that dye adsorption on HSA takes place at both main protein-binding sites (I and II). This adsorption leads to dye monomerization, changing its photobehavior remarkably, with a noticeable increase in fluorescence and triplet lifetimes. These slower decays can be ascribed to a reduction of the dye photoisomerization rate. In addition, the adsorption of the dye partially protects it from the oxygen present in solution, thus reducing the apparent dye triplet-quenching rate constant. However, singlet oxygen and MC triplet quantum yields remain very low in all the systems tested. Finally, we found that the photoconsumption of merocyanine bound to HSA takes place predominantly by a type I mechanism, being more than seven times more efficient than that taking place in ethanol.</t>
  </si>
  <si>
    <t>Alarcon, Emilio/A-7285-2011; Gonzalez-Bejar, Maria/B-6934-2014</t>
  </si>
  <si>
    <t>Edwards-Mujica, Ana M./0000-0002-4637-1013; Gonzalez-Bejar, Maria/0000-0001-5434-4210; Scaiano, Juan/0000-0002-4838-7123</t>
  </si>
  <si>
    <t>1474-905X</t>
  </si>
  <si>
    <t>1474-9092</t>
  </si>
  <si>
    <t>10.1039/c0pp00079e</t>
  </si>
  <si>
    <t>WOS:000278276000014</t>
  </si>
  <si>
    <t>Acevedo, C; Stach, MH; Amtmann, A; Young, ME; Reyes, JG; Huebner, H; Buchholz, R</t>
  </si>
  <si>
    <t>Acevedo, Cristian; Stach, Matthias H.; Amtmann, Anette; Young, Manuel E.; Reyes, Juan G.; Huebner, Holger; Buchholz, Rainer</t>
  </si>
  <si>
    <t>Measuring β-Galactosidase activity at pH 6 with a differential pH sensor</t>
  </si>
  <si>
    <t>ELECTRONIC JOURNAL OF BIOTECHNOLOGY</t>
  </si>
  <si>
    <t>The beta-Galactosidase activity at pH 6 is used as a cellular marker to identify senescent cell cultures. The classic method to identify this enzymatic activity is using cytochemical staining with X-Gal after 16 hrs. In this work, a differential pH sensor was used to measure beta-Galactosidase activity at pH 6. The measurement is easy and only takes 3 min.</t>
  </si>
  <si>
    <t>Reyes, JA/GXZ-6957-2022; Acevedo, Cristian/D-5133-2011</t>
  </si>
  <si>
    <t>Reyes, Juan G./0000-0001-5541-5172</t>
  </si>
  <si>
    <t>0717-3458</t>
  </si>
  <si>
    <t>10.2225/vol12-issue2-fulltext-10</t>
  </si>
  <si>
    <t>WOS:000269297600010</t>
  </si>
  <si>
    <t>Perez, VQ; Rodriguez, GM; Aguilar, MJC</t>
  </si>
  <si>
    <t>Perez, Victor Quintanilla; Meaza Rodriguez, Guillermo; Aguilar, M. Jose Cuesta</t>
  </si>
  <si>
    <t>CURRENT PERTURBATIONS OF THE NORTH PATAGONIAN CHILEAN FOREST DERIVED OF THE EFFECTS OF LARGE FOREST FIRES OCCURRED HALF A CENTURY AGO. PRELIMINARY STUDY IN THE ANDEAN BASIN OF THE FIGUEROA RIVER</t>
  </si>
  <si>
    <t>BOLETIN DE LA ASOCIACION DE GEOGRAFOS ESPANOLES</t>
  </si>
  <si>
    <t>Aguilar, María/AAA-7977-2019</t>
  </si>
  <si>
    <t>0212-9426</t>
  </si>
  <si>
    <t>2605-3322</t>
  </si>
  <si>
    <t>WOS:000260760000020</t>
  </si>
  <si>
    <t>Pacheco, M; Barticevic, Z; Latgé, A</t>
  </si>
  <si>
    <t>Electronic and impurity states in triple quantum wells</t>
  </si>
  <si>
    <t>PHYSICA B</t>
  </si>
  <si>
    <t>54th Yamada Conference on Shallow-Level Centers in Semiconductors (SLCS-9)</t>
  </si>
  <si>
    <t>SEP 24-27, 2000</t>
  </si>
  <si>
    <t>AWAJU ISL, JAPAN</t>
  </si>
  <si>
    <t>Yamada Sci Fdn</t>
  </si>
  <si>
    <t>A detailed theoretical study on spectra of donor-impurities in triple GaAs-(Ga,Al)As quantum wells in the presence of external electric and magnetic fields is presented. Impurity states are calculated, within the effective-mass approximation, by adopting a variational scheme in which ground and excited states are obtained simultaneously. Different geometrical confinement regimes for the impurities are considered and the effects of the induced field-confinement on the binding energies are analyzed. The impurity binding energy presents characteristic features determined fundamentally by the spatial distribution of the electronic wave function within the triple-well structure. We show that by changing the intensity of the external magnetic and electric field, a large spread in the range of the donor binding energy may be obtained. (C) 2001 Elsevier Science B.V. All rights reserved.</t>
  </si>
  <si>
    <t>10.1016/S0921-4526(01)00409-4</t>
  </si>
  <si>
    <t>WOS:000169549300013</t>
  </si>
  <si>
    <t>Barticevic, Z; Pacheco, M; Latgé, A</t>
  </si>
  <si>
    <t>Quantum rings under magnetic fields:: Electronic and optical properties</t>
  </si>
  <si>
    <t>Electronic and optical characteristic energies of semiconductor quantum rings in the presence of magnetic fields were determined by adopting distinct potential models to describe the ring confinement and considering different geometric confinement parameters defining the quantum ring. It was found that the ground-state energy becomes independent of the ring radius once the internal ring hole is present, because it is the strength of the lateral confinement that determines its subsequent behavior. The optical spectra for large and narrow quantum rings exhibit a set of resonances governed basically by the strength of the radial confinement. The presence of a magnetic field produces a notable enhancement of the resonance intensities.</t>
  </si>
  <si>
    <t>Latge, Andrea/D-9171-2015; Pacheco, Monica/AAG-8440-2019; Pacheco, Monica/L-9669-2014</t>
  </si>
  <si>
    <t>1098-0121</t>
  </si>
  <si>
    <t>1550-235X</t>
  </si>
  <si>
    <t>10.1103/PhysRevB.62.6963</t>
  </si>
  <si>
    <t>WOS:000089413500031</t>
  </si>
  <si>
    <t>AGUIRRE, MJ; RETAMAL, BA; URETAZANARTU, MS; ZAGAL, JH; CORDOVA, R; SCHREBLER, R; BIAGGIO, SR</t>
  </si>
  <si>
    <t>EFFECTS OF ALKALINE CATIONS ON POLYANILINE ELECTROCHEMICAL SYNTHESIS</t>
  </si>
  <si>
    <t>Ureta-Zañartu, Maria/G-5239-2019; Aguirre, Maria/A-3935-2013; zagal, jose/L-9648-2014; Biaggio, Sonia R./D-9810-2012</t>
  </si>
  <si>
    <t>Biaggio, Sonia R./0000-0003-2127-859X; Aguirre, Maria/0000-0003-1134-4469; Schrebler, Ricardo/0000-0002-8358-6742</t>
  </si>
  <si>
    <t>10.1016/0022-0728(92)80193-8</t>
  </si>
  <si>
    <t>WOS:A1992JG93100029</t>
  </si>
  <si>
    <t>Arulraj, A; Murugesan, PK; Herrera, F; Mangalaraja, RV</t>
  </si>
  <si>
    <t>Arulraj, Arunachalam; Murugesan, Praveen Kumar; Herrera, Francisco, V; Mangalaraja, Ramalinga Viswanathan</t>
  </si>
  <si>
    <t>Rational designing of ternary CuSSe electrocatalyst for water splitting: Layered mastery of 2D nanostructures</t>
  </si>
  <si>
    <t>INTERNATIONAL JOURNAL OF HYDROGEN ENERGY</t>
  </si>
  <si>
    <t>The treasure hunting of effective and efficient materials for the renewable hydrogen production through the water splitting process has escalated due to the pressing demand for the clean and sustainable energy sources. In this context, the layered two-dimensional (2D) chalcogenides have become attractive options owing to their special structural and electrical characteristics. In this investigation, the 2D layered copper sulfide (CuS) and copper sulfoselenide (CuSSe) as the electrocatalysts have been carried out for the water splitting applications. The synthesis of CuS and CuSSe nanosheets was achieved by an easy and scalable solvothermal technique, permitting mastery in the fabrication of high-quality 2D layers. The successful formation of 2D layered structure was characterized by using several methods, including the X-ray diffraction (XRD), Raman spectroscopy, field emission scanning electron microscopy (FESEM), high-resolution transmission electron microscopy (HRTEM), and X-ray photoelectron spectroscopy (XPS). Further, the electrochemical studies of the CuS and CuSSe were conducted to investigate the water splitting performance of hydrogen evolution reaction (HER) and oxygen evolution reaction (OER). The laminar 2D nanostructured ternary CuSSe electrocatalyst exhibited a smaller overpotential of-270 mV with a Tafel value of 153 mV/dec with three-fold enhancement in response rate compared to the binary sample. The results provided the crucial insights for advancing the development of efficient and sustainable materials, which could be played a key role in enabling the clean hydrogen generation and contribute significantly to the ongoing efforts to establish a hydrogen-based energy system.</t>
  </si>
  <si>
    <t>Arunachalam, Arulraj/M-5764-2018; Ramalinga Viswanathan, Mangalaraja/JOZ-3129-2023</t>
  </si>
  <si>
    <t>Arunachalam, Arulraj/0000-0002-6234-8147; Ramalinga Viswanathan, Mangalaraja/0000-0003-1016-9830; Herrera, Francisco/0000-0001-7783-2970</t>
  </si>
  <si>
    <t>0360-3199</t>
  </si>
  <si>
    <t>1879-3487</t>
  </si>
  <si>
    <t>10.1016/j.ijhydene.2024.06.184</t>
  </si>
  <si>
    <t>FEB 2025</t>
  </si>
  <si>
    <t>WOS:001422147500001</t>
  </si>
  <si>
    <t>Oyarce, E; Cantero-López, P; Páez, M; Yáñez, O; Sánchez, J</t>
  </si>
  <si>
    <t>Oyarce, Estefania; Cantero-Lopez, Plinio; Paez, Maritza; Yanez, Osvaldo; Sanchez, Julio</t>
  </si>
  <si>
    <t>Lignosulfonate-based adsorbents for selective Mg2+removal from Mg2+/ Li+ mixture in water with high efficiency and reusability</t>
  </si>
  <si>
    <t>This study focuses on the removal of Mg2+ from aqueous solutions during Li+ recovery. The objective was to capture Mg2+ ions by adsorption using based adsorbents of sulfonated lignin (LS) and poly-3-sulfopropyl potassium acrylate (PSPAK). The bio-based adsorbents were obtained in high mass yields by radical polymerization. Their structural composition and porous morphology were corroborated by infrared spectroscopy (FT-IR) and scanning electron microscopy (SEM). Lignin reinforces the mechanical properties of the material by increasing its toughness under a constant load, making it a suitable choice for adsorption processes. During the experiments, approximately 98.0 % of Mg2+ ions were removed using aqueous solutions with Mg2+/Li+ mass ratios (mg/L) of 0.5/1, significantly reducing the magnesium concentration in the aqueous medium. More than 90.0 % of Li+ was recovered from solution in the presence of Mg2+ at high ratios 8/1 and 10/1. The adsorbents retain their affinity for Mg2+ ions even in the presence of interfering ions such as Li+, Na+, K+, and Ca2+. Furthermore, they can be reused for more than five consecutive adsorption-desorption cycles, without a significant decrease in their adsorption efficiency and structural stability. The computational results indicate that the presence of Mg2+ ions has an impact on the stability and conformational behavior of the system. The polymer-Mg2+/Li+ system demonstrates a stronger affinity for Mg2+ compared to Li+. The increased adsorption energy and greater stability of the polymer-[Mg2+] combination provide evidence for the improved selectivity and effectiveness of polymer- based adsorbents in removing Mg2+ in the presence of Li+.</t>
  </si>
  <si>
    <t>Paez, Maritza/M-2010-2014</t>
  </si>
  <si>
    <t>10.1016/j.seppur.2025.131828</t>
  </si>
  <si>
    <t>WOS:001421457900001</t>
  </si>
  <si>
    <t>Contreras, RA; Pino, C; Riveros, G; Cortés, X; Cidral-Christ, A; Zúñiga, GE</t>
  </si>
  <si>
    <t>Contreras, Rodrigo A.; Pino, Carla; Riveros, Gabriela; Cortes, Ximena; Cidral-Christ, Avanor; Zuniga, Gustavo E.</t>
  </si>
  <si>
    <t>Inhibition of Key Virulence Enzymes of Botrytis cinerea by Flavonoids from the Antarctic Plant Colobanthus quitensis</t>
  </si>
  <si>
    <t>This study investigates the antifungal efficacy of flavonoids derived from Colobanthus quitensis against key virulence-related enzymes implicated in the pathogenic mechanisms of Botrytis cinerea. The flavonoids swertiajaponin, schaftoside, vitexin, and saponarin significantly inhibited pectinase, cellulase, and laccase activity. Specifically, swertiajaponin showed mixed inhibition of pectinase and cellulase, characterized by high affinity (low inhibition constant -Ki-) for enzyme-substrate complexes. Schaftoside showed mixed inhibition of pectinase and competitive inhibition of laccase, effectively reducing enzymatic activity by competing directly with the substrate. In contrast, vitexin showed competitive inhibition of pectinase and non-competitive inhibition of laccase, suggesting it induces conformational changes within the enzyme. Finally, saponarin uniquely showed uncompetitive inhibition of laccase, stabilizing the enzyme-substrate complex and thereby markedly reducing catalytic turnover. Supported by kinetic parameters (maximum velocity -Vmax-, Michaelis constant -Km-, and Ki), these findings highlight the potential of flavonoids from C. quitensis as natural fungicides, offering a sustainable and eco-friendly alternative to synthetic fungicides for managing agricultural diseases.</t>
  </si>
  <si>
    <t>Zuñiga, Gustavo/P-8306-2015; Contreras, Rodrigo/I-1871-2013</t>
  </si>
  <si>
    <t>Zuniga, Gustavo/0000-0002-8286-9468; Contreras, Rodrigo/0000-0001-9970-3125</t>
  </si>
  <si>
    <t>10.1002/cbdv.202401445</t>
  </si>
  <si>
    <t>WOS:001357426700001</t>
  </si>
  <si>
    <t>Mubarok, MS; Liu, TH; Davari, SA; Rodriguez, J</t>
  </si>
  <si>
    <t>Mubarok, Muhammad Syahril; Liu, Tian-Hua; Davari, Seyed Alireza; Rodriguez, Jose</t>
  </si>
  <si>
    <t>Constrained Predictive Controllers for High-Performance Sensorless IPMSM Drive Systems With Full-Range Speed Operations</t>
  </si>
  <si>
    <t>IEEE TRANSACTIONS ON POWER ELECTRONICS</t>
  </si>
  <si>
    <t>A constrained predictive speed controller with an input current limit and a constrained predictive current controller (CPCC) with an input voltage limit are proposed for high-performance sensorless interior permanent magnet synchronous motor (IPMSM) drive systems. Recent predictive controllers for sensorless IPMSM drives tend to focus on unconstrained predictive controllers, which do not consider the voltage or current limitations of inverters and may cause responses that are not smooth. The proposed constrained predictive controllers in this article solve these problems by imposing constraints in the performance index for real-time optimization. Simplified numerical solutions that use Hildreth quadratic programming are used to identify active constraints, and then the control inputs are limited within their physical ranges. In addition, a simple external load estimator based on the Lyapunov function is designed to compensate for external load disturbances. Moreover, a current-slope-based rotor position estimation method, which does not require any extra hardware or high-frequency signal generators or occupy any dc-link voltage, is implemented to accurately estimate the rotor position and speed. The proposed method in this article improves the dynamic performance and reduces computational complexity when implemented in sensorless IPMSM drive systems. The proposed methods have quick transient responses, excellent load disturbance responses, good tracking capabilities, and good robustness. The sensorless IPMSM drive system proposed in this article is operated at full-range speeds, from 1 to 3000 r/min. Several simulations and experimental results validate the effectiveness of the proposed constrained predictive controllers.</t>
  </si>
  <si>
    <t>Mubarok, Muhammad Syahril/AGV-3207-2022; liu, th/KBQ-0635-2024; Rodriguez, Jose/A-2534-2013</t>
  </si>
  <si>
    <t>Liu, Tian-Hua/0000-0002-9452-1768; Rodriguez, Jose/0000-0002-1410-4121; Syahril Mubarok, Muhammad/0000-0002-7926-6121</t>
  </si>
  <si>
    <t>0885-8993</t>
  </si>
  <si>
    <t>1941-0107</t>
  </si>
  <si>
    <t>10.1109/TPEL.2024.3352021</t>
  </si>
  <si>
    <t>WOS:001164705900007</t>
  </si>
  <si>
    <t>Kramar, MJF; García-Caro, MP; Ternero, AM; Martí-García, C</t>
  </si>
  <si>
    <t>Kramar, Maria Jose Fuentes; Garcia-Caro, Maria Paz; Ternero, Alba Mateo; Marti-Garcia, Celia</t>
  </si>
  <si>
    <t>Migrant women caregivers' experiences in end-of-life formal care</t>
  </si>
  <si>
    <t>REVISTA DA ESCOLA DE ENFERMAGEM DA USP</t>
  </si>
  <si>
    <t>Objective: To describe and understand the experience of Latin American migrant women as caregivers of elderly people in situations of advanced illness and end of life. Method: Qualitative study using Gadamer's hermeneutic phenomenology. Data were collected in 2019 through 9 semi-structured interviews with Latin American women caregivers, who had cared for people at the end of life, in the Province of Granada (Spain). Results: Two themes emerged: Migrant caregiver at the end of life and And now, what should I do?: the impact of the loss at the economic, emotional and labor level Conclusion: Care during the end of life of the cared person generates an additional overload to the situation of migrant women. The experience of this stage is related to the bond with the persons cared and their families, which may affect the development of complicated grief and personal problems related to the loss of employment and the absence of economic support.</t>
  </si>
  <si>
    <t>Garcia-Caro, Maria Paz/L-2176-2018; Marti-Garcia, Celia/I-4502-2017</t>
  </si>
  <si>
    <t>Marti-Garcia, Celia/0000-0003-2656-8473</t>
  </si>
  <si>
    <t>0080-6234</t>
  </si>
  <si>
    <t>1980-220X</t>
  </si>
  <si>
    <t>e20230031</t>
  </si>
  <si>
    <t>10.1590/1980-220X-REEUSP-2023-0031en</t>
  </si>
  <si>
    <t>WOS:001048709000001</t>
  </si>
  <si>
    <t>Ochoa-Arias, A; Jerardino-Wiesenborn, B; Paucar-Caceres, A</t>
  </si>
  <si>
    <t>Ochoa-Arias, Alejandro; Jerardino-Wiesenborn, Bruno; Paucar-Caceres, Alberto</t>
  </si>
  <si>
    <t>Maturana's Ontology of the Observer and Cultural Biology: Understanding the Organization of Living</t>
  </si>
  <si>
    <t>CONSTRUCTIVIST FOUNDATIONS</t>
  </si>
  <si>
    <t>We focus on: (a) the implica-tions of the ontology of the observer and the role of language as a type of structur-al coupling that opens up the idea of cul-tural biology as the final statement upon which Maturana relies to account for the dynamic of the human being as a living (cognitive) system; (b) the identification of some insights through the concept of structural coupling; and (c) the possi-bility of extending Maturana's ideas to other fields of knowledge, as suggested by Capra.</t>
  </si>
  <si>
    <t>Jerardino-Wiesenborn, Bruno/AAW-6653-2020; Ochoa Arias, Alejandro/AFP-3251-2022; Paucar-Cáceres, Alberto/AAA-9550-2019</t>
  </si>
  <si>
    <t>1782-348X</t>
  </si>
  <si>
    <t>WOS:000999630700007</t>
  </si>
  <si>
    <t>Triviño-Amigo, N; Mendoza-Muñoz, DM; Mayordomo-Pinilla, N; Barrios-Fernández, S; Contreras-Barraza, N; Gil-Marín, M; Castillo, D; Galán-Arroyo, C; Rojo-Ramos, J</t>
  </si>
  <si>
    <t>Trivino-Amigo, Natalia; Manuel Mendoza-Munoz, David; Mayordomo-Pinilla, Noelia; Barrios-Fernandez, Sabina; Contreras-Barraza, Nicolas; Gil-Marin, Miseldra; Castillo, Dante; Galan-Arroyo, Carmen; Rojo-Ramos, Jorge</t>
  </si>
  <si>
    <t>Inclusive Education in Primary and Secondary School: Perception of Teacher Training</t>
  </si>
  <si>
    <t>Introduction. Inclusive education is one of the main objectives of the educational system toward achieving equal opportunities among students. To this end, teacher training plays an important role in the different educational stages. Objectives. To analyze the perceived readiness of teachers for inclusive education and to see the differences in primary and secondary education. Methods: A total of 961 active teachers from public schools, 53.3% Primary and 46.7% Secondary Education, were analyzed by means of a questionnaire on Teachers' perceptions about their preparation for inclusive education and the CEFI-R instrument. Results. There are statistically significant differences between the two stages in the first questionnaire (question 1: p = 0.03; question 2: p &lt; 0.01 and question 3: p &lt; 0.01) and also, in 3 of the four CEFI-R dimensions, with the primary score being higher. Conclusions: This study shows that there is a large percentage of teachers who believe that their initial training is insufficient to deal with student diversity. In addition, most of them state that continuous training has helped them to improve inclusive education and that they would be willing to attend training courses on inclusion, although in secondary school, the predisposition is lower than in high school. On the other hand, teachers of both educational stages show a mostly favorable attitude according to the CEFI-R, being higher in primary than in secondary school. In this sense, the public administration has work to do.</t>
  </si>
  <si>
    <t>Gómez, Jorge/R-1334-2019; Gil-Marin, Miseldra/GOE-3439-2022; Contreras-Barraza, Nicolás/HTP-2328-2023; Barrios-Fernandez, Sabina/AAX-5062-2020; Galan-Arroyo, Carmen/LIG-0946-2024</t>
  </si>
  <si>
    <t>Castillo, Dante/0000-0002-5648-0627; Mendoza-Munoz, David Manuel/0000-0001-5797-7419; Rojo Ramos, Jorge/0000-0002-6542-7828; Mayordomo-Pinilla, Noelia/0000-0002-8041-1525; Barrios-Fernandez, Sabina/0000-0001-7128-5451; Galan-Arroyo, Carmen/0000-0001-8750-0267; Gil, Miseldra/0000-0003-2553-5020; Contreras-Barraza, Nicolas/0000-0001-6729-4398</t>
  </si>
  <si>
    <t>10.3390/ijerph192315451</t>
  </si>
  <si>
    <t>WOS:000896308300001</t>
  </si>
  <si>
    <t>Rojas, V; Cáceres, G; López, S; Henríquez, R; Grez, P; Schrebler, R; Navarrete, E; Herrera, F; Caballero, A; Gómez, JL; Muñoz, E</t>
  </si>
  <si>
    <t>Rojas, Victor; Caceres, Gustavo; Lopez, Silvana; Henriquez, Rodrigo; Grez, Paula; Schrebler, Ricardo; Navarrete, Emilio; Herrera, Francisco; Caballero, Alvaro; Gomez, Juan Luis; Munoz, Eduardo</t>
  </si>
  <si>
    <t>Novel Rechargeable Lithium-Ion Battery Based on a Cathode of Potassium-Cobalt(II) Octacyanomolybdate (vol 168, 10053, 2021)</t>
  </si>
  <si>
    <t>JOURNAL OF THE ELECTROCHEMICAL SOCIETY</t>
  </si>
  <si>
    <t>Henríquez, Rodrigo/E-2155-2014</t>
  </si>
  <si>
    <t>Caceres Inzunza, Gustavo Alejandro/0000-0002-4483-2672; Lopez Estay, Silvana Makarena/0000-0002-5665-1166</t>
  </si>
  <si>
    <t>0013-4651</t>
  </si>
  <si>
    <t>1945-7111</t>
  </si>
  <si>
    <t>10.1149/1945-7111/ac6c59</t>
  </si>
  <si>
    <t>WOS:000796208000001</t>
  </si>
  <si>
    <t>López-Vilos, N; Valencia-Cordero, C; Azurdia-Meza, C; Montejo-Sánchez, S; Mafra, SB</t>
  </si>
  <si>
    <t>Lopez-Vilos, Nicolas; Valencia-Cordero, Claudio; Azurdia-Meza, Cesar; Montejo-Sanchez, Samuel; Mafra, Samuel Baraldi</t>
  </si>
  <si>
    <t>Performance Analysis of the IEEE 802.15.4 Protocol for Smart Environments under Jamming Attacks</t>
  </si>
  <si>
    <t>SENSORS</t>
  </si>
  <si>
    <t>Jamming attacks in wireless sensor networks (WSNs) scenarios are detrimental to the performance of these networks and affect the security and stability of the service perceived by users. Therefore, the evaluation of the effectiveness of smart environment platforms based on WSNs has to consider the system performance when data collection is executed under jamming attacks. In this work, we propose an experimental testbed to analyze the performance of a WSN using the IEEE 802.15.4 CSMA/CA unslotted mode under jamming attacks in terms of goodput, packet receive rate (PRR), and energy consumption to assess the risk for users and the network in the smart scenario. The experimental results show that constant and reactive jamming strategies severely impact the evaluated performance metrics and the variance' of the received signal strength (RSS) for some signal-to-interference-plus-noise ratio (SINR) ranges. The measurements obtained using the experimental testbed were correlated with analytical models. The results show that in the presence of one interferer, for SINR values higher than 4.5 dB, the PRR is almost 0.99, and the goodput 3.05 Kbps, but the system performance is significantly degraded when the amount of interferers increases. Additionally, the energy efficiency associated with reactive strategies is superior to the constant attack strategy. Finally, based on the evaluated metrics and with the proposed experimental testbed, our findings offer a better understanding of jamming attacks on the sensor devices in real smart scenarios.</t>
  </si>
  <si>
    <t>Meza, Cesar/D-6948-2014; MAFRA, SAMUEL/AAM-2064-2020; Montejo-Sánchez, Samuel/AAX-4151-2020</t>
  </si>
  <si>
    <t>Mafra, Samuel/0000-0002-5238-1795; Montejo-Sanchez, Samuel/0000-0003-1622-3180; Lopez-Vilos, Nicolas/0000-0002-8372-7824; Azurdia, Cesar/0000-0003-3461-4484</t>
  </si>
  <si>
    <t>1424-8220</t>
  </si>
  <si>
    <t>10.3390/s21124079</t>
  </si>
  <si>
    <t>WOS:000666381100001</t>
  </si>
  <si>
    <t>Carrasco, S; Medina, P; Rogan, J; Valdivia, JA</t>
  </si>
  <si>
    <t>Carrasco, Sebastian; Medina, Pablo; Rogan, Jose; Alejandro Valdivia, Juan</t>
  </si>
  <si>
    <t>Simulations suggest that navigation software may not be as efficient as expected for city traffic</t>
  </si>
  <si>
    <t>CHAOS</t>
  </si>
  <si>
    <t>We suggest a theoretical framework to study the dynamics of an open city, with cars entering at a certain rate and leaving as they reach their destinations. In particular, we assess through simulations some unexpected consequences of the massive use of GPS (global positioning system) navigation systems in the overall dynamics. One of our main interest is to identify what type of measurements would be the most relevant for an experimental study of this system, specifically, the ones useful for city traffic administrators. To do so, we solve the microdynamics using a cellular automaton model considering three different navigation strategies based on the minimization of the individual paths (unweighted strategy) or travel times (weighted strategies). Although the system is inherently stochastic, we found in our simulations an equivalent saddle-node bifurcation for all strategies where the input rate acts as a bifurcation parameter. There is also evidence of additional bifurcations for travel time minimization based strategies. Although we found that weighted strategies are more efficient in terms of car motion, there is a destabilization phenomenon that makes, in an unexpected way, a variation of the unweighted strategy more optimal at certain densities from the fuel efficiency of the overall city traffic point of view. These results bring new insight into the intrinsic dynamics of cities and the perturbations that individual traffic routing can produce on the city as a whole.</t>
  </si>
  <si>
    <t>Carrasco, Sebastian/HNT-0571-2023; Medina, Pablo/AAN-2202-2021; Valdivia, Juan/A-3631-2008; Rogan, José/B-8819-2008</t>
  </si>
  <si>
    <t>Rogan, Jose/0000-0003-1080-2739; Medina, Pablo/0000-0003-3139-042X; Valdivia, Juan Alejandro/0000-0003-3381-9904; Carrasco, Sebastian/0000-0002-6512-9695</t>
  </si>
  <si>
    <t>1054-1500</t>
  </si>
  <si>
    <t>1089-7682</t>
  </si>
  <si>
    <t>10.1063/5.0022946</t>
  </si>
  <si>
    <t>WOS:000630444300003</t>
  </si>
  <si>
    <t>Pazos-Couto, JM; Arevalo, ST; Middleton, OL; Kawada, FH</t>
  </si>
  <si>
    <t>Pazos-Couto, Jose M.; Toro Arevalo, Sergio; Luhrs Middleton, Otto; Hidalgo Kawada, Felipe</t>
  </si>
  <si>
    <t>Eco-motricity: An epistemic turn to re-thinking physical education in Chile</t>
  </si>
  <si>
    <t>JOURNAL OF HUMAN SPORT AND EXERCISE</t>
  </si>
  <si>
    <t>The main purpose of this paper is to stress the epistemic and ontological proposal of the physical education. Subsequently, and using a critical reflection approach in the context of climate change and environmental crisis, the Eco-motricity proposal is presented, which represent an epistemic turn into the discipline and, in consequence, a didactic which consider the construction of a new ethic and relationships among individuals. Finally, challenges, new pathways and questions in the physical education research and the practices in the school are proposed.</t>
  </si>
  <si>
    <t>Couto, Jose/B-2342-2016; Pazos Couto, Jose Maria/B-6809-2015</t>
  </si>
  <si>
    <t>Pazos Couto, Jose Maria/0000-0001-7234-6834; Toro Arevalo, Sergio Alejandro/0000-0002-4559-3351</t>
  </si>
  <si>
    <t>1988-5202</t>
  </si>
  <si>
    <t>10.14198/jhse.2021.161.09</t>
  </si>
  <si>
    <t>WOS:000615855400009</t>
  </si>
  <si>
    <t>Soto, DAS; Aedo-Munoz, E; Brito, CJ; Miarka, B</t>
  </si>
  <si>
    <t>Soto, Dany Alexis Sobarzo; Aedo-Munoz, Esteban; Brito, Ciro Jose; Miarka, Bianca</t>
  </si>
  <si>
    <t>Comparisons of Motor Actions and Biomechanical Assessments of Judo Techniques Between Female Weight Categories</t>
  </si>
  <si>
    <t>JOURNAL OF HUMAN KINETICS</t>
  </si>
  <si>
    <t>This study aimed to perform motor action and biomechanical analysis of techniques in female judo athletes separated by weight categories of 638 female bouts (103 extra lightweight &lt;48 kg, 140 half lightweight 48&gt;52 kg, 65 lightweight 52&gt;57 kg, 73 half middleweight 57&gt;63 kg, 77 middleweight 63&gt;70 kg, 80 half heavyweight 70&gt;78 kg and 60 heavyweight &gt;78 kg). All bouts were analyzed following the phases of approach, gripping, defensive action, attack, also biomechanical analysis of techniques and groundwork was performed (p &lt;= .05). Results indicated that lightweight athletes presented lower attempts to grip, right collar grip and left collar grip frequencies than other categories. Extra lightweight judokas presented lower right back grip and left back and sleeve grip frequencies as well as lower occurrence of techniques with arm and leg lever scored than half lightweight athletes, while half lightweight athletes demonstrated higher frequency of techniques with waist lever variable scored than lightweight ones. These findings should be considered for training prescription.</t>
  </si>
  <si>
    <t>Brito, Ciro/AAC-9104-2019; Miarka, Bianca/V-7395-2017; Aedo-Muñoz, Esteban/R-5623-2019</t>
  </si>
  <si>
    <t>brito, ciro/0000-0002-9678-1977; Aedo-Munoz, Esteban/0000-0003-1544-2824; Sobarzo-Soto, Dany Alexis/0000-0001-8479-7149</t>
  </si>
  <si>
    <t>1640-5544</t>
  </si>
  <si>
    <t>1899-7562</t>
  </si>
  <si>
    <t>10.2478/hukin-2020-0053</t>
  </si>
  <si>
    <t>WOS:000590449400021</t>
  </si>
  <si>
    <t>Root-Bernstein, M; Bondoux, A; Guerrero-Gatica, M; Zorondo-Rodriguez, F</t>
  </si>
  <si>
    <t>Root-Bernstein, M.; Bondoux, A.; Guerrero-Gatica, M.; Zorondo-Rodriguez, F.</t>
  </si>
  <si>
    <t>Tacit working models of human behavioural change II: Farmers' folk theories of conservation programme design</t>
  </si>
  <si>
    <t>AMBIO</t>
  </si>
  <si>
    <t>Community involvement may be essential for conservation programme success. We focus on farmers, asking how and why they believe conservation interventions will work, or not. Here we test models of folk theories of the human motivational factors required for behaviour change, in 3 rural central Chilean communities. We hypothesize that different models will be supported by farmers with different experiences with conservation programmes, and that socioeconomic and production system variation will explain further variation in who supports each working model. We use a multiple methods approach, combining a questionnaire with participant-observation. We find support for three of the working models of human behavioural change, among different socio-economic profiles of farmers. We believe that the schema of working models provides a boundary object to facilitate communication between conservationists and stakeholders, and can help improve conservation project design and implementation.</t>
  </si>
  <si>
    <t>Zorondo-Rodríguez, Francisco/GWU-8371-2022; Guerrero-Gatica, Matías/AAJ-8074-2021; Zorondo-Rodriguez, Francisco/I-8273-2014</t>
  </si>
  <si>
    <t>Zorondo-Rodriguez, Francisco/0000-0001-6469-9859; Root-Bernstein, Meredith/0000-0002-2513-1248; Guerrero-Gatica, Matias/0000-0003-0868-6740</t>
  </si>
  <si>
    <t>0044-7447</t>
  </si>
  <si>
    <t>1654-7209</t>
  </si>
  <si>
    <t>10.1007/s13280-019-01315-6</t>
  </si>
  <si>
    <t>FEB 2020</t>
  </si>
  <si>
    <t>WOS:000516143700001</t>
  </si>
  <si>
    <t>Andreasen, E; Schindler, M; Valenzuela, P</t>
  </si>
  <si>
    <t>Andreasen, Eugenia; Schindler, Martin; Valenzuela, Patricio</t>
  </si>
  <si>
    <t>Capital Controls and the Cost of Debt</t>
  </si>
  <si>
    <t>IMF ECONOMIC REVIEW</t>
  </si>
  <si>
    <t>Using a panel data set for international corporate bonds and capital account restrictions in advanced and emerging economies, we show that restrictions on capital inflows produce a substantial and economically meaningful increase in corporate bond spreads, with a one-standard-deviation increase in our capital controls index increasing spreads by up to 35 basis points. The effect of capital controls on inflows differs across firms and across countries; the effect is particularly strong for firms that face more restricted access to alternative sources of external financing. Our findings establish a novel channel through which capital controls affect economic outcomes.</t>
  </si>
  <si>
    <t>Valenzuela, Patricio/F-8264-2016</t>
  </si>
  <si>
    <t>Valenzuela, Patricio/0000-0001-8171-9751</t>
  </si>
  <si>
    <t>2041-4161</t>
  </si>
  <si>
    <t>2041-417X</t>
  </si>
  <si>
    <t>10.1057/s41308-019-00080-6</t>
  </si>
  <si>
    <t>WOS:000468501200002</t>
  </si>
  <si>
    <t>Montero, G; Arriagada, F; Günther, G; Bollo, S; Mura, F; Berríos, E; Morales, J</t>
  </si>
  <si>
    <t>Montero, Guillermo; Arriagada, Francisco; Gunther, German; Bollo, Soledad; Mura, Francisco; Berrios, Eduardo; Morales, Javier</t>
  </si>
  <si>
    <t>Phytoestrogen coumestrol: Antioxidant capacity and its loading in albumin nanoparticles</t>
  </si>
  <si>
    <t>INTERNATIONAL JOURNAL OF PHARMACEUTICS</t>
  </si>
  <si>
    <t>Coumestrol is a polyphenol with promising therapeutic applications as phytoestrogen, antioxidant and potential cancer chemoprevention agent. The presence of two hydroxyl groups on its chemical structure, with orientation analogous to estradiol, is responsible of both, its antioxidant capacity and its estrogenic activity. However, several studies show that the interaction of polyphenols with food and plasma proteins reduces their antioxidant efficacy. We studied the interaction of coumestrol with bovine serum albumin protein (BSA) by fluorescence spectroscopy and circular dichroism techniques, and the effect of this interaction on its antioxidant activity as a hydroxyl radical scavenger. In addition, coumestrol antioxidant capacity profile using different assays (DPPH, ORAC-FL and ORAC-EPR) was studied. To explain its reactivity we used several methodologies, including DFT calculations, to define its antioxidant mechanism. Coumestrol antioxidant activity unveiled interesting antioxidant properties. BSA interaction with coumestrol reduces significantly photolytic degradation in several media thus preserving its antioxidant properties. Results suggest no significant changes in BSA structure and activity when interacting with coumestrol. Furthermore, this interaction is stronger than for other phytoestrogens such as daidzein and genistein. Considering our promising results, we reported for the first time the fabrication and characterization of coumestrol-loaded albumin nanoparticles. The resulting spherical and homogeneous nanoparticles showed a diameter close to 96 nm. The coumestrol incorporation efficiency in BSA NPs was 22.4%, which is equivalent to 3 molecules of coumestrol for every 10 molecules of BSA.</t>
  </si>
  <si>
    <t>Bollo, Soledad/B-5257-2011; Gunther, German/I-1028-2013</t>
  </si>
  <si>
    <t>Bollo, Soledad/0000-0003-0868-4294; Gunther, German/0000-0002-4733-8426; Mura Mardones, Francisco/0000-0003-0463-1814; Morales Valenzuela, Javier Eduardo/0000-0002-9880-2567</t>
  </si>
  <si>
    <t>0378-5173</t>
  </si>
  <si>
    <t>1873-3476</t>
  </si>
  <si>
    <t>10.1016/j.ijpharm.2019.03.029</t>
  </si>
  <si>
    <t>WOS:000463865000009</t>
  </si>
  <si>
    <t>Ortega, D; Alvarado, C; Muñoz, L; Kohler, H; Pineda, F; Páez, M; Sancy, M; Vejar, ND; Blamey, JM</t>
  </si>
  <si>
    <t>Ortega, Daniel; Alvarado, Claudia; Munoz, Lisa; Kohler, Hans; Pineda, Fabiola; Paez, Maritza; Sancy, Mamie; Vejar, Nelson D.; Blamey, Jenny M.</t>
  </si>
  <si>
    <t>Effect of a Bacterial Consortium on Passivation Property of 2024 Aluminum Alloy</t>
  </si>
  <si>
    <t>A bacterial consortium was recollected from corrosion products formed on a vertical fin of a military helicopter exposed to Antarctic environment for 4 years. For the identification and characterization of the consortium, DNA sequencing was performed showing that the consortium was mainly composed by three strains. Two of the strains showed a close affiliation to Bacillus toyonensis and Staphylococcus aureus. However, the third strain studied did not show affiliation by 16S rRNA analysis to any genus so far described. Additionally, morphological and electrochemical studies of an aluminum 2024-T3 alloy prior and after exposure to a sterile and inoculated minimal salt medium at 4 degrees C were carried out by using scanning electron microscope, open circuit potential and electrochemical impedance spectroscopy. The experimental results revealed that steady-state properties of the passive film were modified by the bacterial consortium and isolates.</t>
  </si>
  <si>
    <t>Vejar, Nelson/M-7784-2017; Alvarado, Claudia/ECH-1671-2022; Paez, Maritza/M-2010-2014; Blamey, Jenny/M-2637-2014; Alvarado, Claudia/L-6852-2017; Sancy, Mamie/L-6270-2014</t>
  </si>
  <si>
    <t>Vejar, Nelson/0000-0002-9544-2199; paez, maritza/0000-0001-5881-884X; Alvarado, Claudia/0000-0003-2373-0359; Sancy, Mamie/0000-0001-9523-2629; Pineda, Fabiola/0000-0002-1508-7327; munoz, lisa/0000-0002-4588-2620</t>
  </si>
  <si>
    <t>10.20964/2019.02.07</t>
  </si>
  <si>
    <t>WOS:000460756500067</t>
  </si>
  <si>
    <t>Estay, H; Troncoso, E; Ruby-Figueroa, R; Romero, J</t>
  </si>
  <si>
    <t>Estay, Humberto; Troncoso, Elizabeth; Ruby-Figueroa, Rene; Romero, Julio</t>
  </si>
  <si>
    <t>Performance evaluation of mass transfer correlations in the GFMA process: A review with perspectives to the design</t>
  </si>
  <si>
    <t>JOURNAL OF MEMBRANE SCIENCE</t>
  </si>
  <si>
    <t>Gas filled membrane absorption process (GFMA), or hollow fiber gas membranes process (HFGM) can replace two units operations (absorption and stripping) in a unique stage based on membrane contactors. But its application at industrial scale is still emerging: only cases of ammonia removal and concentration have been reported. This advantage has not been enough to scale it up to pilot prototypes for different applications, probably because (i) experimental tests have been carried out with modules that do not exist at industrial scale, and the selection of the mass transfer correlation for different purposes lacks rigour with respect to the original conditions of the correlation, and (ii) industrial modules configurations focused only on gas absorption applications. The first problem limits the experimental results for scientific purposes only, making these results un-reproducible for the design of a pilot or industrial plant. Furthermore, the selection of experimental modules has generally been established to validate an application, limiting the search for an optimal performance. The high quantity of mass transfer correlation also complicates the selection to design or scaling-up purposes. This work includes then a review of the first problem, by conducting an evaluation of mass transfer performance of different membranes modules configuration proposed in literature. The aim is to identify the best experimental configurations for a GFMA process that will lead a further scaling up. This evaluation was carried out using a phenomenological model of GFMA process developed for an application of cyanide recovery in the gold mining industry. The best performance was achieved in membranes modules having cross flow with center baffle and fully baffled.</t>
  </si>
  <si>
    <t>Romero, Julio/I-6705-2013; Estay, Humberto/I-3499-2017</t>
  </si>
  <si>
    <t>Ruby-Figueroa, Rene/0000-0001-7747-1837; Troncoso, Elizabeth/0000-0002-6749-774X; Estay, Humberto/0000-0001-8518-7131; Romero, Julio/0000-0002-1229-1592</t>
  </si>
  <si>
    <t>0376-7388</t>
  </si>
  <si>
    <t>1873-3123</t>
  </si>
  <si>
    <t>10.1016/j.memsci.2018.02.064</t>
  </si>
  <si>
    <t>WOS:000429188200016</t>
  </si>
  <si>
    <t>Encina, C; Vergara, C; Márquez-Ruiz, G; Holgado, F; Robert, P; Giménez, B</t>
  </si>
  <si>
    <t>Encina, Cristian; Vergara, Cristina; Marquez-Ruiz, Gloria; Holgado, Francisca; Robert, Paz; Gimenez, Begona</t>
  </si>
  <si>
    <t>Influence of solvent and lecithin in microencapsulation of fish oil by spray-drying</t>
  </si>
  <si>
    <t>Fish oil (FO) was encapsulated by conventional spray-drying (FO-W-Lec) and by ethanol spray-drying, with FO incorporated as an oil-in-ethanol emulsion (with lecithin as emulsifier, FO-EtOH-Lec) or as an oil-in-ethanol dispersion (without lecithin, FO-EtOH). FO-EtOH-Lec and FO-W-Lec were obtained according to a central composite design, whereas FO-EtOH was prepared under optimal conditions. The optimal FO/hydroxypropylcellulose ratio was 1:4 for all FO-systems, but the optimal inlet gas temperature was lower for FO-EtOH and FO-EtOH-Lec (135 degrees C) than for FO-W-Lec (200 degrees C). The encapsulation efficiency (EE) for ethanol spray-drying (FO-EtOH-Lec, 81.1% and FO-EtOH, 80.4%) was higher than conventional spray-drying (71.1%). However, the FO stability was better for FO-EtOH-Lec, measured either by total oxidation compounds or by polymerization compounds. The FO released in aqueous models corresponded only to surface FO in all FO-systems, showing Fickian diffusion. Ethanol spray-drying is an alternative to conventional methods, increasing the EE values of FO. Furthermore, lecithin allows improving the FO stability when incorporated as an emulsifier in ethanol spray-drying.</t>
  </si>
  <si>
    <t>Robert, Paz/G-8198-2014; Vergara, Cristina/AAT-9575-2021; Holgado, Francisca/AAC-1822-2020; Marquez-Ruiz, Gloria/B-6925-2013</t>
  </si>
  <si>
    <t>Encina, Cristian/0000-0003-4324-6302; Marquez-Ruiz, Gloria/0000-0002-8548-837X; Gimenez, Begona/0000-0002-9553-6291; HOLGADO, FRANCISCA/0000-0003-4950-5950</t>
  </si>
  <si>
    <t>10.1039/c7ra13286g</t>
  </si>
  <si>
    <t>WOS:000423406900031</t>
  </si>
  <si>
    <t>Lagos, C; Duran, C; Carrasco, R; Constanzo, R; Sepulveda, JM</t>
  </si>
  <si>
    <t>Dzitac, I; Filip, FG; Manolescu, MJ; Dzitac, S; Oros, H; Dzitac, D</t>
  </si>
  <si>
    <t>Lagos, Carolina; Duran, Claudia; Carrasco, Raul; Constanzo, Robinson; Sepulveda, Juan M.</t>
  </si>
  <si>
    <t>Intelligent Management of the Energy in Copper Mining, Using Predictive Supervision Systems</t>
  </si>
  <si>
    <t>2018 7TH INTERNATIONAL CONFERENCE ON COMPUTERS COMMUNICATIONS AND CONTROL (ICCCC 2018)</t>
  </si>
  <si>
    <t>7th International Conference on Computers Communications and Control (ICCCC)</t>
  </si>
  <si>
    <t>MAY 08-12, 2018</t>
  </si>
  <si>
    <t>Oradea, ROMANIA</t>
  </si>
  <si>
    <t>IEEE,IEEE Reg 08,Agora Univ Oradea,R &amp; D Agora, Cercetare Dezvoltare Agora</t>
  </si>
  <si>
    <t>In this work it is analyzed the case of Great Mining Chilean Enterprise show at present, due to the sustained increase of the energetic costs that in the last years have generated a decrease of the profitability. As a solution, it is proposed the creation of an intelligent system of management and supervision, that can predict the energetic consumption of electricity in a copper productive process of a concentrator plant. Based on the results found. The interview to experts and the protocols, it is generated a conceptual model for a system of intelligent management in mining (SGEP-M) that has an architecture that integrates the management software that mining uses (PI System) to a supervision system in real time that allows engineering decision making of short, medium and long term. It is proposed the implementation of a process of management and efficiency of electric energy for the SGEP-M system.</t>
  </si>
  <si>
    <t>Duran, Claudia/S-1175-2019; Carrasco, Raul/G-5440-2015</t>
  </si>
  <si>
    <t>Carrasco, Raul/0000-0002-5023-9349</t>
  </si>
  <si>
    <t>978-1-5386-1934-6</t>
  </si>
  <si>
    <t>WOS:000437157500010</t>
  </si>
  <si>
    <t>Pinto, MP; Owen, GI; Retamal, I; Garrido, M</t>
  </si>
  <si>
    <t>Pinto, Mauricio P.; Owen, Gareth I.; Retamal, Ignacio; Garrido, Marcelo</t>
  </si>
  <si>
    <t>Angiogenesis inhibitors in early development for gastric cancer</t>
  </si>
  <si>
    <t>EXPERT OPINION ON INVESTIGATIONAL DRUGS</t>
  </si>
  <si>
    <t>Introduction: Angiogenesis, or the generation of new blood vessels from pre-existent ones is a critical process for tumor growth and progression. Hence, the development of angiogenesis inhibitors with therapeutic potential has been a central focus for researchers. Most angiogenesis inhibitors target the Vascular Endothelial Growth Factor (VEGF) pathway, however a number of tyrosine kinase inhibitors (TKIs), immunomodulatory drugs (IMiDs) and inhibitors of the mammalian Target-Of-Rapamycin (mTOR) pathway also display antiangiogenic activity.Areas covered: Here we review the effectiveness of a variety of compounds with antiangiogenic properties in preclinical and clinical settings in gastric cancer (GC).Expert opinion: In coming years angiogenesis will remain as a therapeutic target in GC. To date, ramucirumab a monoclonal antibody that targets VEGFR2 is the most successful antiangiogenic tested in clinical studies, and it is now well established as a second-line therapy in GC. The arrival of precision medicine and the success of immune checkpoint inhibitors will increase the number of clinical trials using targeted agents like ramucirumab in combination with immune checkpoint inhibitors. A hypothetical working model that combines ramucirumab with immunotherapy is presented. Also, the impact of nanotechnology and a molecular subtype classification of GC are discussed</t>
  </si>
  <si>
    <t>Owen, Gareth/A-5100-2013; Retamal, Ignacio/AAT-6859-2021; Pinto, Mauricio P./HCH-2145-2022</t>
  </si>
  <si>
    <t>Garrido, Marcelo/0000-0001-8905-8986; Retamal, Ignacio N./0000-0003-4633-2556; Pinto, Mauricio P./0000-0003-2484-8033</t>
  </si>
  <si>
    <t>1354-3784</t>
  </si>
  <si>
    <t>1744-7658</t>
  </si>
  <si>
    <t>10.1080/13543784.2017.1361926</t>
  </si>
  <si>
    <t>WOS:000408725900002</t>
  </si>
  <si>
    <t>Baeza, P; Villarroel, M; Villanueva, R; Gil-Llambias, FJ; Avila, P</t>
  </si>
  <si>
    <t>Baeza, P.; Villarroel, M.; Villanueva, R.; Gil-Llambias, F. J.; Avila, P.</t>
  </si>
  <si>
    <t>Synergism of Extruded and Monolithic Co-Mo/γ-AL2O3-Sepiolite Catalytic Systems in the Hydrodesulphurization Reaction</t>
  </si>
  <si>
    <t>TOPICS IN CATALYSIS</t>
  </si>
  <si>
    <t>This study evaluates the synergism of gamma-alumina supported cobalt-molybdenum samples prepared by impregnation in excess of solvent. These materials were then agglomerated with sepiolite in order to obtain samples of extruded cylinders and honeycomb monoliths shaped. The activity of the gas-oil hydrodesulphurization reaction was measured under reaction conditions similar to those used in industry, and the samples were characterised by using electron probe micro analysis and scanning electron microscopy. It was observed that catalytic activity and synergism are higher in both, the extruded and the monolithic samples, when both, the cobalt and molybdenum were impregnated on separate surfaces (Co//Mo), where it was also possible to observe synergism due to hydrogen spillover. The lowest level of activity observed in the extruded and monolithic bimetallic catalysts (CoMo) may be attributed to the cobalt covering the molybdenum active sites.</t>
  </si>
  <si>
    <t>Baeza Chandia, Patricio/0000-0003-1613-2860</t>
  </si>
  <si>
    <t>1022-5528</t>
  </si>
  <si>
    <t>1572-9028</t>
  </si>
  <si>
    <t>2-4</t>
  </si>
  <si>
    <t>10.1007/s11244-015-0441-6</t>
  </si>
  <si>
    <t>WOS:000371425500012</t>
  </si>
  <si>
    <t>Ordenes-Aenishanslins, NA; Saona, LA; Durán-Toro, VM; Monrás, JP; Bravo, DM; Pérez-Donoso, JM</t>
  </si>
  <si>
    <t>Alexis Ordenes-Aenishanslins, Nicolas; Alberto Saona, Luis; Maria Duran-Toro, Vicente; Pablo Monras, Juan; Margarita Bravo, Denisse; Manuel Perez-Donoso, Jose</t>
  </si>
  <si>
    <t>Use of titanium dioxide nanoparticles biosynthesized by Bacillus mycoides in quantum dot sensitized solar cells</t>
  </si>
  <si>
    <t>MICROBIAL CELL FACTORIES</t>
  </si>
  <si>
    <t>Background: One of the major challenges of nanotechnology during the last decade has been the development of new procedures to synthesize nanoparticles. In this context, biosynthetic methods have taken hold since they are simple, safe and eco-friendly. Results: In this study, we report the biosynthesis of TiO2 nanoparticles by an environmental isolate of Bacillus mycoides, a poorly described Gram-positive bacterium able to form colonies with novel morphologies. This isolate was able to produce TiO2 nanoparticles at 37 degrees C in the presence of titanyl hydroxide. Biosynthesized nanoparticles have anatase polymorphic structure, spherical morphology, polydisperse size (40-60 nm) and an organic shell as determined by UV-vis spectroscopy, TEM, DLS and FTIR, respectively. Also, conversely to chemically produced nanoparticles, biosynthesized TiO2 do not display phototoxicity. In order to design less expensive and greener solar cells, biosynthesized nanoparticles were evaluated in Quantum Dot Sensitized Solar Cells (QDSSCs) and compared with chemically produced TiO2 nanoparticles. Solar cell parameters such as short circuit current density (I-SC) and open circuit voltage (V-OC) revealed that biosynthesized TiO2 nanoparticles can mobilize electrons in QDSSCs similarly than chemically produced TiO2. Conclusions: Our results indicate that bacterial extracellular production of TiO2 nanoparticles at low temperatures represents a novel alternative for the construction of green solar cells.</t>
  </si>
  <si>
    <t>Saona, Luis A./AFY-6283-2022; Perez-Donoso, Jose/G-3668-2013</t>
  </si>
  <si>
    <t>Perez-Donoso, Jose/0000-0002-9506-1716; Saona, Luis Alberto/0000-0002-7739-8614</t>
  </si>
  <si>
    <t>1475-2859</t>
  </si>
  <si>
    <t>JUL 16</t>
  </si>
  <si>
    <t>10.1186/s12934-014-0090-7</t>
  </si>
  <si>
    <t>WOS:000339676000001</t>
  </si>
  <si>
    <t>Escudey, M; de la Fuente, P; Antilén, M; Molina, M</t>
  </si>
  <si>
    <t>Escudey, Mauricio; de la Fuente, Pamela; Antilen, Monica; Molina, Mauricio</t>
  </si>
  <si>
    <t>Effect of ash from forest fires on phosphorus availability, transport, chemical forms, and content in volcanic soils</t>
  </si>
  <si>
    <t>ENVIRONMENTAL CHEMISTRY</t>
  </si>
  <si>
    <t>The effect associated with the distribution of ash from plantations of native, pine, and eucalyptus forests over five soils of volcanic origin was studied by means of column leaching experiments. The results show a clear increase of pH (up to 4.4 units) and of the soil's electric conductivity (up to 21 times), whereas total extractable P content increased 3 to 10 times with respect to the control. These effects follow a sequence depending on the origin of the ash (native forest, pine, eucalyptus), concentrated in the 0.0-10.0-cm section from the top of the columns. The observed alkalinity caused an increase of available P (from 21 to 72 times with respect to the control), in addition to decreasing residual P and increasing the extraction efficiency of the method used, discarding a transformation of inorganic P into organic P. Finally, the results show that the addition of ash is a valid and complementary alternative to phosphate fertilisation.</t>
  </si>
  <si>
    <t>Antilen-Lizana, Monica/0000-0003-0512-4267</t>
  </si>
  <si>
    <t>1448-2517</t>
  </si>
  <si>
    <t>10.1071/EN09067</t>
  </si>
  <si>
    <t>WOS:000274732200011</t>
  </si>
  <si>
    <t>Escudey, M; Arias, A; Förster, J; Moraga, N; Zambra, C; Chang, AC</t>
  </si>
  <si>
    <t>Escudey, Mauricio; Arias, Alvaro; Foerster, Juan; Moraga, Nelson; Zambra, Carlos; Chang, Andrew C.</t>
  </si>
  <si>
    <t>Sewage Sludge Self-Heating and Spontaneous Combustion. Field, Laboratory and Numerical Studies</t>
  </si>
  <si>
    <t>HIGH TEMPERATURE MATERIALS AND PROCESSES</t>
  </si>
  <si>
    <t>Self-heating in compost piles results in unsuitable doors, smoke production and fires, having strong negative environmental impacts. Field, laboratory and numerical studies were accomplished trying to reproduce and understand the conditions where self-heating and combustion may take place. Inside a compost pile, built from solid obtained after municipal waste water treatment, oxygen, methane, carbon monoxide and carbon dioxide concentrations and temperature change with time and in depth. Electrical conductivity and pH showed only sligth changes. In field piles temperature increased with time until get a maximum about 90 degrees C. While no spontaneous combustion was observed after 6 months in field experiments, in laboratory studies carried out in a closed bottom cylinder, self-ignition was observed and a maximun temperature of about 400 degrees C was reached. Numerical simulations describe the field piles internal heat generation, concluding that a minimum of 1.8 m height is required to reach a self-ignition condition.</t>
  </si>
  <si>
    <t>0334-6455</t>
  </si>
  <si>
    <t>2191-0324</t>
  </si>
  <si>
    <t>WOS:000207441900007</t>
  </si>
  <si>
    <t>Dardati, PM; Godoy, LA; Celentano, DJ</t>
  </si>
  <si>
    <t>Dardati, Platricia M.; Godoy, Luis A.; Celentano, Diego J.</t>
  </si>
  <si>
    <t>Microstructural simulation of solidification process of spheroidal-graphite cast iron</t>
  </si>
  <si>
    <t>JOURNAL OF APPLIED MECHANICS-TRANSACTIONS OF THE ASME</t>
  </si>
  <si>
    <t>14th Congress on Numerical Methods and Their Applications</t>
  </si>
  <si>
    <t>NOV 08-11, 2004</t>
  </si>
  <si>
    <t>San Carlos de Bariloche, ARGENTINA</t>
  </si>
  <si>
    <t>This paper presents a new micro-macro approach for the thermo-microstructural behavior of the solidification process of an eutectic ductile cast iron. The thermal balance is. written at a macroscopic level and can take into account both the structural component being cast and its mold. Models of nucleation and growth represent the evolution of the microstructure, following a multinodular solidification theory with independent nucleation of graphite and austenite and a dendritic growth of austenite. The resulting formulation is solved rising a finite element discretization of the macro domain, in which the evolution of the microstructure is taken into account at the Gauss integration points. The quantitative agreement between experimental and computational values in terms of cooling curves is acceptable.</t>
  </si>
  <si>
    <t>Celentano, Diego/JQW-5027-2023</t>
  </si>
  <si>
    <t>Dardati, Patricia/0000-0002-3294-2962</t>
  </si>
  <si>
    <t>0021-8936</t>
  </si>
  <si>
    <t>1528-9036</t>
  </si>
  <si>
    <t>10.1115/1.2189876</t>
  </si>
  <si>
    <t>WOS:000241602900011</t>
  </si>
  <si>
    <t>Latgé, A; Pacheco, M; Barticevic, Z</t>
  </si>
  <si>
    <t>Intra-donor transitions in triple quantum-well structures under external fields</t>
  </si>
  <si>
    <t>SEMICONDUCTOR SCIENCE AND TECHNOLOGY</t>
  </si>
  <si>
    <t>A theoretical study on shallow donor-impurity states in distinct triple GaAs-(Ga, Al)As quantum-well heterostructures is presented under external magnetic and electric fields applied perpendicular to the interfaces of the semiconducting elements. The emphasis is put on the determination of intra-donor absorption spectra and its dependence on the impurity profile distributions and different photon polarizations are considered. Impurity states are calculated by adopting the effective mass approximation and using a variational scheme in which ground and excited states are obtained simultaneously. Magnetospectroscopy measurements may be used to observe such transitions.</t>
  </si>
  <si>
    <t>0268-1242</t>
  </si>
  <si>
    <t>1361-6641</t>
  </si>
  <si>
    <t>PII S0268-1242(02)36598-2</t>
  </si>
  <si>
    <t>10.1088/0268-1242/17/9/309</t>
  </si>
  <si>
    <t>WOS:000178307600012</t>
  </si>
  <si>
    <t>Bunel, S; Ibarra, C; Moraga, E; Parada, J; Blasko, A; Bunton, CA</t>
  </si>
  <si>
    <t>Complexation on mannosamine with cobalt(III) bis-phenanthroline. Isolation of a stable triiodide salt</t>
  </si>
  <si>
    <t>D-beta-Mannosamine reacts with cobalt(III) bis-phenanthroline to form a single 1:1 complex with the Delta configuration. at Co(III) which can be isolated as the stable tri-iodide salt.</t>
  </si>
  <si>
    <t>WOS:A1997WR46900013</t>
  </si>
  <si>
    <t>Bezmalinovic, A; Navarrete, A; Latorre, M; Celentano, D; Herrera, EA; García-Herrera, C</t>
  </si>
  <si>
    <t>Bezmalinovic, Alejandro; Navarrete, Alvaro; Latorre, Marcos; Celentano, Diego; Herrera, Emilio A.; Garcia-Herrera, Claudio</t>
  </si>
  <si>
    <t>Characterization of mechanical damage and viscoelasticity on aortas from guinea pigs subjected to hypoxia</t>
  </si>
  <si>
    <t>SCIENTIFIC REPORTS</t>
  </si>
  <si>
    <t>To reliably assess the rupture risk of the aorta, along with the hazardousness of cardiovascular diseases and other extreme conditions or the effect of possible treatments, it is necessary to understand the influence of damage mechanisms along with the frequency and rate of mechanical loads. In particular, hypobaric hypoxia, an oxygen deficiency in the organism due to its low atmospheric partial pressure, is reported to alter the mechanical properties of blood vessels. In this work, we characterized the passive mechanical response of the aorta, seeking to capture the influence of hypoxia on their elastic, damage, and viscoelastic properties under ex-vivo conditions. The mechanical behavior of the aortic wall is described using an anisotropic hyperelastic model including two fiber families with asymmetric dispersion, along with an anisotropic damage model and an orthotropic viscoelastic model based on a reverse multiplicative decomposition of the deformation gradient. The constitutive model was experimentally calibrated from uniaxial-relaxation and biaxial-tensile test results, previously performed on thoracic aorta samples of guinea pigs. A group of guinea pigs subjected to hypoxia was contrasted with a normoxic (control) group. Cyclic-load stages of uniaxial tests were used to assess dissipation. Once the constitutive model was implemented and calibrated, its performance was evaluated via the numerical simulation of a bulge pressurization test to estimate energy dissipation and pressure associated with the onset of damage. Results indicated that hypoxia does not alter the visco-hyperelastic or damage behavior of the aorta. Besides, the pressure delivered by bulge-test simulations at the onset of damage on collagen fibers was representative of an arterial hypertensive condition.</t>
  </si>
  <si>
    <t>2045-2322</t>
  </si>
  <si>
    <t>APR 18</t>
  </si>
  <si>
    <t>10.1038/s41598-025-96086-4</t>
  </si>
  <si>
    <t>WOS:001471063300015</t>
  </si>
  <si>
    <t>Abello-Romero, J; Mancilla, C; Restrepo, K; Sáez, W; Durán-Seguel, I; Ganga-Contreras, F</t>
  </si>
  <si>
    <t>Abello-Romero, Juan; Mancilla, Claudio; Restrepo, Katherine; Saez, Walter; Duran-Seguel, Ivette; Ganga-Contreras, Francisco</t>
  </si>
  <si>
    <t>Sustainability Reporting in the University Context-A Review and Analysis of the Literature</t>
  </si>
  <si>
    <t>This paper aims to determine the key themes addressed in sustainability reporting in higher education institutions (HEIs), focusing on papers indexed in the Scopus database until October 2024. The number of papers selected was fewer than the number of articles addressing sustainability reporting in corporate settings. We present the findings of this search by providing some metrics and an analysis of the selected texts through the construction of ten categories and 26 subcategories. Our study differs from previous works by providing an analysis of the content of some of the reviewed articles.</t>
  </si>
  <si>
    <t>Abello-Romero, Juan Bautista/ABD-3002-2021; Ganga-Contreras, Francisco/AAV-2527-2021; Mancilla, Claudio/CAI-2512-2022</t>
  </si>
  <si>
    <t>Abello Romero, Juan Bautista/0000-0003-3064-3456; Ganga-Contreras, Francisco Anibal/0000-0001-9325-6459; Saez, Walter/0000-0003-4346-2304; Mancilla, Claudio/0000-0003-2864-2112; Duran Seguel, Ivette/0000-0002-0903-5811</t>
  </si>
  <si>
    <t>10.3390/su162410888</t>
  </si>
  <si>
    <t>WOS:001386621100001</t>
  </si>
  <si>
    <t>Garcia-Salirrosas, EE; Escobar-Farfan, M; Gomez-Bayona, L; Moreno-Lopez, G; Valencia-Arias, A; Gallardo-Canales, R</t>
  </si>
  <si>
    <t>Garcia-Salirrosas, Elizabeth Emperatriz; Escobar-Farfan, Manuel; Gomez-Bayona, Ledy; Moreno-Lopez, Gustavo; Valencia-Arias, Alejandro; Gallardo-Canales, Rodrigo</t>
  </si>
  <si>
    <t>Influence of environmental awareness on the willingness to pay for green products: an analysis under the application of the theory of planned behavior in the Peruvian market</t>
  </si>
  <si>
    <t>FRONTIERS IN PSYCHOLOGY</t>
  </si>
  <si>
    <t>IntroductionThis paper aimed to build a predictive model through an empirical study to examine the influence of environmental awareness (EA) on attitude (ATT) and perceived behavioral control (PBC), as well as to determine the influence of the three variables of the theory of planned behavior (TPB) on willingness to pay (WP) for green products in the Peruvian market.MethodsA total of 405 Peruvian consumers were surveyed. Most of them were between the ages of 18 and 30 and single. To test the hypotheses, partial least squares (PLS-SEM) were used using the SamrtPls4 software. The results show the significant positive effect of EA on ATT and PBC. The positive and significant effect of ATT, SN, and PBC on WP was also tested A total of 405 Peruvian consumers were surveyed. Most of them were between 18 and 30 years old and single. To test the hypotheses, partial least squares (PLS-SEM) was used using SamrtPls4 software.ResultsThe results show the positive and significant effect of AD on ATT and PBC. The positive and significant effect of ATT, SN and PBC on WP was also tested.DiscussionThe research provides antecedents that allow evaluation of the possibility that companies and governments adjust the dissemination strategies and related public policies regarding the impact of environmentally responsible behavior in order to contribute to the development of environmental awareness as a variable that promotes the disposition of consumers to pay for environmentally friendly products.</t>
  </si>
  <si>
    <t>García-salirrosas, Elizabeth/JBJ-6862-2023; MORENO LOPEZ, GUSTAVO/J-6166-2018; Escobar Farfán, Manuel/HJH-8388-2023; Valencia-Arias, Alejandro/I-9436-2019</t>
  </si>
  <si>
    <t>Escobar-Farfan, Manuel/0000-0002-2975-7010</t>
  </si>
  <si>
    <t>1664-1078</t>
  </si>
  <si>
    <t>10.3389/fpsyg.2023.1282383</t>
  </si>
  <si>
    <t>WOS:001148794300001</t>
  </si>
  <si>
    <t>Fuentes, I; Mmbaga, JP; Hayes, RE; Gracia, F</t>
  </si>
  <si>
    <t>Fuentes, Ismael; Mmbaga, Joseph P.; Hayes, Robert E.; Gracia, Francisco</t>
  </si>
  <si>
    <t>Potential of microreactors for heat transfer efficient CO2 methanation</t>
  </si>
  <si>
    <t>The heat transfer efficiency during CO2 methanation is studied by analyzing the diffusion and advection pro-cesses inside a microreactor channel. Analytical models are obtained by solving the multidimensional transient heat balance under diffusion control to calculate the time to reach the stationary state, and to establish the conditions that favor the fastest responses. Then, the effect of advective forces (gas velocity) and channel di-mensions on this time are considered a more detailed geometric configuration, allowing us to stablish the conditions to achieve isothermality in the entire domain within the microchannels. When diffusive forces dominate in the heat balance, the isothermal condition is fulfilled throughout the internal domain of the channel; however, in the presence of significant advective forces, the isothermallity is not easily fulfilled. Thus, the small microreactor dimensions make it possible to ensure an isothermal domain and achieve faster responses up to the stationary temperature. Furthermore, the thickness of the metallic wall limits the dynamic behavior of the temperature. This study confirms the advantages of process intensification in response times and isothermal condition of this reaction in this type of reactor.</t>
  </si>
  <si>
    <t>Gracia, Francisco/I-2145-2013</t>
  </si>
  <si>
    <t>Gracia, Francisco/0000-0001-5266-3234; Fuentes Pereira, Ismael/0009-0000-9016-6976</t>
  </si>
  <si>
    <t>1873-4405</t>
  </si>
  <si>
    <t>OCT 5</t>
  </si>
  <si>
    <t>10.1016/j.ces.2023.119047</t>
  </si>
  <si>
    <t>WOS:001031795000001</t>
  </si>
  <si>
    <t>Castillo, H; Collado, H; Droguett, T; Sánchez, S; Vesely, M; Garrido, P; Palma, S</t>
  </si>
  <si>
    <t>Castillo, Hengels; Collado, Humberto; Droguett, Thomas; Sanchez, Sebastian; Vesely, Mario; Garrido, Pamela; Palma, Sergio</t>
  </si>
  <si>
    <t>Methodologies for the Possible Integral Generation of Geopolymers Based on Copper Tailings</t>
  </si>
  <si>
    <t>It is of interest to study the use of copper tailings as a raw material to generate geopolymers due to the exorbitant amounts of existing tailings deposits, which also produce different risks to nearby communities. Therefore, using this industrial waste as construction material would result in several environmental and economic benefits. Due to the above, it is necessary to perform laboratory tests that account for the relevant variables to obtain fresh geopolymer pastes with good consistency, and to obtain hardened geopolymers with good mechanical strength. This report gives an account of the experimental work carried out in the laboratory of the CIMS Sustainable Mining Research Center of the Engineering Consulting Company JRI, exposing the preliminary results observed in the generation of geopolymers by means of seven different methods using copper tailings and NaOH. Of the seven methods evaluated in the laboratory, it was observed that two of them deliver better results from a qualitative point of view, where the influence of the curing stage stands out, reflecting that temperature is one of the critical variables for the formation of geopolymers based on copper tailings and NaOH. The best means to work the mixtures should be studied to optimize the solubility of the NaOH and, therefore, the dissolution of the aluminosilicates in the tailings.</t>
  </si>
  <si>
    <t>Prieto, Sebastian/JAC-4347-2023</t>
  </si>
  <si>
    <t>Collado, Humberto/0000-0002-9005-1551; Droguett, Thomas/0000-0003-3483-0566; Palma, Sergio/0000-0003-2963-7390; Castillo, Hengels/0000-0002-9319-1808</t>
  </si>
  <si>
    <t>10.3390/min11121367</t>
  </si>
  <si>
    <t>WOS:000748412100001</t>
  </si>
  <si>
    <t>Márquez, P; Moncada-Basualto, M; Olea-Azar, C; Herrera, F; García, M; Aguirre, MJ</t>
  </si>
  <si>
    <t>Marquez, Paulina; Moncada-Basualto, Mauricio; Olea-Azar, Claudio; Herrera, Francisco; Garcia, Macarena; Aguirre, Maria J.</t>
  </si>
  <si>
    <t>BRIEF STUDY ON THE DECOMPOSITION OF TETRAETHYLENE GLYCOL DIMETHYL ETHER (TEGDME) SOLVENT IN THE PRESENCE OF Li2O2 AND H2O2</t>
  </si>
  <si>
    <t>In this work, the decomposition of the solvent tetraethylene glycol dimethyl ether (TEGDME) was studied under conditions that simulate the charge of a Li-O-2 cell in the presence and absence of hydrogen peroxide and lithium peroxide by means of electron spin resonance spectroscopy (ESR). We detected the formation of radical species, although in low concentrations, originating from solvent decomposition reactions during the oxidation process, in the absence of peroxides. On the other hand, by introducing H2O2 and H2O into the system, oxygen-centered superoxide and hydroxyl radical species were detected. Furthermore, in the presence of Li-O-2, carbon-centered radical species were detected which clearly show the decomposition of the solvent. Finally, the results show that it is very important that the charging process of a Li-O-2 cell is carried out by direct oxidation via 2 e(-) to Li2O2 to avoid the formation of radical species that the decomposition of the solvent.</t>
  </si>
  <si>
    <t>García, Macarena/GXG-8380-2022; Aguirre, Maria/A-3935-2013; moncada, mauricio/HHN-6394-2022; OLEA AZAR, CLAUDIO/I-1605-2013</t>
  </si>
  <si>
    <t>Herrera, Francisco/0000-0001-7783-2970; OLEA AZAR, CLAUDIO/0000-0001-5805-0746; moncada, mauricio/0000-0003-1733-9126; Marquez, Paulina/0000-0002-8020-6273</t>
  </si>
  <si>
    <t>WOS:000766602800001</t>
  </si>
  <si>
    <t>Larach, V; Varela, LF; Vergara, G; Rojas, I; Hernández, V; Casanueva, R; Irarrázaval, M</t>
  </si>
  <si>
    <t>Larach, Veronica; Varela, Luis F.; Vergara, Guillermo; Rojas, Irma; Hernandez, Viviana; Casanueva, Rodrigo; Irarrazaval, Matias</t>
  </si>
  <si>
    <t>Universal healthcare coverage for first episode of schizophrenia-spectrum disorders in Chile: analysis of the administrative database</t>
  </si>
  <si>
    <t>EUROPEAN ARCHIVES OF PSYCHIATRY AND CLINICAL NEUROSCIENCE</t>
  </si>
  <si>
    <t>Aim of the study was to analyse the Ministry of Health's (MINSAL) administrative database of the Universal Health Coverage (UHC) program for First Episode of Schizophrenia Spectrum Disorders (FEP-SSD). The database included every case registered in the program between 2004 and 2017. According to the timeframes established for permanence in the program, cases were defined as Suspected, FEP in diagnostic observation and FEP-SSD. Only first registers were analysed. We compared gender, age at entry, level of care and region where the case was registered. Denominator data for estimation of incidence rates were obtained from the last census. We adjusted incidence rate ratios by age, gender, and region. During the studied period, 33.207 suspected cases were registered. 27.006 (81%) were confirmed as FEP and after 6-month follow-up, 22.701 (68%) were confirmed as FEP-SSD. The median age at entry was 24 years, males entering at younger age. Male proportion was higher than female in all groups. 46.9% of all cases were detected in primary care. FEP-SSD cases were six years younger and had a higher proportion of males than discarded cases (62.6 vs 53.2%). During 169.4 million person-years at risk, crude incidence for suspected cases was 19.58 per 100.000 person-years; for FEP, 15.92 per 100.000 person-years and for FEP-SSD, 13.38 per 100.000 person-years. Chile has lower incidence of FEP-SSD compared to current world estimations but gender proportions are comparable. This UHC program has allowed early access through the integration of mental health to the health network at all levels of care.</t>
  </si>
  <si>
    <t>Irarrazaval, Matias/GRO-1960-2022</t>
  </si>
  <si>
    <t>Varela, Luis/0000-0003-2937-1983; Larach, Veronica/0000-0001-7455-7176; Casanueva, Rodrigo/0009-0004-5471-0822</t>
  </si>
  <si>
    <t>0940-1334</t>
  </si>
  <si>
    <t>1433-8491</t>
  </si>
  <si>
    <t>10.1007/s00406-021-01254-y</t>
  </si>
  <si>
    <t>WOS:000633279000001</t>
  </si>
  <si>
    <t>Bohle, SAL; Chambel, MJ; Iriarte, ADV</t>
  </si>
  <si>
    <t>Lopez Bohle, Sergio Andres; Chambel, Maria Jose; Diaz-Valdes Iriarte, Antonia</t>
  </si>
  <si>
    <t>Job insecurity, procedural justice and downsizing survivor affects</t>
  </si>
  <si>
    <t>INTERNATIONAL JOURNAL OF HUMAN RESOURCE MANAGEMENT</t>
  </si>
  <si>
    <t>The current study developed and tested a mediation model that accounts for the procedural justice in the relationship between the perception of job insecurity and affect. We used a sample of 681 workers, from four private enterprises in the retail industry in Chile, who survived an organizational downsizing process. The hypotheses were tested by using structural equation modeling (SEM). The results indicated that the perception of job insecurity and employees' negative affects was partially mediated by procedural justice. However, the relationship between job insecurity and employees' positive affects was totally mediated by procedural justice. Therefore, such results suggest that it is important during a downsizing process for companies to implement actions to enhance job security in order to develop adequate affect among survivors. Furthermore, it is also seemingly crucial that justice should be an important issue in the downsizing process, and that the company should develop actions that reflect the perception of procedural justice throughout the process. Thus, this research provides evidence that it is useful to simultaneously consider procedural justice and stress reactions in a downsizing process, since neither are independent variables.</t>
  </si>
  <si>
    <t>Bohle, Sergio/P-7698-2014; Iriarte, Antonia/AAB-7565-2022</t>
  </si>
  <si>
    <t>Lopez Bohle, Sergio/0000-0002-6202-4089</t>
  </si>
  <si>
    <t>0958-5192</t>
  </si>
  <si>
    <t>1466-4399</t>
  </si>
  <si>
    <t>10.1080/09585192.2018.1482939</t>
  </si>
  <si>
    <t>WOS:000621610300003</t>
  </si>
  <si>
    <t>Moreira-Arce, D; Cabello, J; Meneses, LO; Norambuena, K; Pérez-Hernández, CG; Hidalgo-Hermoso, E; Alaniz, AJ; Vergara, PM</t>
  </si>
  <si>
    <t>Moreira-Arce, Dario; Cabello, Javier; Meneses, Luis O.; Norambuena, Katherine; Perez-Hernandez, Christian G.; Hidalgo-Hermoso, Ezequiel; Alaniz, Alberto J.; Vergara, Pablo M.</t>
  </si>
  <si>
    <t>Scale-dependent habitat use from an individual-based perspective: the case of the endangered Darwin's fox living in heterogeneous forest landscapes</t>
  </si>
  <si>
    <t>Context Understanding how rare and threatened species respond to habitat heterogeneity at different spatial scales requires unbiased population-level parameters incorporating individual variability in occurrence and detection probabilities. Objectives We used a Bayesian approach integrating capture-recapture data into an occupancy framework. We assessed the response of Darwin's fox-a forest-specialist mesocarnivore-to habitat heterogeneity in landscapes with low and moderate fragmentation levels in Chiloe Island, Southern Chile. Our model accounted for differences in capture, occupancy and detection probability among individuals. Results We captured 33 Darwin's foxes, totaling 65 captures/recaptures in 62 different traps (720 trap/nights). Foxes' detection increased across years and females (n = 15; mean detection probability +/- SE 0.07 +/- 0.03) were less detected than males (n = 18; 0.11 +/- 0.04). Mean [95% BCI] of Darwin's fox occupancy (psi) varied from 0.59 [0.43-0.75] in the landscape with the largest mean of forest patch size, to 0.24 [0.22-0.28] in the less heterogeneous landscape. Species occupancy decreased with distance from freshwater bodies. We also found a significant interaction between distance from freshwater bodies and total edges at landscape level, resulting in high occupancy values (&gt; 0.5) in landscapes dominated by forest ecotones. Conclusions Our findings suggest the effect of habitat heterogeneity on local populations of the threaten Darwin's fox in Chiloe Island is modulated by the individual response to habitat attributes at local and landscape scales, but also by emergent cross-scale interactions.</t>
  </si>
  <si>
    <t>Vergara, Pablo/F-2519-2010; Alaniz, Alberto/J-3104-2019; Moreira-Arce, Dario/ABG-2898-2021; Hidalgo-Hermoso, Ezequiel/ABB-6056-2020</t>
  </si>
  <si>
    <t>Moreira Arce, Dario/0000-0002-1188-496X; Alaniz, Alberto J./0000-0003-4878-8848; Vergara, Pablo/0000-0002-0024-1678</t>
  </si>
  <si>
    <t>10.1007/s10980-020-01171-w</t>
  </si>
  <si>
    <t>WOS:000604193500004</t>
  </si>
  <si>
    <t>Rivas-Yáñez, E; Barrera-Avalos, C; Parra-Tello, B; Briceño, P; Rosemblatt, MV; Saavedra-Almarza, J; Rosemblatt, M; Acuña-Castillo, C; Bono, MR; Sauma, D</t>
  </si>
  <si>
    <t>Rivas-Yanez, Elizabeth; Barrera-Avalos, Carlos; Parra-Tello, Brian; Briceno, Pedro; Rosemblatt, Mariana, V; Saavedra-Almarza, Juan; Rosemblatt, Mario; Acuna-Castillo, Claudio; Rosa Bono, Maria; Sauma, Daniela</t>
  </si>
  <si>
    <t>P2X7 Receptor at the Crossroads of T Cell Fate</t>
  </si>
  <si>
    <t>The P2X7 receptor is a ligand-gated, cation-selective channel whose main physiological ligand is ATP. P2X7 receptor activation may also be triggered by ARTC2.2-dependent ADP ribosylation in the presence of extracellular NAD. Upon activation, this receptor induces several responses, including the influx of calcium and sodium ions, phosphatidylserine externalization, the formation of a non-selective membrane pore, and ultimately cell death. P2X7 receptor activation depends on the availability of extracellular nucleotides, whose concentrations are regulated by the action of extracellular nucleotidases such as CD39 and CD38. The P2X7 receptor has been extensively studied in the context of the immune response, and it has been reported to be involved in inflammasome activation, cytokine production, and the migration of different innate immune cells in response to ATP. In adaptive immune responses, the P2X7 receptor has been linked to T cell activation, differentiation, and apoptosis induction. In this review, we will discuss the evidence of the role of the P2X7 receptor on T cell differentiation and in the control of T cell responses in inflammatory conditions.</t>
  </si>
  <si>
    <t>Bono, Maria/G-7461-2014; Acuña-Castillo, Claudio/AAI-7090-2021; Sauma, Daniela/D-8387-2013</t>
  </si>
  <si>
    <t>Rosemblatt, Mariana/0000-0003-2268-4733; Acuna-Castillo, Claudio/0000-0003-3607-6077; Barrera-Avalos, Carlos/0000-0001-6160-9563; Saavedra-Almarza, Juan/0000-0002-2329-6284; Sauma, Daniela/0000-0001-8622-3245</t>
  </si>
  <si>
    <t>10.3390/ijms21144937</t>
  </si>
  <si>
    <t>WOS:000557654800001</t>
  </si>
  <si>
    <t>Arcila-Arango, JC; Castro-Sánchez, M; Espoz-Lazo, S; Cofre-Bolados, C; Zagalaz-Sánchez, ML; Valdivia-Moral, P</t>
  </si>
  <si>
    <t>Arcila-Arango, Juan-Cancio; Castro-Sanchez, Manuel; Espoz-Lazo, Sebastian; Cofre-Bolados, Cristian; Luisa Zagalaz-Sanchez, Maria; Valdivia-Moral, Pedro</t>
  </si>
  <si>
    <t>Analysis of the Dimensions of Quality of Life in Colombian University Students: Structural Equation Analysis</t>
  </si>
  <si>
    <t>The aim of the present study was to define and contrast a explicative model of the relationship between the variables of quality of life that make up the KIDSCREEN-52 questionnaire. Methods: A total of 1641 Colombian university students aged between 17 and 18 years (17.69 + 0.490) participated in this research (61.2% males and 38.8% females) analyzing the dimensions of the KIDSCREEN-52 quality of life questionnaire. A model of structural equation was made and adjusted (chi(2) = 118.021; DF = 6; p &lt; 0.001; CFI = 0.953; NFI = 0.951; IFI = 0.954; RMSEA = 0.076). Results: The analyzed dimensions of quality of life were related in a positive and direct way, except for the Parent Relationship and Family Life (Family L.) with Social Acceptance (Social A.), which were associated in a negative and indirect manner. Conclusions: The main conclusion of this investigation is that all dimensions of quality of life associate in a positive manner with the exception of Parent Relationship and Family Life (Family L.) which associated with Social Acceptance (Social A.). The qualities improve together, highlighting the idea that working on any of the areas that comprise quality of life will cause development of the remaining areas.</t>
  </si>
  <si>
    <t>Sanchez, Maria/JFA-6628-2023; Espoz-Lazo, Sebastian/AAV-2358-2020; Valdivia-Moral, Pedro/J-7490-2013</t>
  </si>
  <si>
    <t>Valdivia-Moral, Pedro/0000-0002-1905-3247; Castro-Sanchez, Manuel/0000-0002-2357-3093; Zagalaz Sanchez/0000-0001-6044-8569; Espoz-Lazo, Sebastian/0000-0002-8513-4977</t>
  </si>
  <si>
    <t>10.3390/ijerph17103578</t>
  </si>
  <si>
    <t>WOS:000539300900235</t>
  </si>
  <si>
    <t>Lamazares, E; Gutiérrez, F; Hidalgo, A; Gutiérrez, NA; Espinoza, FI; Sánchez, O; Cortez-San Martín, M; Mascayano, C; González, J; Saavedra, J; Altamirano, C; Mansur, M; Ruiz, A; Toledo, JR</t>
  </si>
  <si>
    <t>Lamazares, Emilio; Gutierrez, Fernando; Hidalgo, Angela; Gutierrez, Nicolas A.; Espinoza, Felipe I.; Sanchez, Oliberto; Cortez-San Martin, Marcelo; Mascayano, Carolina; Gonzalez, Javier; Saavedra, Jose; Altamirano, Claudia; Mansur, Manuel; Ruiz, Alvaro; Toledo, Jorge R.</t>
  </si>
  <si>
    <t>A Heterologous Viral Protein Scaffold for Chimeric Antigen Design: An Example PCV2 Virus Vaccine Candidate</t>
  </si>
  <si>
    <t>VIRUSES-BASEL</t>
  </si>
  <si>
    <t>Recombinant vaccines have low-cost manufacturing, regulatory requirements, and reduced side effects compared to attenuated or inactivated vaccines. In the porcine industry, post-weaning multisystemic disease syndrome generates economic losses, characterized by progressive weight loss and weakness in piglets, and it is caused by porcine circovirus type 2 (PCV2). We designed a chimeric antigen (Qm1) to assemble the main exposed epitopes of the Cap-PCV2 protein on the capsid protein of the tobacco necrosis virus (TNV). This design was based on the Cap-N-terminal of an isolated PCV2 virus obtained in Chile. The virus was characterized, and the sequence was clustered within the PCV2 genotype b clade. This chimeric protein was expressed as inclusion bodies in both monomeric and multimeric forms, suggesting a high-molecular-weight aggregate formation. Pigs immunized with Qm1 elicited a strong and specific antibody response, which reduced the viral loads after the PCV2 challenge. In conclusion, the implemented design allowed for the generation of an effective vaccine candidate. Our proposal could be used to express the domains or fragments of antigenic proteins, whose structural complexity does not allow for low-cost production in Escherichia coli. Hence, other antigen domains could be integrated into the TNV backbone for suitable antigenicity and immunogenicity. This work represents new biotechnological strategies, with a reduction in the costs associated with vaccine development.</t>
  </si>
  <si>
    <t>Ruiz, Alvaro/AAD-5422-2019; Gutiérrez Morales, Nicolás/ILO-3143-2023; Ruiz, Alvaro/G-8272-2018</t>
  </si>
  <si>
    <t>Mascayano Collado, Carolina Lorena/0000-0002-3488-9309; , Fernando Alexis/0009-0004-4929-5724; Espinoza, Felipe/0000-0002-7214-0307; Lamazares Arcia, Emilio/0000-0002-4878-1892; Hidalgo-Gajardo, Angela/0000-0003-0600-5243; Ruiz, Alvaro/0000-0002-3606-0860; Sanchez, Oliberto/0000-0002-9744-8674; Toledo, Jorge/0000-0002-9879-7710; Altamirano, Claudia/0000-0002-6389-086X; Lamazares, Emilio/0000-0002-2955-6534</t>
  </si>
  <si>
    <t>1999-4915</t>
  </si>
  <si>
    <t>10.3390/v12040385</t>
  </si>
  <si>
    <t>WOS:000539525300027</t>
  </si>
  <si>
    <t>Alaniz, AJ; Carvajal, JG; Carvajal, MA; Cogliati, M; Vergara, PM</t>
  </si>
  <si>
    <t>Alaniz, Alberto J.; Carvajal, Jorge G.; Carvajal, Mario A.; Cogliati, Massimo; Vergara, Pablo M.</t>
  </si>
  <si>
    <t>Spatial Quantification of the Population Exposed to Cryptococcus neoformans and Cryptococcus gattii Species Complexes in Europe: Estimating the Immunocompetent and HIV/AIDS Patients Under Risk</t>
  </si>
  <si>
    <t>RISK ANALYSIS</t>
  </si>
  <si>
    <t>Cryptococcus is an important fungal pathogen worldwide, causing serious clinical manifestations that can affect immunocompetent patients and can be particularly severe for immunocompromised patients. The Cryptococcus gattii s.s. (AFLP4/VGI), Cryptococcus tetragattii (AFLP/VGIV), Cryptococcus neoformans, and Cryptococcus deneoformans have been isolated from both clinical and environmental sources in Europe. We aim to quantify the people in Europe and the entire Mediterranean area who are under risk associated with each of the three fungal pathogens in a spatially explicit way, generating a series of maps and population statistics per country. Niche modeling was applied to estimate the potential distribution of each fungal pathogen, then these models were overlapped with a map of population density to estimate risk levels. The potential number of people per risk level and per country was quantified using a map of population count per pixel. Prevalence of HIV per country was also included in the analysis to quantify the HIV-infected population under potential risk. People under risk associated with exposure to C. gattii species (C. gattii s.s. and C. tetragattii) reached 137.65 million, whereas those exposed to C. neoformans and C. deneoformans were 268.58 and 360.78 million people, respectively. More than a half million HIV-infected patients are exposed to each of the two species of the C. neoformans species complex, and more than 200,000 to the C. gattii species complex. The present results can be useful for public health planning by European governments, focusing on the provision of inputs for a screen-and-treat approach, availability of medical resources, and continuous monitoring programs in risk zones.</t>
  </si>
  <si>
    <t>Cogliati, Massimo/ABE-3586-2021; Alaniz, Alberto/J-3104-2019; Vergara, Pablo/F-2519-2010; Carvajal, Mario/GYU-2659-2022</t>
  </si>
  <si>
    <t>Vergara, Pablo/0000-0002-0024-1678; Alaniz, Alberto J./0000-0003-4878-8848</t>
  </si>
  <si>
    <t>0272-4332</t>
  </si>
  <si>
    <t>1539-6924</t>
  </si>
  <si>
    <t>10.1111/risa.13410</t>
  </si>
  <si>
    <t>OCT 2019</t>
  </si>
  <si>
    <t>WOS:000488547800001</t>
  </si>
  <si>
    <t>Barrios, TP; Bustinza, R; García, GC; González, M</t>
  </si>
  <si>
    <t>Barrios, Tomas P.; Bustinza, Rommel; Garcia, Galina C.; Gonzalez, Maria</t>
  </si>
  <si>
    <t>An a posteriori error analysis of a velocity-pseudostress formulation of the generalized Stokes problem</t>
  </si>
  <si>
    <t>JOURNAL OF COMPUTATIONAL AND APPLIED MATHEMATICS</t>
  </si>
  <si>
    <t>We consider a stabilized mixed finite element method introduced recently for the generalized Stokes problem. The method is obtained by adding suitable least squares terms to the dual-mixed variational formulation of the problem in terms of the velocity and the pseudostress. We obtain a new a posteriori error estimator of residual type and prove that it is reliable and locally efficient. Specifically, we develop an a posteriori error analysis based on the quasi-Helmholtz decomposition which allows us to prove the so-called local efficiency of the estimator with a non-homogeneous boundary condition. Finally, we present some numerical examples that confirm the theoretical properties of our approach. (C) 2019 Elsevier B.V. All rights reserved.</t>
  </si>
  <si>
    <t>Garcia, Galina/U-1019-2017; Bustinza, Rommel/F-7275-2019; Gonzalez Taboada, Maria/N-4625-2015; Barrios, Tomas/G-4801-2016</t>
  </si>
  <si>
    <t>Gonzalez Taboada, Maria/0000-0002-5576-1582; Garcia, Galina C./0000-0003-2188-6368; Barrios, Tomas/0000-0003-2396-8869</t>
  </si>
  <si>
    <t>0377-0427</t>
  </si>
  <si>
    <t>1879-1778</t>
  </si>
  <si>
    <t>10.1016/j.cam.2019.02.019</t>
  </si>
  <si>
    <t>WOS:000465168400022</t>
  </si>
  <si>
    <t>Schiappacasse, G; Acevedo, A; Martínez, R; Escobar, J; Hernández, A; Pires, Y</t>
  </si>
  <si>
    <t>Schiappacasse, Giancarlo; Acevedo, Arturo; Martinez, Rene; Escobar, Jorge; Hernandez, Antonio; Pires, Yumay</t>
  </si>
  <si>
    <t>Reversed halo sign as an unusual manifestation of cryptogenic organized pneumonia. Report of one case</t>
  </si>
  <si>
    <t>We report a 64 years old female admitted with fever, cough, dyspnea and lung opacities in the chest X ray. A chest tomography scan (CTS) showed multiple-bilateral ring-shaped opacities and the reversed halo sign (RHS). The patient did not improve with antimicrobial therapy (AT). Infection and rheumatologic causes were excluded, therefore Cryptogenic organizing pneumonia (COP) was suspected with compatible percutaneous biopsy. Systemic steroids were started with a good clinical response. The patient was discharged four weeks after admission in good general conditions and practically no lungs opacities.</t>
  </si>
  <si>
    <t>10.4067/S0034-98872019000500663</t>
  </si>
  <si>
    <t>WOS:000478968700016</t>
  </si>
  <si>
    <t>Pérez-Gutiérrez, M; Valdés-Badilla, P; Gutiérrez-García, C; Herrera-Valenzuela, T</t>
  </si>
  <si>
    <t>Perez-Gutierrez, Mikel; Valdes-Badilla, Pablo; Gutierrez-Garcia, Carlos; Herrera-Valenzuela, Tomas</t>
  </si>
  <si>
    <t>TAEKWONDO SCIENTIFIC PRODUCTION PUBLISHED ON THE WEB OF SCIENCE (1988-2016): COLLABORATION AND TOPICS</t>
  </si>
  <si>
    <t>MOVIMENTO</t>
  </si>
  <si>
    <t>This study conducted a bibliometric analysis focused on collaboration patterns and topics represented on taekwondo articles published on Web of Science until 2016. Bibliographic information was retrieved from documents and then classified according to research area, subject and topic, and characteristics of authorship and collaboration patterns were calculated. Results showed a total of 340 articles, 304 of which had multiple authors. Life Sciences and Biomechanics were the most important research area and subject respectively. Pieter was the most prolific author while Capranica obtained the highest collaboration index. In conclusion, (1) the relevance of a sporting approach to taekwondo has been corroborated through the analysis of research areas, subjects, topics, and journals' orientation and citation scores; (2) research on taekwondo has been strongly based on collaboration among authors, institutions and countries.</t>
  </si>
  <si>
    <t>Herrera-Valenzuela, Tomas/L-1819-2019; Pérez-Gutiérrez, Mikel/AAG-8369-2019; Gutierrez Garcia, Carlos/D-1466-2013</t>
  </si>
  <si>
    <t>Gutierrez Garcia, Carlos/0000-0002-9895-7438; Valdes-Badilla, Pablo/0000-0002-3948-8280; Perez-Gutierrez, Mikel/0000-0001-9169-958X</t>
  </si>
  <si>
    <t>0104-754X</t>
  </si>
  <si>
    <t>OCT-DEC</t>
  </si>
  <si>
    <t>10.22456/1982-8918.75386</t>
  </si>
  <si>
    <t>WOS:000419953200014</t>
  </si>
  <si>
    <t>Mahu, R; Rojo, P; Firoozabadi, AD; Soto, I; Sedaghati, E; Yoma, NB</t>
  </si>
  <si>
    <t>Mahu, R.; Rojo, P.; Dehghan Firoozabadi, A.; Soto, I.; Sedaghati, E.; Becerra Yoma, N.</t>
  </si>
  <si>
    <t>Estimation of exoplanetary planet-to-star radius ratio with homomorphic processing</t>
  </si>
  <si>
    <t>ASTRONOMY AND COMPUTING</t>
  </si>
  <si>
    <t>In this paper a homomorphic filtering scheme is proposed to improve the estimation of the planet/star radius ratio in astronomical transit signals. The idea is to reduce the effect of the short-term earth atmosphere variations. A two-step method is presented to compute the parameters of the transit curve from both the unfiltered and filtered data. A Monte Carlo analysis is performed by using correlated and uncorrelated noise to determine the parameters of the proposed FFT filter. The method is tested with observations of WASP-19b and WASP-17b obtained with the FORS2 instrument at the Very Large Telescope (VLT). The multi parametric fitting and the associated errors are obtained with the JKTEBOP software. The results with the white light of the exo-planet data mentioned above suggest that the homomorphic filtering can lead to substantial relative reductions in the error bars as high as 45.5% and 76.9%, respectively. The achieved reductions in the averaged error bars per channel were 48.4% with WASP-19b and 63.6% with WASP-17b. Open source MATLAB code to run the method proposed here can be downloaded from http://www.cmrsp.cl. This code was used to obtain the results presented in this paper. (C) 2017 Elsevier B.V. All rights reserved.</t>
  </si>
  <si>
    <t>Rojo, Patricio/AAD-5227-2020; Dehghan Firoozabadi, Ali/AAD-4858-2019; Yoma, Nestor/I-8230-2015</t>
  </si>
  <si>
    <t>Dehghan Firoozabadi, Ali/0000-0002-6391-6863; Rojo, Patricio/0000-0002-1607-6443; Sedaghati, Elyar/0000-0002-7444-5315; Soto, Ismael/0000-0002-5501-5651</t>
  </si>
  <si>
    <t>2213-1337</t>
  </si>
  <si>
    <t>2213-1345</t>
  </si>
  <si>
    <t>10.1016/j.ascom.2017.07.005</t>
  </si>
  <si>
    <t>WOS:000412033600016</t>
  </si>
  <si>
    <t>Hidalgo, N; Arantes, L; Sens, P; Bonnaire, X</t>
  </si>
  <si>
    <t>Hidalgo, Nicolas; Arantes, Luciana; Sens, Pierre; Bonnaire, Xavier</t>
  </si>
  <si>
    <t>ECHO: Efficient Complex Query over DHT Overlays</t>
  </si>
  <si>
    <t>JOURNAL OF PARALLEL AND DISTRIBUTED COMPUTING</t>
  </si>
  <si>
    <t>In this article we propose ECHO, a novel and lightweight solution that efficiently supports range queries over a ring-like Distributed Hash Table (DHT) structure. By implementing a tree-based index structure and an effective query routing strategy, ECHO provides low-latency and low-overhead query searches by exploiting the Tabu Search principle. Load balancing is also improved reducing the traditional bottleneck problems arising in upper level nodes of tree-based index structures such as PHT. Furthermore, ECHO copes with DHT churn problems as its index exploits logical information as opposed to static reference cache approaches or replication techniques. The performance evaluation results obtained using PeerSim simulator show that ECHO achieves efficient performance compared other solutions such as the PHI strategy and its optimized version which includes a query cache. (C) 2015 Elsevier Inc. All rights reserved.</t>
  </si>
  <si>
    <t>Hidalgo, Nicolas/0000-0003-0831-9350</t>
  </si>
  <si>
    <t>0743-7315</t>
  </si>
  <si>
    <t>1096-0848</t>
  </si>
  <si>
    <t>10.1016/j.jpdc.2015.10.007</t>
  </si>
  <si>
    <t>WOS:000368972600003</t>
  </si>
  <si>
    <t>Galaz, P; Barra, R; Figueroa, H; Mariqueo, T</t>
  </si>
  <si>
    <t>Galaz, Pablo; Barra, Rafael; Figueroa, Hector; Mariqueo, Trinidad</t>
  </si>
  <si>
    <t>Advances in the pharmacology of lGICs auxiliary subunits</t>
  </si>
  <si>
    <t>PHARMACOLOGICAL RESEARCH</t>
  </si>
  <si>
    <t>Ligand-gated ion channels (LGICs) are cell surface integral proteins that mediate the fast neurotransmission in the nervous system. LGICs require auxiliary subunits for their trafficking, assembly and pharmacological modulation. Auxiliary subunits do not form functional homomeric receptors, but are reported to assemble with the principal subunits in order to modulate their pharmacological profiles. For example, nACh receptors are built at least by co-assemble of alpha and beta subunits, and the neuronal auxiliary subunits beta 3 and alpha 5 and muscle type beta, delta, gamma, and is an element of determine the agonist affinity of these receptors. Serotonergic 5-HT3B, 5-HT3C, 5-HT3D and 5-HT3E are reported to assemble with the 5-HT(3)A subunit to modulate its pharmacological profile. Functional studies evaluating the role of gamma 2 and delta auxiliary subunits of GABA(A) receptors have made important advances in the understanding of the action of benzodiazepines, ethanol and neurosteroids. Glycine receptors are composed principally by alpha(1-3) subunits and the auxiliary subunit beta determines their synaptic location and their pharmacological response to propofol and ethanol. NMDA receptors appear to be functional as heterotetrameric channels. So far, the existence of NMDA auxiliary subunits is controversial. On the other hand, Kainate receptors are modulated by NETO 1 and 2. AMPA receptors are modulated by TARPs, Shisa 9, CKAMP44, CNIH2-3 auxiliary proteins reported that controls their trafficking, conductance and gating of channels. P2X receptors are able to associate with auxiliary Pannexin-1 protein to modulate P2X7 receptors. Considering the pharmacological relevance of different LGICs auxiliary subunits in the present work we will highlight the therapeutic potential of these modulator proteins. (c) 2015 Elsevier Ltd. All rights reserved.</t>
  </si>
  <si>
    <t>MARIQUEO, TRINIDAD/AAG-7930-2019; Galaz-Davison, Pablo/KIG-3861-2024</t>
  </si>
  <si>
    <t>1043-6618</t>
  </si>
  <si>
    <t>10.1016/j.phrs.2015.07.026</t>
  </si>
  <si>
    <t>WOS:000364258700008</t>
  </si>
  <si>
    <t>Aliste-Prieto, J; Coronel, D; Cortez, MI; Durand, F; Petite, S</t>
  </si>
  <si>
    <t>Kellendonk, J; Lenz, D; Savinien, J</t>
  </si>
  <si>
    <t>Aliste-Prieto, Jose; Coronel, Daniel; Isabel Cortez, Maria; Durand, Fabien; Petite, Samuel</t>
  </si>
  <si>
    <t>Linearly Repetitive Delone Sets</t>
  </si>
  <si>
    <t>MATHEMATICS OF APERIODIC ORDER</t>
  </si>
  <si>
    <t>Progress in Mathematics</t>
  </si>
  <si>
    <t>Linearly repetitive Delone sets are the simplest aperiodic repetitive Delone sets of the Euclidean space, e.g. any self similar Delone set is linearly repetitive. We present here some combinatorial, ergodic and mixing properties of their associated dynamical systems. We also give a characterization of such sets via the patch frequencies. Finally, we explain why a linearly repetitive Delone set is the image of a lattice by a bi-Lipschitz map.</t>
  </si>
  <si>
    <t>Coronel, Daniel/AAF-8539-2020</t>
  </si>
  <si>
    <t>Cortez, Maria Isabel/0000-0002-1819-032X; Coronel, Daniel/0000-0002-2159-0228; Durand, Fabien/0000-0001-6625-1839</t>
  </si>
  <si>
    <t>0743-1643</t>
  </si>
  <si>
    <t>978-3-0348-0903-0; 978-3-0348-0902-3</t>
  </si>
  <si>
    <t>10.1007/978-3-0348-0903-0</t>
  </si>
  <si>
    <t>WOS:000383440400007</t>
  </si>
  <si>
    <t>Cordero, RR; Seckmeyer, G; Damiani, A; Riechelmann, S; Rayas, J; Labbe, F; Laroze, D</t>
  </si>
  <si>
    <t>Cordero, Raul R.; Seckmeyer, Gunther; Damiani, Alessandro; Riechelmann, Stefan; Rayas, Juan; Labbe, Fernando; Laroze, David</t>
  </si>
  <si>
    <t>The world's highest levels of surface UV</t>
  </si>
  <si>
    <t>Chile's northern Atacama Desert has been pointed out as one of the places on earth where the world's highest surface ultraviolet (UV) may occur. This area is characterized by its high altitude, prevalent cloudless conditions and relatively low total ozone column. Aimed at detecting those peak UV levels, we carried out in January 2013 ground-based spectral measurements on the Chajnantor Plateau (5100 m altitude, 23 degrees 00'S, 67 degrees 45'W) and at the Paranal Observatory (2635 m altitude, 24 degrees 37'S, 70 degrees 24'W). The UV index computed from our spectral measurements peaked at 20 on the Chajnantor Plateau (under broken cloud conditions) and at 16 at the Paranal Observatory (under cloudless conditions). Spectral measurements carried out in June 2005 at the Izana Observatory (2367 m altitude, 28 degrees 18'N, 16 degrees 30'W) were used for further comparisons. Due to the differences in sun-earth separation, total ozone column, altitude, albedo, aerosols and clouds, peak UV levels are expected to be significantly higher at southern hemisphere sites than at their northern hemisphere counterparts.</t>
  </si>
  <si>
    <t>Rayas, Juan/CAG-8266-2022; Cordero, Raul/M-7979-2017; Laroze, David/Z-2852-2019; Damiani, Alessandro/X-4677-2019; Laroze, David/E-9134-2011</t>
  </si>
  <si>
    <t>Laroze, David/0000-0002-6487-8096; Rayas, Juan Antonio/0000-0001-6809-2368; Cordero, Raul R./0000-0001-7607-7993; Damiani, Alessandro/0000-0003-3014-6193</t>
  </si>
  <si>
    <t>10.1039/c3pp50221j</t>
  </si>
  <si>
    <t>WOS:000328694900007</t>
  </si>
  <si>
    <t>Diaz-Ledezma, C; Urrutia, J; Romeo, J; Chelen, A; González-Wilhelm, L; Lavarello, C</t>
  </si>
  <si>
    <t>Diaz-Ledezma, Claudio; Urrutia, Julio; Romeo, Jose; Chelen, Alfonso; Gonzalez-Wilhelm, Leonardo; Lavarello, Cristian</t>
  </si>
  <si>
    <t>Factors associated with variability in length of sick leave because of acute low back pain in Chile</t>
  </si>
  <si>
    <t>SPINE JOURNAL</t>
  </si>
  <si>
    <t>BACKGROUND CONTEXT: Acute low back pain (LBP) is a frequent cause of physician visits and sick leave. Patients with longer sick leave account for most costs associated with LBP. Most research on risk factors for prolonged sick leave because of LBP has been done in Anglo-Saxon or Northern European populations with occupational LBP. Few studies have been conducted in less affluent Latin countries. PURPOSE: To investigate the prevalence of acute LBP as a cause of sick leave and the variables associated with longer work absence (WA) because of acute LBP in Chile. STUDY DESIGN: A retrospective study of nonoccupational sick leave certificates issued in a 1-year period by the Chilean Public Health System. PATIENT SAMPLE: Ten thousand cases with nonoccupational sick leave certificates issued with the diagnosis of acute LBP. OUTCOME MEASURES: Prevalence of acute LBP as a cause of sick leave, days of WA, and subsidy payment. METHODS: A review of sick leave certificates from patients with different diagnoses was done to determine the prevalence of acute LBP as a cause of sick leave. We investigated whether age, gender, history of at least one episode of sick leave in the previous year because of acute LBP or because of other diagnoses, stipendiary subsidy paid (converted to US $), work activity, occupation, and the specialty of the attending physician influenced the length of sick leave. RESULTS: Acute LBP represented 5.4% of cases causing sick leave. Patients with acute LBP who had significantly longer sick leave than the rest of the population were patients with an episode of WA because of LBP in the previous year (14% longer sick leave than patients without that history), manual workers (35% longer than nonmanual workers), and patients seen by orthopedic surgeons (43% longer than patients seen by other medical specialists). Nonpregnant women and men had similar durations of sick leave because of acute LBP. CONCLUSIONS: Physicians who treat patients with LBP should be aware of these variables associated with longer sick leave because of acute LBP, which represents a significant burden to any society and is an important epidemiologic problem. (C) 2009 Elsevier Inc. All rights reserved.</t>
  </si>
  <si>
    <t>Romeo, Jose/J-6496-2019</t>
  </si>
  <si>
    <t>Romeo, Jose/0000-0002-6707-3429</t>
  </si>
  <si>
    <t>1529-9430</t>
  </si>
  <si>
    <t>1878-1632</t>
  </si>
  <si>
    <t>10.1016/j.spinee.2009.09.004</t>
  </si>
  <si>
    <t>WOS:000272736000008</t>
  </si>
  <si>
    <t>Grossier, R; Louisnard, O; Vargas, Y</t>
  </si>
  <si>
    <t>Grossier, R.; Louisnard, O.; Vargas, Y.</t>
  </si>
  <si>
    <t>Mixture segregation by an inertial cavitation bubble</t>
  </si>
  <si>
    <t>ULTRASONICS SONOCHEMISTRY</t>
  </si>
  <si>
    <t>10th Meeting of the European-Society-of-Sonochemistry</t>
  </si>
  <si>
    <t>JUN 04-08, 2006</t>
  </si>
  <si>
    <t>Hamburg, GERMANY</t>
  </si>
  <si>
    <t>European Soc Sonochem</t>
  </si>
  <si>
    <t>Pressure diffusion is a mass diffusion process forced by pressure gradients. It has the ability to segregate two species of a mixture, driving the densest species toward high pressure zones, but requires very large pressure gradients to become noticeable. An inertial cavitation bubble develops large pressure gradients in its vicinity, especially as the bubble rebounds at the end of its collapse, and it is therefore expected that a liquid mixture surrounding such a bubble would become segregated. Theory developed in an earlier paper shows that this is indeed the case for sufficiently large molecules or nano-particles. The main theoretical results are recalled and a possible implication of this segregation phenomenon on the well-known cavitation-enhanced crystals nucleation is proposed. (c) 2006 Elsevier B.V. All rights reserved.</t>
  </si>
  <si>
    <t>LOUISNARD, Olivier/0000-0002-3151-5192; Grossier, Romain/0000-0002-5207-2087</t>
  </si>
  <si>
    <t>1350-4177</t>
  </si>
  <si>
    <t>10.1016/j.ultsonch.2006.10.010</t>
  </si>
  <si>
    <t>WOS:000245565900005</t>
  </si>
  <si>
    <t>Norambuena, E; Olea-Azar, C; Rufs, AM; Encinas, MV</t>
  </si>
  <si>
    <t>Photoreduction of 4-substituted nitrobenzenes by amines</t>
  </si>
  <si>
    <t>The reduction of several nitrobenzenes bearing electron-donor and electron-withdrawing substituents in the 4-position by triethylamine in acetonitrile was studied by cyclic voltammetry, EPR spectroscopy, and steady-state photolysis. The electrochemical reduction of nitro compounds showed a reversible cathodic wave corresponding to one electron transfer, and forms the nitrobenzene radical anion. The reduction potentials were well correlated with the hyperfine nitrogen coupling constants of the radical anion and with the donor-acceptor characteristics of the 4-substituent. The photoreduction of nitro compounds in the presence of triethylamine gave the nitrobenzene radical anion. EPR spin trapping experiments showed that the alpha-aminoethyl radical is formed only in the photolysis of nitrobenzenes with electron-donating substituents. These compounds in the presence of the amine were efficient photoinitiators of the methyl methacrylate polymerization. The polymerization rate increases with the amine concentration reaching a constant value. Similar behaviour was observed for the photobleaching quantum yield. These results indicate that the photobleaching and the reaction that leads to radicals able to add to the monomer come from the interaction of the triplet state of the nitro compound with the amine followed by proton transfer within the geminate ion pair giving the neutral radicals. In the absence of monomer, nitrosobenzene appeared to be the primary product. The polymerization in the presence of electron-withdrawing substituted nitrobenzenes was negligible. This is in agreement with the lack of alpha-aminoalkyl radical formation.</t>
  </si>
  <si>
    <t>Encinas, Maria/L-9686-2014; OLEA AZAR, CLAUDIO/I-1605-2013</t>
  </si>
  <si>
    <t>OLEA AZAR, CLAUDIO/0000-0001-5805-0746</t>
  </si>
  <si>
    <t>10.1039/b314883a</t>
  </si>
  <si>
    <t>WOS:000220663800020</t>
  </si>
  <si>
    <t>Gamboa, J; Méndez, F; Loewe, M; Rojas, JC</t>
  </si>
  <si>
    <t>The Landau problem and noncommutative quantum mechanics</t>
  </si>
  <si>
    <t>MODERN PHYSICS LETTERS A</t>
  </si>
  <si>
    <t>We explore the conditions under which noncommutative quantum mechanics and the Landau problem are equivalent theories. If the potential in noncommutative quantum mechanics is chosen as V = Omega N with N defined in the text, then for the value (theta) over tilde = 0.22 x 10(-11) cm(2) (which measures the noncommutative effects of the space), the Landau problem and noncommutative quantum mechanics are equivalent theories in the lowest Landau level. For other systems one can find different values for (theta) over tilde and, therefore, the possible bounds for (theta) over tilde should be searched in a physical independent scenario. This last fact could explain the different bounds for (theta) over tilde found in the literature.</t>
  </si>
  <si>
    <t>Mendez, Fernando/0000-0002-9257-9552; Loewe, Marcelo/0000-0002-8998-6923</t>
  </si>
  <si>
    <t>0217-7323</t>
  </si>
  <si>
    <t>1793-6632</t>
  </si>
  <si>
    <t>OCT 20</t>
  </si>
  <si>
    <t>10.1142/S0217732301005345</t>
  </si>
  <si>
    <t>WOS:000172680100003</t>
  </si>
  <si>
    <t>Saavedra, C; Klimov, AB; Chumakov, SM; Retamal, JC</t>
  </si>
  <si>
    <t>Dissipation in collective interactions</t>
  </si>
  <si>
    <t>An approximate solution is given for the interaction of a set of A two-level atoms with a single mode of a quantized radiation field when the field is damped by a reservoir at zero temperature. Assuming that the average photon number is much larger than the number of atoms, we study the influence of dissipation on the approximate factorization of the density matrix. For realistic values of the parameters, the factorization survives under the presence of field damping. The main effect of dissipation is an exponential decay of the average photon number and a loss of coherence among the different factorized states. The influence of field dissipation on the atomic inversion, purity, and field squeezing are studied. [S1050-2947(98)07210-2].</t>
  </si>
  <si>
    <t>Klimov, Andrei/I-5785-2015; Saavedra, Carlos/C-4262-2008; Retamal, Juan/G-6425-2010</t>
  </si>
  <si>
    <t>Retamal Abarzua, Juan Carlos/0000-0002-7174-7879; Saavedra, Carlos/0000-0003-3156-3853; Klimov, Andrei/0000-0001-8493-721X</t>
  </si>
  <si>
    <t>10.1103/PhysRevA.58.4078</t>
  </si>
  <si>
    <t>WOS:000076961300085</t>
  </si>
  <si>
    <t>Richter, P; Werner, J; Bastine, R; Heerlein, A; Kick, H; Sauer, H</t>
  </si>
  <si>
    <t>Measuring treatment outcome by the Beck Depression Inventory</t>
  </si>
  <si>
    <t>PSYCHOPATHOLOGY</t>
  </si>
  <si>
    <t>The construct validity of the Beck Depression Inventory (BDI) in measuring treatment outcome is assessed in 103 psychiatric inpatients. In this context, construct validity means that the BDI measures the same construct in repeated measurement and that the change scores can be explained by treatment effects. In confirmatory factor analyses, only the first factor proved to be stable. In accordance with other studies, the sensitivity to therapeutic change in long-term intervals of several weeks could be confirmed. Significant changes in a short-term interval of 1 day in the non-endogenously depressed patients indicate an overreactivity of the BDI to-change which cannot be explained by treatment effects or mood changes.</t>
  </si>
  <si>
    <t>0254-4962</t>
  </si>
  <si>
    <t>1423-033X</t>
  </si>
  <si>
    <t>JUL-AUG</t>
  </si>
  <si>
    <t>10.1159/000285052</t>
  </si>
  <si>
    <t>WOS:A1997XJ61300007</t>
  </si>
  <si>
    <t>RODRIGUEZ, LH; VARGAS, PF; RAFF, U; LYNCH, DA; ROJAS, GM; MOXLEY, DM; NEWELL, JD</t>
  </si>
  <si>
    <t>AUTOMATED DISCRIMINATION AND QUANTIFICATION OF IDIOPATHIC PULMONARY FIBROSIS FROM NORMAL LUNG PARENCHYMA USING GENERALIZED FRACTAL DIMENSIONS IN HIGH-RESOLUTION COMPUTED-TOMOGRAPHY IMAGES</t>
  </si>
  <si>
    <t>ACADEMIC RADIOLOGY</t>
  </si>
  <si>
    <t>Rationale and Objectives. We computed generalized fractal dimensions for high-resolution computed tomography (HRCT) images to investigate their value in the discrimination and quantification of idiopathic pulmonary fibrosis (IPF) from normal lung parenchyma. Methods. A probability distribution that was based on the pixel value in each image was used to compute capacity, information, and higher fractal dimensions for a series of 52 HRCT slices obtained from four patients. Qualitative classification of normal, mild, moderate, and severe IPF cases was achieved by computing the following parameter: DD = D-0 - 2D(1) + D-2, where D-0, D-1, and D-2 represents the capacity, information, and pair correlation dimensions, respectively. A multiple linear regression analysis using morphometric quantification for the set of 52 slices was tested for all possible combinations of the parameters D-0, D-1, D-2, and D-3. The generalizability of the model was tested by predicting the extent of IPF for each patient from a regression model computed with the remaining slices in the database. Results. The best regression results were obtained using the independent parameters D-1 and D-2 to quantify the extent of diseased lung parenchyma. The technique was tested with 48 slices from 12 new patients. The results indicated that the extent of IPF could be predicted within the confidence limits given by the regression analysis. Conclusion. The extent of IPF can be predicted well within the 90% confidence interval given by the model. The width of the confidence interval decreases as the number of slices used in the linear regression model increases. This operator-independent quantitative technique may be useful in the follow-up of patients with IPF.</t>
  </si>
  <si>
    <t>Lynch, David/GOJ-7418-2022; Vargas, Patricio/AAL-2633-2020; Rojas, Gonzalo/B-2036-2013</t>
  </si>
  <si>
    <t>vargas, patricio/0000-0001-9235-9747; Rojas-Costa, Gonzalo/0000-0002-6228-2678</t>
  </si>
  <si>
    <t>1076-6332</t>
  </si>
  <si>
    <t>10.1016/S1076-6332(05)80240-5</t>
  </si>
  <si>
    <t>WOS:A1995QM16600002</t>
  </si>
  <si>
    <t>Valdés, N; Espinoza, D; Pareja-Barrueto, C; Olate, N; Barraza-Rojas, F; Benavides-Larenas, A; Cortés, M; Imarai, M</t>
  </si>
  <si>
    <t>Valdes, Natalia; Espinoza, Daniela; Pareja-Barrueto, Claudia; Olate, Nicole; Barraza-Rojas, Felipe; Benavides-Larenas, Almendra; Cortes, Marcos; Imarai, Monica</t>
  </si>
  <si>
    <t>Expression and regulation of the CXCL9-11 chemokines and CXCR3 receptor in Atlantic salmon (Salmo salar)</t>
  </si>
  <si>
    <t>Chemokines are cytokines that mediate leukocyte traffic between the lymphoid organs, the bloodstream, and the site of tissue damage, which is essential for an efficient immune response. In particular, the gamma interferon (IFN- gamma) inducible chemokines CXCL9, CXCL10, and CXCL11, and their receptor CXCR3, are involved in T cell and macrophage recruitment to the site of infection. The nature and function of these chemokines and their receptor are well-known in mammals, but further research is needed to achieve a similar level of understanding in fish immunity. Thus, in this study, we seek to identify the genes encoding the components of the Atlantic salmon (Salmo salar) CXCL9, CXCL10, CXCL11/CXCR3 axis (CXCL9-11/CXCR3), predict the protein structure from the amino acid sequence, and explore the regulation of gene expression as well as the response of these chemokines and their receptor to viral infections. The cxcl9, cxcl10, cxcl11, and cxcr3 gene sequences were retrieved from the databases, and the phylogenetic analysis was conducted to determine the evolutionary relationships. The study revealed an interesting pattern of clustering and conservation among fish and mammalian species. The salmon chemokine sequences clustered with orthologs from other fish species, while the mammalian sequences formed separate clades. This indicates a divergent evolution of chemokines between mammals and fish, possibly due to different evolutionary pressures. While the structural analysis of the chemokines and the CXCR3 receptor showed the conservation of critical motifs and domains, suggesting preserved functions and stability throughout evolution. Regarding the regulation of gene expression, some components of the CXCL9-11/CXCR3 axis are induced by recombinant gamma interferon (rIFN-gamma) and by Infectious pancreatic necrosis virus (IPNV) infection in Atlantic salmon cells. Further studies are needed to explore the role of Atlantic salmon CXCL9-11 chemokines in regulating immune cell migration and endothelial activation, as seen in mammals. To the best of our knowledge, there have been no functional studies of chemokines to understand these effects in Atlantic salmon.</t>
  </si>
  <si>
    <t>Valdes, Natalia/AAI-8151-2021</t>
  </si>
  <si>
    <t>valdes parra, Natalia/0000-0002-6884-7799; Pareja-Barrueto, Claudia/0000-0002-2320-1564</t>
  </si>
  <si>
    <t>SEP 5</t>
  </si>
  <si>
    <t>10.3389/fimmu.2024.1455457</t>
  </si>
  <si>
    <t>WOS:001325247300001</t>
  </si>
  <si>
    <t>Khan, MA; Muta, M; Fujimoto, K; Rojas, JG; Fredes, P; Gramsch, E; Iwaisako, Y; Yaguchi, H; Hirayama, H</t>
  </si>
  <si>
    <t>Khan, Muhammad Ajmal; Muta, Mitsuhiro; Fujimoto, Kohei; Rojas, Javier Gonzalez; Fredes, Pablo; Gramsch, Ernesto; Iwaisako, Yasushi; Yaguchi, Hiroyuki; Hirayama, Hideki</t>
  </si>
  <si>
    <t>Estimation of Junction Temperature in Single 228 nm-Band AlGaN Far-Ultraviolet-C Light-Emitting Diode on c-Sapphire Having 1.8 mW Power and 0.32% External Quantum Efficiency</t>
  </si>
  <si>
    <t>PHYSICA STATUS SOLIDI A-APPLICATIONS AND MATERIALS SCIENCE</t>
  </si>
  <si>
    <t>The increasing resistance of methicillin-resistant Staphylococcusaureus to antibiotics is a major challenge faced by mankind in thehistory of medical science and according to United Nations, 700-000 patients worldwide die every year from an infection with multidrug-resistant organisms (MROs). Aluminum gallium nitride-based 228 nm Far-ultraviolet-C (Far-UVC) lightsources can be safely used as a germicidal application in both manned as wellas in unmanned environments against these MROs. Previously, the 228 nm Far-UVC light-emitting diode (LED) with emission power of 1 mW was reported by ourgroup, however, the value of external quantum efficiency (EQE) was not reportedusing conventional thick Ni (20 nm)/Au (100 nm) p-electrode. Herein, animproved Far-UVC LED on c-Sapphire is attempted using a special technique in SR4000 type of metal-organic chemical vapor deposition reactor to control the Al composition in n-AlGaN buffer and across the 2 inch-wafer. As a result, the light emission power of 1.8 mW and EQE of 0.32% in 228 nm Far-UVC LED aresuccessfully achieved using very thin p-electrode (Ni/Au). However, arelatively high junction temperature of approximate to 100 degrees C around thejunction of Far-UVC LED is observed. Finally, some simple heat-sink modules forheat dissipation of Far-UVC LED panel with light power of 30 mW are implemented. Herein, an improved Far-ultraviolet-C (Far-UVC LED) is attempted by controlling the Al composition in n-AlGaN buffer and across the 2 inch-wafer. As a result, the light emission power of 1.8 mW and external quantum efficiency of 0.32% in 228 nm in Far-UVC LED are successfully achieved. Finally, simple heat-sink modules for Far-UVC LED panels with a light power of 30-mW are implemented.image (c) 2024 WILEY-VCH GmbH</t>
  </si>
  <si>
    <t>Fredes, Pablo/AAK-3434-2020; Gramsch, Ernesto/M-5507-2017; Khan, Muhammad Ajmal/X-8032-2019</t>
  </si>
  <si>
    <t>Khan, Muhammad Ajmal/0000-0002-5171-6215; Fredes, Pablo/0000-0002-4546-5245</t>
  </si>
  <si>
    <t>1862-6300</t>
  </si>
  <si>
    <t>1862-6319</t>
  </si>
  <si>
    <t>10.1002/pssa.202400064</t>
  </si>
  <si>
    <t>MAY 2024</t>
  </si>
  <si>
    <t>WOS:001229386700001</t>
  </si>
  <si>
    <t>Farfán, IA; Castro, CB; Lazo, RG; Gil, AF; Hormazábal, MS; Machuca, PR; Serafini, D; Soto, AR; Mena-Carrasco, M; Valdes, J; Macia, YM</t>
  </si>
  <si>
    <t>Farfan, Isidora Abasolo; Castro, Carolina Bonacic; Lazo, Rene Garrido; Gil, Alejandro Fernandez; Hormazabal, Marco San Martin; Machuca, Pablo Rodriguez; Serafini, Daniel; Soto, Angel Rodriguez; Mena-Carrasco, Marcelo; Valdes, Javier; Macia, Yunesky Masip</t>
  </si>
  <si>
    <t>Socio-environmental and technical factors assessment of photovoltaic hydrogen production in Antofagasta, Chile</t>
  </si>
  <si>
    <t>ENERGY STRATEGY REVIEWS</t>
  </si>
  <si>
    <t>This study introduces a method for identifying territories ideal for establishing photovoltaic (PV) plants for green hydrogen (GH 2 ) production in the Antofagasta region of northern Chile, a location celebrated for its outstanding solar energy potential. Assessing the viability of PV plant installation necessitates a balanced consideration of technical aspects and socio-environmental constraints, such as the proximity to areas of ecological importance and indigenous communities, to identify potential zones for solar and non-conventional renewable energy (NCRE)-based hydrogen production. To tackle this challenge, we propose a methodology that utilizes geospatial analysis, integrating Geographic Information System (GIS) tools with sensitivity analysis, to determine the most suitable sites for PV plant installation in the Antofagasta region. Our geospatial analysis employs the QGIS software to identify these optimal locations, while sensitivity analysis uses the S &amp; oslash;rensen-Dice coefficient method to assess the similarity among chosen socio-environmental variables. Applying this methodology to the Antofagasta region reveals that a significant area within a 15 km radius of existing road networks and electrical substations is favorable for photovoltaic projects. Our sensitivity analysis further highlights the limiting effects of socio-environmental factors and their interactions. Moreover, our research finds that enlarging areas of socio-environmental importance could increase the total hydrogen production by about 10% per commune, indicating the impact of these factors on the potential for renewable energy production.</t>
  </si>
  <si>
    <t>Garrido, René/I-6852-2018; Mena-Carrasco, Marcelo/L-9730-2016; Macía, Yunesky/D-5888-2016; Fernandez Gil, Alejandro/ABX-5507-2022</t>
  </si>
  <si>
    <t>Fernandez Gil, Alejandro/0000-0003-0291-7739; Valdes Lucas, Javier/0000-0002-1497-0695; Mena, Marcelo/0000-0002-8847-7588</t>
  </si>
  <si>
    <t>2211-467X</t>
  </si>
  <si>
    <t>2211-4688</t>
  </si>
  <si>
    <t>10.1016/j.esr.2024.101373</t>
  </si>
  <si>
    <t>APR 2024</t>
  </si>
  <si>
    <t>WOS:001223718000001</t>
  </si>
  <si>
    <t>Muñoz-Soto, VD; Dávila-Gálvez, S; Pérez, AE; Rojo-González, L; Valenzuela-Levi, N; Vásquez, OC</t>
  </si>
  <si>
    <t>Munoz-Soto, Valeria D.; Davila-Galvez, Sebastian; Perez, Andrea Espinoza; Rojo-Gonzalez, Luis; Valenzuela-Levi, Nicolas; Vasquez, Oscar C.</t>
  </si>
  <si>
    <t>COVID-19, waste production and municipal recycling programs: Insights from Chile to the global south</t>
  </si>
  <si>
    <t>The amount and characterization of municipal and industrial waste generated in numerous cities worldwide have changed dramatically in recent years due to the COVID-19 pandemic. Consequently, assessing the impact of COVID-19-related policies is important to provide decision-makers with adequate knowledge to respond effectively to future events and create successful policies that respond to specific contexts. This study focuses on Chile, Latin America's second-largest municipal and industrial solid waste producer, with tight quarantine procedures placed to prevent the virus from spreading, and a series of monetary incentives implemented to minimize the economic and social impact of the quarantines. The time series of municipal solid waste (MSW) and recycling in the metropolitan region show a decrease in the amount collected during the initial months of lockdown and a subsequent increase during monetary incentive implementation. The country recovered and exceeded prepandemic MSW generation and recycling levels. Furthermore, the lockdown and the withdrawal of retirement funds (WRF) had a varied impact on each municipality in the region. However, WRF had a larger direct impact than a lockdown, indicating that purchasing power has a greater impact than mobility in waste generation and recycling, at least in this region of Chile.</t>
  </si>
  <si>
    <t>Valenzuela-Levi, Nicolás/ABA-9419-2020; Espinoza Perez, Andrea Teresa/M-4426-2014</t>
  </si>
  <si>
    <t>Vasquez, Oscar C./0000-0002-1393-4692; Espinoza Perez, Andrea Teresa/0000-0002-6362-9100</t>
  </si>
  <si>
    <t>10.1016/j.scitotenv.2023.165388</t>
  </si>
  <si>
    <t>WOS:001050174100001</t>
  </si>
  <si>
    <t>Segales, D; Cofre-Bolados, C; Tuesta, M; Farias-Valenzuela, C</t>
  </si>
  <si>
    <t>Segales, Dulce; Cofre-Bolados, Cristian; Tuesta, Marcelo; Farias-Valenzuela, Claudio</t>
  </si>
  <si>
    <t>Maximum oxygen consumption and muscle efficiency in non- professional youth and professional adult soccer players</t>
  </si>
  <si>
    <t>SPORT TK-REVISTA EUROAMERICANA DE CIENCIAS DEL DEPORTE</t>
  </si>
  <si>
    <t>Soccer has been described as a maximal and/or near-maximal effort sport, layered on a low to moderate intensity exercise base. The available evidence suggests that adult male soccer players cover approximate distances of 10 to 12 km during a match and 8.1 km for youth players. The objective the study is to compare the maximum aerobic power parameters of professional soccer players and youth players. A cross-sectional correlational descriptive study was carried out, 52 adult soccer players and 57 youth soccer players participated. The results reported that the absolute maximum VO2 does not present a significant difference between adults vs juveniles; The relative maximum VO2 in ml/kgmin presents a significant difference in favor of the Juveniles; The maximum aerobic speed in km/h presents a significant difference in favor of the adults and the muscular efficiency in percentage presents a significant difference in favor of the adults. In conclusion, adult professional soccer players have an absolute maximum VO2 similar to youth soccer players; relative oxygen consumption is higher in young soccer players; but the maximum aerobic speed and muscular efficiency are once again higher in adult soccer players.</t>
  </si>
  <si>
    <t>Tuesta, Marcelo/O-7314-2019</t>
  </si>
  <si>
    <t>2340-8812</t>
  </si>
  <si>
    <t>WOS:001143891900006</t>
  </si>
  <si>
    <t>Travieso-Torres, JC; Duarte-Mermoud, MA; Díaz, M; Contreras-Jara, C; Hernández, F</t>
  </si>
  <si>
    <t>Carlos Travieso-Torres, Juan; Duarte-Mermoud, Manuel A.; Diaz, Matias; Contreras-Jara, Camilo; Hernandez, Francisco</t>
  </si>
  <si>
    <t>Closed-Loop Adaptive High-Starting Torque Scalar Control Scheme for Induction Motor Variable Speed Drives</t>
  </si>
  <si>
    <t>ENERGIES</t>
  </si>
  <si>
    <t>This article proposes a closed-loop (CL) high-starting torque (HST) scalar control scheme (SCS) for induction motors (IM). It endows the recently proposed HST-SCS with high-output torque capability beyond starting after using an outer speed control loop feeding an inner current control loop with adaptive controllers. Presenting a cascade normalized adaptive passivity-based controller (N-APBC) for nonlinear systems encompassing the IM allows obtaining this result. It extends the normalized adaptive controller for the cascade case. As a result, it keeps the HST-SCS simple control scheme without needing variable observers or parameter estimators and employing tuning information only from the motor nameplate and datasheet. Test bench experiments with a 10 HP motor validate the proposal's effectiveness. Comparative experimental results show that the CL HST-SCS has a required stator phase voltage lower than HST-SCS. The CL HST-SCS applies the adaptive starting voltage curve for a more extended time than HST-SCS, from the start to 1.9 s versus 1.2 s, respectively. Hence, CL HST-SCS assures HST not only for starting but almost up to 600 rpm, resulting in a smoother transient behavior than HST-SCS under this speed.</t>
  </si>
  <si>
    <t>Hernandez, Francisco/E-7957-2016; Travieso Torres, Juan carlos/N-6437-2019; Diaz, Matias/R-7570-2018; Duarte-Mermoud, Manuel A./I-2693-2013</t>
  </si>
  <si>
    <t>Travieso Torres, Juan carlos/0000-0002-9246-4827; Diaz, Matias/0000-0003-4489-9532; Duarte-Mermoud, Manuel A./0000-0003-2367-4553</t>
  </si>
  <si>
    <t>1996-1073</t>
  </si>
  <si>
    <t>10.3390/en15103489</t>
  </si>
  <si>
    <t>WOS:000802429800001</t>
  </si>
  <si>
    <t>Huiliñir, C; Acosta, L; Yanez, D; Montalvo, S; Esposito, G; Retamal, G; Levicán, G; Guerrero, L</t>
  </si>
  <si>
    <t>Huilinir, C.; Acosta, L.; Yanez, D.; Montalvo, S.; Esposito, G.; Retamal, G.; Levican, G.; Guerrero, L.</t>
  </si>
  <si>
    <t>Elemental sulfur-based autotrophic denitrification in stoichiometric S0/N ratio: Calibration and validation of a kinetic model (vol 307, 123229, 2020)</t>
  </si>
  <si>
    <t>Levican, Gloria/R-5191-2019; Huilinir, Cesar/IYS-6899-2023; Esposito, Germana/ABF-6241-2020; Esposito, Giovanni/B-5829-2013; ESPOSITO, Giovanni/F-2880-2010</t>
  </si>
  <si>
    <t>Esposito, Giovanni/0000-0001-7960-5253; ESPOSITO, Giovanni/0000-0003-0565-7127</t>
  </si>
  <si>
    <t>10.1016/j.biortech.2021.126445</t>
  </si>
  <si>
    <t>FEB 2022</t>
  </si>
  <si>
    <t>WOS:000822899200006</t>
  </si>
  <si>
    <t>Orrego, F; Ortíz-Calderón, C; Lutts, S; Ginocchio, R</t>
  </si>
  <si>
    <t>Orrego, Fabiola; Ortiz-Calderon, Claudia; Lutts, Stanley; Ginocchio, Rosanna</t>
  </si>
  <si>
    <t>Effect of single and combined Cu, NaCl and water stresses on three Atriplex species with phytostabilization potential</t>
  </si>
  <si>
    <t>SOUTH AFRICAN JOURNAL OF BOTANY</t>
  </si>
  <si>
    <t>Orrego, Fabiola/0000-0001-7699-3668</t>
  </si>
  <si>
    <t>0254-6299</t>
  </si>
  <si>
    <t>1727-9321</t>
  </si>
  <si>
    <t>10.1016/j.sajb.2020.02.021</t>
  </si>
  <si>
    <t>WOS:000539958500018</t>
  </si>
  <si>
    <t>Berger, RJF; Håkansson, P; Mera-Adasme, R</t>
  </si>
  <si>
    <t>Berger, Raphael J. F.; Hakansson, Par; Mera-Adasme, Raul</t>
  </si>
  <si>
    <t>A consistent model for the key complex in chronic beryllium disease</t>
  </si>
  <si>
    <t>ZEITSCHRIFT FUR NATURFORSCHUNG SECTION B-A JOURNAL OF CHEMICAL SCIENCES</t>
  </si>
  <si>
    <t>A hypothesis on the structure of the key complex in chronic beryllium disease (CBD) is discussed with respect to the current knowledge on CBD, and with respect to the constraints implied by the coordination chemistry of beryllium and experimental data on the engaged protein complexes. The structure hypothesis is based on the [Be4O](6+) moiety as a coordination center, which is also found in the so called basic beryllium carboxylates. The structure of a small molecular model, optimized at the DFT level of theory, is used to compare the structural demands of this coordination center with a structure of the in vitro model of a beryllium immunoprotein complex determined previously by protein crystallography (Clayton &amp; al., Cell 2014, 158, 132). Be-9 NMR chemical shielding values, quadrupole coupling constants and asymmetry parameters (eta) have been calculated.</t>
  </si>
  <si>
    <t>Berger, Raphael/C-3413-2009; Hakansson, Par/A-6601-2011</t>
  </si>
  <si>
    <t>Hakansson, Par/0000-0001-5770-3514</t>
  </si>
  <si>
    <t>0932-0776</t>
  </si>
  <si>
    <t>1865-7117</t>
  </si>
  <si>
    <t>10.1515/znb-2020-0010</t>
  </si>
  <si>
    <t>WOS:000531067100003</t>
  </si>
  <si>
    <t>Dintrans, PV; Rodriguez, L; Clingham-David, J; Pizarro, T</t>
  </si>
  <si>
    <t>Dintrans, Pablo Villalobos; Rodriguez, Lorena; Clingham-David, Jaia; Pizarro, Tito</t>
  </si>
  <si>
    <t>Implementing a Food Labeling and Marketing Law in Chile</t>
  </si>
  <si>
    <t>HEALTH SYSTEMS &amp; REFORM</t>
  </si>
  <si>
    <t>In 2012, Chile passed a law intended to reduce obesity in the country. It included several novel features, such as a front-of-package label, limitations to marketing and advertising, and policies targeting schools. The law required the creation of a regulation to address its implementation. Between 2012 and 2015, a process was carried out to generate this regulation that finally came into force in June 2016. This process confronted several difficulties: the involvement of multiple actors, political changes in national government, and endless negotiations to define the operational details of the regulation. The end result was one of the most discussed health policies of recent years in Chile. This article tells the story of the process defining this regulation, carried out between 2012 and 2015. It describes its evolution from a legal perspective but also reveals the trade-offs faced by the team in charge of providing the operational definitions for the implementation of the law. The article presents the main challenges as well the strategies used by the team at the Ministry of Health to overcome the many difficulties that arose during the process of implementing Chile's food labeling and marketing law. The experience of the Chilean reform may provide practical information and lessons for other countries and policy makers embarking on the task of preventing and reducing obesity. Although the Chilean experience has its own particularities, it also suggests common difficulties for similar reform processes in terms of technical challenges-such as the definition of concepts and the scope of regulation-and political challenges-like the opposition of the food industry and conflicts of interest among governmental institutions.</t>
  </si>
  <si>
    <t>Dintrans, Pablo/AAM-6248-2020; Pizarro, Tito/AAY-2260-2021</t>
  </si>
  <si>
    <t>Villalobos Dintrans, Pablo/0000-0002-2236-6447; pizarro, tito/0000-0002-2514-0072</t>
  </si>
  <si>
    <t>2328-8604</t>
  </si>
  <si>
    <t>2328-8620</t>
  </si>
  <si>
    <t>10.1080/23288604.2020.1753159</t>
  </si>
  <si>
    <t>WOS:000544405800001</t>
  </si>
  <si>
    <t>Horta, H; Paulinyi, M; Santander, B; Echeverría, J</t>
  </si>
  <si>
    <t>Horta, Helena; Paulinyi, Muriel; Santander, Boris; Echeverria, Javier</t>
  </si>
  <si>
    <t>A NEW SIDE OF THE SACRIFICER. TIWANAKU ICONOGRAPHY IN BONE TUBES FROM SAN PEDRO DE ATACAMA, CHILE (400-1000 AD)</t>
  </si>
  <si>
    <t>BOLETIN DEL MUSEO CHILENO DE ARTE PRECOLOMBINO</t>
  </si>
  <si>
    <t>From a multidisciplinary approach this article presents a set of 14 tubes with painted iconography, corresponding chronologically to the Middle Period (circa 400 -1000 AD), from funerary sites in different cemeteries of the San Pedro de Atacama oases. We show here the special iconography of these tubes which, among other things, allows us to: broaden the range of visual representations of Tiwanaku art and define a new variant (Andean deer or taruca) for the icon known as The Sacrificer.</t>
  </si>
  <si>
    <t>Echeverría, Javier/AAK-3323-2020</t>
  </si>
  <si>
    <t>0716-1530</t>
  </si>
  <si>
    <t>0718-6894</t>
  </si>
  <si>
    <t>WOS:000601403700007</t>
  </si>
  <si>
    <t>Gil-Alana, LA; Dettoni, R; Costamagna, R; Valenzuela, M</t>
  </si>
  <si>
    <t>Alberiko Gil-Alana, Luis; Dettoni, Robinson; Costamagna, Rodrigo; Valenzuela, Mario</t>
  </si>
  <si>
    <t>Rational bubbles in the real housing stock market: Empirical evidence from Santiago de Chile</t>
  </si>
  <si>
    <t>RESEARCH IN INTERNATIONAL BUSINESS AND FINANCE</t>
  </si>
  <si>
    <t>In this paper we study the presence of rational bubbles in the IGP and IAR real housing stock indexes of Chile during the period 2003:01 to 2016:03 using a methodology based on fractionally integrated and cointegrated processes. Our findings suggest strong evidence in favour of bubbles in the Chilean housing stock market when no breaks are taken into account. Testing for structural breaks, three break dates are detected at 2007, 2011 and 2014, and the same evidence in favour of bubbles holds. This can be explained by the high level of debt of the Chilean people.</t>
  </si>
  <si>
    <t>0275-5319</t>
  </si>
  <si>
    <t>1878-3384</t>
  </si>
  <si>
    <t>10.1016/j.ribaf.2019.03.010</t>
  </si>
  <si>
    <t>WOS:000471755800019</t>
  </si>
  <si>
    <t>Barrenechea, GR; Castillo, E; Codina, R</t>
  </si>
  <si>
    <t>Barrenechea, Gabriel R.; Castillo, Ernesto; Codina, Ramon</t>
  </si>
  <si>
    <t>Time-dependent semidiscrete analysis of the viscoelastic fluid flow problem using a variational multiscale stabilized formulation</t>
  </si>
  <si>
    <t>IMA JOURNAL OF NUMERICAL ANALYSIS</t>
  </si>
  <si>
    <t>In this article we analyse a stabilized finite element formulation recently proposed to approximate viscoelastic fluid flows. The formulation has shown to have accuracy and robustness in the different benchmarks tested in the viscoelastic framework, and permitting the use of equal interpolation of the unknown fields. We first present results about a linearized subproblem, for which well-posedness and stability results can be proved. Then, the semidiscrete nonlinear time-dependent case is addressed using a fixed point theorem, which allows us to prove existence of a semidiscrete solution, along with error estimates.</t>
  </si>
  <si>
    <t>; Castillo, Ernesto/D-1612-2015; Codina, Ramon/I-2311-2014</t>
  </si>
  <si>
    <t>Barrenechea, Gabriel/0000-0003-4490-678X; Castillo, Ernesto/0000-0001-7013-6008; Codina, Ramon/0000-0002-7412-778X</t>
  </si>
  <si>
    <t>0272-4979</t>
  </si>
  <si>
    <t>1464-3642</t>
  </si>
  <si>
    <t>10.1093/imanum/dry018</t>
  </si>
  <si>
    <t>WOS:000491257300009</t>
  </si>
  <si>
    <t>de Figueiredo, DG; Gossez, JP; Quoirin, HR; Ubilla, P</t>
  </si>
  <si>
    <t>de Figueiredo, Djairo Guedes; Gossez, Jean-Pierre; Quoirin, Humberto Ramos; Ubilla, Pedro</t>
  </si>
  <si>
    <t>Elliptic equations involving the p-Laplacian and a gradient term having natural growth</t>
  </si>
  <si>
    <t>REVISTA MATEMATICA IBEROAMERICANA</t>
  </si>
  <si>
    <t>We investigate the problem (P) { -Delta(p)u = g(u)vertical bar del u vertical bar(p) + f(x,u) in Omega, u &gt; 0 in Omega, u = 0 on partial derivative Omega, in a bounded smooth domain Omega subset of R-N. Using a Kazdan-Kramer change of variable we reduce this problem to a quasilinear one without gradient term and therefore approachable by variational methods. In this way we come to some new and interesting problems for quasilinear elliptic equations which are motivated by the need to solve (P). Among other results, we investigate the validity of the Ambrosetti-Rabinowitz condition according to the behavior of g and f. Existence and multiplicity results for (P) are established in several situations.</t>
  </si>
  <si>
    <t>de Figueiredo, Djairo/HII-8077-2022</t>
  </si>
  <si>
    <t>0213-2230</t>
  </si>
  <si>
    <t>10.4171/RMI/1052</t>
  </si>
  <si>
    <t>WOS:000465204500005</t>
  </si>
  <si>
    <t>Saavedra, JM; Einarsson, I; Sekulic, D; Garcia-Hermoso, A</t>
  </si>
  <si>
    <t>Saavedra, Jose M.; Einarsson, Ingi; Sekulic, Damir; Garcia-Hermoso, Antonio</t>
  </si>
  <si>
    <t>ANALYSIS OF PACING STRATEGIES IN 10 KM OPEN WATER SWIMMING IN INTERNATIONAL EVENTS</t>
  </si>
  <si>
    <t>KINESIOLOGY</t>
  </si>
  <si>
    <t>The purpose of this study was to ascertain the pacing strategies employed in 10 km open water swimming events, and to define which split time was most determinant for the final performance as a function of sex and classification in International Championships of the highest level. Six international competitions over the last five years were analysed retrospectively: Olympic Games, World Championships, and European Championships. The data corresponded to a total of 437 swimmers. competition histories (257 men, 180 women). A two-way analysis of variance (sex [2 levels: men, women], classification [3 levels: 1st to 3rd, 4th to 8th, 9th and below]) was performed for each split (0-2.5 km, 2.6-5.0 km, 5.1-7.5 km, and 7.6 to 10 km) and half (0-5 km, 5.1-10 km). The Bonferroni post-hoc test was used to compare means, and Pearson.s simple correlation coefficient to determine correlations between the split times and the final performance (total time). In general, the medal winners and the seconde tier classified swimmers, both men and women, employed a negative pacing strategy (the first half of the race was swum slower than the second). Women, however, in proportional terms swam a faster first partial (0 to 2.5 km) than men. These results could help coaches convince their swimmers that the first split of the event should be swum as slowly as possible, while still ensuring that they are in the leading group.</t>
  </si>
  <si>
    <t>Saavedra, Jose/C-2490-2011; García-Hermoso, Antonio/ADU-2591-2022; Garcia-Hermoso, Antonio/P-1857-2017; Sekulic, Damir/D-4886-2017</t>
  </si>
  <si>
    <t>Garcia-Hermoso, Antonio/0000-0002-1397-7182; Sekulic, Damir/0000-0001-8022-7886</t>
  </si>
  <si>
    <t>1331-1441</t>
  </si>
  <si>
    <t>10.26582/k.50.2.3</t>
  </si>
  <si>
    <t>WOS:000457061000014</t>
  </si>
  <si>
    <t>Dávila, J; Guerra, I</t>
  </si>
  <si>
    <t>Davila, Juan; Guerra, Ignacio</t>
  </si>
  <si>
    <t>SLOWLY DECAYING RADIAL SOLUTIONS OF AN ELLIPTIC EQUATION WITH SUBCRITICAL AND SUPERCRITICAL EXPONENTS</t>
  </si>
  <si>
    <t>We study radial solutions of the problem Delta u + u(p) + u(q) = 0, u &gt; 0 in R-N, where N &gt;= 3 and N/N - 2 &lt; p &lt; N + 2/N - 2 &lt; q. We show that if p is close to N/(N - 2), q is close to (N + 2)/(N - 2), and a certain relation holds between them, then the problem has slowly decaying solutions.</t>
  </si>
  <si>
    <t>Davila, Juan/H-9082-2012</t>
  </si>
  <si>
    <t>Davila, Juan/0000-0002-7058-7930</t>
  </si>
  <si>
    <t>10.1007/s11854-016-0025-9</t>
  </si>
  <si>
    <t>WOS:000388816800013</t>
  </si>
  <si>
    <t>Cárdenas, R; Díaz, M; Rojas, F; Clare, J; Wheeler, P</t>
  </si>
  <si>
    <t>Cardenas, Roberto; Diaz, Matias; Rojas, Felix; Clare, Jon; Wheeler, Pat</t>
  </si>
  <si>
    <t>Resonant control system for low-voltage ride-through in wind energy conversion systems</t>
  </si>
  <si>
    <t>IET POWER ELECTRONICS</t>
  </si>
  <si>
    <t>Owing to the high penetration of electrical energy from wind energy conversion systems (WECSs), some countries are enforcing stringent grid codes to regulate low-voltage-ride-through (LVRT) operation of WECSs. This study presents a self-tuning resonant control (RC) system which can be used for LVRT control of the grid interface in the presence of symmetrical or asymmetrical faults. Only two RCs are required to fully control the four degrees of freedom of the converter output current. Sequence component separation is achieved using a new fast-convergence delayed signal cancellation method which is also discussed in this work. The mathematical analysis and design procedure of the control system are presented. Simulation and experimental results obtained from a 3 kW prototype are discussed in this study.</t>
  </si>
  <si>
    <t>Clare, Jon/M-2032-2018; Rojas, Felix/U-3305-2019; Diaz, Matias/R-7570-2018; Cardenas, Roberto/C-6395-2011</t>
  </si>
  <si>
    <t>Wheeler, Patrick/0000-0003-0307-581X; Diaz, Matias/0000-0003-4489-9532; Cardenas, Roberto/0000-0003-3853-7703; Rojas, Felix/0000-0001-6145-2826</t>
  </si>
  <si>
    <t>1755-4535</t>
  </si>
  <si>
    <t>1755-4543</t>
  </si>
  <si>
    <t>10.1049/iet-pel.2015.0488</t>
  </si>
  <si>
    <t>WOS:000377078900022</t>
  </si>
  <si>
    <t>Lagos, C; Fuertes, G; Carrasco, R; Gutierrez, S; Vargas, M; Rodrigues, R</t>
  </si>
  <si>
    <t>Lagos, Carolina; Fuertes, Guillermo; Carrasco, Raul; Gutierrez, Sebastian; Vargas, Manuel; Rodrigues, Rafael</t>
  </si>
  <si>
    <t>Facing the data analysis complexity for the energetic efficiency management at great copper mining, in Codelco Chuquicamata, Chile</t>
  </si>
  <si>
    <t>2016 IEEE INTERNATIONAL CONFERENCE ON AUTOMATICA (ICA-ACCA)</t>
  </si>
  <si>
    <t>IEEE International Conference on Automatica (ICA-ACCA)</t>
  </si>
  <si>
    <t>OCT 19-21, 2016</t>
  </si>
  <si>
    <t>Univ Talca, Curico, CHILE</t>
  </si>
  <si>
    <t>Univ Talca</t>
  </si>
  <si>
    <t>This study is centered in the complexity of the data analysis for the management of the energetic efficiency in the productive processes of copper. For that the study is divided in two stages, in the first one, through a process of hierarchical analysis (AHP), it is stablished the importance of the characteristics to be considered for the gathering of information related to the energetic efficiency. In the second stage, it is analyzed how the energetic consumption results a critical variable in copper production, being the unitarian operation of the concentrator, the one of the most energetic consumption, together with its most important actives, the SAG and Ball mills. Consequently, the study standarized a model to obtain data in the concentrator, thus evaluate the different areas of the organization, according to the characteristics or qualities of the information.</t>
  </si>
  <si>
    <t>Rodrigues, Rafael/AAR-6041-2020; vargas, manuel/AAG-4780-2020; Fuertes, Guillermo/Q-2341-2016; Carrasco, Raul/G-5440-2015</t>
  </si>
  <si>
    <t>978-1-5090-1147-6</t>
  </si>
  <si>
    <t>WOS:000390556300080</t>
  </si>
  <si>
    <t>Dayyani, I; Shaw, AD; Flores, ELS; Friswell, MI</t>
  </si>
  <si>
    <t>Dayyani, I.; Shaw, A. D.; Saavedra Flores, E. L.; Friswell, M. I.</t>
  </si>
  <si>
    <t>The mechanics of composite corrugated structures: A review with applications in morphing aircraft</t>
  </si>
  <si>
    <t>COMPOSITE STRUCTURES</t>
  </si>
  <si>
    <t>Corrugation has long been seen as a simple and effective means of forming lightweight structures with high anisotropic behaviour, stability under buckling load and energy absorption capability. This has been exploited in diverse industrial applications and academic research. In recent years, there have been numerous innovative developments to corrugated structures, involving more elaborate and ingenious corrugation geometries and combination of corrugations with advanced materials. This development has been largely led by the research interest in morphing structures, which seek to exploit the extreme anisotropy of a corrugated panel, using the flexible degrees of freedom to allow a structure's shape to change, whilst bearing load in other degrees of freedom. This paper presents a comprehensive review of the literature on corrugated structures, with applications ranging from traditional engineering structures such as corrugated steel beams through to morphing aircraft wing structures. As such it provides an important reference for researchers to have a broad but succinct perception of the mechanical behaviour of these structures. Such a perception is highly required in the multidisciplinary design of corrugated structures for the application in morphing aircraft. Crown Copyright (C) 2015 Published by Elsevier Ltd. All rights reserved.</t>
  </si>
  <si>
    <t>Shaw, Alexander/O-6481-2015; Friswell, Michael/B-5581-2009</t>
  </si>
  <si>
    <t>Shaw, Alexander/0000-0002-7521-827X; Friswell, Michael/0000-0003-4677-7395; Dayyani, Iman/0000-0001-8956-2090</t>
  </si>
  <si>
    <t>0263-8223</t>
  </si>
  <si>
    <t>1879-1085</t>
  </si>
  <si>
    <t>10.1016/j.compstruct.2015.07.099</t>
  </si>
  <si>
    <t>WOS:000363069100036</t>
  </si>
  <si>
    <t>Verdejo, H; Kliemann, W; Vargas, L; Becker, C</t>
  </si>
  <si>
    <t>Verdejo, Humberto; Kliemann, Wolfgang; Vargas, Luis; Becker, Cristhian</t>
  </si>
  <si>
    <t>Stability region and radius in electric power systems under sustained random perturbations</t>
  </si>
  <si>
    <t>INTERNATIONAL JOURNAL OF ELECTRICAL POWER &amp; ENERGY SYSTEMS</t>
  </si>
  <si>
    <t>Two concepts are proposed to characterize the behavior of stochastic systems under sustained random perturbations in time: Using Lyapunov exponents we define the region where an electric power system can be operated under random perturbations without losing stability; and we characterize the maximum perturbation size that a system can sustain. The proposed methodology is applied to international test systems of nine and thirty-nine buses. (C) 2015 Elsevier Ltd. All rights reserved.</t>
  </si>
  <si>
    <t>vargas, luis/A-2109-2011</t>
  </si>
  <si>
    <t>vargas, Luis/0000-0001-6539-1768</t>
  </si>
  <si>
    <t>0142-0615</t>
  </si>
  <si>
    <t>1879-3517</t>
  </si>
  <si>
    <t>10.1016/j.ijepes.2015.06.012</t>
  </si>
  <si>
    <t>WOS:000360771800078</t>
  </si>
  <si>
    <t>Ajaj, RM; Flores, EIS; Friswell, MI; De la O, FAD</t>
  </si>
  <si>
    <t>Ajaj, R. M.; Saavedra Flores, E. I.; Friswell, M. I.; De la O, F. A. Diaz</t>
  </si>
  <si>
    <t>Span Morphing Using the Compliant Spar</t>
  </si>
  <si>
    <t>JOURNAL OF AEROSPACE ENGINEERING</t>
  </si>
  <si>
    <t>This paper develops and models the compliant spar concept that allows the wingspan to be varied to provide roll control and enhance the operational performance for a medium altitude, long endurance (MALE) UAV. The wing semispan is split into morphing partitions and the concept may be incorporated in each partition; however, only the tip partition is considered here. The compliant spar is made of compliant joints arranged in series to allow the partition to be flexible under axial (spanwise) loads, but at the same time stiff enough to resist bending loads. Each compliant joint consists of two concentric overlapping AL 2024-T3 tubes joined together using elastomeric material. Under axial (spanwise) loading, the elastomeric material deforms in shear, allowing the overlapping distance between the tubes to vary and hence the length (in the spanwise direction) of the joint/spar to vary. High fidelity modeling of the concept is performed. Then, structural design optimization studies are performed to minimize the axial stiffness and the structural mass of the concept for various design constraints. The flexible skin and actuation system to be used are also addressed. (C) 2014 American Society of Civil Engineers.</t>
  </si>
  <si>
    <t>Flores, Erick/I-7646-2012; Ajaj, Rafic/P-6314-2016; Friswell, Michael/B-5581-2009</t>
  </si>
  <si>
    <t>0893-1321</t>
  </si>
  <si>
    <t>1943-5525</t>
  </si>
  <si>
    <t>10.1061/(ASCE)AS.1943-5525.0000442</t>
  </si>
  <si>
    <t>WOS:000356420000020</t>
  </si>
  <si>
    <t>Urzúa, A; Vera-Villarroel, P; Zúñiga, C; Salas, G</t>
  </si>
  <si>
    <t>Urzua, Alfonso; Vera-Villarroel, Pablo; Zuniga, Claudia; Salas, Gonzalo</t>
  </si>
  <si>
    <t>Psychology in Chile: Analysis of its History, Present and Future</t>
  </si>
  <si>
    <t>UNIVERSITAS PSYCHOLOGICA</t>
  </si>
  <si>
    <t>This paper present a review of the development and current state of Chilean psychology. In 1946 formally establishes the formation of psychologists in Chile; in 1959, it made official the Association of Psychologists of Chile and in 1968 the College of Psychologists of Chile was founded. This puts Chile in the first countries in the region in the formal development of the discipline. Currently, there are 139 training programs in psychology, taught in 49 universities. Added to that, a growing supply of master's and doctoral programs in psychology. With regard to the scientific development of the discipline shown a sustained increase in the number of published articles, noting that since 2011 has exceeded 100 items per year, although this production is linked to a few institutions and authors with high prominence. Additionally, a low collaboration between Chilean and Latin American researchers in studies and scientific productivity, despite sharing similar issues and problems observed. Regarding future challenges, it is necessary to increase systems quality assurance in pre and postgraduate courses, as well as the most influential psychologists of society.</t>
  </si>
  <si>
    <t>Salas, Gonzalo/AAD-4907-2019; Zuniga, Claudia/P-7337-2019; Urzua, Alfonso/A-1208-2012; Vera-Villarroel, Pablo/A-1134-2011; Zuniga, Claudia/M-1766-2016</t>
  </si>
  <si>
    <t>Salas, Gonzalo/0000-0003-0707-8188; Urzua, Alfonso/0000-0002-0882-2194; Vera-Villarroel, Pablo/0000-0001-9187-8414; Zuniga, Claudia/0000-0003-1691-5742</t>
  </si>
  <si>
    <t>1657-9267</t>
  </si>
  <si>
    <t>JUL-SEP</t>
  </si>
  <si>
    <t>WOS:000369827500029</t>
  </si>
  <si>
    <t>Lissi, EA; Norambuena, E; Giannotti, C</t>
  </si>
  <si>
    <t>Reversible photoisomerization of β-methyl-β-nitrostyrene:: The role of triethylamine.</t>
  </si>
  <si>
    <t>SPECTROSCOPY LETTERS</t>
  </si>
  <si>
    <t>The photolysis of trans-beta-nitro-beta methylstyrene in acetonitrile solution gives the cis-isomer with a quantum yield of 0.8. Addition of triethylamine to the system leads to a small decrease in the photoisomerization quantum yield and the appearance of a strong EPR signal. This signal remains for several hours at the end of the irradiation. It is demonstrated that the EPR signal is associated to an intermediary produced during the triethylamine catalyzed thermal back formation of the trans isomer. This intermediary bears an unpaired electron mostly associated to the nitro group and suggest that the thermal back reaction takes place by an initial electron transfer from the amine to the nitro group, leading to a long lived zwitterionic biradical.</t>
  </si>
  <si>
    <t>0038-7010</t>
  </si>
  <si>
    <t>10.1080/00387010009350084</t>
  </si>
  <si>
    <t>WOS:000087660000008</t>
  </si>
  <si>
    <t>COSTAMAGNA, J; CANALES, J; VARGAS, J; CAMALLI, M; CARUSO, F; RIVAROLA, E</t>
  </si>
  <si>
    <t>PRECURSORS OF AZA-MACROCYCLES - CHARACTERIZATION OF SUBSTITUTED PHENANTHROLINES AND RELATED BASES - CRYSTAL AND MOLECULAR-STRUCTURE OF DICHLORO-DI-N-BUTYL(2,2',6,6'-BIPYRIMIDINE)-TIN(IV)</t>
  </si>
  <si>
    <t>PURE AND APPLIED CHEMISTRY</t>
  </si>
  <si>
    <t>INTERNATIONAL SYMP ON MACROCYCLIC LIGANDS FOR THE DESIGN OF NEW MATERIALS</t>
  </si>
  <si>
    <t>SEP 14-16, 1992</t>
  </si>
  <si>
    <t>UNIV SURREY, GUILDFORD, ENGLAND</t>
  </si>
  <si>
    <t>INT UNION PURE &amp; APPL CHEM,EUROPEAN COMMUNITY, INT SCI COOPERAT,USA, EUROPEAN OFF,ICI</t>
  </si>
  <si>
    <t>UNIV SURREY</t>
  </si>
  <si>
    <t>The synthesis, characterization and H-1 NMR spectra of some substituted i,10-phenantrolines are described. These are precursors Of azacyclophanes which are, along with their metal complexes, insoluble in polar solvents. It is suggested that the use of substituted 2,2,,6,6'-bipyrimidines as precursors would lead to soluble macrocycles. The crystal and molecular structure of dichloro-di-n-butyl-(2, 2',6, 6'-bipyrimidine) tin(IV) shows this ligand to be planar and bidentate.</t>
  </si>
  <si>
    <t>0033-4545</t>
  </si>
  <si>
    <t>10.1351/pac199365071521</t>
  </si>
  <si>
    <t>WOS:A1993LH98800011</t>
  </si>
  <si>
    <t>Figueroa, O; Polo, P; Torrico-Bazoberry, D; Fajardo, G; Rodríguez-Sickert, C; Valenzuela, N; Arenas, A; Pavez, P; Belinchon, M; Valdebenito, G; Muñoz-Reyes, JA</t>
  </si>
  <si>
    <t>Figueroa, Oriana; Polo, Pablo; Torrico-Bazoberry, Daniel; Fajardo, Gabriela; Rodriguez-Sickert, Carlos; Valenzuela, Nohelia; Arenas, Abigail; Pavez, Paula; Belinchon, Montserrat; Valdebenito, Gabriela; Munoz-Reyes, Jose Antonio</t>
  </si>
  <si>
    <t>The role of the behavioral immune system in the expression of short and long-term orientation in young Chilean men during the COVID-19 pandemic</t>
  </si>
  <si>
    <t>BMC PUBLIC HEALTH</t>
  </si>
  <si>
    <t>IntroductionThe COVID-19 pandemic drastically changed people's lives. It had consequences at the individual and social level. The behavioral immune system predicts that when faced with the risk of contagion from pathogens, people tend to reduce their sociality, especially sociosexuality. We examine this prediction by evaluating decreases in the pandemic of the different dimensions of sociosexuality of young men (i.e., short and long-term mating orientation, sexual desire, and sociosexual behavior) and considering their relationship status (single or paired).Methods and materialsWe compared data from two cross-sectional studies carried out in the laboratory with convenience sampling methods in the pre-pandemic period (in the years 2016 and 2018 with a sample size of N = 463) and pandemic (face-to-face panstudy N = 234,data online, N = 182), considering possible differences between samples of the same period. We reached an N = 879 young men who answered a sociodemographic questioarticipants answered a sociodemographic questionnaire that inclnnaire and the Multidimensional Sociosexual Orientation Inventory. To test our predictions, we fitted general linear models.ResultsResults point to a significant decrease in long-term mating orientation in paired and single men, but only when compared with the pandemic face-to-face study. In addition, no differences were found for short-term mating orientation. For sociosexual desire (i.e., sexual fantasies), we found a reduction in single pre-pandemic individuals to be compared with the sample of pandemic online study. Finally, we found a decrease in sociosexual behavior (i.e., number of partners in the last year) between pre-pandemic samples and the pandemic itself, regardless of their relationship status and samples inside of each period. In addition, we carry out analyses with a reduced sample to re-test our predictions based on the perception of contagion risk (measured by a survey from OMS).ConclusionWe find changes are maintained at the level of sociosexual desire and sexual behavior but mainly in those individuals with a greater perception of the risk of contagion. The hypotheses derived from the behavioral immune system regarding the decrease in sociosexuality in a context of risk of contagion by pathogens, as was the case in the initial period of COVID-19, are corroborated only in terms of desire and behavior, which suggests a certain stability in attitudes i.e., the menace of contagion modifies proximal aspects of sociosexuality, such as fantasies and behavior, but has no apparent effect on the calibration of the predisposition of individuals to varying levels of commitment in sexual relationships. These findings will allow us to understand better how the dimensions of sociosexuality (i.e., fantasies, attitudes and behavior) are affected when there are contexts of high risk of contagion, such as COVID-19. These findings will allow us to understand better how sociosexuality is affected when there are contexts of high risk of contagion, such as COVID-19.</t>
  </si>
  <si>
    <t>Fajardo, Gabriela/IRZ-8714-2023; Sickert, Carlos/J-5538-2014; Figueroa, Oriana/IRZ-9301-2023; pavez, paula/ITT-0755-2023; Polo, Pablo/E-6878-2016; Muñoz-Reyes, José/D-2822-2012</t>
  </si>
  <si>
    <t>Valenzuela-Martinez, Nohelia T./0000-0002-7091-6992</t>
  </si>
  <si>
    <t>1471-2458</t>
  </si>
  <si>
    <t>10.1186/s12889-025-21755-y</t>
  </si>
  <si>
    <t>WOS:001416350900007</t>
  </si>
  <si>
    <t>Alarcón-Moyano, JK; Herrera, ML; Matiacevich, SB</t>
  </si>
  <si>
    <t>Alarcon-Moyano, Jessica Katherine; Herrera, Maria Lidia; Matiacevich, Silvia Beatriz</t>
  </si>
  <si>
    <t>Citral encapsulation for an antimicrobial natural powdered-additive: Performance of wall material and drying process</t>
  </si>
  <si>
    <t>JOURNAL OF THE AMERICAN OIL CHEMISTS SOCIETY</t>
  </si>
  <si>
    <t>Citral encapsulation was analyzed by spray and freeze-drying to obtain an antimicrobial additive in powder. Different formulations containing alginate and modified starch (Capsul((R))) as encapsulating agents (1% and 3% w/w, respectively) and maltodextrin as a wall material at different concentrations (varied from 1:1-1:4 Citral:Maltodextrin) were prepared. The powders were evaluated for physical and antimicrobial properties against Escherichia coli to obtain a natural antimicrobial food additive. Citral:Capsul:Maltodextrin powders obtained by spray-drying showed the best physical properties, considering encapsulation yield (EY) (75%-80%), encapsulation efficiency (EE) (similar to 78%), and particle size (5-10 mu m), and a higher microbial inhibition at a lower additive concentration (1.5%-2% w/w), independently of maltodextrin concentration used. Powders obtained by freeze-drying emulsions showed an EY similar to 70%, EE similar to 70%, particle sizes between 80 and 1250 mu m, and a higher percentage of rehydration for antimicrobial activity (2.5%-4% w/w). An increase in maltodextrin concentration led to a decrease in %EE, an increase in particle size, and the powder concentration required to inhibit microbial growth. Therefore, the formulation 1:1:1 Citral:Capsul:Maltodextrin showed by spray-drying showed the best characteristics to obtain a natural antimicrobial additive.</t>
  </si>
  <si>
    <t>Herrera, Maria Lidia/0000-0003-2469-0571; Alarcon Moyano, Jessica Katherine/0000-0003-3262-4312</t>
  </si>
  <si>
    <t>0003-021X</t>
  </si>
  <si>
    <t>1558-9331</t>
  </si>
  <si>
    <t>10.1002/aocs.12806</t>
  </si>
  <si>
    <t>WOS:001129553200001</t>
  </si>
  <si>
    <t>Pinilla, JP; Brugnoli, JAR; Legües, DL; del Solar, AV</t>
  </si>
  <si>
    <t>Pinilla, Juan Pablo; Brugnoli, Jose Antonio Roman; Legues, Daniela Leyton; del Solar, Ana Vergara</t>
  </si>
  <si>
    <t>My Home Quarantine on an App: A Qualitative Visual Analysis of Changes in Family Routines During the COVID-19 Pandemic in Chile</t>
  </si>
  <si>
    <t>QUALITATIVE SOCIOLOGY</t>
  </si>
  <si>
    <t>This article presents original findings from a longitudinal qualitative study on changes in individual and family life associated with safety and health measures implemented during the COVID-19 pandemic in three regions of Chile. We developed a methodological approach based on multimodal diaries in a mobile application, in which participants submitted photographs and texts to express changes in their daily lives under residential confinement. Content and semiotic visual analyses show a significant loss in instances of collective recreation, partially compensated through new personal and productive activities performed at home. Our results suggest that modal diaries serve as potential tools to capture people's perceptions and meanings as their lives go through exceptional and traumatic times. We assert that using digital and mobile technologies in qualitative studies could allow subjects to actively participate in the co-construction of fieldwork and produce quality knowledge from their situated perspectives.</t>
  </si>
  <si>
    <t>VERGARA, Ana/ABV-0851-2022; Román, José/MAI-4502-2025</t>
  </si>
  <si>
    <t>Pinilla Jara, Juan Pablo/0000-0002-1031-202X; vergara del solar, ana cecilia/0000-0001-7823-3769; Leyton Legues, Daniela/0000-0001-6618-0444; Roman Brugnoli, Jose Antonio/0000-0001-8151-9821</t>
  </si>
  <si>
    <t>0162-0436</t>
  </si>
  <si>
    <t>1573-7837</t>
  </si>
  <si>
    <t>10.1007/s11133-023-09531-z</t>
  </si>
  <si>
    <t>FEB 2023</t>
  </si>
  <si>
    <t>WOS:000935243800001</t>
  </si>
  <si>
    <t>Ponce, HR; Mayer, RE; Torres, SF</t>
  </si>
  <si>
    <t>Ponce, Hector R.; Mayer, Richard E.; Torres, Sandra F.</t>
  </si>
  <si>
    <t>Different Principles of Information Design for Three Online Financial Tasks: Localization, Comparison, and Subtraction</t>
  </si>
  <si>
    <t>INTERNATIONAL JOURNAL OF HUMAN-COMPUTER INTERACTION</t>
  </si>
  <si>
    <t>This study examines design principles for how to display financial information about a consumer loan that supports locating a value (e.g., What is the annual percentage rate (APR) for an 18-month loan?), comparing two values (e.g., Is the APR for a 24-month load greater than for an 18-month loan?), or subtracting two values (e.g., What is the difference in the APR for a 24-month load and an 18-month loan?). One hundred and thirty-three college students carried out these three types of tasks at a banking site that displayed information as a list (e.g., listing the value for interest rate, monthly payment, insurance cost, APR, amount financed, and total cost for a given duration ranging from 6 to 48 months) or as one of three types of tables or matrices (containing values for each of six variables across one axis and each of eight loan durations across the other). Accuracy and response time on each of the three types of tasks was tallied for each of the four groups. Consistent with the principle of distraction minimization, the list was the best display for locating a value. Consistent with the principle of conjoint alignment, a vertical matrix (with loan duration across columns) or horizontal matrix (with loan duration across rows) was the best for comparing two values, but an interactive matrix was less effective. Consistent with the principle of canonical form, a vertical matrix (with loan duration across columns) was the best for subtracting two values. Overall, the best information display depended on the type of task, consistent with cognitive theories of information processing.</t>
  </si>
  <si>
    <t>Mayer, Richard/ACN-3384-2022; Ponce, Hector/H-9545-2019</t>
  </si>
  <si>
    <t>Ponce, Hector R./0000-0002-7984-3945</t>
  </si>
  <si>
    <t>1044-7318</t>
  </si>
  <si>
    <t>1532-7590</t>
  </si>
  <si>
    <t>JUN 2</t>
  </si>
  <si>
    <t>10.1080/10447318.2023.2176988</t>
  </si>
  <si>
    <t>WOS:000935525900001</t>
  </si>
  <si>
    <t>Cárcamo, M; Scaife, AMM; Alexander, EL; Leahy, JP</t>
  </si>
  <si>
    <t>Carcamo, Miguel; Scaife, Anna M. M.; Alexander, Emma L.; Leahy, J. Patrick</t>
  </si>
  <si>
    <t>CS-ROMER: a novel compressed sensing framework for Faraday depth reconstruction</t>
  </si>
  <si>
    <t>The reconstruction of Faraday depth structure from incomplete spectral polarization radio measurements using the RM synthesis technique is an underconstrained problem requiring additional regularization. In this paper, we present cs - romer: a novel object-oriented compressed sensing framework to reconstruct Faraday depth signals from spectropolarization radio data. Unlike previous compressed sensing applications, this framework is designed to work directly with data that are irregularly sampled in wavelength-squared space and to incorporate multiple forms of compressed sensing regularization. We demonstrate the framework using simulated data for the VLA telescope under a variety of observing conditions, and we introduce a methodology for identifying the optimal basis function for reconstruction of these data, using an approach that can also be applied to data sets from other telescopes and over different frequency ranges. In this work, we show that the delta basis function provides optimal reconstruction for VLA L-band data and we use this basis with observations of the low-mass galaxy cluster Abell 1314 in order to reconstruct the Faraday depth of its constituent cluster galaxies. We use the cs - romer framework to de-rotate the Galactic Faraday depth contribution directly from the wavelength-squared data and to handle the spectral behaviour of different radio sources in a direction-dependent manner. The results of this analysis show that individual galaxies within Abell 1314 deviate from the behaviour expected for a Faraday-thin screen such as the intra-cluster medium and instead suggest that the Faraday rotation exhibited by these galaxies is dominated by their local environments.</t>
  </si>
  <si>
    <t>Carcamo, Miguel/LEM-3690-2024</t>
  </si>
  <si>
    <t>Carcamo, Miguel/0000-0003-0564-8167; Alexander, Emma/0000-0002-6249-614X</t>
  </si>
  <si>
    <t>10.1093/mnras/stac3031</t>
  </si>
  <si>
    <t>WOS:000898989000005</t>
  </si>
  <si>
    <t>Rozas, P; Kessi-Perez, EI; Martínez, C</t>
  </si>
  <si>
    <t>Rozas, Pablo; Kessi-Perez, Eduardo, I; Martinez, Claudio</t>
  </si>
  <si>
    <t>Genetically modified organisms: adapting regulatory frameworks for evolving genome editing technologies</t>
  </si>
  <si>
    <t>BIOLOGICAL RESEARCH</t>
  </si>
  <si>
    <t>Genetic modification of living organisms has been a prosperous activity for research and development of agricultural, industrial and biomedical applications. Three decades have passed since the first genetically modified products, obtained by transgenesis, become available to the market. The regulatory frameworks across the world have not been able to keep up to date with new technologies, monitoring and safety concerns. New genome editing techniques are opening new avenues to genetic modification development and uses, putting pressure on these frameworks. Here we discuss the implications of definitions of living/genetically modified organisms, the evolving genome editing tools to obtain them and how the regulatory frameworks around the world have taken these technologies into account, with a focus on agricultural crops. Finally, we expand this review beyond commercial crops to address living modified organism uses in food industry, biomedical applications and climate change-oriented solutions.</t>
  </si>
  <si>
    <t>Martinez, Claudio/MGS-9961-2025; Kessi, Eduardo/AAI-2566-2019</t>
  </si>
  <si>
    <t>Kessi, Eduardo/0000-0003-4225-9486</t>
  </si>
  <si>
    <t>0716-9760</t>
  </si>
  <si>
    <t>0717-6287</t>
  </si>
  <si>
    <t>10.1186/s40659-022-00399-x</t>
  </si>
  <si>
    <t>WOS:000870728000001</t>
  </si>
  <si>
    <t>Millan, D; Gonzalez-Turen, F; Perez-Recabarren, J; Gonzalez-Ponce, C; Rezende, MC; Lopes, AMD</t>
  </si>
  <si>
    <t>Millan, Daniela; Gonzalez-Turen, Felipe; Perez-Recabarren, Josei; Gonzalez-Ponce, Christopher; Rezende, Marcos Caroli; Lopes, Andre M. Da Costa</t>
  </si>
  <si>
    <t>Solvent effects on the wood delignification with sustainable solvents</t>
  </si>
  <si>
    <t>Solutions of a pure organic solvent acidified with 1% sulfuric acid, and some of their aqueous mixtures were used for lignin extraction in the Pinus radiata sawdust delignification. Organic acid solvents including acetic, lactic and citric acids as well as non-acidic compounds such as gamma-valerolactone, 2-methyltetrahydrofuran, glycerol and ethylene glycol were studied. Crude lignin extractions yields (%) ranging between ca. 5-50% were obtained, from which ethylene glycol (33%), gamma-valerolactone (48%) and propylene carbonate (52%) showed the greatest effectiveness. The effect of added water on the lignin extraction was investigated in mixtures of an organic solvent with a variable water content (75%w/w, 50% w/w, 25%w/w and 10% w/w) where it was observed that the yield of extraction decreased with the increased water content. Moreover, the purity of extracted lignins were analyzed by spectroscopic methods (UV and IR). Kamlet-Taft solvent polarity parameters, were determined with the solvatochromic probes 4-nitroaniline, N,N-diethyl-4-nitroaniline, Nile Red and 6-propionyl-2-N,N-dimethylaminonaphthalene (PRODAN), and then correlated to lignin extraction yields to explain the influence of the solute-solvent interactions on biomass delignification. A reasonable correlation was found between the medium polarizability-dipolarity pi* and the effectiveness of the solvent mixture on the extraction of lignin wood.</t>
  </si>
  <si>
    <t>Millan, Daniela/ABD-4398-2021; Gonzalez, Christopher/MGT-7811-2025; Caroli, Marcos/H-3570-2019; da Costa Lopes, Andre M./A-7150-2015</t>
  </si>
  <si>
    <t>Gonzalez Ponce, Christopher/0000-0003-0793-5549; da Costa Lopes, Andre M./0000-0001-8855-6406; Millan, Daniela/0000-0002-4264-7967</t>
  </si>
  <si>
    <t>JUN 30</t>
  </si>
  <si>
    <t>10.1016/j.ijbiomac.2022.05.030</t>
  </si>
  <si>
    <t>WOS:000806367100008</t>
  </si>
  <si>
    <t>Navas, A; Ponce, M</t>
  </si>
  <si>
    <t>Navas, Andres; Ponce, Mario</t>
  </si>
  <si>
    <t>On the projective derivative cocycle for circle diffeomorphisms</t>
  </si>
  <si>
    <t>We study the projective derivative as a cocycle of Mobius trans-formations over groups of circle diffeomorphisms. By computing precise expressions for this cocycle, we obtain several results about reducibility and almost reducibility to a cocycle of rotations. We also introduce an extension of this cocycle to the diagonal action on the 3-torus for which we generalize the previous results.</t>
  </si>
  <si>
    <t>WOS:000994020200010</t>
  </si>
  <si>
    <t>Zabala-Blanco, D; Mora, M; Azurdia-Meza, CA; Firoozabadi, AD; Játiva, PP; Soto, I</t>
  </si>
  <si>
    <t>Zabala-Blanco, David; Mora, Marco; Azurdia-Meza, Cesar A.; Dehghan Firoozabadi, Ali; Palacios Jativa, Pablo; Soto, Ismael</t>
  </si>
  <si>
    <t>Relaxation of the Radio-Frequency Linewidth for Coherent-Optical Orthogonal Frequency-Division Multiplexing Schemes by Employing the Improved Extreme Learning Machine</t>
  </si>
  <si>
    <t>A coherent optical (CO) orthogonal frequency division multiplexing (OFDM) scheme gives a scalable and flexible solution for increasing the transmission rate, being extremely robust to chromatic dispersion as well as polarization mode dispersion. Nevertheless, as any coherent-detection OFDM system, the overall system performance is limited by laser phase noises. On the other hand, extreme learning machines (ELMs) have gained a lot of attention from the machine learning community owing to good generalization performance, negligible learning speed, and minimum human intervention. In this manuscript, a phase-error mitigation method based on the single-hidden layer feedforward network prone to the improved ELM algorithm for CO-OFDM systems is introduced for the first time. In the training step, two steps are distinguished. Firstly, pilots are used, which is very common in OFDM-based systems, to diminish laser phase noises as well as to correct frequency-selective impairments and, therefore, the bandwidth efficiency can be maximized. Secondly, the regularization parameter is included in the ELM to balance the empirical and structural risks, namely to minimize the root mean square error in the test stage and, consequently, the bit error rate (BER) metric. The operational principle of the real-complex (RC) ELM is analytically explained, and then, its sub-parameters (number of hidden neurons, regularization parameter, and activation function) are numerically found in order to enhance the system performance. For binary and quadrature phase-shift keying modulations, the RC-ELM outperforms the benchmark pilot-assisted equalizer as well as the fully-real ELM, and almost matches the common phase error (CPE) compensation and the ELM defined in the complex domain (C-ELM) in terms of the BER over an additive white Gaussian noise channel and different laser oscillators. However, both techniques are characterized by the following disadvantages: the CPE compensator reduces the transmission rate since an additional preamble is mandatory for channel estimation purposes, while the C-ELM requires a bounded and differentiable activation function in the complex domain and can not follow semi-supervised training. In the same context, the novel ELM algorithm can not compete with the CPE compensator and C-ELM for the 16-ary quadrature amplitude modulation. On the other hand, the novel ELM exposes a negligible computational cost with respect to the C-ELM and PAE methods.</t>
  </si>
  <si>
    <t>Dehghan Firoozabadi, Ali/AAD-4858-2019; Meza, Cesar/D-6948-2014; Palacios Játiva, Pablo/AAE-8235-2019</t>
  </si>
  <si>
    <t>Zabala-Blanco, David/0000-0002-5692-5673; Mora, Marco/0000-0003-3619-2561; Palacios, Pablo/0000-0002-3958-503X; Soto, Ismael/0000-0002-5501-5651; Azurdia, Cesar/0000-0003-3461-4484; Dehghan Firoozabadi, Ali/0000-0002-6391-6863</t>
  </si>
  <si>
    <t>10.3390/sym12040632</t>
  </si>
  <si>
    <t>WOS:000540222200143</t>
  </si>
  <si>
    <t>Lux, S; Lobos, N; Lespay-Rebolledo, C; Salas-Huenuleo, E; Kogan, MJ; Flores, C; Pinto, M; Hernandez, A; Pelissier, T; Constandil, L</t>
  </si>
  <si>
    <t>Lux, Sebastian; Lobos, Nicolas; Lespay-Rebolledo, Carolyne; Salas-Huenuleo, Edison; Kogan, Marcelo J.; Flores, Christian; Pinto, Mauricio; Hernandez, Alejandro; Pelissier, Teresa; Constandil, Luis</t>
  </si>
  <si>
    <t>The antinociceptive effect of resveratrol in bone cancer pain is inhibited by the Silent Information Regulator 1 inhibitor selisistat</t>
  </si>
  <si>
    <t>JOURNAL OF PHARMACY AND PHARMACOLOGY</t>
  </si>
  <si>
    <t>Objectives To study the antinociceptive effect of single and repeated doses of resveratrol in a bone cancer pain model, and whether this effect is prevented by the Silent Information Regulator 1 (SIRT1) inhibitor selisistat. Methods The femoral intercondylar bone of BALB/c mice was injected with 1 000 000 BJ3Z cancer cells. Bone resorption and tumour mass growth (measured by in vivo X-ray and fluorescence imaging), as well as mechanical nociceptive thresholds (von Frey device) and dynamic functionality (rotarod machine), were evaluated during the following 4 weeks. Acute resveratrol (100 mg/kg i.p.) and/or selisistat (10 mg/kg s.c.) were administered on day 14. Chronic resveratrol (100 mg/kg i.p., daily) and/or selisistat (0.5 mu g/h s.c., Alzet pump) were administered between days 14 and 20. Key findings Tumour growth gradually incremented until day 31, while mechanical hyperalgesia started on day 3 after cancer cell injection. Acute resveratrol increased the mechanical threshold of pain (peaking at 1.5 h), while the dynamic functionality decreased. Chronic resveratrol produced a sustained antinociceptive effect on mechanical hyperalgesia and improved the loss of dynamic functionality induced by the bone cancer tumour. Selisistat prevented all the effects of resveratrol. Conclusions Acute and chronic resveratrol induces antinociceptive effect in the model of metastatic osseous oncological pain, an effect that would be mediated by SIRT1 molecular signalling.</t>
  </si>
  <si>
    <t>Salas-Huenuleo, Edison/AAF-6987-2019; kogan, Marcelo/I-2868-2013; Hernandez, Alejandro/M-4796-2019; Pinto, Mauricio P./HCH-2145-2022</t>
  </si>
  <si>
    <t>Salas-Huenuleo, Edison/0000-0003-4355-5252; Pinto, Mauricio P./0000-0003-2484-8033; Constandil, Luis/0000-0002-2504-0119; LESPAY-REBOLLEDO, CAROLYNE/0000-0002-1851-9359; Kogan, Marcelo/0000-0003-0608-5087; Hernandez, Alejandro/0000-0001-9222-6522</t>
  </si>
  <si>
    <t>0022-3573</t>
  </si>
  <si>
    <t>2042-7158</t>
  </si>
  <si>
    <t>10.1111/jphp.13064</t>
  </si>
  <si>
    <t>WOS:000465015000010</t>
  </si>
  <si>
    <t>Aranda, B; Moya, SA; Vega, A; Valdebenito, G; Ramirez-Lopez, S; Aguirre, P</t>
  </si>
  <si>
    <t>Aranda, Braulio; Moya, Sergio A.; Vega, Andres; Valdebenito, Gonzalo; Ramirez-Lopez, Sofia; Aguirre, Pedro</t>
  </si>
  <si>
    <t>New palladium (II) complexes containing phosphine-nitrogen ligands and their use as catalysts in aminocarbonylation reaction</t>
  </si>
  <si>
    <t>Aminocarbonylation of aryl halides, homogeneously catalysed by palladium, is an efficient method that can be employed for obtaining amides for pharmaceutical and synthetic applications. In this work, palladium (II) complexes containing P&lt;^&gt;N ligands were studied as catalysts in the aminocarbonylation of iodobenzene in the presence of diethylamine. Two types of systems were used: a palladium (II) complex formed in situ; and one prepared prior to the catalytic reaction. In general, the palladium complexes studied achieved high conversions in an average reaction time of less than 2 hr, which is less than that for the standard system (Pd (II)/PPh3) used. The pre-synthesized complexes were faster than their in situ counterparts, as the latter require an induction time to form the Pd/P&lt;^&gt;N species. The structure and electronic properties of the ligand P&lt;^&gt;N can influence both the activity and the selectivity of the reaction, stabilizing the acyl-palladium intermediates formed in a better manner.</t>
  </si>
  <si>
    <t>Vega, Andres/B-2122-2010</t>
  </si>
  <si>
    <t>Valdebenito, Gonzalo/0000-0003-2931-9288; Vega, Andres/0000-0001-6501-4161; Aranda, Braulio/0000-0001-6260-3374</t>
  </si>
  <si>
    <t>e4709</t>
  </si>
  <si>
    <t>10.1002/aoc.4709</t>
  </si>
  <si>
    <t>WOS:000464452800011</t>
  </si>
  <si>
    <t>Cecílio, DL; Cuevas, C; Mesquita, JG; Ubilla, P</t>
  </si>
  <si>
    <t>Cecilio, D. L.; Cuevas, C.; Mesquita, J. G.; Ubilla, P.</t>
  </si>
  <si>
    <t>Existence of a positive solution and numerical solution for some elliptic superlinear problem</t>
  </si>
  <si>
    <t>In this paper, we prove the existence of positive solutions of an elliptic superlinear problem. Also, we are interested here in getting results concerning the existence of positive solutions for the discrete formulation of our problem. Therefore, in order to do it, we employ the radial solutions of the elliptic superlinear problem, obtaining a second-order dynamic equation on time scales, which encompasses discrete, continuous and hybrid formulations of our problem. This unified equation allows us to present numerical simulations, which give us a more precise analysis and description concerning the behavior of the solution according to the parameters. (C) 2018 Elsevier Inc. All rights reserved.</t>
  </si>
  <si>
    <t>Cuevas, Claudio/A-5896-2012; Cecílio, Diogo/O-4032-2019; Cecilio, Diogo/H-1666-2015; Godoy Mesquita, Jaqueline/A-2356-2012</t>
  </si>
  <si>
    <t>Cecilio, Diogo/0000-0001-7376-5707; Godoy Mesquita, Jaqueline/0000-0002-1255-9384</t>
  </si>
  <si>
    <t>2-3</t>
  </si>
  <si>
    <t>10.1016/j.jde.2018.07.075</t>
  </si>
  <si>
    <t>WOS:000450909900015</t>
  </si>
  <si>
    <t>Kumar, R; Joanni, E; Singh, RK; Singh, DP; Moshkalev, SA</t>
  </si>
  <si>
    <t>Kumar, Rajesh; Joanni, Ednan; Singh, Rajesh K.; Singh, Dinesh P.; Moshkalev, Stanislav A.</t>
  </si>
  <si>
    <t>Recent advances in the synthesis and modification of carbon-based 2D materials for application in energy conversion and storage</t>
  </si>
  <si>
    <t>PROGRESS IN ENERGY AND COMBUSTION SCIENCE</t>
  </si>
  <si>
    <t>Graphene, reduced graphene oxide (rGO) and derived materials have emerged as promising solutions for applications in renewable energy storage/conversion devices. No alternatives are known to simultaneously exhibit large specific surface area, high electrical conductivity, good chemical stability, high mechanical strength and flexibility. This review article is a collection of some of the most relevant research efforts published in the last few years focusing on the synthesis and modification of graphene/rGO as well as doped and hybrid bi-dimensional carbon materials. For research on graphene growth, the choice of precursor and physical state (gas, solid or liquid) has been proved to be as important as the environment and synthesis approach. On the other hand, research focused on graphene oxide reduction has relied on the development of simple and efficient techniques for rGO conversion and device structuring. Modifications applied to graphene (during synthesis) or rGO (during reduction) have included doping, decoration with nanoparticles and the formation of composite microstructures. Fabrication of electrodes based on graphene/rGO for application in energy storage and conversion has been reported, including relevant performance data from real devices (supercapacitors, lithium ion batteries, fuel cells or solar cells). This review concludes with a brief discussion of some of the possible directions for promising research in the area of graphene/rGO fabrication for energy conversion and storage devices. (C) 2018 Elsevier Ltd. All rights reserved.</t>
  </si>
  <si>
    <t>Kumar, Dr. Rajesh/H-6510-2011; Moshkalev, Stanislav/B-9462-2012; Joanni, Ednan/V-8680-2017; SINGH, DINESH/A-2509-2011; Singh, Rajesh kumar/B-2721-2008</t>
  </si>
  <si>
    <t>Kumar, Rajesh/0000-0001-7065-3259; Moshkalev, Stanislav/0000-0002-6973-506X; Joanni, Ednan/0000-0001-5041-1770; SINGH, DINESH/0000-0002-2893-7749; Singh, Rajesh kumar/0000-0001-8884-8775</t>
  </si>
  <si>
    <t>0360-1285</t>
  </si>
  <si>
    <t>1873-216X</t>
  </si>
  <si>
    <t>10.1016/j.pecs.2018.03.001</t>
  </si>
  <si>
    <t>WOS:000433273500005</t>
  </si>
  <si>
    <t>Muñoz, AS</t>
  </si>
  <si>
    <t>Salgado Munoz, Alfonso</t>
  </si>
  <si>
    <t>THE COURT IS OPEN FOR CRITICISM AND FOR SELF-CRITICISM. POWER STRUGGLES AND RADICALIZATION OF THE COMMUNIST PARTY OF CHILE, 1945-1946</t>
  </si>
  <si>
    <t>HISTORIA-SANTIAGO</t>
  </si>
  <si>
    <t>0717-7194</t>
  </si>
  <si>
    <t>JAN-JUN</t>
  </si>
  <si>
    <t>WOS:000442426700007</t>
  </si>
  <si>
    <t>Valencia, C; Molina, C; Florez, M; Buñay, J; Moreno, RD; Orihuela, PA; Castro, A; Parada-Bustamante, A</t>
  </si>
  <si>
    <t>Valencia, C.; Molina, C.; Florez, M.; Bunay, J.; Moreno, R. D.; Orihuela, P. A.; Castro, A.; Parada-Bustamante, A.</t>
  </si>
  <si>
    <t>2-hydroxyoestradiol and 2-methoxyoestradiol, two endogenous oestradiol metabolites, induce DNA fragmentation in Sertoli cells</t>
  </si>
  <si>
    <t>ANDROLOGIA</t>
  </si>
  <si>
    <t>Elevated intratesticular levels of hydroxyoestradiols and methoxyoestradiols, two classes of endogenous oestradiol metabolites, have been associated with male infertility. The aim of this study was to explore the effects of 2-hydroxyoestradiol (2OHE(2)), 4-hydroxyoestradiol (4OHE(2)), 2-methoxyoestradiol (2ME(2)) and 4-methoxyoestradiol (4ME(2)) on Sertoli cell viability. For this, TM4 cells were incubated with different concentrations of these metabolites for 24 h to then evaluate the viability and DNA integrity by MTS and TUNEL assay respectively. The participation of classical oestrogen receptors and the involvement of oxidative stress and apoptotic mechanisms were also evaluated co-incubating TM4 cells with these estradiol metabolites and with the drugs ICI182780, N-acetylcysteine and Z-VAD-FMK respectively. Only high concentrations of 2OHE(2) and 2ME(2) decreased cell viability inducing DNA fragmentation. In addition, ICI182780 did not block the effect of 2OHE(2) and 2ME(2), while N-Acetylcysteine and Z-VAD-FMK only blocked the effect of 2OHE(2). Moreover, 2OHE(2) but not 2ME(2) induced PARP and caspase-3 cleavage. Finally, lower 2OHE(2) and 2ME(2) concentrations (0.01-0.1-1.0 mu mol l(-1)) decreased Sertoli cell viability 48 h post-treatment. Our results support the hypothesis that elevated intratesticular 2OHE(2) or 2ME(2) concentrations could be related to male infertility since 2OHE(2) by apoptosis and 2ME(2) by undetermined mechanisms induce DNA fragmentation in Sertoli cells.</t>
  </si>
  <si>
    <t>Buñay, Julio/K-6520-2015; Valencia, Cecilia/KDO-7792-2024; Parada-Bustamante, Alexis/I-1127-2013; Moreno, Ricardo/C-6802-2011</t>
  </si>
  <si>
    <t>Bunay, Julio/0000-0002-1953-952X; Parada Bustamante, Alexis/0000-0002-3240-4961; CASTRO, ANDREA/0000-0002-0042-0553; Moreno, Ricardo/0000-0002-7499-5501; Valencia Robles, Cecilia/0009-0007-7190-3927</t>
  </si>
  <si>
    <t>0303-4569</t>
  </si>
  <si>
    <t>1439-0272</t>
  </si>
  <si>
    <t>10.1111/and.12576</t>
  </si>
  <si>
    <t>WOS:000389219000031</t>
  </si>
  <si>
    <t>Cid, H; Ortiz, C; Pizarro, J; Barros, D; Castillo, X; Giraldo, L; Moreno-Piraján, JC</t>
  </si>
  <si>
    <t>Cid, Hector; Ortiz, Claudia; Pizarro, Jaime; Barros, Daniel; Castillo, Ximena; Giraldo, Liliana; Carlos Moreno-Pirajan, Juan</t>
  </si>
  <si>
    <t>Characterization of copper (II) biosorption by brown algae Durvillaea antarctica dead biomass</t>
  </si>
  <si>
    <t>ADSORPTION-JOURNAL OF THE INTERNATIONAL ADSORPTION SOCIETY</t>
  </si>
  <si>
    <t>2nd Iberoamerican Symposium on Adsorption (IBA)</t>
  </si>
  <si>
    <t>APR 26-30, 2016</t>
  </si>
  <si>
    <t>Cartagena, COLOMBIA</t>
  </si>
  <si>
    <t>In this study we analyze the Cu(II) biosorption characteristics of the dead biomass of the Chilean brown macroalgae Durvillaea antarctica as a function of initial metal ion concentration and pH. We determined an equilibrium time of 120 min and a maximum biosorption performance at pH 5.0. The isotherms data at optimum pH best fitted with the Dubinin-Radushkevish model, showing a maximum capacity for Cu(II) biosorption of 1.44 mmol g(-1). A quantitative analysis by potentiometric titrations was performed to determine different acid-base properties of the biomass surface and a FTIR analysis was performed to identify the key functional groups present on the biomass. We found characteristic peaks corresponding mainly to amine, carboxylate, hydroxyl and sulphonate moieties. A time course FTIR analysis of interaction between the biomass and Cu(II) in aqueous solution was performed to estimate sequential steps of functional groups interactions, and a SEM analysis was performed to observe the textural properties of D. antarctica biomass surface. The value of the total cation exchange capacity supports an ion exchange mechanism for the adsorption of Cu(II) by the biomass, characterized as an physisorption phenomena in a multilayer heterogeneous system.</t>
  </si>
  <si>
    <t>Cid, Héctor/AAH-5471-2020</t>
  </si>
  <si>
    <t>Cid Silva, Hector A./0000-0001-5942-608X; MORENO-PIRAJAN, JUAN CARLOS/0000-0001-9880-4696</t>
  </si>
  <si>
    <t>0929-5607</t>
  </si>
  <si>
    <t>1572-8757</t>
  </si>
  <si>
    <t>10.1007/s10450-015-9715-3</t>
  </si>
  <si>
    <t>WOS:000365720800009</t>
  </si>
  <si>
    <t>Seguel, F; Soto, I; Krommenacker, N; Maldonado, M; Yoma, NB</t>
  </si>
  <si>
    <t>Seguel, F.; Soto, I.; Krommenacker, N.; Maldonado, M.; Becerra Yoma, N.</t>
  </si>
  <si>
    <t>Optimizing flotation bank performance through froth depth profiling: Revisited</t>
  </si>
  <si>
    <t>MINERALS ENGINEERING</t>
  </si>
  <si>
    <t>This communication revisits previously reported results on froth depth profiling along a rougher flotation bank. The optimization problem is reformulated as to maximize the overall bank Cu recovery subject to a lower bound constraint on the overall Cu concentrate grade. This formulation differs from that originally proposed in Maldonado et al. (2007) where the sum of the squared Cu tailing grade of each cell group was minimized for a given target bank Cu concentrate grade. A semi-empirical steady-state mathematical model of a bank of cells previously validated using industrial flotation data from Los Pelambres mine in Chile was used to simulate the process. In order to improve resolution a genetic algorithm was implemented to search for the optimal froth depth profile as opposed to the discrete dynamic programming technique originally implemented. Results show that optimal froth depth profiling resulting from solving the reformulated optimization problem produces an increase in the overall bank recovery for a given target Cu concentrate grade compared to that obtained when solving the original formulation. Moreover, the resulting optimal mass-pull profile tends to be more balance in the first cells which partially agrees with recent observations. (c) 2015 Elsevier Ltd. All rights reserved.</t>
  </si>
  <si>
    <t>Yoma, Nestor/I-8230-2015; Krommenacker, Nicolas/IAR-4851-2023; Seguel, Fabian/ABC-4765-2020</t>
  </si>
  <si>
    <t>Seguel, Fabian/0000-0001-6567-8988; Soto, Ismael/0000-0002-5501-5651</t>
  </si>
  <si>
    <t>0892-6875</t>
  </si>
  <si>
    <t>10.1016/j.mineng.2015.03.008</t>
  </si>
  <si>
    <t>WOS:000355712100023</t>
  </si>
  <si>
    <t>Baeza, S; Vejar, N; Gulppi, M; Azocar, M; Melo, F; Monsalve, A; Pérez-Donoso, J; Vásquez, CC; Pavez, J; Zagal, JH; Zhou, X; Thompson, GE; Páez, MA</t>
  </si>
  <si>
    <t>Baeza, S.; Vejar, N.; Gulppi, M.; Azocar, M.; Melo, F.; Monsalve, A.; Perez-Donoso, J.; Vasquez, C. C.; Pavez, J.; Zagal, J. H.; Zhou, X.; Thompson, G. E.; Paez, M. A.</t>
  </si>
  <si>
    <t>New evidence on the role of catalase in Escherichia coli-mediated biocorrosion</t>
  </si>
  <si>
    <t>CORROSION SCIENCE</t>
  </si>
  <si>
    <t>The role of catalase on the microbiologically influenced corrosion mechanism by Escherichia coli (E. con) has been examined, employing wild type and catalase-deficient cells. The bacteria were cultured for different times in the presence of AISI 316L stainless steel samples. The morphologies of the metallic surfaces covered by biofilms were studied by optical microscopy. The localized corrosion catalyzed by the bacteria was followed by scanning electron microscopy after immersion in the bacterial culture for different times. Susceptibility to corrosion was further investigated by potentiodynamic measurements. It was found that wild type E. coli is more aggressive than the mutant one, suggesting a role for catalase in increasing the kinetics of the cathodic reaction and, consequently, the global corrosion process. This correlates with oxygen uptake kinetics, as determined by differential pulse voltammetry on a pyrolytic graphite electrode modified with cobalt phthalocyanine, which was higher in the presence of wild type E. coli. When H2O2 was deliberately added to the culture medium, wild type E. coli catalyzed oxygen disproportionation more efficiently than the mutant derivative, thus limiting H2O2 accumulation in the medium and, hence, bacterial poisoning. In fact, the reduced adhesion of mutant cells to the metal substrate is apparently the result of H2O2 accumulation in the culture broth. Thus, the rapid consumption of oxygen and peroxide in the presence of wild type E. coli is associated with the catalysis of H2O2 disproportionation to water and oxygen. On the stainless steel, however, a dual mechanism of oxygen reduction, i.e. through formation of hydrogen peroxide and by formation of water, is also considered. (C) 2012 Elsevier Ltd. All rights reserved.</t>
  </si>
  <si>
    <t>Gulppi, Miguel/KTA-6210-2024; Melo, Francisco/M-3923-2014; zagal, jose/L-9648-2014; Azocar, Manuel/I-1226-2013; Vejar, Nelson/M-7784-2017; Paez, Maritza/M-2010-2014; Pappas, Georgios/F-7194-2014; PAVEZ, JORGE/K-6904-2014; Zhou, Xiaorong/M-3600-2014; Perez-Donoso, Jose/G-3668-2013</t>
  </si>
  <si>
    <t>PAVEZ, JORGE/0000-0002-5100-6707; Monsalve, Alberto/0000-0002-5772-8815; Vejar, Nelson/0000-0002-9544-2199; Zhou, Xiaorong/0000-0001-9943-3997; Gulppi, Miguel/0000-0001-6099-4463; Perez-Donoso, Jose/0000-0002-9506-1716; paez, maritza/0000-0001-5881-884X; Azocar Guzman, Manuel/0000-0003-1098-4659; Melo, Francisco Esteban/0000-0001-6818-5476</t>
  </si>
  <si>
    <t>0010-938X</t>
  </si>
  <si>
    <t>1879-0496</t>
  </si>
  <si>
    <t>10.1016/j.corsci.2012.09.047</t>
  </si>
  <si>
    <t>WOS:000313917700004</t>
  </si>
  <si>
    <t>Enrione, JI; Sáez, C; López, D; Skurtys, O; Acevedo, C; Osorio, F; MacNaughtan, W; Hill, S</t>
  </si>
  <si>
    <t>Enrione, Javier I.; Saez, Carlos; Lopez, Daniel; Skurtys, Olivier; Acevedo, Cristian; Osorio, Fernando; MacNaughtan, William; Hill, Sandra</t>
  </si>
  <si>
    <t>Structural Relaxation of Salmon Gelatin Films in the Glassy State</t>
  </si>
  <si>
    <t>Mechanical relaxation of glassy carbohydrates has been reported extensively in the literature; however, little work is available on protein-based systems. This study deals with the structural relaxation of salmon (Salmo salar) gelatin in the glassy state. Skin gelatin was obtained by an acid-alkaline extraction method. Molecular weight (M-w) was determined by capillary viscometry. Films prepared by casting (7% w/v) were equilibrated to a moisture content of similar to 18.4% (db). The glass transition temperature (T-g) and enthalpic relaxation were determined by differential scanning calorimetry (DSC). Mechanical properties were assessed using a texture analyzer at constant temperature and moisture content. DSC showed a T-g similar to 34 degrees C, and the selected storage temperature (T-a) was 29 degrees C (T-g-T-a= 5 degrees C). The films were aged for 0, 4, 8, 16, and 40 h. Viscometry produced values of M-w similar to 90.2 kDa. The stress relaxation was modeled by the Kohlrausch-Wlliams-Watts (KWW) equation, reporting an increase in relaxation time (tau(0)) as the ageing time increased (tau(0) similar to 6.41E+03 s for 0 h; tau(0)similar to 9.01E+ 05 s for 40 h). beta parameter was smaller for the aged films, indicating a spread of relaxation times. The derivative of KWW equation (d phi/dt) indicated a more rapid relaxation in a fresh sample compared with aged films. DSC showed an excess in enthalpy (Delta H) on the aged samples due to the non-equilibrium state of the matrix. Delta H increased with ageing time with values of Delta H similar to 2.42 J/g for the films aged for 40 h. This work demonstrated molecular relaxation process of gelatin in the glassy state, which must be taken into account if this material is used as a structure forming matrix.</t>
  </si>
  <si>
    <t>Hill, Sandra/AAQ-6540-2021; López, Daniel/C-9803-2016; Acevedo, Cristian/D-5133-2011; Enrione, Javier/I-9225-2014; skurtys, olivier/HNS-4835-2023; osorio, fernando/AAY-7304-2021</t>
  </si>
  <si>
    <t>Enrione, Javier/0000-0002-3916-6775; osorio, fernando/0000-0001-7206-0924; skurtys, olivier/0000-0003-1432-7242; Lopez Angulo, Daniel/0000-0001-5287-1391; Hill, Sandra/0000-0001-8797-7364</t>
  </si>
  <si>
    <t>1935-5149</t>
  </si>
  <si>
    <t>10.1007/s11947-011-0618-3</t>
  </si>
  <si>
    <t>WOS:000309869700041</t>
  </si>
  <si>
    <t>Espinosa, Y; Trebotich, J; Sepúlveda, F; Cadena, J; Vargas-Straube, MJ; Vaca, I; Bull, P; Levicán, G; Chávez, R</t>
  </si>
  <si>
    <t>Espinosa, Yeison; Trebotich, Jovanka; Sepulveda, Francisco; Cadena, Jeisson; Vargas-Straube, Maria-Jose; Vaca, Inmaculada; Bull, Paulina; Levican, Gloria; Chavez, Renato</t>
  </si>
  <si>
    <t>Production of a heterologous recombinant protein using fragments of the glyceraldehyde-3-phosphate dehydrogenase promoter from Penicillium camemberti</t>
  </si>
  <si>
    <t>The biotechnological applications of cheese-ripening fungi have been limited by a lack of genetics tools, in particular the identification and characterization of suitable promoters for protein expression. In this study, the suitability of the glyceraldehyde-3-phosphate dehydrogenase (gpdP) promoter from Penicillium camemberti to drive the production of a recombinant protein was evaluated. The gpdP gene and its promoter were isolated using PCR and Genome Walker. The promoter of gpdP has two regions with high identity to the regulatory elements gpd-box and ct-box previously described in Aspergillus nidulans. Two fragments of the promoter containing the gpd- and ct-box or the ct-box alone were used to drive the in vivo production of recombinant beta-galactosidase using A. nidulans as host. Our results indicate that larger fragment containing gpd-box enhances the production of beta-galactosidase activity levels respect to ct-box alone, and that both boxes are necessary to obtain maximal enzymatic activity production. The smaller fragment (187 nt) containing the ct-box alone was able to trigger up to 27% of beta-galactosidase activity, and to our knowledge this is the smallest fragment from a gpd gene used to produce a recombinant protein. Differences were not observed when glycerol, galactose or glucose were used as carbon sources, suggesting that the promoter activity is carbohydrate-independent. This is the first report in which a Penicillium gpd promoter is used for recombinant protein production. Our results open the way for the future development of a system for recombinant proteins expression in the biotechnologically important cheese-ripening fungus P. camemberti.</t>
  </si>
  <si>
    <t>Sepúlveda, Francesca/IZD-9869-2023; Levican, Gloria/R-5191-2019; Vaca, Inmaculada/I-2758-2013</t>
  </si>
  <si>
    <t>Chavez, Renato/0000-0003-1754-3610; Levican, Gloria/0000-0002-1275-7399; Vaca, Inmaculada/0000-0002-8952-9036; Vargas Straube, Maria Jose/0000-0002-4932-7384</t>
  </si>
  <si>
    <t>10.1007/s11274-011-0782-7</t>
  </si>
  <si>
    <t>WOS:000297594400033</t>
  </si>
  <si>
    <t>Mellado, C; Lagos, C</t>
  </si>
  <si>
    <t>Mellado, Claudia; Lagos, Claudia</t>
  </si>
  <si>
    <t>Organizational and territorial cultures in Chilean journalism</t>
  </si>
  <si>
    <t>INNOVAR-REVISTA DE CIENCIAS ADMINISTRATIVAS Y SOCIALES</t>
  </si>
  <si>
    <t>On the basis of survey responses of 570 journalists from 114 newspapers, radio, newswires, television, and internet news organizations, this paper describes the role conceptions, epistemological underpinning, and ethical values of the Chilean news media workers, comparing the differences that exist among media types and between the capital and the rest of the country. The findings show territorial cultures of journalism, with differences between the capital and provincial regions, mostly classifiable, because of the country's centralization and sociocultural characteristics. Likewise, the results indicate that the Chilean journalists' professional culture is not a substantial function of the type of media in which they work, and that the effects that region and media type factors have on journalism culture are independent from each other.</t>
  </si>
  <si>
    <t>Lira, Claudia/AAD-6223-2021</t>
  </si>
  <si>
    <t>0121-5051</t>
  </si>
  <si>
    <t>WOS:000302258400012</t>
  </si>
  <si>
    <t>Wolff, MJ; Cortés, CP; Shepherd, BE; Beltrán, CJ</t>
  </si>
  <si>
    <t>Wolff, Marcelo J.; Cortes, Claudia P.; Shepherd, Bryan E.; Beltran, Carlos J.</t>
  </si>
  <si>
    <t>Chilean AIDS Cohort Study Grp</t>
  </si>
  <si>
    <t>Long-Term Outcomes of a National Expanded Access Program to Antiretroviral Therapy: The Chilean AIDS Cohort</t>
  </si>
  <si>
    <t>JAIDS-JOURNAL OF ACQUIRED IMMUNE DEFICIENCY SYNDROMES</t>
  </si>
  <si>
    <t>Objective: To evaluate impact of the program after up to 6 years of follow-up in survival, virologic, and immunologic response. Methods: Prospective follow-up of patients initiating first highly active antiretroviral therapy from 2001 to 2007. Chile began in 2001 an expanded access program to antiretroviral therapy. The Chilean AIDS Cohort has enrolled &gt;85% of patients from this program in the public health system. Statistical analysis: x(2), Fisher tests, survival, univariate and multivariate analysis. Results: Five thousand one hundred fifteen adults (16% women); median follow-up: 3.64 years (18,159 patient-years). At baseline: median age, 35.8 years; 45.6% had clinical AIDS; median CD4 cell count, 102 cells per cubic millimeter. Global mortality, 9.0%; loss to follow-up, 6.8%. Probability of survival at 1 and 5 years were 0.95 and 0.89, respectively. First regimen was maintained in 72% of those alive and in control at 1 year and 48% at end of study. Main reason for therapy change/discontinuation was drug toxicity (44.9%). At last visit, 74% of active patients had viral suppression, and median CD4 cell count had reached 301 cells per cubic millimeter. Conclusions: In this middle-income country, wide access highly active antiretroviral therapy has been successfully implemented and evaluated. Despite advanced disease at initiation, survival, clinical, virologic, and immunologic outcomes have been comparable with that of industrialized countries.</t>
  </si>
  <si>
    <t>Cortes, Claudia/AAF-7326-2020</t>
  </si>
  <si>
    <t>Wolff, Marcelo/0000-0002-9956-8872; Cortes, Claudia P./0000-0001-9101-9783</t>
  </si>
  <si>
    <t>1525-4135</t>
  </si>
  <si>
    <t>1077-9450</t>
  </si>
  <si>
    <t>10.1097/QAI.0b013e3181eb4fb9</t>
  </si>
  <si>
    <t>WOS:000283847400016</t>
  </si>
  <si>
    <t>Ramírez, G; Ferraudi, G; Chen, YY; Trollund, E; Villagra, D</t>
  </si>
  <si>
    <t>Ramirez, G.; Ferraudi, G.; Chen, Y. -Y.; Trollund, E.; Villagra, D.</t>
  </si>
  <si>
    <t>Enhanced photoelectrochemical catalysis of CO2 reduction mediated by a supramolecular electrode of packed CoII(tetrabenzoporphyrin)</t>
  </si>
  <si>
    <t>INORGANICA CHIMICA ACTA</t>
  </si>
  <si>
    <t>A supramolecular electrode was made of stacked Co(II)(tetrabenzoporphyrin). The stack was held together by pi-pi interactions and the first layer of the porphyrin complex was anchored to the glassy carbon surface through the porphyrin's 4-aminopyridine group. An electrode formed by Co(II)(tetrabenzoporphyrin) adsorbed on the glassy carbon surface was inactive towards the reduction of carbon dioxide. In contrast to this electrode, the supramolecular electrode exhibited good electrocatalytic activity towards the same reaction. Illumination of the supramolecular electrode enhanced its electrocatalytic activity towards the reduction of carbon dioxide. In the absence of the sensitizer, the illumination of the electrode with visible light induced an appreciable shift of the CO(2) reduction wave towards more positive potentials. Also the shift of the wave was observed in experiments with the sensitizer, [Ru(bipy)(3)](3+), but in this case light of shorter wavelength had to be used. (c) 2007 Published by Elsevier B.V.</t>
  </si>
  <si>
    <t>Villagra, Diego/H-6694-2013</t>
  </si>
  <si>
    <t>Ramirez, Galo/0000-0002-6217-4730</t>
  </si>
  <si>
    <t>0020-1693</t>
  </si>
  <si>
    <t>10.1016/j.ica.2007.08.024</t>
  </si>
  <si>
    <t>WOS:000261274400002</t>
  </si>
  <si>
    <t>Retamal, JC; Solano, E; Zagury, N</t>
  </si>
  <si>
    <t>Ultracold atoms interacting with a sinusoidal mode of a high Q cavity</t>
  </si>
  <si>
    <t>OPTICS COMMUNICATIONS</t>
  </si>
  <si>
    <t>We consider the interaction of two level ultracold atoms resonant with a sinusoidal mode of the electromagnetic field in a high Q cavity. We found that well resolved resonances appear in the transmission coefficients even for actual interaction and cavity parameters. The probability of emission of one photon and the probability of transmission of an atom. when a number of coherent stales is initially present in the cavity, are discussed. The interplay between the increasing width of the resonances and multi-peak steady-state photon-statistics is also studied. Furthermore, we compare our results with those of a constant field mode. (C) 1998 Elsevier Science B.V. All rights reserved.</t>
  </si>
  <si>
    <t>Retamal, Juan/G-6425-2010; Solano, Enrique/C-2895-2017</t>
  </si>
  <si>
    <t>0030-4018</t>
  </si>
  <si>
    <t>10.1016/S0030-4018(98)00276-4</t>
  </si>
  <si>
    <t>WOS:000075525600007</t>
  </si>
  <si>
    <t>Richter, P; Werner, J; Heerlein, A; Kraus, A; Sauer, H</t>
  </si>
  <si>
    <t>On the validity of the Beck Depression Inventory - A review</t>
  </si>
  <si>
    <t>The present review discusses validity aspects of the Beck Depression Inventory (BDI) on the basis of meta-analyses of studies on the psychometric properties. Shortcomings of the BDI are its high Item difficulty, lack of representative norms, and thus doubtful objectivity of interpretation, controversial factorial validity, instability of scores over short time intervals (over the course of 1 day), and poor discriminant validity against anxiety. Advantages of the inventory are its high internal consistency, high content validity, validity in differentiating between depressed and nondepressed subjects, sensitivity to change, and international propagation. The present gaper outlines agreements and contradictions between the various studies on the BDI and discusses the potential factors (composition of the subject sample. statistical procedures, point in time of measurement) accounting for the variance in their results.</t>
  </si>
  <si>
    <t>MAY-JUN</t>
  </si>
  <si>
    <t>10.1159/000066239</t>
  </si>
  <si>
    <t>WOS:000073997700006</t>
  </si>
  <si>
    <t>Martinez, S; Navarro, P; Sastre, AM; Alguacil, FJ</t>
  </si>
  <si>
    <t>The solvent extraction system Au(III)-HCl-Cyanex 471X</t>
  </si>
  <si>
    <t>The effectiveness of Cyanex 471X as extractant of gold(III) from hydrochloric acid solutions is demonstrated, The extraction system is endothermic and experimental variables, such as extractant concentration, organic diluent and hydrochloric acid concentration, influence it, Maximum gold extraction is obtained in the range of 1-3 M HCl concentrations, Equilibrium loading isotherms showed that the [Cyanex 471X]/[Au (III)] molar relationship in the organic phase is near 1.5, which is the probable stoichiometry of the extracted species defined by HAuCl(4)L (log K(ext)degrees = 3.79) and HAuCl(4)L(2) (log K(ext)degrees = 6.34), L representing the organic extractant, The system seems to be suitable for the selective extraction of gold, Stripping of the metal can only be accomplished using sodium thiosulphate solutions, the corresponding reaction also being endothermic.</t>
  </si>
  <si>
    <t>Martinez, Susana/E-7860-2012; Sastre, Ana Maria/J-8311-2013</t>
  </si>
  <si>
    <t>alguacil, francisco jose/0000-0002-0247-3384; Sastre, Ana Maria/0000-0002-6586-8113</t>
  </si>
  <si>
    <t>10.1016/0304-386X(96)00026-6</t>
  </si>
  <si>
    <t>WOS:A1996VM89200001</t>
  </si>
  <si>
    <t>Hernández, ES; Nguyen-Minh, T; Traka, K; Cerda, FC; Kestens, LAI</t>
  </si>
  <si>
    <t>Hernandez, Estefania Sepulveda; Nguyen-Minh, Tuan; Traka, Konstantina; Cerda, Felipe Castro; Kestens, Leo A. I.</t>
  </si>
  <si>
    <t>Orientation dependence of dynamic compared to static recovery in Interstitial Free steel</t>
  </si>
  <si>
    <t>SCRIPTA MATERIALIA</t>
  </si>
  <si>
    <t>This study investigates the sub-structure of IF steel in three conditions: cold rolled, statically recovered, and warm rolled. After both cold and warm rolling, the steel exhibits the typical (110)//RD and (111)//ND fiber textures. Considering the short-range misorientation gradient Delta 9/Delta x to assess locally stored energy variations, it was observed that (111)//ND grains exhibit significantly higher gradients than (001)//ND grains in all conditions. In the statically recovered conditions, the Delta 9/Delta x values are significantly reduced compared to the cold rolled condition, but these values are significantly higher than those of the dynamically recovered after warm rolling. The strongly reduced orientation gradients in the (111)//ND grains after warm rolling may reduce the nucleation potency of these orientations in the ensuing recrystallization. This study enhances our knowledge of deformation microstructure as a function of rolling temperature and is relevant in explaining reported differences in annealing textures during static recrystallization after cold vs warm rolling.</t>
  </si>
  <si>
    <t>Nguyen-Minh, Tuan/AFE-8197-2022; Traka, Konstantina/MGW-4623-2025; Castro Cerda, Felipe Manuel/Q-2714-2016; Kestens, Leo/K-1716-2014</t>
  </si>
  <si>
    <t>Nguyen-Minh, Tuan/0000-0002-1855-6619; Castro Cerda, Felipe Manuel/0000-0001-8126-5593; Kestens, Leo/0000-0002-7209-0469; Sepulveda Hernandez, Estefania/0009-0002-6050-5767</t>
  </si>
  <si>
    <t>1359-6462</t>
  </si>
  <si>
    <t>1872-8456</t>
  </si>
  <si>
    <t>10.1016/j.scriptamat.2024.116151</t>
  </si>
  <si>
    <t>WOS:001237138800001</t>
  </si>
  <si>
    <t>Hutton, RS; Vitral, E; Hamm, E; Hanna, J</t>
  </si>
  <si>
    <t>Hutton, Robert S.; Vitral, Eduardo; Hamm, Eugenio; Hanna, James</t>
  </si>
  <si>
    <t>Buckling mediated by mobile localized elastic excitations</t>
  </si>
  <si>
    <t>PNAS NEXUS</t>
  </si>
  <si>
    <t>Experiments reveal that structural transitions in thin sheets are mediated by the passage of transient and stable mobile localized elastic excitations. These crumples or d-cones nucleate, propagate, interact, annihilate, and escape. Much of the dynamics occurs on millisecond time scales. Nucleation sites correspond to regions where generators of the ideal unstretched surface converge. Additional stable intermediate states illustrate two forms of quasistatic inter-crumple interaction through ridges or valleys. These interactions create pairs from which extended patterns may be constructed in larger specimens. The onset of localized transient deformation with increasing sheet size is correlated with a characteristic stable crumple size, whose measured scaling with thickness is consistent with prior theory and experiment for localized elastic features in thin sheets. We offer a new theoretical justification of this scaling.</t>
  </si>
  <si>
    <t>Freigedo, Eduardo/AAK-3841-2021</t>
  </si>
  <si>
    <t>Hamm, Eugenio/0000-0001-6769-798X; Vitral, Eduardo/0000-0003-1958-7123</t>
  </si>
  <si>
    <t>2752-6542</t>
  </si>
  <si>
    <t>MAR 28</t>
  </si>
  <si>
    <t>pgae083</t>
  </si>
  <si>
    <t>10.1093/pnasnexus/pgae083</t>
  </si>
  <si>
    <t>WOS:001195575800001</t>
  </si>
  <si>
    <t>Zúñiga, AH; Rau, JR; Sandoval, R; Fuenzalida, V</t>
  </si>
  <si>
    <t>Zuniga, Alfredo H.; Rau, Jaime R.; Sandoval, Rodolfo; Fuenzalida, Victor</t>
  </si>
  <si>
    <t>Food habits of Rufous-legged Owl in a protected area of south-central Chile affected by mixed wildfire</t>
  </si>
  <si>
    <t>ORNIS HUNGARICA</t>
  </si>
  <si>
    <t>The diet of Rufous-legged Owl, Strix rufipes, a small raptor present in an Andean protected area, is described here. During the fall of 2017, 44 pellets were collected in the study area, being subsequently analyzed. The occurrence of small mammal prey items in pellets was compared with capture frequencies with live-trapping through Sherman traps. Regarding occurrence frequencies in the diet, arthropods were the most frequent (49.34%), followed by mammals (39.31%), birds (7.86%) and reptiles (3.37%). However, in terms of biomass, mammals had the highest biomass contribution. The observed frequency of consumed preys showed a random pattern, according to the captures of small mammals obtained with Sherman traps. The role of wildfire in the composition of prey in the observed trophic spectrum of these forest owls is also discussed.</t>
  </si>
  <si>
    <t>Rau, Jaime/A-4922-2012</t>
  </si>
  <si>
    <t>1215-1610</t>
  </si>
  <si>
    <t>2061-9588</t>
  </si>
  <si>
    <t>10.2478/orhu-2023-0033</t>
  </si>
  <si>
    <t>WOS:001163784800013</t>
  </si>
  <si>
    <t>Scarpetta-Pizo, L; Venegas, R; Barrías, P; Muñoz-Becerra, K; Vilches-Labbé, N; Mura, F; Méndez-Torres, AM; Ramírez-Tagle, R; Toro-Labbé, A; Hevia, S; Zagal, JH; Oñate, R; Aspée, A; Ponce, I</t>
  </si>
  <si>
    <t>Scarpetta-Pizo, Laura; Venegas, Ricardo; Barrias, Pablo; Munoz-Becerra, Karina; Vilches-Labbe, Nayareth; Mura, Francisco; Mendez-Torres, Ana Maria; Ramirez-Tagle, Rodrigo; Toro-Labbe, Alejandro; Hevia, Samuel; Zagal, Jose H.; Onate, Ruben; Aspee, Alexis; Ponce, Ingrid</t>
  </si>
  <si>
    <t>Electron Spin-Dependent Electrocatalysis for the Oxygen Reduction Reaction in a Chiro-Self-Assembled Iron Phthalocyanine Device</t>
  </si>
  <si>
    <t>ANGEWANDTE CHEMIE-INTERNATIONAL EDITION</t>
  </si>
  <si>
    <t>The chiral-induced spin selectivity effect (CISS) is a breakthrough phenomenon that has revolutionized the field of electrocatalysis. We report the first study on the electron spin-dependent electrocatalysis for the oxygen reduction reaction, ORR, using iron phthalocyanine, FePc, a well-known molecular catalyst for this reaction. The FePc complex belongs to the non-precious catalysts group, whose active site, FeN4, emulates catalytic centers of biocatalysts such as Cytochrome c. This study presents an experimental platform involving FePc self-assembled to a gold electrode surface using chiral peptides (L and D enantiomers), i.e., chiro-self-assembled FePc systems (CSAFePc). The chiral peptides behave as spin filters axial ligands of the FePc. One of the main findings is that the peptides ' handedness and length in CSAFePc can optimize the kinetics and thermodynamic factors governing ORR. Moreover, the D-enantiomer promotes the highest electrocatalytic activity of FePc for ORR, shifting the onset potential up to 1.01 V vs. RHE in an alkaline medium, a potential close to the reversible potential of the O2/H2O couple. Therefore, this work has exciting implications for developing highly efficient and bioinspired catalysts, considering that, in biological organisms, biocatalysts that promote O2 reduction to water comprise L-enantiomers. The electrocatalytic activity of iron phthalocyanine (FePc) for the oxygen reduction reaction (ORR) was highly increased by promoting the chiral-induced spin selectivity effect on FePc axially coordinated by chiral-peptides (L and D enantiomers). By adjusting the peptides ' handedness and length (chiral C number), the kinetics and thermodynamic factors governing ORR were optimized for developing highly efficient catalysts.image</t>
  </si>
  <si>
    <t>Venegas, Ricardo/U-6376-2019; Toro-Labbé, Alejandro/ABD-9107-2020; Hevia, Samuel/H-1795-2014; Muñoz-Becerra, Karina/GPP-1386-2022; Ramirez, Rodrigo/L-3519-2017; zagal, jose/L-9648-2014; Ponce, Ingrid/L-9679-2014; Toro-Labbe, Alejandro/J-5026-2013; Barrias, Pablo/V-7218-2018</t>
  </si>
  <si>
    <t>Mendez Torres, Ana Maria/0000-0001-6497-796X; Venegas, Ricardo/0000-0001-7440-484X; Toro-Labbe, Alejandro/0000-0001-9906-2153; Munoz-Becerra, Karina/0000-0001-9882-6342; Scarpetta-Pizo, Laura/0000-0002-5437-9058; Vilches-Labbe, Nayareth/0009-0005-0021-381X; Barrias, Pablo/0000-0003-4072-4436</t>
  </si>
  <si>
    <t>1433-7851</t>
  </si>
  <si>
    <t>1521-3773</t>
  </si>
  <si>
    <t>2023 NOV 22</t>
  </si>
  <si>
    <t>10.1002/anie.202315146</t>
  </si>
  <si>
    <t>WOS:001105956300001</t>
  </si>
  <si>
    <t>Sulbaran-Bracho, Y; Orellana-Saez, M; Castro-Severyn, J; Galbán-Malagón, C; Castro-Nallar, E; Poblete-Castro, I</t>
  </si>
  <si>
    <t>Sulbaran-Bracho, Yoelvis; Orellana-Saez, Matias; Castro-Severyn, Juan; Galban-Malagon, Cristobal; Castro-Nallar, Eduardo; Poblete-Castro, Ignacio</t>
  </si>
  <si>
    <t>Continuous bioreactors enable high-level bioremediation of diesel-contaminated seawater at low and mesophilic temperatures using Antarctic bacterial consortia: Pollutant analysis and microbial community composition</t>
  </si>
  <si>
    <t>ENVIRONMENTAL POLLUTION</t>
  </si>
  <si>
    <t>In 2020, more than 21,000 tons of diesel oil were released accidently into the environment with most of it contaminating water bodies. There is an urgent need for sustainable technologies to clean up rivers and oceans to protect wildlife and human health. One solution is harnessing the power of bacterial consortia; however isolated microbes from different environments have shown low diesel bioremediation rates in seawater thus far. An outstanding question is whether Antarctic microorganisms that thrive in environments polluted with hydro-carbons exhibit better diesel degrading activities when propagated at higher temperatures than those encoun-tered in their natural ecosystems.Here, we isolated bacterial consortia, LR-30 (30 degrees C) and LR-10 (10 degrees C), from the Antarctic rhizosphere soil of Deschampsia antarctica (Livingston Island), that used diesel oil as the only carbon substrate. We found that LR-30 and LR-10 batch bioreactors metabolized nearly the entire diesel content when the initial concentration was 10 (g/L) in seawater. Increasing the initial diesel concentration to 50 gDiesel/L, LR-30 and LR-10 bioconverted 33.4 and 31.2 gDiesel/L in 7 days, respectively. The 16S rRNA gene sequencing profiles revealed that the dominant bacterial genera of the inoculated LR-30 community were Achromobacter (50.6%), Pseudomonas (25%) and Rhodanobacter (14.9%), whereas for LR-10 were Pseudomonas (58%), Candidimonas (10.3%) and Renibacterium (7.8%). We also established continuous bioreactors for diesel biodegradation where LR-30 bioremediated diesel at an unprecedent rate of (34.4 g/L per day), while LR-10 achieved (24.5 g/L per day) at 10 degrees C for one month. The abundance of each bacterial genera present significantly fluctuated at some point during the diesel biore-mediation process, yet Achromobacter and Pseudomonas were the most abundant member at the end of the batch and continuous bioreactors for LR-30 and LR-10, respectively.</t>
  </si>
  <si>
    <t>Poblete-Castro, Ignacio/J-2755-2019; Galbán-Malagón, Cristóbal/ABU-7252-2022; Sulbaran, Yoelvis/KHZ-3232-2024; Castro-Nallar, Eduardo/I-5925-2019; Galban Malagon, Cristobal/J-2384-2015</t>
  </si>
  <si>
    <t>Castro-Nallar, Eduardo/0000-0003-4384-8661; Poblete-Castro, Ignacio/0000-0001-6649-0389; Galban Malagon, Cristobal/0000-0001-8397-5804; Sulbaran, Yoelvis/0009-0005-4887-0691</t>
  </si>
  <si>
    <t>0269-7491</t>
  </si>
  <si>
    <t>1873-6424</t>
  </si>
  <si>
    <t>10.1016/j.envpol.2023.121139</t>
  </si>
  <si>
    <t>JAN 2023</t>
  </si>
  <si>
    <t>WOS:000927456500001</t>
  </si>
  <si>
    <t>Barrera-Avalos, C; Luraschi, R; Vallejos-Vidal, E; Mella-Torres, A; Hernandez, F; Figueroa, M; Rioseco, C; Valdes, D; Imarai, M; Acuna-Castillo, C; Reyes-Lopez, FE; Sandino, AM</t>
  </si>
  <si>
    <t>Barrera-Avalos, Carlos; Luraschi, Roberto; Vallejos-Vidal, Eva; Mella-Torres, Andrea; Hernandez, Felipe; Figueroa, Maximiliano; Rioseco, Claudia; Valdes, Daniel; Imarai, Monica; Acuna-Castillo, Claudio; Reyes-Lopez, Felipe E.; Sandino, Ana Maria</t>
  </si>
  <si>
    <t>The Rapid Antigen Detection Test for SARS-CoV-2 Underestimates the Identification of COVID-19 Positive Cases and Compromises the Diagnosis of the SARS-CoV-2 (K417N/T, E484K, and N501Y) Variants</t>
  </si>
  <si>
    <t>FRONTIERS IN PUBLIC HEALTH</t>
  </si>
  <si>
    <t>Timely detection of severe acute respiratory syndrome due to coronavirus 2 (SARS-CoV-2) by reverse transcription quantitative polymerase chain reaction (RT-qPCR) has been the gold- strategy for identifying positive cases during the current pandemic. However, faster and less expensive methodologies are also applied for the massive diagnosis of COVID-19. In this way, the rapid antigen test (RAT) is widely used. However, it is necessary to evaluate its detection efficiency considering the current pandemic context with the circulation of new viral variants. In this study, we evaluated the sensitivity and specificity of RAT (SD BIOSENSOR, South Korea), widely used for testing and SARS-CoV-2 diagnosis in Santiago of Chile. The RAT showed a 90% (amplification range of 20 &lt;= Cq &lt;25) and 10% (amplification range of 25 &lt;= Cq &lt;30) of positive SARS-CoV-2 cases identified previously by RT-qPCR. Importantly, a 0% detection was obtained for samples within a Cq value&gt;30. In SARS-CoV-2 variant detection, RAT had a 42.8% detection sensitivity in samples with RT-qPCR amplification range 20 &lt;= Cq &lt;25 containing the single nucleotide polymorphisms (SNP) K417N/T, N501Y and E484K, associated with beta or gamma SARS-CoV-2 variants. This study alerts for the special attention that must be paid for the use of RAT at a massive diagnosis level, especially in the current scenario of appearance of several new SARS-CoV-2 variants which could generate false negatives and the compromise of possible viral outbreaks.</t>
  </si>
  <si>
    <t>Reyes-López, Felipe/S-1760-2018; Luraschi, Roberto/AAI-7965-2021; Acuña-Castillo, Claudio/AAI-7090-2021; Vallejos-Vidal, Eva/R-9606-2019</t>
  </si>
  <si>
    <t>Acuna-Castillo, Claudio/0000-0003-3607-6077; Vallejos-Vidal, Eva/0000-0002-3091-2700; Reyes-Lopez, Felipe E./0000-0002-5001-457X; Luraschi, Roberto/0000-0001-5611-4320</t>
  </si>
  <si>
    <t>2296-2565</t>
  </si>
  <si>
    <t>JAN 3</t>
  </si>
  <si>
    <t>10.3389/fpubh.2021.780801</t>
  </si>
  <si>
    <t>WOS:000745677800001</t>
  </si>
  <si>
    <t>Palominos, N; Castillo, A; Guerrero, L; Borja, R; Huilinir, C</t>
  </si>
  <si>
    <t>Palominos, N.; Castillo, A.; Guerrero, L.; Borja, R.; Huilinir, C.</t>
  </si>
  <si>
    <t>Coupling of Anaerobic Digestion and Struvite Precipitation in the Same Reactor: Effect of Zeolite and Bischofite as Mg2+ Source</t>
  </si>
  <si>
    <t>The aim of this research was to assess the simultaneous effect of zeolite and bischofite on estruvite production in an anaerobic digester treating pig slurry as substrate. Three ratios (5:1, 6:1 and 7:1) of Mg-P were used for evaluating the effect of only bischofite on anaerobic digestion. For assessing the simultaneous effect of zeolite and bischofite on anaerobic digestion, three mass ratios of zeolite:bischofite (1, 5 and 10%) were used. As results, bischofite as Mg+2 source served to decrease the total phosphorous (TP) concentration in the anaerobic digestion of pig manure without affecting the maximum methane production rate or methane yield of the system. An average 82.5% TP removal was found in the reactors with bischofite during the first 5 days of digestion. Nevertheless, bischofite increased the lag-phase of the system. The simultaneous presence of zeolite and bischofite (1% ratio with respect to bischofite) caused a TP removal of 65.6% and increased the methane yield by up to 19.9% compared to a system without zeolite or bischofite. Thus, it is feasible to use bischofite and zeolite as enhancers for the simultaneous production of biogas and struvite inside an anaerobic digester treating piggery wastewater.</t>
  </si>
  <si>
    <t>DEC 2</t>
  </si>
  <si>
    <t>10.3389/fenvs.2021.706730</t>
  </si>
  <si>
    <t>WOS:000730841600001</t>
  </si>
  <si>
    <t>Cruces, P; Cores, C; Casanova, D; Pizarro, F; Díaz, F</t>
  </si>
  <si>
    <t>Cruces, Pablo; Cores, Camila; Casanova, Daniel; Pizarro, Federico; Diaz, Franco</t>
  </si>
  <si>
    <t>Successful use of mild therapeutic hypothermia as compassionate treatment for severe refractory hypoxemia in COVID-19</t>
  </si>
  <si>
    <t>JOURNAL OF CRITICAL CARE</t>
  </si>
  <si>
    <t>Background: COVID-19 is a disease associated with an intense systemic inflammation that could induce severe acute respiratory distress syndrome (ARDS), with life-threatening hypoxia and hypercapnia. We present a case where mild therapeutic hypothermia was associated with improved gas exchange, facing other therapies' unavailability due to the pandemic. Case report: A healthy 38-year-old male admitted for COVID-19 pneumonia developed extreme hypoxia (PaO2/FiO(2) ratio 42 mmHg), respiratory acidosis, and hyperthermia, refractory to usual treatment (mechanical ventilation, neuromuscular blockade, and prone position), and advanced therapieswere not available. Mild therapeutic hypothermia management (target 33-34 degrees C) was maintained for five days, with progressive gas exchange improvement, which allowed his recovery over the followingweeks. Hewas discharged homeafter 68 dayswithout significant ICU associated morbidity. Conclusions: Mild hypothermia is awidely available therapy, that given some specific characteristics of COVID-19, may be explored as adjunctive therapy for life-threatening ARDS, especially during a shortage of other rescue therapies. (C) 2021 Elsevier Inc. All rights reserved.</t>
  </si>
  <si>
    <t>DIAZ, FRANCO/I-9545-2019; Cruces, Pablo/IAR-5501-2023</t>
  </si>
  <si>
    <t>Cruces, Pablo/0000-0001-9337-1254; DIAZ, FRANCO/0000-0003-4763-074X</t>
  </si>
  <si>
    <t>0883-9441</t>
  </si>
  <si>
    <t>1557-8615</t>
  </si>
  <si>
    <t>10.1016/j.jcrc.2021.01.008</t>
  </si>
  <si>
    <t>WOS:000642399900044</t>
  </si>
  <si>
    <t>Rojas, AG; Muñoz, SB; Muñoz, CB; Rojas, GR; Andrade, JLM; Valles, AP</t>
  </si>
  <si>
    <t>Gonzalez Rojas, Andrea; Becerra Munoz, Sandra; Munoz, Cesar Bascunan; Rojas Rojas, Gabriel; Marquez Andrade, Jose Luis; Pacheco Valles, Alejandro</t>
  </si>
  <si>
    <t>rs17817449 Polymorphism of the FTO Gene and its Influence on Anthropometric Variables of Young Chileans</t>
  </si>
  <si>
    <t>The objective of the study was to determine the genotypic distribution and allelic frequency of the rs17817449 polymorphism of the FTO gene in young Chileans and their influence on anthropometric variables. 96 young subjects (18-25 years old), 43 men and 53 women were evaluated using genotyping of the rs17817449 polymorphism of the FTO gene in TT, TG and GG by means of polymerase chain reaction (PCR), in addition to a Kinenatropometric evaluation to determine the variables associated with body composition. The variables were analyzed statistically according to their parametric distribution and the level of statistical significance was p&lt;0.05. The genotypic distribution of the FTO polymorphism rsl 7817449 in young Chileans was: TT: 50 %; TG: 42.7 %; GG 7.3 % and the allelic distribution was: T: 0.7105 and G: 0.2895. No statistically significant differences were found in the anthropometric variables when analyzing the participants according to model of dominance of the G allele. The genotypic distribution and the allelic frequency of the rs17817449 polymorphism of the gene were determined FTO in Chilean population, data unknown until now. According to our results, there are no anthropometric differences between people with different genotypes of the FTO polymorphism rs17817449, nor according to the dominance model of the G.</t>
  </si>
  <si>
    <t>WOS:000454335600022</t>
  </si>
  <si>
    <t>Niemeyer, HM; de Souza, P; Camilo, C; Echeverría, J</t>
  </si>
  <si>
    <t>Niemeyer, Hermann M.; de Souza, Patricio; Camilo, Conrado; Echeverria, Javier</t>
  </si>
  <si>
    <t>Chemical evidence of prehistoric passive tobacco consumption by a human perinate (early Formative Period, South-Central Andes)</t>
  </si>
  <si>
    <t>JOURNAL OF ARCHAEOLOGICAL SCIENCE</t>
  </si>
  <si>
    <t>Consumption of psychoactive substances is a long-standing tradition among indigenous peoples of the Americas. Archaeologically, consumption of tobacco has been shown through analysis of archaeological smoking pipe residues, mummy hair and dental calculus. Analysis of the hair of a perinate recovered from a rock shelter in Northern Chile and dated ca. 2400 yrs BP showed the presence of nicotine and its main metabolic product, cotinine. Quantitative segmental hair analysis showed that nicotine was taken up from the mother via the placenta and not through breast milk and that the death of the perinate occurred soon before or at the time of delivery. The analysis also indicated that the mother consumed high quantities of tobacco, suggesting she was a tobacco shamaness who might have experienced a miscarriage, since tobacco consumption by pregnant women is strongly associated to spontaneous abortions and perinatal death. Thus, at the dawn of pastoralism and agriculture in the highlands of the Atacama Desert, female individuals were already intensively consuming this psychoactive plant, transmitting its signals, and perhaps its lethal effects, to a child during gestation. This is the first evidence of simultaneous presence of nicotine and cotinine in pre-Hispanic bioanthropological remains from the Americas, thus constituting unequivocal direct evidence of tobacco consumption, and it refers to the currently earliest and youngest passive tobacco consumer in the Americas.</t>
  </si>
  <si>
    <t>de Souza, Patricio/AAQ-3517-2020; Niemeyer, Hermann/I-1100-2013; Echeverría, Javier/AAK-3323-2020</t>
  </si>
  <si>
    <t>0305-4403</t>
  </si>
  <si>
    <t>1095-9238</t>
  </si>
  <si>
    <t>10.1016/j.jas.2018.10.010</t>
  </si>
  <si>
    <t>WOS:000452580000011</t>
  </si>
  <si>
    <t>Valdivia-Moral, P; Molero, D; Díaz-Suarez, A; Cofre, C; Zagalaz-Sánchez, ML</t>
  </si>
  <si>
    <t>Valdivia-Moral, Pedro; Molero, David; Diaz-Suarez, Arturo; Cofre, Cristian; Luisa Zagalaz-Sanchez, Maria</t>
  </si>
  <si>
    <t>Coeducational Methodology Used by Physical Education Teachers and Students' Perception of It</t>
  </si>
  <si>
    <t>Background: In physical education (PE), the methodology used to develop coeducation must consider the tastes and preferences of students. The purpose of this work was to analyze how teachers work with different aspects of PE classes and how their work is perceived by students. Methods: The sample was formed of 176 teachers and 1136 secondary school students. The research design was descriptive. The instruments used were the Questionnaire of Coeducational Aspects in Physical Education for teachers and the Questionnaire of Perception of Equality and Discrimination in Physical Education for Students. Results: The different statistical analyses showed significant differences in how male and female teachers assigned responsibility to the students. With regard to the students, significant differences were found between boys and girls in their opinions of how their teachers apply the same rules to all the students. Conclusions: Differences exist between male and female teachers in regard to control of the area used for motor activity. With regard to the students, girls perceive to a greater extent than their male counterparts that the activities in PE classes promote equality in the improvement of their capacities.</t>
  </si>
  <si>
    <t>Suarez, Arturo/Q-7877-2017; Sanchez, Maria/JFA-6628-2023; Molero, David/C-5954-2013; Valdivia-Moral, Pedro/J-7490-2013</t>
  </si>
  <si>
    <t>Zagalaz Sanchez/0000-0001-6044-8569; Molero, David/0000-0002-0392-4351; Valdivia-Moral, Pedro/0000-0002-1905-3247</t>
  </si>
  <si>
    <t>10.3390/su10072312</t>
  </si>
  <si>
    <t>WOS:000440947600203</t>
  </si>
  <si>
    <t>Ponce, HR; Mayer, RE; Figueroa, VA; López, MJ</t>
  </si>
  <si>
    <t>Ponce, Hector R.; Mayer, Richard E.; Figueroa, Veronica A.; Lopez, Mario J.</t>
  </si>
  <si>
    <t>Interactive highlighting for just-in-time formative assessment during whole-class instruction: effects on vocabulary learning and reading comprehension</t>
  </si>
  <si>
    <t>INTERACTIVE LEARNING ENVIRONMENTS</t>
  </si>
  <si>
    <t>This article examines the effectiveness of a software that supports formative assessment in real-time of learners' vocabulary knowledge through an interactive highlighting method. Students in a classroom are given a passage on their computer screen and asked to highlight the words they do not understand. This information is summarized on the instructors screen by highlighting in red the words most highlighted, in orange the second most highlighted, and in yellow the third most highlighted, with a superscript showing the number of students who selected each word. The instructor projects this summary on a screen for the whole class and use it to guide activities on how to comprehend the passage. In Experiment 1, college students who learned with interactive highlighting in a single-session study scored higher on a vocabulary test (d = 1.14) but not on a comprehension test as compared to a control group that studied the same passage without interactive highlighting. In Experiment 2, high school students who learned with interactive highlighting across a 10-week program scored higher on a standardized reading comprehension test as compared to a control group that studied without interactive highlighting (d = 1.60 in school 1, d = 1.17 in school 2).</t>
  </si>
  <si>
    <t>Lopez, Mario/0000-0003-0909-7702; Ponce, Hector R./0000-0002-7984-3945</t>
  </si>
  <si>
    <t>1049-4820</t>
  </si>
  <si>
    <t>1744-5191</t>
  </si>
  <si>
    <t>10.1080/10494820.2017.1282878</t>
  </si>
  <si>
    <t>WOS:000427555700004</t>
  </si>
  <si>
    <t>Rojas-Aedo, JF; Gil-Durán, C; Goity, A; Vaca, I; Levicán, G; Larrondo, LF; Chávez, R</t>
  </si>
  <si>
    <t>Rojas-Aedo, Juan F.; Gil-Duran, Carlos; Goity, Alejandra; Vaca, Inmaculada; Levican, Gloria; Larrondo, Luis F.; Chavez, Renato</t>
  </si>
  <si>
    <t>The developmental regulator Pcz1 affects the production of secondary metabolites in the filamentous fungus Penicillium roqueforti</t>
  </si>
  <si>
    <t>MICROBIOLOGICAL RESEARCH</t>
  </si>
  <si>
    <t>Penicillium roqueforti is used in the production of several kinds of ripened blue-veined cheeses. In addition, this fungus produces interesting secondary metabolites such as roquefortine C, andrastin A and mycophenolic acid. To date, there is scarce information concerning the regulation of the production of these secondary metabolites. Recently, the gene named pcz1 (Penicillium C6 zinc domain protein 1) was described in P. roqueforti, which encodes for a Zn(II)(2)Cys(6) protein that controls growth and developmental processes in this fungus. However, its effect on secondary metabolism is currently unknown. In this work, we have analyzed how the overexpression and down-regulation of pcz1 affect the production of roquefortine C, andrastin A and mycophenolic acid in P. roqueforti. The three metabolites were drastically reduced in the pcz1 down-regulated strains. However, when pcz1 was overexpressed, only mycophenolic acid was overproduced while, on the contrary, levels of roquefortine C and andrastin A were diminished. Importantly, these results match the expression pattern of key genes involved in the biosynthesis of these metabolites. Taken together, our results suggest that Pcz1 plays a key role in regulating secondary metabolism in the fungus Penicillium roqueforti.</t>
  </si>
  <si>
    <t>Levican, Gloria/R-5191-2019; Larrondo, Luis/J-1086-2016; Vaca, Inmaculada/I-2758-2013</t>
  </si>
  <si>
    <t>Larrondo, Luis/0000-0002-8832-7109; Levican, Gloria/0000-0002-1275-7399; Vaca, Inmaculada/0000-0002-8952-9036; Chavez, Renato/0000-0003-1754-3610; Gil-Duran, Carlos Andres/0000-0001-9638-6902</t>
  </si>
  <si>
    <t>0944-5013</t>
  </si>
  <si>
    <t>10.1016/j.micres.2018.05.005</t>
  </si>
  <si>
    <t>WOS:000438320100007</t>
  </si>
  <si>
    <t>Alvarado, C; Sancy, M; Blamey, JM; Galarce, C; Monsalve, A; Pineda, F; Vejar, N; Páez, M</t>
  </si>
  <si>
    <t>Alvarado G, Claudia; Sancy, Mamie; Blamey, Jenny M.; Galarce, Carlos; Monsalve, Alberto; Pineda, Fabiola; Vejar, Nelson; Paez, Maritza</t>
  </si>
  <si>
    <t>Electrochemical characterization of aluminum alloy AA2024-T3 influenced by bacteria from Antarctica</t>
  </si>
  <si>
    <t>This work studied the microbiologically influenced corrosion susceptibility of the AA2024-T3 alloy exposed to sterile and inoculated media with three coccoidal bacteria, which were isolated from the corrosion product of a fuel outlet, belonging to a Twin Otter aircraft exposed to Antarctic environmental conditions. The consortium was mainly constituted by three bacteria, which have a close affiliation to Kocuria rhizophila, Staphylococcus epidermidis and Staphylococcus aureus. Electrochemical methods and surface analysis were carried out to investigate the corrosion susceptibility of the alloy under study in the presence of these bacteria. Electrochemical analysis suggested that the protective character of the oxide of the alloy film was modified during the immersion time in all media. Moreover, the surface analysis showed also that these bacteria influenced homogeneity of this oxide. In particular, the K. rhizophila increased slightly the current and decreased the resistance of AA2024-T3 against corrosion, instead the S. epidermidis showed a slight protective effect, while non-significant effect was observed with the presence of the consortium in the medium. (C) 2017 Published by Elsevier Ltd.</t>
  </si>
  <si>
    <t>Galarce, Carlos/AAR-9405-2021; Vejar, Nelson/M-7784-2017; Alvarado, Claudia/ECH-1671-2022; Paez, Maritza/M-2010-2014; Blamey, Jenny/M-2637-2014; Sancy, Mamie/L-6270-2014; Alvarado, Claudia/L-6852-2017</t>
  </si>
  <si>
    <t>Pineda, Fabiola/0000-0002-1508-7327; Sancy, Mamie/0000-0001-9523-2629; GALARCE GUTIERREZ, CARLOS/0000-0002-4250-3998; Monsalve, Alberto/0000-0002-5772-8815; paez, maritza/0000-0001-5881-884X; Alvarado, Claudia/0000-0003-2373-0359; Vejar, Nelson/0000-0002-9544-2199</t>
  </si>
  <si>
    <t>10.1016/j.electacta.2017.06.127</t>
  </si>
  <si>
    <t>WOS:000408582300008</t>
  </si>
  <si>
    <t>Henríquez, HR; Cuevas, C; Pozo, JC; Soto, H</t>
  </si>
  <si>
    <t>Henriquez, Hernan R.; Cuevas, Claudio; Pozo, Juan C.; Soto, Herme</t>
  </si>
  <si>
    <t>EXISTENCE OF SOLUTIONS FOR A CLASS OF ABSTRACT NEUTRAL DIFFERENTIAL EQUATIONS</t>
  </si>
  <si>
    <t>DISCRETE AND CONTINUOUS DYNAMICAL SYSTEMS</t>
  </si>
  <si>
    <t>This paper is devoted to studying the existence of solutions for a general class of abstract neutral functional differential equations of first order with finite delay. Specifically, we distinguish among mild, strong and classical solutions, and we characterize in terms of the forcing function of the equation the existence of solutions of each one of these types.</t>
  </si>
  <si>
    <t>Cuevas, Claudio/A-5896-2012</t>
  </si>
  <si>
    <t>Pozo, Juan Carlos/0009-0003-1910-7895</t>
  </si>
  <si>
    <t>1078-0947</t>
  </si>
  <si>
    <t>1553-5231</t>
  </si>
  <si>
    <t>10.3934/dcds.2017106</t>
  </si>
  <si>
    <t>WOS:000394281900009</t>
  </si>
  <si>
    <t>Peralta, C; Camú, E; Bassi, R; Villarroel, M; Ojeda, J; Baeza, P</t>
  </si>
  <si>
    <t>Peralta, Cecilia; Camu, Esteban; Bassi, R.; Villarroel, Mirza; Ojeda, Juan; Baeza, Patricio</t>
  </si>
  <si>
    <t>DENITROGENATION BY ADSORPTION OF PYRIDINE ON NI/SUPPORT ADSORBENTS</t>
  </si>
  <si>
    <t>In this work we have carried out the adsorption of pyridine using three different supports (activated carbon, SiO2 and gamma-Al2O3). After choosing the best support, due to its higher adsorption capacity, we have impregnated the support with nickel at three different concentrations (2, 4 and 6% w/w) by wet impregnation to study the adsorption of pyridine by pi-complexation. All the samples (supports and adsorbents) were characterized by N-2 adsorption-desorption by the BET method and electrophoretic migration. The experimental results, for the three different supports, show that the adsorption capacity is better for gamma-Al2O3, due to its higher isoelectric point. With the incorporation of nickel, no better adsorption capacities are observed, due that the nickel incorporation diminish the zero point charges of the adsorbents.</t>
  </si>
  <si>
    <t>Camu, Esteban/AAI-9191-2020</t>
  </si>
  <si>
    <t>Ojeda, Juan/0000-0002-9484-5017; Camu, Esteban/0000-0003-0973-9453; Baeza Chandia, Patricio/0000-0003-1613-2860</t>
  </si>
  <si>
    <t>10.4067/S0717-97072016000400012</t>
  </si>
  <si>
    <t>WOS:000393079900012</t>
  </si>
  <si>
    <t>Verdejo, H; Escudero, W; Kliemann, W; Awerkin, A; Becker, C; Vargas, L</t>
  </si>
  <si>
    <t>Verdejo, Humberto; Escudero, William; Kliemann, Wolfgang; Awerkin, Almendra; Becker, Cristhian; Vargas, Luis</t>
  </si>
  <si>
    <t>Impact of wind power generation on a large scale power system using stochastic linear stability</t>
  </si>
  <si>
    <t>APPLIED MATHEMATICAL MODELLING</t>
  </si>
  <si>
    <t>The effect of random and sustained disturbances is studied in this paper. The Ornstein-Uhlenbeck stochastic process is proposed with the aim to represent the variations in the power output produced by wind power generation, considering measurements of a wind farm located in the fourth region of Chile as real field data for its parameters calibration. An example is provided considering the study of the exponential stability using the Lyapunov exponent as an indicator, with the aim to determine the maximum size of a wind farm that can be connected in a busbar of one of Chile's interconnected power system (Sistema Interconectado del Norte Grande, SING), considering successive increments from the output power from the connected wind farm. (C) 2016 Elsevier Inc. All rights reserved.</t>
  </si>
  <si>
    <t>0307-904X</t>
  </si>
  <si>
    <t>1872-8480</t>
  </si>
  <si>
    <t>17-18</t>
  </si>
  <si>
    <t>10.1016/j.apm.2016.04.020</t>
  </si>
  <si>
    <t>WOS:000381541100037</t>
  </si>
  <si>
    <t>Shah, C; Hendahewa, C; González-Ibáñez, R</t>
  </si>
  <si>
    <t>Shah, Chirag; Hendahewa, Chathra; Gonzalez-Ibanez, Roberto</t>
  </si>
  <si>
    <t>Rain or Shine? Forecasting Search Process Performance in Exploratory Search Tasks</t>
  </si>
  <si>
    <t>JOURNAL OF THE ASSOCIATION FOR INFORMATION SCIENCE AND TECHNOLOGY</t>
  </si>
  <si>
    <t>Most information retrieval (IR) systems consider relevance, usefulness, and quality of information objects (documents, queries) for evaluation, prediction, and recommendation, often ignoring the underlying search process of information seeking. This may leave out opportunities for making recommendations that analyze the search process and/or recommend alternative search process instead of objects. To overcome this limitation, we investigated whether by analyzing a searcher's current processes we could forecast his likelihood of achieving a certain level of success with respect to search performance in the future. We propose a machine-learning-based method to dynamically evaluate and predict search performance several time-steps ahead at each given time point of the search process during an exploratory search task. Our prediction method uses a collection of features extracted from expression of information need and coverage of information. For testing, we used log data collected from 4 user studies that included 216 users (96 individuals and 60 pairs). Our results show 80-90% accuracy in prediction depending on the number of time-steps ahead. In effect, the work reported here provides a framework for evaluating search processes during exploratory search tasks and predicting search performance. Importantly, the proposed approach is based on user processes and is independent of any IR system.</t>
  </si>
  <si>
    <t>Shah, Chirag/AAU-2437-2020</t>
  </si>
  <si>
    <t>Shah, Chirag/0000-0002-3797-4293; Gonzalez-Ibanez, Roberto/0000-0002-4193-6548</t>
  </si>
  <si>
    <t>2330-1635</t>
  </si>
  <si>
    <t>2330-1643</t>
  </si>
  <si>
    <t>10.1002/asi.23484</t>
  </si>
  <si>
    <t>WOS:000378644700006</t>
  </si>
  <si>
    <t>Verdejo, H; Awerkin, A; Saavedra, E; Kliemann, W; Vargas, L</t>
  </si>
  <si>
    <t>Verdejo, Humberto; Awerkin, Almendra; Saavedra, Eugenio; Kliemann, Wolfgang; Vargas, Luis</t>
  </si>
  <si>
    <t>Stochastic modeling to represent wind power generation and demand in electric power system based on real data</t>
  </si>
  <si>
    <t>APPLIED ENERGY</t>
  </si>
  <si>
    <t>A methodology to model two types of random perturbation that affect the operation of electric power systems (EPS) are presented. The first uncertainty is wind power generation and is represented by a one-dimensional and by a multidimensional continuous stochastic process. The second one is power demand, and is modeled by using an hybrid structure based on harmonic regression and the Ornstein-Uhlenbeck (O-U) process. The stochastic models are applied to a real Chilean case, using real data for parametric estimation and validation models. (C) 2016 Elsevier Ltd. All rights reserved.</t>
  </si>
  <si>
    <t>0306-2619</t>
  </si>
  <si>
    <t>1872-9118</t>
  </si>
  <si>
    <t>10.1016/j.apenergy.2016.04.004</t>
  </si>
  <si>
    <t>WOS:000377235200025</t>
  </si>
  <si>
    <t>Gil-Costa, V; Marin, M; Inostrosa-Psijas, A; Lobos, J; Bonacic, C</t>
  </si>
  <si>
    <t>Gil-Costa, Veronica; Marin, Mauricio; Inostrosa-Psijas, Alonso; Lobos, Jair; Bonacic, Carolina</t>
  </si>
  <si>
    <t>Modelling Search Engines Performance Using Coloured Petri Nets</t>
  </si>
  <si>
    <t>FUNDAMENTA INFORMATICAE</t>
  </si>
  <si>
    <t>This paper proposes using Coloured Petri Nets to model performance of vertical search engines for Web search. In such systems, queries submitted by users or client systems are handled by different components implemented as services deployed on large clusters of dedicated processors. We propose models that represent key features of components running time cost at a suitable level of detail. A comprehensive evaluation study is presented to reveal good precision of models when compared against actual implementations and complex process-oriented simulators of the same search engine instances. A C++ class library is proposed to enable rapid model construction by using a hierarchical and scalable approach, and to enable transparent generation and efficient execution of respective simulation programs either sequentially or in parallel.</t>
  </si>
  <si>
    <t>Marin, Mauricio/GLR-7700-2022; Inostrosa-Psijas, Alonso/AAC-7718-2019; Gil-Costa, Veronica/GPT-4785-2022; Inostrosa-Psijas, Alonso/A-5827-2018</t>
  </si>
  <si>
    <t>Marin, Mauricio/0000-0003-0662-7149; Gil-Costa, Veronica/0000-0003-4637-9725; Inostrosa-Psijas, Alonso/0000-0002-2922-0870</t>
  </si>
  <si>
    <t>0169-2968</t>
  </si>
  <si>
    <t>1875-8681</t>
  </si>
  <si>
    <t>10.3233/FI-2014-1007</t>
  </si>
  <si>
    <t>WOS:000333421900007</t>
  </si>
  <si>
    <t>Escobar, MA; Jara, DH; Tapia, RA; Lemus, L; Fröhlich, R; Guerrero, J; Rojas, RS</t>
  </si>
  <si>
    <t>Escobar, Manuel A.; Jara, Danilo H.; Tapia, Ricardo A.; Lemus, Luis; Froehlich, Roland; Guerrero, Juan; Rojas, Rene S.</t>
  </si>
  <si>
    <t>Copper(I) complexes bases on a new indazol-4,7-dione ligand</t>
  </si>
  <si>
    <t>Two new isomeric ligands, 1-(1-((2,6-diisopropylphenyl)imino)ethyl)-1H-benzo[f]indazole-4,9-dione (L-a) and 2-(1-((2,6-diisopropylphenyl)imino)ethyl)-2H-benzo[f]indazole-4,9-dione (L-b), were synthesized and fully characterized as well the derivative copper complexes; [Cu-I(L-b)(2)] (ClO4) (1) homoleptic and [Cu-I(L-b(PPh3)(2)] (ClO4) (2) heteroleptic copper(I) complexes. The X-ray diffraction shows an irregular tetrahedral coordination around of metal in both monometallic complexes with little differences in Cu-N distances and N-Cu-N bite angles than involved the indazole ligand between two complexes. The proton spectra show a different variation in chemical shift relative to free ligand, which was discussed by steric and magnetic current effects of another coordinated ligand. The differences in the energy of metal-to ligand-charge-transfer (MLCT) and in redox potentials to Cu-II/Cu-I process in both complexes show the notorious influence of the phosphine which by back-donating effect, modified the energy of HOMO orbital centered in Cu atom. The coordinative and redox stability in solution was established for several days in non-coordinating solvent. However in acetonitrile the ligand substitution is very fast. (c) 2013 Elsevier Ltd. All rights reserved.</t>
  </si>
  <si>
    <t>Jara, Danilo/A-6090-2017; Tapia, Ricardo/T-7170-2017; Rojas, René/C-4921-2009</t>
  </si>
  <si>
    <t>Rojas, Rene/0000-0002-5292-0816; Tapia, Ricardo/0000-0003-4407-3845; Jara Quinteros, Danilo/0000-0001-9752-4465; LEMUS, LUIS/0000-0002-5499-8115</t>
  </si>
  <si>
    <t>OCT 7</t>
  </si>
  <si>
    <t>10.1016/j.poly.2013.06.020</t>
  </si>
  <si>
    <t>WOS:000324226200009</t>
  </si>
  <si>
    <t>Arancibia-Miranda, N; Escudey, M; Molina, M; García-González, MT</t>
  </si>
  <si>
    <t>Arancibia-Miranda, Nicolas; Escudey, Mauricio; Molina, Mauricio; Teresa Garcia-Gonzalez, Maria</t>
  </si>
  <si>
    <t>Kinetic and Surface Study of Single-Walled Aluminosilicate Nanotubes and Their Precursors</t>
  </si>
  <si>
    <t>NANOMATERIALS</t>
  </si>
  <si>
    <t>The structural and surface changes undergone by the different precursors that are produced during the synthesis of imogolite are reported. The surface changes that occur during the synthesis of imogolite were determined by electrophoretic migration (EM) measurements, which enabled the identification of the time at which the critical precursor of the nanoparticles was generated. A critical parameter for understanding the evolution of these precursors is the isoelectric point (IEP), of which variation revealed that the precursors modify the number of active Al-OH and Si-OH sites during the formation of imogolite. We also found that the IEP is displaced to a higher pH level as a consequence of the surface differentiation that occurs during the synthesis. At the same time, we established that the pH of the reaction (pH(rx)) decreases with the evolution and condensation of the precursors during aging. Integration of all of the obtained results related to the structural and surface properties allows an overall understanding of the different processes that occur and the products that are formed during the synthesis of imogolite.</t>
  </si>
  <si>
    <t>Arancibia-Miranda, Nicolás/I-6743-2013</t>
  </si>
  <si>
    <t>2079-4991</t>
  </si>
  <si>
    <t>10.3390/nano3010126</t>
  </si>
  <si>
    <t>WOS:000342199900008</t>
  </si>
  <si>
    <t>Pitzschel, K; Bachmann, J; Montero-Moreno, JM; Escrig, J; Görlitz, D; Nielsch, K</t>
  </si>
  <si>
    <t>Pitzschel, Kristina; Bachmann, Julien; Montero-Moreno, Josep M.; Escrig, Juan; Goerlitz, Detlef; Nielsch, Kornelius</t>
  </si>
  <si>
    <t>Reversal modes and magnetostatic interactions in Fe3O4/ZrO2/Fe3O4 multilayer nanotubes</t>
  </si>
  <si>
    <t>NANOTECHNOLOGY</t>
  </si>
  <si>
    <t>Reversal modes and magnetostatic interactions of multilayered Fe3O4/ZrO2/Fe3O4 nanotubes consisting of a ferromagnetic internal tube, an intermediate non-magnetic spacer and an external magnetic shell are investigated as a function of their geometric parameters and compared with those produced inside the pores of anodic alumina membranes by atomic layer deposition. Based on a continuum approach we obtained analytical expressions that underline the first experimental results and support their interpretation that the system of multilayer tubes behaves as the reversal of two isolated systems. It is observed that the magnetostatic interaction between both phases depends on the magnetic configurations in each phase and also on the geometrical parameters considered. These structures have potential applications in novel spintronics devices, ultra-small magnetic media and other nano-devices.</t>
  </si>
  <si>
    <t>Görlitz, Detlef/D-8530-2012; Moreno, Josep/E-4920-2010; Nielsch, Kornelius/S-3196-2016; Bachmann, Julien/G-4381-2011; Escrig, Juan/N-4304-2015</t>
  </si>
  <si>
    <t>Bachmann, Julien/0000-0001-6480-6212; Nielsch, Kornelius/0000-0003-2271-7726; Escrig, Juan/0000-0002-3958-8185</t>
  </si>
  <si>
    <t>0957-4484</t>
  </si>
  <si>
    <t>1361-6528</t>
  </si>
  <si>
    <t>10.1088/0957-4484/23/49/495718</t>
  </si>
  <si>
    <t>WOS:000311431400040</t>
  </si>
  <si>
    <t>Michea, S; Denardin, JC; Gamino, M; Dorneles, LS; Corrêa, MA</t>
  </si>
  <si>
    <t>Michea, S.; Denardin, J. C.; Gamino, M.; Dorneles, L. S.; Correa, M. A.</t>
  </si>
  <si>
    <t>Extraordinary Hall effect on Fe-rich amorphous thin films and Fe-rich/Cu multilayers</t>
  </si>
  <si>
    <t>In this study we investigated the magnetic and transport properties of thin Fe-rich amorphous films and Fe-rich/Cu multilayers. We compared the extraordinary Hall effect in these two types of samples and discussed it in terms of thickness and sample structure. The thicker films exhibited a strong in-plane magnetic anisotropy, and by decreasing film thickness both saturated Hall resistivity and Hall sensitivity increase. A Hall resistivity value of 20 mu Omega cm is observed in 100 nm thick Fe-rich films at 12 K and a sensitivity of 1.3 Omega/T is obtained at room temperature. Electrical conductance increases and Hall resistivity decreases when the films are sandwiched with Cu. (C) 2011 Elsevier B.V. All rights reserved.</t>
  </si>
  <si>
    <t>Michea, Sebastian/E-9043-2017; Dorneles, Lucio/A-2376-2008; Gamino, Matheus/V-8871-2019; Denardin, Juliano/S-6407-2019; Assolin Correa, Marcio/E-1510-2013; Strazzabosco Dorneles, Lucio/E-5674-2010</t>
  </si>
  <si>
    <t>Michea, Sebastian/0000-0001-9312-5766; Gamino, Matheus/0000-0002-0420-7258; Assolin Correa, Marcio/0000-0002-8904-4151; Denardin, Juliano/0000-0002-1373-6207; Strazzabosco Dorneles, Lucio/0000-0001-5833-1775</t>
  </si>
  <si>
    <t>10.1016/j.physb.2011.12.058</t>
  </si>
  <si>
    <t>WOS:000305791000033</t>
  </si>
  <si>
    <t>Das, A; Gamboa, J; Méndez, F; Torres, F</t>
  </si>
  <si>
    <t>Das, Ashok; Gamboa, J.; Mendez, F.; Torres, F.</t>
  </si>
  <si>
    <t>Generalization of the Cooper pairing mechanism for spin-triplet in superconductors</t>
  </si>
  <si>
    <t>PHYSICS LETTERS A</t>
  </si>
  <si>
    <t>A generalization of the Cooper pairing mechanism is proposed which allows for a triplet state of lower energy. This is achieved by incorporating spin into the canonical commutation relations and by modifying the delta potential contact interaction. The gap equation contain as solutions both singlet and triplet states. It is shown that the triplet state is lower in energy than the singlet state which may explain the spin-triplet superconductivity observed. Published by Elsevier B.V.</t>
  </si>
  <si>
    <t>Torres, Felipe/ABA-9751-2020; Gamboa, Jorge/R-8744-2019; Das, Ashok/K-7202-2017; Torres, Felipe/I-8339-2015</t>
  </si>
  <si>
    <t>Torres, Felipe/0000-0003-2193-6337; Das, Ashok/0000-0002-4958-6706; Torres, Felipe/0000-0002-0444-3250</t>
  </si>
  <si>
    <t>0375-9601</t>
  </si>
  <si>
    <t>1873-2429</t>
  </si>
  <si>
    <t>10.1016/j.physleta.2011.02.063</t>
  </si>
  <si>
    <t>WOS:000289811300012</t>
  </si>
  <si>
    <t>Cárdenas, R; Peña, R; Clare, J; Wheeler, P</t>
  </si>
  <si>
    <t>Cardenas, Roberto; Pena, Ruben; Clare, Jon; Wheeler, Patrick</t>
  </si>
  <si>
    <t>Analytical and Experimental Evaluation of a WECS Based on a Cage Induction Generator Fed by a Matrix Converter</t>
  </si>
  <si>
    <t>IEEE TRANSACTIONS ON ENERGY CONVERSION</t>
  </si>
  <si>
    <t>In this paper, the control of a grid-connected wind energy conversion system (WECS), based on an induction machine fed by a matrix converter (MC), is presented. The MC is controlled using a space vector modulation algorithm with zero displacement factor at the input. Stability issues related to the operation of the WECS for the whole power and speed range are fully analyzed in this paper, using a simplified small-signal model. The implementation of a model reference adaptive system (MRAS) observer, for sensorless control of the proposed WECS, is also presented in this paper. The MRAS observer is implemented using the output voltage demand, avoiding the use of voltage transducers to measure the machine voltage. From the speed estimated by the MRAS observer, the electrical torque of the induction generator is regulated in order to drive the WECS to the operating point where the aerodynamic efficiency is maximized. Experimental results obtained with a 2.5-kW prototype are presented and fully discussed in this paper.</t>
  </si>
  <si>
    <t>pena, ruben/H-1806-2018; Clare, Jon/M-2032-2018; Cardenas, Roberto/C-6395-2011</t>
  </si>
  <si>
    <t>Wheeler, Patrick/0000-0003-0307-581X; Clare, Jon/0000-0001-8243-4280; Cardenas, Roberto/0000-0003-3853-7703</t>
  </si>
  <si>
    <t>0885-8969</t>
  </si>
  <si>
    <t>1558-0059</t>
  </si>
  <si>
    <t>10.1109/TEC.2010.2083666</t>
  </si>
  <si>
    <t>WOS:000287660500022</t>
  </si>
  <si>
    <t>Alexandrakis, G; Rannou, FR; Chatziioannou, AF</t>
  </si>
  <si>
    <t>Tomographic bioluminescence imaging by use of a combined optical-PET (OPET) system: a computer simulation feasibility study</t>
  </si>
  <si>
    <t>PHYSICS IN MEDICINE AND BIOLOGY</t>
  </si>
  <si>
    <t>The feasibility and limits in performing tomographic bioluminescence imaging with a combined optical-PET (OPET) system were explored by simulating its image formation process. A micro-MRI based virtual mouse phantom was assigned appropriate tissue optical properties to each of its segmented internal organs at wavelengths spanning the emission spectrum of the firefly luciferase at 37 degrees C. The TOAST finite-element code was employed to simulate the diffuse transport of photons emitted from bioluminescence sources in the mouse. OPET measurements were simulated for single-point, two-point and distributed bioluminescence sources located in different organs such as the liver, the kidneys and the gut. An expectation maximization code was employed to recover the intensity and location of these simulated sources. It was found that spectrally resolved measurements were necessary in order to perform tomographic bioluminescence imaging. The true location of emission sources could be recovered if the mouse background optical properties were known a priori. The assumption of a homogeneous optical property background proved inadequate for describing photon transport in optically heterogeneous tissues and led to inaccurate source localization in the reconstructed images. The simulation results pointed out specific methodological challenges that need to be addressed before a practical implementation of OPET-based bioluminescence tomography is achieved.</t>
  </si>
  <si>
    <t>Rannou, Fernando/G-5749-2019</t>
  </si>
  <si>
    <t>Rannou, Fernando/0000-0002-3244-1893</t>
  </si>
  <si>
    <t>0031-9155</t>
  </si>
  <si>
    <t>1361-6560</t>
  </si>
  <si>
    <t>SEP 7</t>
  </si>
  <si>
    <t>10.1088/0031-9155/50/17/021</t>
  </si>
  <si>
    <t>WOS:000232112400021</t>
  </si>
  <si>
    <t>Quantum uncertainty in doubly special relativity -: art. no. 065015</t>
  </si>
  <si>
    <t>A discussion of the modification of the phase-space commutators in a quantum mechanical relativistic theory with an invariant length scale (DSR) is presented. Two examples are discussed where a classical behavior is approached in one case when the energy approaches the inverse of the invariant length which appears as a cutoff in the energy and in the second case when the mass is much larger than the inverse of the invariant length.</t>
  </si>
  <si>
    <t>cortes, jose/0000-0002-8282-3435</t>
  </si>
  <si>
    <t>10.1103/PhysRevD.71.065015</t>
  </si>
  <si>
    <t>WOS:000228490100090</t>
  </si>
  <si>
    <t>Carmona, JM; Cortés, JL; Gamboa, J; Méndez, F</t>
  </si>
  <si>
    <t>Quantum theory of noncommutative fields -: art. no. 058</t>
  </si>
  <si>
    <t>JOURNAL OF HIGH ENERGY PHYSICS</t>
  </si>
  <si>
    <t>Generalizing the noncommutative harmonic oscillator construction, we propose a new extension of quantum field theory based on the concept of noncommutative fields. Our description permits to break the usual particle-antiparticle degeneracy at the dispersion relation level and introduces naturally an ultraviolet and an infrared cutoff. Phenomenological bounds for these new energy scales are given.</t>
  </si>
  <si>
    <t>Gamboa, Jorge/R-8744-2019; cortes, jose/C-3257-2012; Carmona Martinez, Jose Manuel/H-3732-2015</t>
  </si>
  <si>
    <t>cortes, jose/0000-0002-8282-3435; Carmona Martinez, Jose Manuel/0000-0003-2264-2306</t>
  </si>
  <si>
    <t>1029-8479</t>
  </si>
  <si>
    <t>WOS:000182939300058</t>
  </si>
  <si>
    <t>Escudey, M; Galindo, G; Forster, JE; Salazar, I; Page, AL; Chang, A</t>
  </si>
  <si>
    <t>(31)Phosphorus nuclear magnetic resonance analysis in extracts of a phosphorus-enriched volcanic soil of Chile</t>
  </si>
  <si>
    <t>COMMUNICATIONS IN SOIL SCIENCE AND PLANT ANALYSIS</t>
  </si>
  <si>
    <t>The nature of organic and inorganic phosphorus (P) in fertilized and unfertilized samples of Vilcun soil, a Chilean medial mesic typic Dystrandept which was studied through (31)phosphorus-nuclear magnetic resonance (P-31-NMR) analysis carried out on a single alkaline extraction. The total P contents ranged from 1,506 mg P kg(-1) (B horizon, unfertilized soil) to 7,541 mg P kg(-1) (A horizon, fertilized soil). The magnitude of the P signal (SEM-EDAX results) appears to be related to that of the iron (Fe) signal. Signals of P-31-NMR spectra are attributable to inorganic orthophosphate, and orthophosphate monoesters and diesters. No important differences between horizons were observed. Apparently in this soil, P are mainly associated with iron oxides and organic matter. The organic P forms were not readily subjected to mineralization.</t>
  </si>
  <si>
    <t>0010-3624</t>
  </si>
  <si>
    <t>1532-2416</t>
  </si>
  <si>
    <t>9-10</t>
  </si>
  <si>
    <t>10.1080/00103629709369825</t>
  </si>
  <si>
    <t>WOS:A1997XE92700008</t>
  </si>
  <si>
    <t>Gil, Y; Maldonado, MJ; de Santana, RC; Vega, A; Fuentealba, P; Aravena, D</t>
  </si>
  <si>
    <t>Gil, Yolimar; Maldonado, Maria Jose; de Santana, Ricardo Costa; Vega, Andres; Fuentealba, Pablo; Aravena, Daniel</t>
  </si>
  <si>
    <t>Improvement of electronic structure calculations for the interpretation of the emission spectrum for NdIII complexes</t>
  </si>
  <si>
    <t>A protocol to correct ab initio calculated luminescence spectra of NdIII complexes is proposed. The emission spectrum of [NdIII(bipy)(tta)3] was measured to calibrate the optimal correction for the Racah parameters on top of a CASSCF calculation to attain the best energetic placement of the 4F3/2 -&gt; 4I13/2-9/2 emission lines. As interelectronic repulsion is the most important source of error in this calculation, this straightforward correction results in an accurate placement of transitions, allowing the assignment of a complex spectral shape in terms of its underlying transitions. Finally, the correction derived for [NdIII(bipy)(tta)3] was directly applied to a different NdIII complex, demonstrating the broad use of this approach.</t>
  </si>
  <si>
    <t>2025 APR 10</t>
  </si>
  <si>
    <t>10.1039/d5cp00508f</t>
  </si>
  <si>
    <t>APR 2025</t>
  </si>
  <si>
    <t>WOS:001477349400001</t>
  </si>
  <si>
    <t>Velásquez, F; Frazao, M; Diez, A; Villegas, F; Alvarez-Bidwell, M; Rivas-Pardo, JA; Vallejos-Vidal, E; Reyes-López, F; Toro-Ascuy, D; Ahumada, M; Reyes-Cerpa, S</t>
  </si>
  <si>
    <t>Velasquez, Felipe; Frazao, Mateus; Diez, Arturo; Villegas, Felipe; Alvarez-Bidwell, Marcelo; Rivas-Pardo, J. Andres; Vallejos-Vidal, Eva; Reyes-Lopez, Felipe; Toro-Ascuy, Daniela; Ahumada, Manuel; Reyes-Cerpa, Sebastian</t>
  </si>
  <si>
    <t>Salmon-IgM Functionalized-PLGA Nanosystem for Florfenicol Delivery as an Antimicrobial Strategy against Piscirickettsia salmonis</t>
  </si>
  <si>
    <t>Salmonid rickettsial septicemia (SRS), caused by Piscirickettsia salmonis, has been the most severe health concern for the Chilean salmon industry. The efforts to control P. salmonis infections have focused on using antibiotics and vaccines. However, infected salmonids exhibit limited responses to the treatments. Here, we developed a poly (D, L-lactide-glycolic acid) (PLGA)-nanosystem functionalized with Atlantic salmon IgM (PLGA-IgM) to specifically deliver florfenicol into infected cells. Polymeric nanoparticles (NPs) were prepared via the double emulsion solvent-evaporation method in the presence of florfenicol. Later, the PLGA-NPs were functionalized with Atlantic salmon IgM through carbodiimide chemistry. The nanosystem showed an average size of similar to 380-410 nm and a negative surface charge. Further, florfenicol encapsulation efficiency was close to 10%. We evaluated the internalization of the nanosystem and its impact on bacterial load in SHK-1 cells by using confocal microscopy and qPCR. The results suggest that stimulation with the nanosystem elicits a decrease in the bacterial load of P. salmonis when it infects Atlantic salmon macrophages. Overall, the IgM-functionalized PLGA-based nanosystem represents an alternative to the administration of antibiotics in salmon farming, complementing the delivery of antibiotics with the stimulation of the immune response of infected macrophages.</t>
  </si>
  <si>
    <t>Toro-Ascuy, Daniela/JDC-8224-2023; Reyes-López, Felipe/S-1760-2018; Ahumada, Manuel/L-2401-2018; Vallejos-Vidal, Eva/R-9606-2019</t>
  </si>
  <si>
    <t>Toro-Ascuy, Daniela/0000-0002-2563-9711; Reyes, Sebastian/0000-0002-7676-1266; Rivas Pardo, Andres/0000-0002-8304-3238; Reyes-Lopez, Felipe E./0000-0002-5001-457X; Ahumada, Manuel/0000-0002-0589-3296; Vallejos-Vidal, Eva/0000-0002-3091-2700</t>
  </si>
  <si>
    <t>10.3390/nano14201658</t>
  </si>
  <si>
    <t>WOS:001342624900001</t>
  </si>
  <si>
    <t>Aktas, I; Gur, FM; Martínez, JL; Bilgiç, S; Körkoca, H</t>
  </si>
  <si>
    <t>Aktas, Ibrahim; Gur, Fatih Mehmet; Martinez, Jose L.; Bilgic, Sedat; Korkoca, Hanifi</t>
  </si>
  <si>
    <t>Protective effects of silymarin against paclitaxel-induced cardiac toxicity</t>
  </si>
  <si>
    <t>In this study, the protectivity of silymarin (SY) against the harmful effects of paclitaxel (PX) on the heart was investigated. PX was administered 2 mg/kg intraperitoneally to the PX group, 100 mg/kg SY was administered by gavage to the SY group, and both drugs were administered to the PX + SY group as other groups. Treatment with SY significantly decreased cardiac troponin I (cTn-I), brain natriuretic peptide (BNP), creatine kinase isoenzyme MB (CK-MB) and lactate dehydrogenase (LDH) levels. In the PX group; the decrease in glutathione (GSH), catalase (CAT) and superoxide dismutase (SOD) levels and the increase in malondialdehyde (MDA) levels were significantly normalized with SY administration. Histologically; heart injury was significantly reduced in the PX + SY group compared to the PX group. As a result, it was determined that SY, which has antioxidant, anti-apoptotic and anti-inflammatory effects, could protect the heart tissue from the toxic effects of PX.</t>
  </si>
  <si>
    <t>aktaş, ibrahim/AAE-3845-2020; GÜR, Fatih/LXW-8037-2024; BİLGİÇ, Sedat/AEM-2044-2022; Martinez, Jose/AAA-1725-2020; GUR, FATIH MEHMET/GSI-4751-2022</t>
  </si>
  <si>
    <t>AKTAS, IBRAHIM/0000-0002-0956-8204; GUR, FATIH MEHMET/0000-0001-7748-3272; Martinez, Jose/0000-0002-0177-4847; Bilgic, Sedat/0000-0001-8410-2685</t>
  </si>
  <si>
    <t>10.37360/blacpma.24.23.5.47</t>
  </si>
  <si>
    <t>WOS:001234153100002</t>
  </si>
  <si>
    <t>Dettoni, R; Gil-Alana, LA; Yaya, OS</t>
  </si>
  <si>
    <t>Dettoni, Robinson; Gil-Alana, Luis A.; Yaya, OlaOluwa S.</t>
  </si>
  <si>
    <t>Stock market prices and Dividends in the US: Bubbles or Long-run equilibria relationships? ☆, ☆☆</t>
  </si>
  <si>
    <t>INTERNATIONAL REVIEW OF FINANCIAL ANALYSIS</t>
  </si>
  <si>
    <t>This paper presents a novel approach to identifying potential bubbles in the US stock market by employing alternative time series methods based on long memory, including fractional integration and cointegration, as well as duration dependence non -parametric models. To test for duration dependence, the paper employs a unique non -parametric hazard function estimation method, using monotonic P -splines, which enables the estimation of a coherent and sophisticated Bayesian confidence interval for the function. By analyzing historical data of real US stock index from January 1871 to November 2022, the results reveal strong evidence of bubbles in the US stock market. It is worth noting that this is the first time a fractional integration approach and a novel non -parametric hazard function have been utilized to test for rational speculative bubbles in the US stock market, making this paper a significant contribution to the field.</t>
  </si>
  <si>
    <t>YAYA, OLAOLUWA/N-1615-2019</t>
  </si>
  <si>
    <t>1057-5219</t>
  </si>
  <si>
    <t>1873-8079</t>
  </si>
  <si>
    <t>10.1016/j.irfa.2024.103319</t>
  </si>
  <si>
    <t>WOS:001237075000001</t>
  </si>
  <si>
    <t>García-Solís, F; Zúñiga, AH; Rau, JR; Garcés, C</t>
  </si>
  <si>
    <t>Garcia-Solis, Fernando; Zuniga, Alfredo H.; Rau, Jaime R.; Garces, Cristobal</t>
  </si>
  <si>
    <t>Interannual activity pattern of the European hare ( Lepus europaeus) in the coastal foothills of southern Chile</t>
  </si>
  <si>
    <t>GAYANA</t>
  </si>
  <si>
    <t>The European hare Lepus europaeus is an exotic mammal with a wide distribution potential, suggesting the presence of highly flexible anti-predation mechanisms. Through the use of camera traps, the activity pattern of this species was studied for two years at a site of the coastal foothills in southern Chile. During the second year it was observed that the hare maintained a non-random pattern of activity in relation to the light periods of the day. This fact suggests the adoption of anti-predator strategies, considering the variation in the presence of their predators between both years. The effect of predation on the observed temporal patterns is discussed, as well as its population fluctuations in the long term, to describe the role of this lagomorph in this type of ecosystem.</t>
  </si>
  <si>
    <t>Garcés, Cristóbal/HSE-0995-2023; Rau, Jaime/A-4922-2012</t>
  </si>
  <si>
    <t>Garces, Cristobal/0000-0002-6592-2247</t>
  </si>
  <si>
    <t>0717-652X</t>
  </si>
  <si>
    <t>0717-6538</t>
  </si>
  <si>
    <t>WOS:001273380600003</t>
  </si>
  <si>
    <t>Lopez-Polo, J; Soto, A; Zamorano, M; Silva-Weiss, A; Oyarzun-Ampuero, FA; Brossard, N; Fuentes, J; Osorio, FA</t>
  </si>
  <si>
    <t>Lopez-Polo, Johana; Soto, Andrea; Zamorano, Marcela; Silva-Weiss, Andrea; Oyarzun-Ampuero, Felipe A.; Brossard, Natalia; Fuentes, Jocelyn; Osorio, Fernando A.</t>
  </si>
  <si>
    <t>Effect of the incorporation of liposomes loaded with rutin on the transport properties of edible film produced with hydroxypropyl methylcellulose: An in vitro release study</t>
  </si>
  <si>
    <t>LWT-FOOD SCIENCE AND TECHNOLOGY</t>
  </si>
  <si>
    <t>This work studied the effect of encapsulating rutin in liposomes on the transport properties of the edible film (EF) produced with hydroxypropyl methylcellulose (HPMC). Encapsulated rutin in liposomes were 106.1 +/- 1.2 nm and there was high percentage of encapsulation (89.3 +/- 0.5%). When incorporated into the HPMC matrix, the formulation did not show phase separation or agglomeration. Interestingly, the presence of the liposomes caused significant changes in the EF, modifying thickness, yellowness index, and mechanical properties. Less rigid and more deformable EF were obtained with the addition of liposomes and glycerol. The encapsulation of rutin in liposomes, loaded in the EF showed a delay in the liberation of the active compound when compared to non -encapsulated rutin; diffusion coefficients of 3.27*10-16 m2/s and 1.24*10-15 m2/s, respectively. In summary, the presence of liposomes loaded with rutin allows for the production of EF with improved physical characteristics desirable for food systems. Liposomes loaded with active compounds are a good ingredient/carrier for inclusion in EF providing a gradual release of antioxidant agents, with the added benefit of potentially providing a longer shelf life of the food.</t>
  </si>
  <si>
    <t>Silva-Weiss, Andrea/AAL-3271-2021; Brossard, Natalia/ABH-2990-2021; osorio, fernando/AAY-7304-2021</t>
  </si>
  <si>
    <t>Brossard, Natalia/0000-0001-7444-8869; osorio, fernando/0000-0001-7206-0924</t>
  </si>
  <si>
    <t>0023-6438</t>
  </si>
  <si>
    <t>1096-1127</t>
  </si>
  <si>
    <t>10.1016/j.lwt.2023.115583</t>
  </si>
  <si>
    <t>WOS:001128375400001</t>
  </si>
  <si>
    <t>Sandoval, SS; Santibáñez, D; Riveros, A; Araneda, F; Bruna, T; Silva, N; Yutronic, N; Kogan, MJ; Jara, P</t>
  </si>
  <si>
    <t>Sandoval, Sebastian Salazar; Santibanez, Daniel; Riveros, Ana; Araneda, Fabian; Bruna, Tamara; Silva, Nataly; Yutronic, Nicolas; Kogan, Marcelo J.; Jara, Paul</t>
  </si>
  <si>
    <t>Synthesis and Characterization of Magnetite/Gold Core Shell Nanoparticles Stabilized with a β-Cyclodextrin Nanosponge to Develop a Magneto-Plasmonic System</t>
  </si>
  <si>
    <t>MAGNETOCHEMISTRY</t>
  </si>
  <si>
    <t>Magnetite/gold core-shell nanoparticles (magnetite/gold NPs) have important optical and magnetic properties that provide potential for applications, especially biomedical ones. However, their preparation is not exempt from difficulties that might lead to unexpected or undesired structures. This work reports the synthesis and characterization of magnetite/gold NPs using tetramethylammonium hydroxide (TMAH) to promote the formation of a continuous interface between the magnetite core and the thin gold shell. The synthesized magnetite/gold NPs were characterized using transmission electron microscopy (TEM), energy-dispersive spectroscopy (EDS), field emission scanning electron microscope (FE-SEM), zeta-potential, vibrating sample magnetometer (VSM), selected area electron diffraction (SAED), UV-Visible spectroscopy, and dynamic light scattering (DLS), confirming the core-shell structure of the NPs with narrow size distribution while evidencing its plasmonic and superparamagnetic properties as well. Further, the magnetite/gold NPs were associated and stabilized with a beta-cyclodextrin nanosponge (beta-CDNSs), obtaining a versatile magneto-plasmonic system for potential applications in the encapsulation and controlled release of drugs.</t>
  </si>
  <si>
    <t>riveros, ana/AAD-2134-2020; kogan, Marcelo/I-2868-2013; SALAZAR SANDOVAL, DR. SEBASTIAN/MAI-5360-2025; Jara, Paul/ADD-5252-2022; Santibañez, Daniel/HPE-1696-2023</t>
  </si>
  <si>
    <t>2312-7481</t>
  </si>
  <si>
    <t>10.3390/magnetochemistry9080202</t>
  </si>
  <si>
    <t>WOS:001055863200001</t>
  </si>
  <si>
    <t>Sadek, BA; Badreddine, E; Houssaine, TE; Barbosa, KA; Rojas, AJ</t>
  </si>
  <si>
    <t>Sadek, Belamfedel Alaoui; Badreddine, El Haiek; Houssaine, Tissir El; Barbosa, Karina A.; Rojas, Alejandro J.</t>
  </si>
  <si>
    <t>Consensus Congestion Control for Ad Hoc Networks: Time-Delay and Saturation</t>
  </si>
  <si>
    <t>IEEE TRANSACTIONS ON NETWORK SCIENCE AND ENGINEERING</t>
  </si>
  <si>
    <t>This work focuses on the congestion control design for ad hoc networks affected by time-delay and asymmetrical input saturation. First, an innovative general TCP/AQM model for mobile and wireless ad hoc networks (MANET/WANET) is proposed using graph theory and TCP/AQM system dynamics in a dumbbell topology. Next, a new characteristic condition for sector linearity is developed, which plays the role of a specification to be checked and allows us to assume that the dynamics of the nodes are not saturated. Finally, we propose a new consensus-based congestion control protocol while satisfying the input constraints based on the Lyapunov method, the new sector of linearity condition, the Bessel Legendre-based integral inequality, and the reciprocal convex combination. The proposed results have the advantage of being given as a set of linear matrix inequality (LMI) conditions, which can be solved using convex optimization toolboxes. The merits of the theory are evaluated with the help of various real and challenging scenarios with the use of MATLAB and NS3.</t>
  </si>
  <si>
    <t>Belamfedel Alaoui, Sadek/ABF-5643-2020; Barbosa, Karina/A-2236-2014; ROJAS, Alejandro/D-5029-2015</t>
  </si>
  <si>
    <t>ROJAS NORMAN, Alejandro Jose/0000-0002-3867-6909; El haiek, Badreddine/0000-0003-4776-0894; Barbosa, Karina A./0000-0001-7183-2662; BELAMFEDEL ALAOUI, Sadek/0000-0002-8882-3807</t>
  </si>
  <si>
    <t>2327-4697</t>
  </si>
  <si>
    <t>10.1109/TNSE.2023.3235303</t>
  </si>
  <si>
    <t>WOS:001018711800002</t>
  </si>
  <si>
    <t>Zurlo, A; Gratton, R; Pérez, S; Cieza, L</t>
  </si>
  <si>
    <t>Zurlo, Alice; Gratton, Raffaele; Perez, Sebastian; Cieza, Lucas</t>
  </si>
  <si>
    <t>Observations of planet forming disks in multiple stellar systems</t>
  </si>
  <si>
    <t>EUROPEAN PHYSICAL JOURNAL PLUS</t>
  </si>
  <si>
    <t>The demographic of circumstellar disks, the birthplaces of planets, is diverse and rich in disks featuring rings, gaps, spirals, filaments, and arcs. Many studies revealing these disk structures have focused on objects around single stars and disks in isolation. The scenario is more complex if binarity or multiplicity is involved; most stars are part of multiple systems in crowded star-forming regions. How does the presence of one or more stellar companions affect the shape and size of the circumstellar disks? Here we review the landscape of results from optical, infrared, and (sub-) millimeter observations of the effects of multiplicity on protoplanetary disks, emphasizing the demographic studies of nearby molecular clouds and the high-resolution studies of multiple disk systems.</t>
  </si>
  <si>
    <t>Zurlo, Alice/Q-5011-2019; Pérez, Sebastián/AAS-5857-2020</t>
  </si>
  <si>
    <t>Cieza, Lucas/0000-0002-2828-1153; Perez, Sebastian/0000-0003-2953-755X; Zurlo, Alice/0000-0002-5903-8316</t>
  </si>
  <si>
    <t>2190-5444</t>
  </si>
  <si>
    <t>10.1140/epjp/s13360-023-04041-x</t>
  </si>
  <si>
    <t>WOS:000988016800001</t>
  </si>
  <si>
    <t>Lobos, N; Lux, S; Zepeda, RJ; Pelissier, T; Marcos, JL; Bustos-Quevedo, G; Hernández, A; Constandil, L</t>
  </si>
  <si>
    <t>Lobos, Nicolas; Lux, Sebastian; Zepeda, Ramiro Javier; Pelissier, Teresa; Marcos, Jose Luis; Bustos-Quevedo, Gonzalo; Hernandez, Alejandro; Constandil, Luis</t>
  </si>
  <si>
    <t>Rosuvastatin Synergistically Enhances the Antinociceptive Efficacy of Duloxetine in Paclitaxel-Induced Neuropathic Pain in Mice</t>
  </si>
  <si>
    <t>Paclitaxel, a widely used cancer chemotherapeutic agent, has high incidence of neurotoxicity associated with the production of neuropathic pain, for which only duloxetine has shown significant but moderate analgesic effect. Since statins, classically used to reduce hypercholesterolemia, have shown antinociceptive effect in preclinical studies on neuropathic pain, we studied whether the antinociceptive efficacy of duloxetine could be synergistically potentiated by rosuvastatin in a model of paclitaxel-induced neuropathy in mice. The astrocytic and microglial responses in the spinal cord of paclitaxel-treated mice were also assessed by measuring GFAP and CD11b proteins, respectively. Paclitaxel treatment did not impair motor coordination and balance in rotarod testing. Rosuvastatin, duloxetine, and the rosuvastatin/duloxetine combination (combined at equieffective doses) dose-dependently decreased mechanical allodynia (ED30, von Frey testing) and thermal hyperalgesia (ED50, hot plate testing) in paclitaxel-treated mice. Isobolographic analysis showed a superadditive interaction for rosuvastatin and duloxetine, as both the ED30 and ED50 for the rosuvastatin/duloxetine combination contained only a quarter of each drug compared to the individual drugs. The rosuvastatin/duloxetine combination reversed paclitaxel-induced GFAP overexpression, indicating that such effects might depend in part on astrocyte inactivation. Results suggest that statins could be useful in synergistically enhancing the efficacy of duloxetine in some chemotherapy-induced neuropathic conditions.</t>
  </si>
  <si>
    <t>Marcos Camus, Jose Luis/0000-0003-1991-610X; Constandil, Luis/0000-0002-2504-0119; Bustos Quevedo, Gonzalo Salvador/0000-0001-6956-6609</t>
  </si>
  <si>
    <t>10.3390/ijms24098359</t>
  </si>
  <si>
    <t>WOS:000987344000001</t>
  </si>
  <si>
    <t>Utrera, A; Navarrete, A; González-Candia, A; García-Herrera, C; Herrera, EA</t>
  </si>
  <si>
    <t>Utrera, Andres; Navarrete, Alvaro; Gonzalez-Candia, Alejandro; Garcia-Herrera, Claudio; Herrera, Emilio A.</t>
  </si>
  <si>
    <t>Biomechanical and structural responses of the aorta to intermittent hypobaric hypoxia in a rat model</t>
  </si>
  <si>
    <t>High altitude hypoxia is a condition experienced by diverse populations worldwide. In addition, several jobs require working shifts where workers are exposed to repetitive cycles of hypobaric hypoxia and normobaric normoxia. Currently, few is known about the biomechanical cardiovascular responses of this condition. In the present study, we investigate the cycle-dependent biomechanical effects of intermittent hypobaric hypoxia (IHH) on the thoracic aorta artery, in terms of both structure and function. To determine the vascular effects of IHH, functional, mechanical and histological approaches were carried out in the thoracic aorta artery, using uniaxial, pre-stretch, ring opening, myography, and histological tests. Three groups of rats were established: control (normobaric normoxia, NN), 4-cycles of intermittent hypoxia (short-term intermittent hypobaric hypoxia, STH), and 10-cycles of intermittent hypoxia (long-term intermittent hypobaric hypoxia, LTH). The pre-stretch and ring opening tests, aimed at quantifying residual strains of the tissues in longitudinal and circumferential directions, showed that the hypoxia condition leads to an increase in the longitudinal stretch and a marked decrease of the circumferential residual strain. The uniaxial mechanical tests were used to determine the elastic properties of the tissues, showing that a general stiffening process occurs during the early stages of the IH (STH group), specially leading to a significative increase in the high strain elastic modulus (E2) and an increasing trend of low strain elastic modulus (E1). In contrast, the LTH group showed a more control-like mechanical behavior. Myography test, used to assess the vasoactive function, revealed that IH induces a high sensitivity to vasoconstrictor agents as a function of hypoxic cycles. In addition, the aorta showed an increased muscle-dependent vasorelaxation on the LTH group. Histological tests, used to quantify the elastic fiber, nuclei, and geometrical properties, showed that the STH group presents a state of vascular fibrosis, with a significant increase in elastin content, and a tendency towards an increase in collagen fibers. In addition, advanced stages of IH (LTH), showed a vascular remodeling effect with a significant increase of internal and external diameters. Considering all the multidimensional vascular effects, we propose the existence of a long-term passive adaptation mechanism and vascular dysfunction as cycle-dependent effects of intermittent exposures to hypobaric hypoxia.</t>
  </si>
  <si>
    <t>Gonzalez-Candia, Alejandro/GOV-6045-2022; García-Herrera, Claudio/ABE-8991-2020; Herrera, Emilio A/H-5992-2018</t>
  </si>
  <si>
    <t>Herrera, Emilio A/0000-0002-6342-085X</t>
  </si>
  <si>
    <t>MAR 8</t>
  </si>
  <si>
    <t>10.1038/s41598-022-07616-3</t>
  </si>
  <si>
    <t>WOS:000826474600045</t>
  </si>
  <si>
    <t>Liu, MF; Wang, R; Xing, Z; Soto, I</t>
  </si>
  <si>
    <t>Liu, Mengfan; Wang, Rui; Xing, Zhe; Soto, Ismael</t>
  </si>
  <si>
    <t>Deep Reinforcement Learning Based Dynamic Power and Beamforming Design for Time-Varying Wireless Downlink Interference Channel</t>
  </si>
  <si>
    <t>2022 IEEE WIRELESS COMMUNICATIONS AND NETWORKING CONFERENCE (WCNC)</t>
  </si>
  <si>
    <t>IEEE Wireless Communications and Networking Conference</t>
  </si>
  <si>
    <t>IEEE Wireless Communications and Networking Conference (IEEE WCNC)</t>
  </si>
  <si>
    <t>APR 10-13, 2022</t>
  </si>
  <si>
    <t>Austin, TX</t>
  </si>
  <si>
    <t>In the wireless communication, deep reinforcement learning (DRL) techniques promise performance optimizations at a low cost. Considering the time-varying property of the wireless downlink channels, this paper proposes a deep deterministic policy gradient (DDPG) approach and a hierarchical DDPG (h-DDPG) approach to optimize the sum-rate at the user equipment (UE) side, by jointly designing the power control and the beamforming at the base station (BS). Our results demonstrate that the proposed DDPG enables continuous data representation through the deterministic policy functions, while the proposed h-DDPG is able to mitigate the sparse reward problem. Both of the two DRL algorithms are superior to the conventional deep Q-learning (DQN) algorithm, in terms of improving the communication performance over the time-varying wireless downlink channels.</t>
  </si>
  <si>
    <t>Xing, Zhe/AAH-2929-2020</t>
  </si>
  <si>
    <t>1525-3511</t>
  </si>
  <si>
    <t>978-1-6654-4266-4</t>
  </si>
  <si>
    <t>10.1109/WCNC51071.2022.9771776</t>
  </si>
  <si>
    <t>WOS:000819473100081</t>
  </si>
  <si>
    <t>Wu, GC; Abdeljawad, T; Atici, F; Lizama, C</t>
  </si>
  <si>
    <t>Wu, Guo-Cheng; Abdeljawad, Thabet; Atici, Ferhan; Lizama, Carlos</t>
  </si>
  <si>
    <t>SPECIAL ISSUE ON DISCRETE FRACTIONAL CALCULUS WITH APPLICATIONS: OVERVIEW AND SOME NEW DIRECTIONS</t>
  </si>
  <si>
    <t>FRACTALS-COMPLEX GEOMETRY PATTERNS AND SCALING IN NATURE AND SOCIETY</t>
  </si>
  <si>
    <t>The fractional derivative holds historical dependence or memory effects. But it also brings error accumulation of the numerical solutions as well as the theoretical analysis since many properties from the integer order case cannot hold. The fractional difference is discrete counterpart of the fractional derivative. The memory kernel is defined by applying the discrete functions on time scale and avoids the errors from the numerical discretization. It is particularly suitable for fractional modeling with computer implementations. Many applications of fractional dynamics to neural networks, signal processing, time series and big data become possible now. This issue of work presents the latest progress in the neighborhood related to fractional calculus.</t>
  </si>
  <si>
    <t>Abdeljawad, Thabet/T-8298-2018; Atici, Ferhan/LEN-3724-2024; Lizama, Carlos/E-5909-2011; Wu, Guo-Cheng/T-9088-2017</t>
  </si>
  <si>
    <t>Wu, Guo-Cheng/0000-0002-1946-6770</t>
  </si>
  <si>
    <t>0218-348X</t>
  </si>
  <si>
    <t>1793-6543</t>
  </si>
  <si>
    <t>10.1142/S0218348X21020035</t>
  </si>
  <si>
    <t>WOS:000755102900044</t>
  </si>
  <si>
    <t>González-Bustamante, B</t>
  </si>
  <si>
    <t>Gonzalez-Bustamante, Bastian</t>
  </si>
  <si>
    <t>Evolution and early government responses to COVID-19 in South America</t>
  </si>
  <si>
    <t>WORLD DEVELOPMENT</t>
  </si>
  <si>
    <t>This article analyses the evolution of COVID-19 and early government responses to the pandemic in eight South American countries. To this aim, this study explores indicators which trace the progression of the pandemic and analyses factors related of state capacity which impacted on the early response of govern-ments of implementing restrictive policies of social distancing associated with a suppression strategy. The pressure on the health systems is evaluated with early projections of the growth-phase of the epidemic, which is incorporated as an indicator in the analysis of early interventions based on Cox proportional hazards models. The results indicate that fiscal expenditure on health, regional and local government capacity, and pressure on the health system accelerate government response with stringent interventions. A counter-intuitive finding is that the economic strength of a country delays these types of reactions. The effect of these interventions is something that should be studied in greater depth, considering, for example, sociocultural factors. Lastly, only cases such as Uruguay and Paraguay show some signs of having the pandemic relatively under control by mid-May, while Brazil and Peru face very adverse scenarios. In this context, considering the characteristics of the states in the region and the level of informal employment, it will be a public policy challenge to keep the equilibrium between restrictive measures and the economic and social problems which these responses imply in the medium term. (c) 2020 Elsevier Ltd. All rights reserved.</t>
  </si>
  <si>
    <t>González-Bustamante, Bastián/HLQ-1514-2023</t>
  </si>
  <si>
    <t>0305-750X</t>
  </si>
  <si>
    <t>1873-5991</t>
  </si>
  <si>
    <t>10.1016/j.worlddev.2020.105180</t>
  </si>
  <si>
    <t>WOS:000584399200027</t>
  </si>
  <si>
    <t>Siginer, DA; Letelier, MF; Jacobs, P; Aguirre, A; Boutaous, M</t>
  </si>
  <si>
    <t>Siginer, Dennis A.; Letelier, Mario F.; Jacobs, Patricio; Aguirre, Alejandro; Boutaous, Mhamed</t>
  </si>
  <si>
    <t>Forced convection of elastoviscoplastic fluids in non-circular tubes</t>
  </si>
  <si>
    <t>An analytical study of the forced convection of an elastoviscoplastic fluid in tubes of arbitrary cross section is presented. The constitutive structure of the fluid is described by a frame indifferent linear combination of the Modified Phan-Thien-Tanner model of non-linear viscoelastic fluids and the Bingham model of non-linear plastic fluids. Arbitrary tube cross sections are modeled by a continuous one-to-one mapping of the circular base contour into a wide spectrum family of non-circular tube contours. Field variables are expanded into double asymptotic series in terms of the elasticity measure Weissenberg number WI, and a mapping parameter leading to a set of linearized hierarchical momentum balance, constitutive structure and thermal field equations which are solved successively up to and including the third order in Wi for the velocity and temperature fields. The general algorithm developed is applied to the study of forced convection in tubes with exact equilateral triangular and approximately square cross sections. The analysis also yields the solution of the forced convection of linear (Newtonian) fluids in non-circular tubes and the forced convection in circular tubes of the family of non-linear fluids (viscoplastic, viscoelastic, elastoviscoplastic) described by the constitutive structure under consideration thereby providing as well validation for the computations carried out for non-linear fluids in non-circular cross-sections. A thorough comparison of the velocity and thermal fields of the Newtonian, viscoplastic, viscoelastic and elastoviscoplastic fluids in tubes of equilateral triangular and pseudo square cross-sectional tubes is presented as specific cases. (C) 2019 Elsevier Ltd. All rights reserved.</t>
  </si>
  <si>
    <t>Boutaous, M'hamed/0000-0002-3633-0736; Aguirre, Alejandro/0000-0003-0638-5258</t>
  </si>
  <si>
    <t>FEB 23</t>
  </si>
  <si>
    <t>10.1016/j.ces.2019.115318</t>
  </si>
  <si>
    <t>WOS:000509467600001</t>
  </si>
  <si>
    <t>Troncoso, LDM; Manfiolete, SSTRD; Toro-Arévalo, SA; Pimentel, GGD; Puttini, RF</t>
  </si>
  <si>
    <t>Manfiolete Troncoso, Leandro Dri; Dri Manfiolete, Sandra Soledad Troncoso Robles; Alejandro Toro-Arevalo, Sergio; De Assis Pimentel, Giuliano Gomes; Puttini, Rodolfo Franco</t>
  </si>
  <si>
    <t>SENSES IN THE PROMOTION BICYCLING BY SOUTH AMERICAN UNIVERSITY TEACHERS</t>
  </si>
  <si>
    <t>REVISTA IBEROAMERICANA DE PSICOLOGIA DEL EJERCICIO Y EL DEPORTE</t>
  </si>
  <si>
    <t>The objective research was to understand existential motivations that influence South American university teachers to promote bicycling. The qualitative phenomenological approach used 4E Cognition referring to embodied situated, extended and enactive cognitive processes. In relation to methodological procedures, interviews conducted with five men and one woman selected from the inclusion criteria: a) university teaching in Humanities; academic-professional activities with bicycle; c) participation in cycloactivist movement. From discursive analysis, was the units of meaning: 1) Urban cycling as a research topic; 2) Political-institutional articulation for active mobility; 3) Teaching-learning of pedaling in the city generating the category Bicycling culture as a cognitive-educational process. We consider institutional it duty promotion bicycling as an emerging interdisciplinary alternative for teaching, research and extension with direct benefits for university community.</t>
  </si>
  <si>
    <t>Puttini, Rodolfo/V-7586-2019; Pimentel, Giuliano/AAB-4274-2020</t>
  </si>
  <si>
    <t>Franco Puttini, Rodolfo/0000-0003-3611-458X</t>
  </si>
  <si>
    <t>1886-8576</t>
  </si>
  <si>
    <t>2340-7700</t>
  </si>
  <si>
    <t>WOS:000591375800003</t>
  </si>
  <si>
    <t>Doña, AM; Arévalo, ST; Gonzalvo, FG</t>
  </si>
  <si>
    <t>Moreno Dona, Alberto; Toro Arevalo, Sergio; Gomez Gonzalvo, Fernando</t>
  </si>
  <si>
    <t>Pre-service teacher education: connecting a decolonial pedagogical work with the social, political and insurgent intervention from public space</t>
  </si>
  <si>
    <t>RETOS-NUEVAS TENDENCIAS EN EDUCACION FISICA DEPORTE Y RECREACION</t>
  </si>
  <si>
    <t>There is no single adequate approach for establishing the criteria that should define pre-service teacher education. This is due to the fact that each orientation answers to specific interests (legitimizing some of them while denying others). There is a currently growing tendency to construct and normalize technical knowledge among students who are becoming teachers, always from a Eurocentric epistemological logic based on scientific-pedagogical evidence. Many regions on the planet are adopting this approach as their own and, at the same time, they are denying other forms of experiencing School and knowledge without a European scientific basis. By doing so, they are discrediting pedagogical proposals presented from the margins, as the European colonial logic dehumanizes people living in these regions due to the existing power relations in the North-South axis. This is the reason why a decolonial pedagogical logic is reflected upon and analyzed in the field of physical education. This logic focuses on living well, on exploring life in harmony with natural elements, on the reciprocity with other living beings, and on the transformation of the time-space limits for teachers' education via collective actions and from an ethical and political position based on self-management. That is why we propose an educational experience that transgresses the dominant educational rules and that travels towards an educational development based on incarnated learning, located and contextualized for the education of future PE teachers.</t>
  </si>
  <si>
    <t>Gómez-Gonzalvo, Fernando/ABG-9951-2020; Moreno-Doña, Alberto/ABG-2494-2020</t>
  </si>
  <si>
    <t>1579-1726</t>
  </si>
  <si>
    <t>1988-2041</t>
  </si>
  <si>
    <t>WOS:000519562000087</t>
  </si>
  <si>
    <t>Rayas, JA; León-Rodríguez, M; Martínez, A; Genovese, K; Medina, OM; Cordero, RR</t>
  </si>
  <si>
    <t>Antonio Rayas, Juan; Leon-Rodriguez, Miguel; Martinez, Amalia; Genovese, Katia; Medina, Orlando M.; Cordero, Raul R.</t>
  </si>
  <si>
    <t>Using a single-cube beam-splitter as a fringe pattern generator within a structured-light projection system for surface metrology</t>
  </si>
  <si>
    <t>OPTICAL ENGINEERING</t>
  </si>
  <si>
    <t>We show how a sinusoidal fringe pattern can be obtained by using a single cube beam splitter based on the Gates' interferometer configuration. When an expanded and collimated laser beam hits the binding edge of a nonpolarizing cube beam splitter parallel to the splitter coating, it generates interference fringes at the exit due to the internal reflections and refractions of the laser beam passing through the cube. Unlike common digital projection systems, the proposed optical arrangement generates a perfectly sinusoidal and continuous fringe pattern, minimizing the problems associated with the discretization of a synthetic digital signal. The fast Fourier transform and phase-shifting techniques are used to demodulate the captured fringe patterns. Experimental results are presented for the three-dimensional shape reconstruction of the relief of a coin and of a spherical indentation on a piece of aluminum with a maximum height of about 150 mu m. In addition, we evaluate the accuracy and resolution of the proposed measuring device: shape reconstruction accuracy is about 1.4% and axial resolution is 0.15 mu m. Due to its simple and compact setup, the proposed system is particularly suited to be miniaturized. (C) 2017 Society of Photo-Optical Instrumentation Engineers (SPIE)</t>
  </si>
  <si>
    <t>Rayas, Juan/CAG-8266-2022; Genovese, Katia/LVR-5953-2024; Cordero, Raul/M-7979-2017</t>
  </si>
  <si>
    <t>Leon-Rodriguez, Miguel/0000-0003-1309-2226; Cordero, Raul R./0000-0001-7607-7993; Medina, Orlando/0000-0002-8513-1450; Rayas, Juan Antonio/0000-0001-6809-2368</t>
  </si>
  <si>
    <t>0091-3286</t>
  </si>
  <si>
    <t>1560-2303</t>
  </si>
  <si>
    <t>10.1117/1.OE.56.4.044103</t>
  </si>
  <si>
    <t>WOS:000400897300030</t>
  </si>
  <si>
    <t>Butterfield, N; Rowe, PM; Stewart, E; Roesel, D; Neshyba, S</t>
  </si>
  <si>
    <t>Butterfield, Nicholas; Rowe, Penny M.; Stewart, Emily; Roesel, David; Neshyba, Steven</t>
  </si>
  <si>
    <t>Quantitative three-dimensional ice roughness from scanning electron microscopy</t>
  </si>
  <si>
    <t>JOURNAL OF GEOPHYSICAL RESEARCH-ATMOSPHERES</t>
  </si>
  <si>
    <t>We present a method for inferring surface morphology of ice from scanning electron microscope images. We first develop a novel functional form for the backscattered electron intensity as a function of ice facet orientation; this form is parameterized using smooth ice facets of known orientation. Three-dimensional representations of rough surfaces are retrieved at approximately micrometer resolution using Gauss-Newton inversion within a Bayesian framework. Statistical analysis of the resulting data sets permits characterization of ice surface roughness with a much higher statistical confidence than previously possible. A survey of results in the range -39 degrees C to -29 degrees C shows that characteristics of the roughness (e.g., Weibull parameters) are sensitive not only to the degree of roughening but also to the symmetry of the roughening. These results suggest that roughening characteristics obtained by remote sensing and in situ measurements of atmospheric ice clouds can potentially provide more facet-specific information than has previously been appreciated. Plain Language Summary The authors have found a way to extract three-dimensional information about the surfaces of tiny ice crystals grown under a high-powered scanning electron microscope. They found that these surfaces contain some unexpected features, with long, deep valleys in some instances, and rounded hills in others. The authors believe that these features may help understand how rough ice surfaces in real cirrus clouds affect Earth's climate.</t>
  </si>
  <si>
    <t>Roesel, David/AAN-3929-2021</t>
  </si>
  <si>
    <t>Roesel, David/0000-0003-3894-4499; Rowe, Penny/0000-0002-7594-0553</t>
  </si>
  <si>
    <t>2169-897X</t>
  </si>
  <si>
    <t>2169-8996</t>
  </si>
  <si>
    <t>MAR 16</t>
  </si>
  <si>
    <t>10.1002/2016JD026094</t>
  </si>
  <si>
    <t>WOS:000398064200028</t>
  </si>
  <si>
    <t>Adasme, P; Leung, J; Lisser, A</t>
  </si>
  <si>
    <t>Adasme, Pablo; Leung, Janny; Lisser, Abdel</t>
  </si>
  <si>
    <t>Resource allocation in uplink wireless multi-cell OFDMA networks</t>
  </si>
  <si>
    <t>COMPUTER STANDARDS &amp; INTERFACES</t>
  </si>
  <si>
    <t>We propose resource allocation models for wireless multi-cell orthogonal frequency division multiple access (OFDMA) networks. The models-maximize signal to interference noise ratio (SINR) and capacity with SINR produced in an OFDMA network subject to user power and subcarrier assignment constraints. We derive mixed integer programming formulations for the case when maximizing SINR and piecewise linear approximations for the capacity objective. A variable neighborhood search (VNS) metaheuristic is proposed to compute near optimal solutions. Our numerical results indicate that VNS provides near optimal solutions and better feasible solutions than CPLEX and DICOPT solvers in significantly less computational cost. (C) 2015 Elsevier B.V. All rights reserved.</t>
  </si>
  <si>
    <t>LEUNG, Janny/GMX-4666-2022; Adasme, Pablo/U-1735-2019; Leung, Janny/F-6838-2011</t>
  </si>
  <si>
    <t>Lisser, Abdel/0000-0003-1318-6679; Leung, Janny/0000-0002-9086-6056; Adasme, Pablo/0000-0003-2500-3294</t>
  </si>
  <si>
    <t>0920-5489</t>
  </si>
  <si>
    <t>1872-7018</t>
  </si>
  <si>
    <t>10.1016/j.csi.2015.08.003</t>
  </si>
  <si>
    <t>WOS:000366953200026</t>
  </si>
  <si>
    <t>Aránguiz, R; Chana-Cuevas, P; Alburquerque, D; Curinao, X</t>
  </si>
  <si>
    <t>Aranguiz, R.; Chana-Cuevas, P.; Alburquerque, D.; Curinao, X.</t>
  </si>
  <si>
    <t>Focal dystonia in musicians: Phenomenology and musical triggering factors</t>
  </si>
  <si>
    <t>NEUROLOGIA</t>
  </si>
  <si>
    <t>Dystonias are defined as a joint sustained and involuntary contraction of agonist and antagonist muscles, which can cause torsion, repetitive abnormal involuntary movements, and/or abnormal postures. One special group of dystonias are those known as occupational, which include dystonia disorders triggered by a repetitive motor activity associated with a specific professional activity or task. Musicians are a population particularly vulnerable to these types of dystonia, which are presented as a loss of coordination and voluntary motor control movements highly trained in musical interpretation. Our aim is to describe a clinical series of focal dystonias in musicians evaluated and treated in our centre. Patients and methods: Data is presented on a clinical series of 12 musicians with occupational dystonia. Their history and phenomenology are described, as well as well as their outcome after therapy. Results: Demographic details: Mean age 34.8 +/- 11.8 years, 10 males (83.3%) and 2 females (16.7%). Clinical history: History of trauma in dystonic segment, 6 patients (50%); family history of neurological diseases in first-degree relatives, 6 patients (50%); occupational history according to music category, 8 patients (66.6%) were classical musicians and 4 patients (33.3%) were popular musicians. Phenomenology: The dystonia syndrome was characterised by having a mean age of onset of 28.2 +/- 11.3 years (range 18-57 years). The segment affected was the hand (91.7%) in 11 patients. Of all the musicians seen in the clinic, 9 of them (75%) received therapy. The majority of patients appeared to have triggering factors specific to musical execution and linked to the requirement of fine motor control. It should be mentioned that 50% of the musicians treated maintained their professional activity or position in the orchestra to which they belonged. Conclusions: The majority of our phenomenological findings are consistent with those reported in the current literature. However, it is worth mentioning the presence of triggering factors attributed to the specific requirements of performing music, linked to the participation of fine motor control. (C) 2013 Sociedad Espanola de Neurologia. Published by Elsevier Espana, S.L.U. All rights reserved.</t>
  </si>
  <si>
    <t>Chana-Cuevas, Pedro/AAM-8215-2020</t>
  </si>
  <si>
    <t>0213-4853</t>
  </si>
  <si>
    <t>1578-1968</t>
  </si>
  <si>
    <t>10.1016/j.nrl.2013.12.024</t>
  </si>
  <si>
    <t>WOS:000355888600003</t>
  </si>
  <si>
    <t>Hugo, E; Reyes, J; Montupil, E; Bridi, R; Lissi, E; Denicola, A; Rubio, MA; López-Alarcón, C</t>
  </si>
  <si>
    <t>Hugo, Estefania; Reyes, Jael; Montupil, Elisa; Bridi, Raquel; Lissi, Eduardo; Denicola, Ana; Angelica Rubio, Maria; Lopez-Alarcon, Camilo</t>
  </si>
  <si>
    <t>Kinetics of the Reaction of Pyrogallol Red, a Polyphenolic Dye, with Nitrous Acid: Role of •NO and •NO2</t>
  </si>
  <si>
    <t>In the present work we studied the reaction under gastric conditions of pyrogallol red (PGR), a polyphenolic dye, with nitrous acid (HONO). PGR has been used as a model polyphenol due to its strong UV-visible absorption and its high reactivity towards reactive species (radicals and non-radicals, RS). The reaction was followed by UV-visible spectroscopy and high performance liquid chromatography (HPLC). A clear decrease of the PGR absorbance at 465 nm was observed, evidencing an efficient bleaching of PGR by HONO. In the initial stages of the reaction, each HONO molecule nearly consumed 2.6 PGR molecules while, at long reaction times, ca. 7.0 dye molecules were consumed per each reacted HONO. This result is interpreted in terms of HONO recycling. During the PGR-HONO reaction, nitric oxide was generated in the micromolar range. In addition, the rate of PGR consumption induced by HONO was almost totally abated by argon bubbling, emphasising the role that critical volatile intermediates, such as center dot NO and/or nitrogen dioxide (center dot NO2), play in the bleaching of this phenolic compound.</t>
  </si>
  <si>
    <t>Bridi, Raquel/JCN-9916-2023; Lopez, Camilo/J-5770-2013; Bajo, Maria/ABF-6991-2020; bridi, raquel/F-1572-2015</t>
  </si>
  <si>
    <t>bridi, raquel/0000-0002-3891-5770; Denicola, Ana/0000-0002-5181-9708; Lopez, Camilo/0000-0002-0174-8972; Reyes, Jael/0000-0001-5478-9017</t>
  </si>
  <si>
    <t>10.3390/molecules200610582</t>
  </si>
  <si>
    <t>WOS:000357992700067</t>
  </si>
  <si>
    <t>Plaza, A; Merlet, G; Hasanoglu, A; Isaacs, M; Sanchez, J; Romero, J</t>
  </si>
  <si>
    <t>Plaza, A.; Merlet, G.; Hasanoglu, A.; Isaacs, M.; Sanchez, J.; Romero, J.</t>
  </si>
  <si>
    <t>Separation of butanol from ABE mixtures by sweep gas pervaporation using a supported gelled ionic liquid membrane: Analysis of transport phenomena and selectivity</t>
  </si>
  <si>
    <t>The separation of acetone butanol ethanol mixtures (ABE) from aqueous solutions, which are produced in ABE fermentation processes, is carried out by sweep gas pervaporation using gelled supported ionic liquid membranes and by membrane evaporation. The membranes were synthesized by the gelation of an ionic liquid ([bmim][PF6]) into the porosity of polytetrafluoroethylene (PTFE) hollow fibers. The performance of the membranes used in sweep gas pervaporation is compared with the membrane evaporation process using the same hollow fiber support without IL in order to verify the selectivity contributed by the gelled ionic liquid gap formed in the membrane pores. Improved butanol/ethanol selectivity was verified for gelled IL membranes in pervaporation experiments compared to the evaporation process. A resistance-in-series model was developed to simulate the pervaporation process. The model predictions were in good agreement with the experimental results. IL membranes are found to have potential for separation of butanol from the ABE mixtures by pervaporation. (C) 2013 Elsevier B.V. All rights reserved.</t>
  </si>
  <si>
    <t>Isaacs, Mauricio/N-3027-2013; Hasanoğlu, Ayça/AAZ-4636-2020; Romero, Julio/I-6705-2013; Plaza, Antonio/C-4455-2008; Merlet Venturelli, Gaston/B-4109-2019; Sanchez-Marcano, Jose/E-1445-2012</t>
  </si>
  <si>
    <t>Plaza, Andrea/0000-0001-9475-007X; Merlet Venturelli, Gaston/0000-0003-2602-6471; Hasanoglu, Ayca/0000-0002-2988-8504; Romero, Julio/0000-0002-1229-1592; Sanchez-Marcano, Jose/0000-0003-1783-2092; Isaacs Casanova, Mauricio/0000-0003-0503-0949</t>
  </si>
  <si>
    <t>10.1016/j.memsci.2013.04.034</t>
  </si>
  <si>
    <t>WOS:000321749200023</t>
  </si>
  <si>
    <t>Abarzúa, R; Thériault, N; Avanzi, R; Soto, I; Alfaro, M</t>
  </si>
  <si>
    <t>Abarzua, Rodrigo; Theriault, Nicolas; Avanzi, Roberto; Soto, Ismael; Alfaro, Miguel</t>
  </si>
  <si>
    <t>OPTIMIZATION OF THE ARITHMETIC OF THE IDEAL CLASS GROUP FOR GENUS 4 HYPERELLIPTIC CURVES OVER PROJECTIVE COORDINATES</t>
  </si>
  <si>
    <t>ADVANCES IN MATHEMATICS OF COMMUNICATIONS</t>
  </si>
  <si>
    <t>Conference on Hyperelliptic Curves, Discrete Logarithms, Encryption</t>
  </si>
  <si>
    <t>MAR 16-20, 2009</t>
  </si>
  <si>
    <t>Frutillar, CHILE</t>
  </si>
  <si>
    <t>The aim of this paper is to reduce the number of operations in Cantor's algorithm for the Jacobian group of hyperelliptic curves for genus 4 in projective coordinates. Specifically, we developed explicit doubling and addition formulas for genus 4 hyperelliptic curves over binary fields with h(x) = 1. For these curves, we can perform a divisor doubling in 63 M + 19 S, while the explicit adding formula requires 203 M + 18 S, and the mixed coordinates addition (in which one point is given in a ffi ne coordinates) is performed in 165 M + 15 S. These formulas can be useful for public key encryption in some environments where computing the inverse of a field element has a high computational cost ( either in time, power consumption or hardware price), in particular with embedded microprocessors.</t>
  </si>
  <si>
    <t>Theriault, Nicolas/W-7831-2019</t>
  </si>
  <si>
    <t>Soto, Ismael/0000-0002-5501-5651; Alfaro, Miguel/0000-0002-1633-8853</t>
  </si>
  <si>
    <t>1930-5346</t>
  </si>
  <si>
    <t>1930-5338</t>
  </si>
  <si>
    <t>10.3934/amc.2010.4.115</t>
  </si>
  <si>
    <t>WOS:000277821600003</t>
  </si>
  <si>
    <t>Guerrero, J; Farías, L; Lemus, L; Quintanilla, A; Mena, A; Cortez, L; Baggio, RF; Garland, MT</t>
  </si>
  <si>
    <t>The new Ru(NBD)Cl2(substituted-2,2′-biquinoline) complexes.: Synthesis and characterization</t>
  </si>
  <si>
    <t>A new ruthenium complex series of type Ru(NBD)Cl2L (with L = 2,2'-biquinoline derivative) was prepared. Their spectroscopic properties were analysed by RMN H-1, UV-Vis and Infrared and their electrochemical potentials were obtained by cyclic voltammetry technique. The structure for a complex of this series was established by X-ray analysis. This structure shows a planarity distortion of biquinoline ligand on the complex. The coplanarity distortion degree through the complex series is modulated by the 3,3'-substitued position on the 2,2'-biquinoline ligand, and show correlation with the differences observed on their spectroscopic properties. (c) 2005 Elsevier Ltd. All rights reserved.</t>
  </si>
  <si>
    <t>Quintanilla, Alejandro/S-4638-2019; YANOWSKY-REYES, GUILLERMO/AAA-1311-2021</t>
  </si>
  <si>
    <t>LEMUS, LUIS/0000-0002-5499-8115</t>
  </si>
  <si>
    <t>JAN 2</t>
  </si>
  <si>
    <t>10.1016/j.poly.2005.05.009</t>
  </si>
  <si>
    <t>WOS:000234576500002</t>
  </si>
  <si>
    <t>Sepulveda, W; Muhlhausen, G; Flores, X; Gutierrez, J; Avila, R</t>
  </si>
  <si>
    <t>Giant hemangiopericytoma of the fetal neck - Prenatal two- and three-dimensional sonographic findings</t>
  </si>
  <si>
    <t>Large tumors of the fetal neck, although rare, represent a group of conditions associated with an exceedingly high perinatal morbidity and mortality rate.(1,2) Depending on their size and extension, fetal neck tumors may considerably increase intrauterine volume as well as impair the swallowing process, leading to polyhydramnios and premature delivery. They also are well-known causes of dystocia during labor, although the most dramatic complication is upper airway obstruction at birth.(3,4) The most common neck tumors seen in the fetus include teratoma, lymphangioma, hemangioendothelioma, and goiter, each of which has its own characteristic prenatal sonographic features and clinical implications.(1,2) In this report, we describe a case of a large fetal cervical mass detected in the third trimester, which was subsequently confirmed by histopathologic analysis as a hemangiopericytoma. The prenatal two-dimensional and three-dimensional (3D) sonographic findings, natural history, subsequent treatment, and differential diagnosis of this rare congenital tumor are described.</t>
  </si>
  <si>
    <t>Avila, Ronn/MVW-4134-2025</t>
  </si>
  <si>
    <t>1550-9613</t>
  </si>
  <si>
    <t>10.7863/jum.2003.22.8.831</t>
  </si>
  <si>
    <t>WOS:000184351700012</t>
  </si>
  <si>
    <t>Kelly, R; Favela, J; Ibarra, JM; Bassi, D</t>
  </si>
  <si>
    <t>Asymptotically stable visual servoing of manipulators via neural networks</t>
  </si>
  <si>
    <t>JOURNAL OF ROBOTIC SYSTEMS</t>
  </si>
  <si>
    <t>In this article we present a class of position control schemes for robot manipulators based on feedback of visual information processed through artificial neural networks. We exploit the approximation capabilities of neural networks to avoid the computation of the robot inverse kinematics as well as the inverse task space-camera mapping which involves tedious calibration procedures. Our main stability result establishes rigorously that in spite of the neural network giving an approximation of these mappings, the closed-loop system including the robot nonlinear dynamics is locally asymptotically stable provided that the Jacobian of the neural network is nonsingular. The feasibility of the proposed neural controller is illustrated through experiments on a planar robot. (C) 2000 John Wiley &amp; Sons, Inc.</t>
  </si>
  <si>
    <t>Favela, Jesus/AAJ-7086-2021; Favela, Jesus/J-8027-2013</t>
  </si>
  <si>
    <t>Favela, Jesus/0000-0003-2967-9654</t>
  </si>
  <si>
    <t>0741-2223</t>
  </si>
  <si>
    <t>10.1002/1097-4563(200012)17:12&lt;659::AID-ROB2&gt;3.0.CO;2-N</t>
  </si>
  <si>
    <t>WOS:000165644500002</t>
  </si>
  <si>
    <t>Cortes, JL; Gamboa, J; Velazquez, L</t>
  </si>
  <si>
    <t>A Nambu-Jona-Lasinio like model from QCD at low energies</t>
  </si>
  <si>
    <t>A generalization to any dimension of the fermion field transformation which allows to derive the solution of the massless Schwinger model in the path integral framework is identified. New arguments based on this transformation for a Nambu-Jona-Lasinio (NJL) like model as the low energy limit of a gauge theory in dimension greater than two are presented. Our result supports the spontaneous chiral symmetry breaking picture conjectured by Nambu many years ago and the link between QCD, NJL and chiral models. (C) 1998 Elsevier Science B.V. All rights reserved.</t>
  </si>
  <si>
    <t>Gamboa, Jorge/R-8744-2019; Velazquez Campoy, Luis Fernando/H-8201-2012; cortes, jose/C-3257-2012</t>
  </si>
  <si>
    <t>Velazquez Campoy, Luis Fernando/0000-0002-3050-9540; cortes, jose/0000-0002-8282-3435</t>
  </si>
  <si>
    <t>10.1016/S0370-2693(98)00694-7</t>
  </si>
  <si>
    <t>WOS:000075193100024</t>
  </si>
  <si>
    <t>ESTIU, GL; JUBERT, AH; MOLINA, J; COSTAMAGNA, J; CANALES, J; VARGAS, J</t>
  </si>
  <si>
    <t>SEMIEMPIRICAL SCF/CI INTERPRETATION OF THE ORIGIN OF THE CATALYTIC ACTIVITY OF TRANSITION METAL-MACROCYCLE COMPLEXES</t>
  </si>
  <si>
    <t>JOURNAL OF MOLECULAR STRUCTURE-THEOCHEM</t>
  </si>
  <si>
    <t>XXIst International Congress of Theoretical Chemists of Latin Expression</t>
  </si>
  <si>
    <t>SEP 20-24, 1993</t>
  </si>
  <si>
    <t>GRENOBLE, FRANCE</t>
  </si>
  <si>
    <t>Semiempirical self-consistent field (SCF) and configuration interaction (CI) calculations of the intermediate neglect of differential overlap (INDO) type are applied to the analysis of the electronic transitions of the hexaazacyclophane base and its Ni and Cu complexes. The ground states ((1)A(g) for the ligand and Ni complex, B-2(1g) for the Cu complex) are planar structures of D-2h symmetry. The low-energy region of the UV-visible spectra, whose analysis may help to recognize the catalytic active sites of the complexes is associated with d --&gt; d transitions in the Ni complex, and M --&gt; L charge transfer in the Cu complex.</t>
  </si>
  <si>
    <t>0166-1280</t>
  </si>
  <si>
    <t>10.1016/0166-1280(94)03840-H</t>
  </si>
  <si>
    <t>WOS:A1995QU08000029</t>
  </si>
  <si>
    <t>SCAIANO, JC; ENCINAS, MV; LISSI, EA; ZANOCCO, A; DAS, PK</t>
  </si>
  <si>
    <t>PHOTOCHEMISTRY OF ALKYL PYRUVATES</t>
  </si>
  <si>
    <t>JOURNAL OF PHOTOCHEMISTRY</t>
  </si>
  <si>
    <t>Scaiano, Juan/0000-0002-4838-7123; ZANOCCO, ANTONIO/0000-0002-6521-5382</t>
  </si>
  <si>
    <t>0047-2670</t>
  </si>
  <si>
    <t>10.1016/0047-2670(86)87037-X</t>
  </si>
  <si>
    <t>WOS:A1986C796100010</t>
  </si>
  <si>
    <t>Cabezas, A; Aguilera, S; Urzúa, S; Cooper, CD; Vera, C; Aguirre, M; Márquez, P; Pizarro, J</t>
  </si>
  <si>
    <t>Cabezas, Andrea; Aguilera, Scarlett; Urzua, Sergio; Cooper, Christopher D.; Vera, Cristian; Aguirre, Maria; Marquez, Paulina; Pizarro, Jaime</t>
  </si>
  <si>
    <t>Hematite nanoparticle-modified carbon paper as a promising electrochemical sensor for atropine detection in beverages</t>
  </si>
  <si>
    <t>This study proposes that the electroanalytical determination of atropine in beverages can be enhanced by modifying a carbon paper electrode with Fe2O3 nanostructures. We aim to explore how this modification affects the electrochemical response when using square wave voltammetry for atropine detection. The incorporation of Fe2O3 nanoparticles on CP improves the electrode's sensitivity and selectivity. Electrostatic calculations suggest that at pH 11, the electrode surface becomes negatively charged, which is more favorable for interactions with protonated atropine compared to its deprotonated form. The performance of the CP/Fe2O3 electrode was characterized by a limit of detection of 0.075 mM and a limit of quantification of 0.250 mM. In beverage samples, the presence of common interferents did not significantly affect atropine detection, demonstrating the electrode's robustness with satisfactory recovery percentages. These findings suggest that electrode could be a disposable and viable tool for sensitive and reliable atropine detection in complex matrices.</t>
  </si>
  <si>
    <t>Cooper, Christopher/ISV-1770-2023; Aguirre, Maria/A-3935-2013</t>
  </si>
  <si>
    <t>10.1016/j.foodchem.2025.143187</t>
  </si>
  <si>
    <t>WOS:001423345600001</t>
  </si>
  <si>
    <t>Beas-Jiménez, JD; Garrigosa, AL; Cuevas, PD; Recio, MIA; Bolados, CC; Alonso, JM</t>
  </si>
  <si>
    <t>Beas-Jimenez, J. D.; Garrigosa, A. Leon; Cuevas, P. Donoro; Recio, M. I. Alvarez; Bolados, C. Cofre; Alonso, J. M.</t>
  </si>
  <si>
    <t>Fibrosis and Sports Injuries: Concept and Implications: The GESMUTE-SETRADE Consensus Statement</t>
  </si>
  <si>
    <t>ORTHOPAEDIC JOURNAL OF SPORTS MEDICINE</t>
  </si>
  <si>
    <t>Background: Musculoskeletal fibrosis can be frequently observed in the scope of sports medicine; however, there is no consensus regarding its definition, nor do we have substantial knowledge regarding its epidemiology or best therapeutic alternatives.Purpose: The GESMUTE (Group for the Study of the Muscle Tendon System) Epidemiology Group, integrated into SETRADE (The Spanish Society for Sports Traumatology) propose a definition for musculoskeletal fibrosis within the field of physical exercise.Study Design: Consensus statement.Methods: A bibliographic review of the existing scientific evidence and consensus was developed by the authors on the definition of fibrosis in the field of sport.Results: Our working group proposed the definition of fibrosis as an abnormal accumulation of extracellular matrix, usually with regards to an injury complication, showing various clinical findings affecting muscles, tendons, ligaments, articular capsules and nerves which, in turn, mars the recovery process, causing symptoms and finally leading to relapses.Conclusion: Fibrosis in sport may be considered as an abnormal accumulation of extracellular matrix, usually related to complications of an injury, showing a wide range of clinical symptomatology, affecting muscles, tendons, ligaments, articular capsules, and nerves.</t>
  </si>
  <si>
    <t>MENESES, JESUS/ABG-7024-2020</t>
  </si>
  <si>
    <t>2325-9671</t>
  </si>
  <si>
    <t>10.1177/23259671241266604</t>
  </si>
  <si>
    <t>WOS:001313748500001</t>
  </si>
  <si>
    <t>Madrid, FMG; Soliz, A; Cáceres, L; Bergendahl, M; Leiva-Guajardo, S; Portillo, C; Olivares, D; Toro, N; Jimenez-Arevalo, V; Paez, M</t>
  </si>
  <si>
    <t>Madrid, Felipe M. Galleguillos; Soliz, Alvaro; Caceres, Luis; Bergendahl, Markus; Leiva-Guajardo, Susana; Portillo, Carlos; Olivares, Douglas; Toro, Norman; Jimenez-Arevalo, Victor; Paez, Maritza</t>
  </si>
  <si>
    <t>Green Corrosion Inhibitors for Metal and Alloys Protection in Contact with Aqueous Saline</t>
  </si>
  <si>
    <t>MATERIALS</t>
  </si>
  <si>
    <t>Corrosion is an inevitable and persistent issue that affects various metallic infrastructures, leading to significant economic losses and safety concerns, particularly in areas near or in contact with saline solutions such as seawater. Green corrosion inhibitors are compounds derived from natural sources that are biodegradable in various environments, offering a promising alternative to their conventional counterparts. Despite their potential, green corrosion inhibitors still face several limitations and challenges when exposed to NaCl environments. This comprehensive review delves into these limitations and associated challenges, shedding light on the progress made in addressing these issues and potential future developments as tools in corrosion management. Explicitly the following aspects are covered: (1) attributes of corrosion inhibitors, (2) general corrosion mechanism, (3) mechanism of corrosion inhibition in NaCl, (4) typical electrochemical and surface characterization techniques, (5) theoretical simulations by Density Functional Theory, and (6) corrosion testing standards and general guidelines for corrosion inhibitor selection. This review is expected to advance the knowledge of green corrosion inhibitors and promote further research and applications.</t>
  </si>
  <si>
    <t>Toro, Norman/AAK-7766-2020; Paez, Maritza/M-2010-2014; Portillo, Carlos/G-7352-2019; Caceres Villanueva, Luis Reynaldo/ADD-2587-2022</t>
  </si>
  <si>
    <t>Toro Villarroel, Norman Rodrigo/0000-0003-4273-3563; Soliz, Alvaro/0000-0002-6548-956X; Leiva Guajardo, Susana/0009-0007-9583-089X; Jimenez-Arevalo, Victor Manuel/0000-0001-8099-4022; paez, maritza/0000-0001-5881-884X; Olivares, Douglas/0000-0003-3854-3505; Galleguillos Madrid, Felipe M./0000-0002-1347-3726; Portillo, Carlos/0000-0001-9301-5604; Caceres Villanueva, Luis Reynaldo/0000-0001-7359-2148</t>
  </si>
  <si>
    <t>1996-1944</t>
  </si>
  <si>
    <t>10.3390/ma17163996</t>
  </si>
  <si>
    <t>WOS:001305292100001</t>
  </si>
  <si>
    <t>Ibaceta, E; Diaz, M; Rajendran, S; Arias, Y; Cardenas, R; Rodriguez, J; Essa, FA; Saleh, B</t>
  </si>
  <si>
    <t>Ibaceta, Efrain; Diaz, Matias; Rajendran, Saravanakumar; Arias, Yeiner; Cardenas, Roberto; Rodriguez, Jose; Essa, Fadl A.; Saleh, Bahaa</t>
  </si>
  <si>
    <t>Experimental Assessment of a Decentralized Control Strategy for a Back-to-Back Modular Multilevel Converter Operating in Low-Frequency AC Transmission</t>
  </si>
  <si>
    <t>The Modular Multilevel Converter (MMC) has been widely used in high-power applications owing to its inherent advantages, including scalability, modularity, high-power density, and fault tolerance. MMCs have recently been used in Low-Frequency Alternating Current (LFAC) transmission, particularly in the integration of offshore wind power with onshore grids. However, LFAC applications produce significant voltage oscillations in floating capacitor voltages within the MMC. Early research efforts have successfully established and validated decoupled control strategies for LFAC-based MMC systems. However, validations are usually based on simulations or small-scale prototypes equipped with limited power cells. Consequently, this paper presents a decentralized voltage control strategy based on Nearest Level Control for an MMC-based LFAC system. Experimental results obtained with a 120-cell MMC prototype are presented to validate the effectiveness and operation of the MMC in LFAC applications.</t>
  </si>
  <si>
    <t>Essa, Fadl/H-5669-2019; Arias-Esquivel, Yeiner/IVU-6694-2023; Rodriguez, Jose/A-2534-2013; Diaz, Matias/R-7570-2018; Cardenas, Roberto/C-6395-2011</t>
  </si>
  <si>
    <t>Arias-Esquivel, Yeiner/0000-0002-5340-3933; Rodriguez, Jose/0000-0002-1410-4121; Diaz, Matias/0000-0003-4489-9532; Cardenas, Roberto/0000-0003-3853-7703</t>
  </si>
  <si>
    <t>10.3390/pr12010155</t>
  </si>
  <si>
    <t>WOS:001150905500001</t>
  </si>
  <si>
    <t>Cortés-Villena, A; Soriano-Diaz, I; Domínguez, M; Vidal, M; Rojas, P; Aliaga, C; Giussani, A; Doménech-Carbó, A; Orti, E; Galian, RE; Pérez-Prieto, J</t>
  </si>
  <si>
    <t>Cortes-Villena, Alejandro; Soriano-Diaz, Ivan; Dominguez, Moises; Vidal, Matias; Rojas, Pablo; Aliaga, Carolina; Giussani, Angelo; Domenech-Carbo, Antonio; Orti, Enrique; Galian, Raquel E.; Perez-Prieto, Julia</t>
  </si>
  <si>
    <t>Governing the emissive properties of 4-aminobiphenyl-2-pyrimidine push-pull systems via the restricted torsion of N,N-disubstituted amino groups</t>
  </si>
  <si>
    <t>Donor-acceptor-substituted biphenyl derivatives are particularly interesting model compounds, which exhibit intramolecular charge transfer because of the extent of charge transfer between both substituents. The connection of a 4-[1,1 '-biphenyl]-4-yl-2-pyrimidinyl) moiety to differently disubstituted amino groups at the biphenyl terminal can offer push-pull compounds with distinctive photophysical properties. Herein, we report a comprehensive study of the influence of the torsion angle of the disubstituted amino group on the emissive properties of two pull-push systems: 4-[4-(4-N,N-dimethylaminophenyl)phenyl]-2,6-diphenylpyrimidine (D1) and 4-[4-(4-N,N-diphenylaminophenyl)phenyl]-2,6-diphenylpyrimidine (D2). The torsion angle of the disubstituted amino group, either N,N-dimethyl-amine or N,N-diphenyl-amine, at the biphenyl end governs their emissive properties. A drastic fluorescence quenching occurs in D1 as the solvent polarity increases, whereas D2 maintains its emission independently of the solvent polarity. Theoretical calculations on D1 support the presence of a twisted geometry for the lowest energy, charge-transfer excited state (S1,90), which corresponds to the minimum energy structure in polar solvents and presents a small energy barrier to move from the excited to the ground state, thereby favoring the non-radiative pathway and reducing the fluorescence efficiency. In contrast, this twisted structure is absent in D2 due to the steric hindrance of the phenyl groups attached to the amine group, making the non-radiative decay less favorable. Our findings provide insights into the crucial role of the substituent in the donor moiety of donor-acceptor systems on both the singlet excited state and the intramolecular charge-transfer process.</t>
  </si>
  <si>
    <t>Galian, Raquel/L-5134-2014; Ortí, Enrique/H-3237-2015; Villena, Alejandro/ABB-3538-2020; Domínguez, Moisés/P-2227-2019; Pérez-Prieto, Julia/E-8442-2014; Soriano-Diaz, Ivan/HNS-7854-2023</t>
  </si>
  <si>
    <t>Soriano-Diaz, Ivan/0000-0003-2034-0347; Giussani, Angelo/0000-0002-9452-7641</t>
  </si>
  <si>
    <t>10.3389/fchem.2023.1292541</t>
  </si>
  <si>
    <t>WOS:001105835900001</t>
  </si>
  <si>
    <t>Lai, WQ; Kuang, MX; Wang, XR; Ghafariasl, P; Sabzalian, MH; Lee, S</t>
  </si>
  <si>
    <t>Lai, Wanqi; Kuang, Meixia; Wang, Xiaorou; Ghafariasl, Parviz; Sabzalian, Mohammad Hosein; Lee, Sangkeum</t>
  </si>
  <si>
    <t>Skin cancer diagnosis (SCD) using Artificial Neural Network (ANN) and Improved Gray Wolf Optimization (IGWO)</t>
  </si>
  <si>
    <t>Skin Cancer (SC) is one of the most dangerous types of cancer and if not treated in time, it can threaten the patient's life. With early diagnosis of this disease, treatment methods can be used more effectively and the progression of the disease can be prevented. Machine Learning (ML) techniques can be utilized as a useful and efficient tool for SCD. So far, various methods for automatic SCD based on ML techniques have been presented; However, this research field still requires the application of optimal and efficient models to increase the accuracy of SCD. Therefore, in this article, a new method for SCD using a combination of optimization techniques and Artificial Neural Networks (ANNs) is presented. The proposed method includes four steps: pre-processing, segmentation, feature extraction, and classification. Image segmentation for identifying the lesion region is performed using a Kohonen neural network, where the identified region of interest (ROI) is enhanced using the Greedy Search Algorithm (GSA). The proposed method, uses a Convolutional Neural Network (CNN) for extracting features from ROIs. Also, to classify features, an ANN is used, and by the Improved Gray Wolf Optimization (IGWO) algorithm, the number of neurons and weight vector are adjusted. In this method, a probabilistic model is used to improve the convergence speed of the GWO algorithm. Based on the evaluation results, using the IGWO model to optimize the structure and weight vector of the ANN can be effective in increasing the diagnosis accuracy by at least 5%. The results of implementing the proposed method and comparing its performance with previous methods also show that this method can diagnose SC in the ISIC-2016 and ISIC-2017 databases with an average accuracy of 97.09 and 95.17%, respectively; which improves accuracy by at least 0.5% compared to other methods.</t>
  </si>
  <si>
    <t>Sabzalian, Mohammadhosein/AGZ-1425-2022</t>
  </si>
  <si>
    <t>ghafariasl, parviz/0009-0003-9994-7703</t>
  </si>
  <si>
    <t>NOV 8</t>
  </si>
  <si>
    <t>10.1038/s41598-023-45039-w</t>
  </si>
  <si>
    <t>WOS:001102634800061</t>
  </si>
  <si>
    <t>Liu, ZN; Sabzalian, MH; Yasoubi, E; do Val, JBR</t>
  </si>
  <si>
    <t>Liu, Zinan; Sabzalian, Mohammad Hosein; Yasoubi, Elnazossadat; do Val, Joao Bosco Ribeiro</t>
  </si>
  <si>
    <t>Advancing Voltage Control of Renewable Energy Resources Through a Transformerless DC/DC Converter: Enhancing Voltage Ratio and Efficiency</t>
  </si>
  <si>
    <t>ARABIAN JOURNAL FOR SCIENCE AND ENGINEERING</t>
  </si>
  <si>
    <t>In the realm of renewable energy utilization, the effective harnessing of low voltage sources necessitates the application of specialized interfaces like DC-DC power converters. Within this framework, step-up DC-DC power converters play a crucial and central role in enabling the efficient harvesting of renewable energy. This research presents an innovative DC-DC power converter with a high voltage transfer ratio, eliminating the need for a transformer. The converter utilizes switched inductor and capacitor techniques, demonstrating its unique advantages compared to traditional designs. Emphasizing low voltage switch stress as a technical priority, the proposed converter demonstrates a symbiotic relationship between high step-up voltage ratio and reduced power losses. Both continuous and discontinuous operating modes are examined to elucidate the steady-state behavior of the 250 W implemented prototype. The study provides comprehensive insights into the converter's capabilities, which are subsequently verified through meticulous experimental validation. The presented prototype exhibits impressive efficiency, reaching 97.1% owing to its ability to maintain low voltage switch stress during nominal operation. By effectively addressing the problem of low voltage renewable energy utilization, this research contributes to the advancement of sustainable power generation technologies.</t>
  </si>
  <si>
    <t>Sabzalian, Mohammadhosein/AGZ-1425-2022; do Val, João/J-9129-2012</t>
  </si>
  <si>
    <t>2193-567X</t>
  </si>
  <si>
    <t>2191-4281</t>
  </si>
  <si>
    <t>10.1007/s13369-023-08310-w</t>
  </si>
  <si>
    <t>WOS:001075510100002</t>
  </si>
  <si>
    <t>Acuña-Catalán, D; Olmos, C; Quiroz, G; Wehrfritz, C; Shah, S; Schilling, B; Nomura, M; Newman, JC; Acevedo, A; Ampuero, E; Wyneken, U; González-Billault, C</t>
  </si>
  <si>
    <t>Acuna-Catalan, Diego; Olmos, Cristina; Quiroz, Gabriel; Wehrfritz, Cameron; Shah, Samah; Schilling, Birgit; Nomura, Mitsunori; Newman, John C.; Acevedo, Alejandro; Ampuero, Estibaliz; Wyneken, Ursula; Gonzalez-Billault, Christian</t>
  </si>
  <si>
    <t>Ketogenic diet regulates presynaptic proteome by PKA and BDNF signaling pathway activation in prefrontal cortex of aging mice</t>
  </si>
  <si>
    <t>JOURNAL OF NEUROCHEMISTRY</t>
  </si>
  <si>
    <t>Newman, John/L-8112-2013</t>
  </si>
  <si>
    <t>0022-3042</t>
  </si>
  <si>
    <t>1471-4159</t>
  </si>
  <si>
    <t>A 02-02</t>
  </si>
  <si>
    <t>WOS:001057599800052</t>
  </si>
  <si>
    <t>Martínez, JN; Rodríguez, JF; Rodríguez, Y; Gómez, G</t>
  </si>
  <si>
    <t>Martinez, Jhan N.; Rodriguez, Jose F.; Rodriguez, Yeinzon; Gomez, Gabriel</t>
  </si>
  <si>
    <t>Particle-like solutions in the generalized SU(2) Proca theory</t>
  </si>
  <si>
    <t>The generalized SU(2) Proca theory is a vector-tensor modified gravity theory where the action is invariant under both diffeomorphisms and global internal transformations of the SU(2) group. This work constitutes the first approach to investigate the physical properties of the theory at astrophysical scales. We have found solutions that naturally generalize the particle-like solutions of the Einstein-Yang-Mills equations, also known as gauge boson stars. Under the requirement that the solutions must be static, asymptotically flat, and globally regular, the t'Hooft-Polyakov magnetic monopole configuration for the vector field rises as one viable possibility. The solutions have been obtained analytically through asymptotic expansions and numerically by solving the boundary value problem. We have found new features in the solutions such as regions with negative effective energy density and imaginary effective charge. We have also obtained a new kind of globally charged solutions for some region in the parameter space of the theory. Furthermore, we have constructed equilibrium sequences and found turning points in some cases. These results hint towards the existence of stable solutions which are absent in the Einstein-Yang-Mills case.</t>
  </si>
  <si>
    <t>Gomez, Gabriel/MVW-4321-2025; Rodríguez García, Yeinzon/I-3893-2019</t>
  </si>
  <si>
    <t>Gomez Diaz, Luis Gabriel/0000-0002-3618-9824; Rodriguez Garcia, Yeinzon/0000-0002-9830-7128</t>
  </si>
  <si>
    <t>10.1088/1475-7516/2023/04/032</t>
  </si>
  <si>
    <t>WOS:001004513900014</t>
  </si>
  <si>
    <t>Cárdenas, M; Fuentealba, O; Martínez, C; Troncoso, R</t>
  </si>
  <si>
    <t>Cardenas, Marcela; Fuentealba, Oscar; Martinez, Cristian; Troncoso, Ricardo</t>
  </si>
  <si>
    <t>Gravity coupled to a scalar field from a Chern-Simons action: describing rotating hairy black holes and solitons with gauge fields</t>
  </si>
  <si>
    <t>Einstein gravity minimally coupled to a scalar field with a two-parameter Higgs-like self-interaction in three spacetime dimensions is recast in terms of a Chern-Simons form for the algebra g(+) circle plus g(-) where, depending on the sign of the self-interaction couplings, g(+/-) can be so(2, 2), so(3, 1) or iso(2, 1). The field equations can then be expressed through the field strength of non-flat composite gauge fields, and conserved charges are readily obtained from boundary terms in the action that agree with those of standard Chern-Simons theory for pure gravity, but with non-flat connections. Regularity of the fields then amounts to requiring the holonomy of the connections along contractible cycles to be trivial. These conditions are automatically fulfilled for the scalar soliton and allow to recover the Hawking temperature and chemical potential in the case of the rotating hairy black holes presented here, whose entropy can also be obtained by the same formula that holds in the case of a pure Chern-Simons theory. In the conformal (Jordan) frame the theory is described by General Relativity with cosmological constant conformally coupled to a self-interacting scalar field, and its formulation in terms of a Chern-Simons form for suitably composite gauge fields is also briefly addressed.</t>
  </si>
  <si>
    <t>Troncoso, Ricardo/AAJ-9410-2021; Fuentealba, Oscar/JDN-0465-2023; Martinez, Cristian/G-9899-2012</t>
  </si>
  <si>
    <t>Cardenas, Marcela/0000-0002-1897-890X; Martinez, Cristian/0000-0002-7874-0602; Troncoso, Ricardo/0000-0003-3659-1140</t>
  </si>
  <si>
    <t>FEB 6</t>
  </si>
  <si>
    <t>10.1007/JHEP02(2023)058</t>
  </si>
  <si>
    <t>WOS:000930798800004</t>
  </si>
  <si>
    <t>Melo, BD; Vieira, DCA; de Oliveira, GC; Valente, J; Sanchez, Z; Ferrari, G; Magalhaes, LP; Rezende, LFM</t>
  </si>
  <si>
    <t>Melo, Bruna de Lima; Amaro Vieira, Dayara Cristina; de Oliveira, Gabriela Coelho; Valente, Juliana; Sanchez, Zila; Ferrari, Gerson; Magalhaes, Lidiane Pereira; Rezende, Leandro F. M.</t>
  </si>
  <si>
    <t>Adherence to healthy lifestyle recommendations in Brazilian cancer survivors</t>
  </si>
  <si>
    <t>JOURNAL OF CANCER SURVIVORSHIP</t>
  </si>
  <si>
    <t>Purpose We aimed to describe the adherence to healthy lifestyle recommendations (regular consumption of fruits, vegetables, and salad greens; limit the consumption of red and processed meat, fast food, sugary and alcoholic beverages; keeping a healthy body weight, being physically activity, and not smoking) of 2314 cancer survivors and 86,517 adults without cancer diagnosis (general population) from the Brazilian National Health Survey, 2019. Methods We developed a score including eight healthy lifestyle recommendations proposed by the World Cancer Research Fund (i.e., the score ranged from 0 to 8; being 0 did not follow any recommendation and 8 followed all recommendations). Results Cancer survivors had higher healthy lifestyle score than the general population. In contrast, they presented similar adherence to the recommendations of physical activity, healthy body weight, and quitting smoking. Among cancer survivors, women (OR 1.52; 95%CI 1.12 to 2.06) and widows (OR 1.49; 95%CI 1.02 to 2.18) had greater odds of adherence to healthy lifestyle recommendations, adjusted for other sociodemographic characteristics. However, cancer survivors with complete primary education (OR 0.64; 95%CI 0.44 to 0.94) and higher education (OR 0.58; 95%CI 0.40 to 0.83) had lower adherence to the recommendations. Conclusion Our findings may be useful to support counseling and interventions aimed at promoting healthy lifestyles for Brazilian cancer survivors. Implications for Cancer Survivors Healthy lifestyle may reduce mortality and cancer recurrence, and improve quality of life in cancer survivors. Identifying factors associated with the adherence to healthy lifestyle in cancer survivors may be useful to support actions and interventions.</t>
  </si>
  <si>
    <t>Ferrari, Gerson/ABG-6635-2021; Sanchez, Zila/AAA-2369-2019; Valente, Juliana/I-8042-2016; Rezende, Leandro/C-1724-2012; Sanchez, Zila/F-7994-2010; Ferrari, Gerson/P-1152-2014</t>
  </si>
  <si>
    <t>Rezende, Leandro/0000-0002-7469-1399; Sanchez, Zila/0000-0002-7427-7956; Y. Valente, Juliana/0000-0003-4408-2952; Ferrari, Gerson/0000-0003-3177-6576</t>
  </si>
  <si>
    <t>1932-2259</t>
  </si>
  <si>
    <t>1932-2267</t>
  </si>
  <si>
    <t>10.1007/s11764-022-01228-6</t>
  </si>
  <si>
    <t>JUN 2022</t>
  </si>
  <si>
    <t>WOS:000814977400001</t>
  </si>
  <si>
    <t>Zannoni, D; Saavedra, C; Levicán, G; Cappelletti, M</t>
  </si>
  <si>
    <t>Zannoni, Davide; Saavedra, Claudia; Levican, Gloria; Cappelletti, Martina</t>
  </si>
  <si>
    <t>Editorial: Microbial Life Under Stress: Biochemical, Genomic, Transcriptomic, Proteomic, Bioinformatics, Evolutionary Aspects, and Biotechnological Applications of Poly-Extremophilic Bacteria, Volume II</t>
  </si>
  <si>
    <t>Levican, Gloria/R-5191-2019; CAPPELLETTI, MARTINA/I-4952-2012</t>
  </si>
  <si>
    <t>CAPPELLETTI, MARTINA/0000-0002-6238-8296</t>
  </si>
  <si>
    <t>MAY 26</t>
  </si>
  <si>
    <t>10.3389/fmicb.2022.910962</t>
  </si>
  <si>
    <t>WOS:000812081000001</t>
  </si>
  <si>
    <t>Candia, AA; Arias, PV; González-Candia, C; Navarrete, A; Ebensperger, G; Reyes, RV; Llanos, AJ; González-Candia, A; Herrera, EA</t>
  </si>
  <si>
    <t>Candia, Alejandro A.; Arias, Pamela, V; Gonzalez-Candia, Cristopher; Navarrete, Alvaro; Ebensperger, German; Reyes, Roberto, V; Llanos, Anibal J.; Gonzalez-Candia, Alejandro; Herrera, Emilio A.</t>
  </si>
  <si>
    <t>Melatonin treatment during chronic hypoxic gestation improves neonatal cerebrovascular function</t>
  </si>
  <si>
    <t>VASCULAR PHARMACOLOGY</t>
  </si>
  <si>
    <t>Background: Fetal chronic hypoxia is associated with blood flow redistribution and oxidative damage in the brain, leading to increased perinatal morbimortality. Melatonin reduces oxidative stress, improves vascular function, and has neuroprotective effects. Objectives: This study aimed to determine the effects of an oral melatonin treatment to pregnant ewes at high altitude, on the cerebrovascular function of their neonates.Study design: Ten high-altitude pregnant sheep received either vehicle or melatonin (10 mg/d) during the last third of gestation until delivery. Postnatal daily hemodynamic measurements were recorded from lambs until 12 days old. In addition, lambs were submitted to a graded oxygenation protocol to assess cerebrovascular responses. Subsequently, lambs were euthanized, and middle cerebral arteries (MCA) were collected for vascular function, protein levels, and morphostructural analyses.Results: Antenatal treatment doubled plasma levels of melatonin in pregnant ewes. Melatonin increased carotid flow and decreased carotid vascular resistance in the lambs by the end of the first week. Furthermore, melatonin increased MCA's maximal vasoconstrictor and vasodilator responses, associated with nitric oxide-dependent and independent mechanisms.Conclusions: An oral treatment with melatonin during pregnancy promotes postnatal cerebral perfusion in chronically hypoxic neonates. Melatonin is a potential treatment for cerebrovascular dysfunction due to perinatal chronic hypoxia.</t>
  </si>
  <si>
    <t>Ebensperger, Germán/AAP-8227-2020; Candia, Alejandro/HLW-6943-2023; Gonzalez-Candia, Alejandro/GOV-6045-2022; Herrera, Emilio A/H-5992-2018</t>
  </si>
  <si>
    <t>Arias Alessandrini, Pamela/0000-0003-2132-0364; Llanos, Anibal/0000-0002-6285-9158; Gonzalez-Candia, Alejandro/0000-0001-8429-367X; Candia, Alejandro A./0000-0002-1726-7559; Herrera, Emilio A/0000-0002-6342-085X</t>
  </si>
  <si>
    <t>1537-1891</t>
  </si>
  <si>
    <t>1879-3649</t>
  </si>
  <si>
    <t>10.1016/j.vph.2022.106971</t>
  </si>
  <si>
    <t>WOS:000793507200003</t>
  </si>
  <si>
    <t>Garcia-Hermoso, A; Cofre-Bolados, C; Andrade-Schnettler, R; Ceballos-Ceballos, R; Fernández-Vergara, O; Vegas-Heredia, ED; Ramírez-Vélez, R; Izquierdo, M</t>
  </si>
  <si>
    <t>Garcia-Hermoso, Antonio; Cofre-Bolados, Cristian; Andrade-Schnettler, Rodrigo; Ceballos-Ceballos, Rodrigo; Fernandez-Vergara, Omar; Vegas-Heredia, Eddie D.; Ramirez-Velez, Robinson; Izquierdo, Mikel</t>
  </si>
  <si>
    <t>NORMATIVE REFERENCE VALUES FOR HANDGRIP STRENGTH IN CHILEAN CHILDREN AT 8-12 YEARS OLD USING THE EMPIRICAL DISTRIBUTION AND THE LAMBDA, MU, AND SIGMA STATISTICAL METHODS</t>
  </si>
  <si>
    <t>JOURNAL OF STRENGTH AND CONDITIONING RESEARCH</t>
  </si>
  <si>
    <t>The aim of this study was 2-fold (a) to provide sex- and age-specific handgrip reference standards for Chilean children aged 8-12 years and (b) to compare the levels of handgrip strength of Chilean children with those of children from other countries. This cross-sectional study enrolled 2,026 schoolchildren (boys n = 1,334 and girls n = 692, mean age 10.18 [1.16] years old). Handgrip strength was measured using a hand dynamometer with an adjustable grip. Relative handgrip strength was calculated by dividing handgrip strength by body mass (handgrip strength kg per mass kg). Smoothed centile curves and tables for the 10th, 20th, 30th, 40th, 50th, 60th, 70th, 80th, and 90th centiles were calculated using Cole's lambda, mu, and sigma method. The results indicate that mean handgrip strength was greater among boys than girls. Handgrip strength peaked at 16.25 (5.03) kg in boys and 14.90 (4.32) kg in girls. In addition, relative handgrip strength peaked at 0.38 (0.08) in boys and 0.34 (0.07) in girls. Chilean children of both sexes scored higher than their South American counterparts from Colombia and Peru but showed lower handgrip strength than European and Australian children. Our results provide, for the first time, sex- and age-specific handgrip reference standards for Chilean children aged 8-12.9 years. These normative reference values could help identify the levels of handgrip strength that need attention to provide appropriate feedback and advice to children about how to best improve their overall physical fitness.</t>
  </si>
  <si>
    <t>García-Hermoso, Antonio/ADU-2591-2022; Garcia-Hermoso, Antonio/P-1857-2017; Izquierdo, Mikel/A-4894-2010; Ramirez-Velez, Robinson/D-5311-2016</t>
  </si>
  <si>
    <t>Garcia-Hermoso, Antonio/0000-0002-1397-7182; Izquierdo, Mikel/0000-0002-1506-4272; Ramirez-Velez, Robinson/0000-0003-3075-6960</t>
  </si>
  <si>
    <t>1064-8011</t>
  </si>
  <si>
    <t>1533-4287</t>
  </si>
  <si>
    <t>10.1519/JSC.0000000000002631</t>
  </si>
  <si>
    <t>WOS:000607355100038</t>
  </si>
  <si>
    <t>Gil, Y; Fuentealba, P; Vega, A; Spodine, E; Aravena, D</t>
  </si>
  <si>
    <t>Gil, Yolimar; Fuentealba, Pablo; Vega, Andres; Spodine, Evgenia; Aravena, Daniel</t>
  </si>
  <si>
    <t>Control of magnetic anisotropy by macrocyclic ligand distortion in a family of DyIII and ErIII single molecule magnets</t>
  </si>
  <si>
    <t>DALTON TRANSACTIONS</t>
  </si>
  <si>
    <t>A family of hexaazamacrocyclic lanthanide complexes, [Ln(L-n)(NCS)(3)] (Ln(III) = Dy, Er; n = 1-3) has been synthesized and characterized by single-crystal X-ray diffraction, magnetic measurements and ab initio calculations. Macrocyclic ligands (L-n) differ in the lateral spacers, which are aliphatic chains with two and three carbons (for L-n, n = 1 and 2, respectively), and an aromatic ring for L-n = 3. Modification of the macrocycle spacer tunes planarity and rigidity of the equatorial coordination for both oblate (Dy) and prolate (Er) lanthanide ions. Ac-susceptibility studies showed that four of the six complexes are field induced single molecule magnets (SMMs). Trends in magnetic relaxation properties are rationalized with the aid of ab initio multireference calculations, highlighting the combined influence of macrocycle planarity, lanthanide electronic density distribution and intermolecular interactions for the achievement of slow demagnetization.</t>
  </si>
  <si>
    <t>Vega, Andres/B-2122-2010; Aravena, Daniel/F-2174-2011</t>
  </si>
  <si>
    <t>Gil Sanchez, Yolimar/0000-0002-1756-2726; Fuentealba, Pablo/0000-0003-0581-1243; Aravena, Daniel/0000-0003-3140-4852; Vega, Andres/0000-0001-6501-4161</t>
  </si>
  <si>
    <t>1477-9226</t>
  </si>
  <si>
    <t>1477-9234</t>
  </si>
  <si>
    <t>DEC 28</t>
  </si>
  <si>
    <t>10.1039/d0dt03370g</t>
  </si>
  <si>
    <t>WOS:000605665900031</t>
  </si>
  <si>
    <t>Barrientos, R; Fernández-Galleguillos, C; Pastene, E; Simirgiotis, M; Romero-Parra, J; Ahmed, S; Echeverría, J</t>
  </si>
  <si>
    <t>Barrientos, Ruth; Fernandez-Galleguillos, Carlos; Pastene, Edgar; Simirgiotis, Mario; Romero-Parra, Javier; Ahmed, Shakeel; Echeverria, Javier</t>
  </si>
  <si>
    <t>Metabolomic Analysis, Fast Isolation of Phenolic Compounds, and Evaluation of Biological Activities of the Bark From Weinmannia trichosperma Cav. (Cunoniaceae)</t>
  </si>
  <si>
    <t>Weinmannia trichosperma Cav. (Cunoniaceae) (local name, tineo; Mapuche names, maden, medehue) is an endemic species of Chile and Argentina used in Mapuche traditional medicine in the treatment of chronic diarrhea, inflammation, and wound healing. This study focused on the isolation, analysis, and characterization of the biological activity of compounds and bark extracts from this plant for the first time. The infusion and tincture of the bark were characterized regarding antioxidant and important enzyme inhibitory activities, phenolics, and flavonoids content and UHPLC-ESI-OT-MS metabolite profiling. Twenty-five metabolites were detected in the medicinal infusion of W. trichosperma, three flavonols were isolated: isoastilbin, neoisoastilbin, and neoastilbin ((2R,3S)-, (2S,3R)-, and (2S,3S)-dihydroquercetin 3-O-alpha-l-rhamnoside) by countercurrent chromatography, and the isomers were quantified in the bark using a validated analytical HPLC methodology. The antioxidant properties were measured by ABTS, DPPH, FRAP, ORAC, and TEAC methods. The infusion displayed a strong DPPH and ABTS scavenging activity (IC50 = 20.58 and 3.070 mu g ml(-1), respectively) while a moderated effect was observed in the FRAP, ORAC, and ABTS assays. The infusion showed a content of phenolic and flavonoid compounds of 442.1 mg GAE g(-1) and 15.54 mg QE g(-1), respectively. Furthermore, the infusion showed a good and promissory inhibitory activity (33.80%, 33.12%, and 82.86% for AChE, BuChE, and 5-hLOX, respectively) and isoastilbin (51.70%, 50.10%, and 34.29-80.71% for AChE, BuChE, and 5-hLOX, respectively). The biomolecules identified in this study support the traditional uses of this bark and the potential industrial interest from this Valdivian plant species.</t>
  </si>
  <si>
    <t>Simirgiotis, Mario/P-3871-2017; Awan, Shakeel/AAG-2097-2019; Echeverría, Javier/AAK-3323-2020; Galleguillos, Carlos/ABA-5721-2020; Barrientos-Vásquez, Ruth/AAH-9067-2019; Muafa, Hussein Mussa Ahmed/IWE-4818-2023</t>
  </si>
  <si>
    <t>Muafa, Hussein Mussa Ahmed/0000-0002-5290-025X; AHMED, SHAKEEL/0000-0003-0086-2279; Barrientos Vasquez, Ruth Ester/0000-0002-7162-9290; Echeverria, Javier/0000-0002-1688-968X; Fernandez-Galleguillos, Carlos/0000-0003-4282-8853</t>
  </si>
  <si>
    <t>MAY 27</t>
  </si>
  <si>
    <t>10.3389/fphar.2020.00780</t>
  </si>
  <si>
    <t>WOS:000540941900001</t>
  </si>
  <si>
    <t>Pizarro, GD; Marambio, OG; Jeria-Orell, M; Sánchez, J; Oyarzún, DP; Martin-Trasanco, R; Novio, F</t>
  </si>
  <si>
    <t>Pizarro, Guadalupe del C.; Marambio, Oscar G.; Jeria-Orell, Manuel; Sanchez, Julio; Oyarzun, Diego P.; Martin-Trasanco, Rudy; Novio, Fernando</t>
  </si>
  <si>
    <t>Morphological, optical and wettability characterization of honeycomb patterned films based on self-assembling copolymer under thermal annealing</t>
  </si>
  <si>
    <t>CHEMICAL PHYSICS</t>
  </si>
  <si>
    <t>A series of honeycomb-patterned porous films based on self-assembly block copolymers with different hydrophilic blocks were prepared using the breath figure (BF) method. The variation of hydrophilic moieties into the block copolymers provokes a response in the pore diameter size dispersity and in the surface pore distribution entropy. The morphological properties are examined using SEM and AFM microscopies, wettability properties were also studied. The distribution of the pores at the surface and shape variations of the structured films were studied by Raman spectroscopy before and after thermal annealing. We report a significant increase of the order and dispersity narrowing of the pores after thermal annealing which affects the water contact angle (WCA). These results were attributed to the process mechanism of the polymer chain self-assembly of the different hydrophilic moieties as a result of thermal annealing at temperatures below the glass transition temperature (Tg).</t>
  </si>
  <si>
    <t>PIZARRO, GUADALUPE/V-3353-2017; Martin-Trasancos, Rudy/L-2791-2017; Sanchez, Julio/AEO-4360-2022; Oyarzun, Diego/MTF-4062-2025; Novio, Fernando/L-5144-2014</t>
  </si>
  <si>
    <t>Sanchez, Julio/0000-0003-4245-0096; Novio, Fernando/0000-0002-1517-3612</t>
  </si>
  <si>
    <t>0301-0104</t>
  </si>
  <si>
    <t>1873-4421</t>
  </si>
  <si>
    <t>10.1016/j.chemphys.2020.110715</t>
  </si>
  <si>
    <t>WOS:000522668200005</t>
  </si>
  <si>
    <t>Rossit, DA; Tohmé, F; Frutos, M; Safe, MD; Vásquez, OC</t>
  </si>
  <si>
    <t>Alejandro Rossit, Daniel; Tohme, Fernando; Frutos, Mariano; Safe, Martin D.; Vasquez, Oscar C.</t>
  </si>
  <si>
    <t>Critical paths of non-permutation and permutation flow shop scheduling problems</t>
  </si>
  <si>
    <t>INTERNATIONAL JOURNAL OF INDUSTRIAL ENGINEERING COMPUTATIONS</t>
  </si>
  <si>
    <t>The literature on flow shop scheduling has extensively analyzed two classes of problems: permutation and non-permutation ones (PFS and NPFS). Most of the papers in this field have been just devoted on comparing the solutions obtained in both approaches. Our contribution consists of analyzing the structure of the critical paths determining the makespan of both kinds of schedules for the case of 2 jobs and m machines. We introduce a new characterization of the critical paths of PFS solutions as well as a decomposition procedure, yielding a representation of NPFS solutions as sequences of partial PFS ones. In structural comparisons we find cases in which NPFS solutions are dominated by PFS solutions. Numerical comparisons indicate that a wider dispersion of processing times improves the chances of obtaining optimal non-permutation schedules, in particular when this dispersion affects only a few machines. (C) 2020 by the authors; licensee Growing Science, Canada</t>
  </si>
  <si>
    <t>Tohme, Fernando/O-5646-2019; Safe, Martín/AAG-4227-2020; Rossit, Daniel/AAV-7371-2021; Frutos, Mariano/V-7549-2019</t>
  </si>
  <si>
    <t>Frutos, Mariano/0000-0003-2585-4195; Rossit, Daniel/0000-0002-2381-4352; Vasquez, Oscar C./0000-0002-1393-4692; Safe, Martin Dario/0000-0002-5405-7331</t>
  </si>
  <si>
    <t>1923-2926</t>
  </si>
  <si>
    <t>1923-2934</t>
  </si>
  <si>
    <t>SPR</t>
  </si>
  <si>
    <t>10.5267/j.ijiec.2019.8.001</t>
  </si>
  <si>
    <t>WOS:000494644100007</t>
  </si>
  <si>
    <t>Bello, P; Gallardo, P; Pradenas, L; Ferland, JA; Parada, V</t>
  </si>
  <si>
    <t>Bello, Paul; Gallardo, Pedro; Pradenas, Lorena; Ferland, Jacques A.; Parada, Victor</t>
  </si>
  <si>
    <t>Best compromise nutritional menus for childhood obesity</t>
  </si>
  <si>
    <t>Childhood obesity is an undeniable reality that has rapidly increased in many countries. Obesity at an early age not only increases the risks of chronic diseases but also produces a problem for the whole healthcare system. One way to alleviate this problem is to provide each patient with an appropriate menu that is defined by a mathematical model. Existing mathematical models only partially address the objective and constraints of childhood obesity; therefore, the solutions provided are insufficient for health specialists to prepare nutritional menus for individual patients. This manuscript proposes a multiobjective mathematical programming model to aid in healthy nutritional menu planning that may prevent childhood obesity. This model provides a plan for combinations and amounts of food across different schedules and daily meals. This approach minimizes the major risk factors of childhood obesity (i.e., glycemic load and cholesterol intake). In addition, this approach considers the minimization of nutritional mismatch and total cost. The model is solved using a deterministic method and two metaheuristic methods. Test instances associated with children aged 4-18 years were created with the support of health professionals to complete this numerical study. The quality of the solutions generated using the three methods was similar, but the metaheuristic methods provided solutions in a shorter computational time. These results are submitted to statistical hypothesis tests to be validated. The numerical results indicate proper guidelines for personalized plans for individual children.</t>
  </si>
  <si>
    <t>Parada, Victor/M-5840-2014; Pradenas, Lorena/ACZ-4624-2022</t>
  </si>
  <si>
    <t>Pradenas, Lorena/0000-0001-5199-7187</t>
  </si>
  <si>
    <t>JAN 24</t>
  </si>
  <si>
    <t>e0216516</t>
  </si>
  <si>
    <t>10.1371/journal.pone.0216516</t>
  </si>
  <si>
    <t>WOS:000510767600001</t>
  </si>
  <si>
    <t>Astroza, R; Barrientos, N; Li, Y; Flores, ES</t>
  </si>
  <si>
    <t>Barthorpe, R</t>
  </si>
  <si>
    <t>Astroza, Rodrigo; Barrientos, Nicolas; Li, Yong; Saavedra Flores, Erick</t>
  </si>
  <si>
    <t>Calibration of a Large Nonlinear Finite Element Model of a Highway Bridge with Many Uncertain Parameters</t>
  </si>
  <si>
    <t>MODEL VALIDATION AND UNCERTAINTY QUANTIFICATION, VOL 3</t>
  </si>
  <si>
    <t>37th International Modal Analysis Conference and Exposition (IMAC) on Structural Dynamics</t>
  </si>
  <si>
    <t>JAN 28-31, 2019</t>
  </si>
  <si>
    <t>Orlando, FL</t>
  </si>
  <si>
    <t>Soc Expt Mech</t>
  </si>
  <si>
    <t>Finite element (FE) model updating has emerged as a powerful technique for structural health monitoring (SHM) and damage identification (DID) of civil structures. Updating mechanics-based nonlinear FE models allows for a complete and comprehensive damage diagnosis of large and complex structures. Recursive Bayesian estimation methods, such as the Unscented Kalman filter (UKF), have been used to update nonlinear FE models of civil structures; however, their use have been limited to models with a relatively low number of degrees of freedom and with a limited number of unknown model parameters, because it is otherwise impractical for computationally demanding models with many uncertain parameters. In this paper, a FE model of the Marga-Marga bridge, an eight-span seismically-isolated bridge located in Vina del MarChile, is updated based on numerically simulated response data. Initially, 95 model parameters are considered unknown, and then, based on a simplified sensitivity analysis, a total of 27 model parameters are considered in the estimation. Different measurement sets, including absolute accelerations, relative displacements, strains, and shear deformations of the isolators, are analyzed to investigate the effects of considering heterogeneous responses on the estimation results. In addition, a non-recursive estimation procedure is presented and its effectiveness in reducing the computational cost, while maintaining accuracy and robustness in the estimation, is demonstrated.</t>
  </si>
  <si>
    <t>Astroza, Rodrigo/K-2699-2016</t>
  </si>
  <si>
    <t>Astroza, Rodrigo/0000-0003-0711-1259</t>
  </si>
  <si>
    <t>978-3-030-12075-7; 978-3-030-12074-0</t>
  </si>
  <si>
    <t>10.1007/978-3-030-12075-7_20</t>
  </si>
  <si>
    <t>WOS:000646021200020</t>
  </si>
  <si>
    <t>Corrêa, L; Arantes, L; Sens, P; Inostroza-Ponta, M; Dorn, M</t>
  </si>
  <si>
    <t>Correa, Leonardo; Arantes, Luciana; Sens, Pierre; Inostroza-Ponta, Mario; Dorn, Marcio</t>
  </si>
  <si>
    <t>A dynamic evolutionary multi-agent system to predict the 3D structure of proteins</t>
  </si>
  <si>
    <t>2020 IEEE CONGRESS ON EVOLUTIONARY COMPUTATION (CEC)</t>
  </si>
  <si>
    <t>IEEE Congress on Evolutionary Computation</t>
  </si>
  <si>
    <t>IEEE Congress on Evolutionary Computation (CEC) as part of the IEEE World Congress on Computational Intelligence (IEEE WCCI)</t>
  </si>
  <si>
    <t>JUL 19-24, 2020</t>
  </si>
  <si>
    <t>IEEE,IEEE Computat Intelligence Soc</t>
  </si>
  <si>
    <t>The protein structure prediction is one of the key problems in Structural Bioinformatics. The protein function is directly related to its conformation and the folding can provide to researchers better understandings about the protein roles in the cell. Several computational methods have been proposed over the last decades to tackle the problem. In this paper, we propose an ab initio algorithm with database information for the protein structure prediction problem. We do so by designing some versions of a multi-agent system that use concepts of dynamic distributed evolutionary algorithms to speed up and improve the optimization by better adapting the algorithm to the target protein. The dynamic strategy consists of auto-adapting the number of optimization agents according to the needs and current status of the optimization process. The system is able to scale in/out itself depending on some diversity criteria. The algorithms also take advantage of structural knowledge from the Protein Data Bank to better guide the search and constraint the state space. To validate our computational strategies, we tested them on a set of eight protein sequences. The obtained results were topologically compatible with the experimental correspondent ones, thus corroborating the promising performance of the strategies.</t>
  </si>
  <si>
    <t>Correa, Leonardo/HSF-8697-2023; Inostroza-Ponta, Mario/G-7548-2012; Dorn, Marcio/D-3696-2009</t>
  </si>
  <si>
    <t>Dorn, Marcio/0000-0001-8534-3480</t>
  </si>
  <si>
    <t>978-1-7281-6929-3</t>
  </si>
  <si>
    <t>WOS:000703998202020</t>
  </si>
  <si>
    <t>Zheng, X; Boutaous, M; Xin, SH; Siginer, DA; Hagani, F; Knikker, R</t>
  </si>
  <si>
    <t>Zheng, Xin; Boutaous, M'hamed; Xin, Shihe; Siginer, Dennis A.; Hagani, Fouad; Knikker, Ronnie</t>
  </si>
  <si>
    <t>A NEW APPROACH TO THE NUMERICAL MODELING OF THE VISCOELASTIC RAYLEIGH-BENARD CONVECTION</t>
  </si>
  <si>
    <t>PROCEEDINGS OF THE ASME INTERNATIONAL MECHANICAL ENGINEERING CONGRESS AND EXPOSITION, 2019, VOL 7</t>
  </si>
  <si>
    <t>ASME International Mechanical Engineering Congress and Exposition (IMECE)</t>
  </si>
  <si>
    <t>NOV 08-14, 2019</t>
  </si>
  <si>
    <t>Salt Lake City, UT</t>
  </si>
  <si>
    <t>A new approach to the numerical simulation of incompressible viscoelastic Rayleigh-Benard convection in a cavity is presented. Due to the fact that the governing equations are of elliptic-hyperbolic type, a quasi-linear treatment of the hyperbolic part of the equations is proposed to overcome the strong instabilities that can be induced and is handled explicitly in time. The elliptic part related to the mass conservation and the diffusion is treated implicitly in time. The time scheme used is semi-implicit and of second order. Second-order central differencing is used throughout except for the quasi-linear part treated by third order space scheme HOUC. Incompressibility is handled by a projection method. The numerical approach is validated first through comparison with a Newtonian benchmark of Rayleigh-Benard convection and then by comparing the results related to the convection set-up in a 2 : 1 cavity filled with an Oldroyd-B fluid. A preliminary study is also conducted for a PTT fluid and shows that PTT fluid is slightly more unstable than Oldroyd-B fluid in the configuration of Rayleigh-Benard convection.</t>
  </si>
  <si>
    <t>978-0-7918-5944-5</t>
  </si>
  <si>
    <t>V007T08A027</t>
  </si>
  <si>
    <t>WOS:001254322800027</t>
  </si>
  <si>
    <t>Astroza, R; Barrientos, N; Li, Y; Flores, EIS; Liu, ZN</t>
  </si>
  <si>
    <t>Astroza, Rodrigo; Barrientos, Nicolas; Li, Yong; Saavedra Flores, Erick I.; Liu, Zhenning</t>
  </si>
  <si>
    <t>Bayesian updating of complex nonlinear FE models with high-dimensional parameter space using heterogeneous measurements and a batch-recursive approach</t>
  </si>
  <si>
    <t>ENGINEERING STRUCTURES</t>
  </si>
  <si>
    <t>Finite element (FE) model updating aims to minimize the discrepancy between measured and FE-predicted responses of instrumented structural systems. In the last decades, significant efforts have focused on linear FE models, including recent studies investigating applications with large models (i.e., models with many degrees-of-freedom) and/or models with a large number of parameters to be estimated (i.e., high-dimensional parameter space). Recently, increasing interests have been attracted to the calibration of nonlinear FE models, which has emerged as an attractive approach for damage diagnosis and prognosis, chiefly if Bayesian methods are employed to solve the inverse parameter estimation problem. A crucial step towards the application of damage identification methods based on nonlinear FE model updating in the real-world, is the validation for cases involving large and complex nonlinear FE models requiring the estimation of a high number of parameters. In this paper, the performance of the unscented Kalman filter (UKF) in updating these types of models is investigated and a batch-recursive variant to reduce the computational cost is proposed. In addition, the effects of considering heterogeneous response measurements are studied. Two application examples of large and complex FE models involving strong nonlinearities, including a two-dimensional steel frame building and a three-dimensional isolated bridge, with high number of unknown model parameters are examined. Significant computational time savings of the presented batch-recursive approach, without sacrificing the estimation performance, are found. This confirms the feasibility of using Bayesian techniques to calibrate large and complex hysteretic FE models of real-world systems with high-dimensional parameter space. The successful results obtained here show that the presented approach represents a novel and promising tool to update large nonlinear structural FE models involving a great number of parameters whose calibration might become prohibitive by means of conventional updating techniques.</t>
  </si>
  <si>
    <t>Flores, Erick/I-7646-2012; Astroza, Rodrigo/K-2699-2016</t>
  </si>
  <si>
    <t>0141-0296</t>
  </si>
  <si>
    <t>1873-7323</t>
  </si>
  <si>
    <t>10.1016/j.engstruct.2019.109724</t>
  </si>
  <si>
    <t>WOS:000501395300006</t>
  </si>
  <si>
    <t>Salazar, R; Gallardo-Arriaza, J; Vidal, J; Rivera-Vera, C; Toledo-Neira, C; Sandoval, MA; Cornejo-Ponce, L; Thiam, A</t>
  </si>
  <si>
    <t>Salazar, Ricardo; Gallardo-Arriaza, Juan; Vidal, Jorge; Rivera-Vera, Camilo; Toledo-Neira, Carla; Sandoval, Miguel A.; Cornejo-Ponce, Lorena; Thiam, Abdoulaye</t>
  </si>
  <si>
    <t>Treatment of industrial textile wastewater by the solar photoelectro-Fenton process: Influence of solar radiation and applied current</t>
  </si>
  <si>
    <t>SOLAR ENERGY</t>
  </si>
  <si>
    <t>This work addresses the removal of Acid Blue 29 (AB29) textile dye by a solar photo-electro-Fenton (SPEF) process. Ten liter AB29 solutions containing 100 mg L-1 total organic carbon (TOC), 0.5 mM Fe2+ and 0.05 M Na2SO4 at a pH of 3.0 were electrolyzed by applying current densities of 25 and 50 mA cm(-2) in a pilot plant built in our laboratory. The pilot plant was composed of an electrochemical filter press cell with a dimensionally stable anode (DSA-type) and an air-diffusion cathode coupled to a solar photo-reactor. AB29 was completely mineralized by SPEF at the end of electrolysis, while the solution achieved decolorization in short periods of time on sunny days. Reaction intermediates, such as aromatic compounds, carboxylic acids and inorganic ions, were found during the oxidation process. Solar irradiation favors the mineralization of the dye in cost and efficiency compared to other electrochemical methods. Moreover, the treatment of an industrial textile effluent containing AB29 by SPEF produced mineralization greater than 90% on sunny days.</t>
  </si>
  <si>
    <t>Sandoval, Miguel/Q-3144-2019; Salazar, Ricardo/L-7870-2013; Sandoval, Miguel/F-3645-2019; Thiam, Abdoulaye/X-4067-2018</t>
  </si>
  <si>
    <t>Vidal, Jorge/0000-0002-1334-377X; Sandoval, Miguel/0000-0001-9659-5827; Toledo Neira, Carla Beatriz/0000-0003-2872-3043; Cornejo Ponce, Lorena/0000-0001-7518-0358; , Camilo Rivera Vera/0009-0002-8833-9342; Thiam, Abdoulaye/0000-0001-5024-1855; Salazar-Gonzalez, Ricardo/0000-0003-2180-6022</t>
  </si>
  <si>
    <t>0038-092X</t>
  </si>
  <si>
    <t>10.1016/j.solener.2019.07.072</t>
  </si>
  <si>
    <t>WOS:000487167800008</t>
  </si>
  <si>
    <t>Ahumada, M; Calderon, C; Lissi, E; Alvarez, C; Lanio, ME; Pazos, F</t>
  </si>
  <si>
    <t>Ahumada, M.; Calderon, C.; Lissi, E.; Alvarez, C.; Lanio, M. E.; Pazos, F.</t>
  </si>
  <si>
    <t>The pore forming capacity of Sticholysin I in dipalmitoyl phosphatidyl vesicles is tuned by osmotic stress</t>
  </si>
  <si>
    <t>CHEMISTRY AND PHYSICS OF LIPIDS</t>
  </si>
  <si>
    <t>The osmotic condition modulates the properties of liposomes, particularly those related to their stability and response to external agents such as membrane-active proteins or peptides. In a previous work, we have demonstrated that an osmotic shock can increase, per se, water influx/efflux and the exit of the fluorophore calcein entrapped in the aqueous pool of dipalmitoylphosphatidylcholine (DPPC) and DPPC: sphingomyelin (SM) large unilamellar vesicles (LUVs), suggesting a loss of integrity of the liposome bilayer. In the present work, we have extended our study in order to assess how an osmotic imbalance prior to or synchronous with the addition of a recombinant variant of the pore-forming toxin sticholysin I (rSt I) modifies its pore forming capacity in DPPC and DPPC:SM (1:1) LUVs. Our results conclusively show the capacity of hypotonic gradients to improve the pore forming capacity of rSt I molecules, even in pure DPPC liposomes, rendering pore-formation less dependent on the presence of sphyngomyelin. In fact, non-active toxins in DPPC liposomes become active by a hypotonic imbalance in a similar way to those containing SM as a second component. (C) 2017 Elsevier B.V. All rights reserved.</t>
  </si>
  <si>
    <t>Calderon, cristian/GQA-7422-2022; Ahumada, Manuel/L-2401-2018</t>
  </si>
  <si>
    <t>Ahumada, Manuel/0000-0002-0589-3296; Fabiola, Isabel/0000-0002-9502-2186</t>
  </si>
  <si>
    <t>0009-3084</t>
  </si>
  <si>
    <t>1873-2941</t>
  </si>
  <si>
    <t>10.1016/j.chemphyslip.2016.12.005</t>
  </si>
  <si>
    <t>WOS:000395725500010</t>
  </si>
  <si>
    <t>Mazo-Zuluaga, J; Velásquez, EA; Altbir, D; Mejía-López, J</t>
  </si>
  <si>
    <t>Mazo-Zuluaga, J.; Velasquez, E. A.; Altbir, D.; Mejia-Lopez, J.</t>
  </si>
  <si>
    <t>Controlling domain wall nucleation and propagation with temperature gradients</t>
  </si>
  <si>
    <t>APPLIED PHYSICS LETTERS</t>
  </si>
  <si>
    <t>Field driven nucleation and propagation of transverse domain walls ( DWs) in Fe nanowires under thermal gradients were studied using Monte Carlo simulations. Simulations identified that thermal gradients contribute to stabilizing nucleation of multiple DWs. The results also showed that the correct combination of a magnetic field and temperature gradients applied along a wire can provide a high degree of control over the direction, velocity, and acceleration of DW propagation, which is of paramount importance for technological applications. Published by AIP Publishing.</t>
  </si>
  <si>
    <t>Mejia-Lopez, Jose/0000-0003-0301-3408; Mazo Zuluaga, Johan/0000-0002-3512-6530; Velasquez, Ever/0000-0002-5058-8530; Altbir, Dora/0000-0002-2945-4909</t>
  </si>
  <si>
    <t>0003-6951</t>
  </si>
  <si>
    <t>1077-3118</t>
  </si>
  <si>
    <t>SEP 19</t>
  </si>
  <si>
    <t>10.1063/1.4963181</t>
  </si>
  <si>
    <t>WOS:000384558700037</t>
  </si>
  <si>
    <t>Oriol, X; Amutio, A; Mendoza, M; Da Costa, S; Miranda, R</t>
  </si>
  <si>
    <t>Oriol, Xavier; Amutio, Alberto; Mendoza, Michelle; Da Costa, Silvia; Miranda, Rafael</t>
  </si>
  <si>
    <t>Emotional Creativity as Predictor of Intrinsic Motivation and Academic Engagement in University Students: The Mediating Role of Positive Emotions</t>
  </si>
  <si>
    <t>Objective: Emotional creativity (EC) implies experiencing a complex emotional life, which is becoming increasingly necessary in societies that demand innovation and constant changes. This research studies the relation of EC as a dispositional trait with intrinsic motivation (IM) and academic engagement (AE). Methods: A sample of 428 university Chilean students, 36.5% men and 63.5% women, with ages from 18 to 45 years-old (M = 20.37; DT = 2.71). Additionally, the mediating function of class-related positive emotions in this relation is explored. Results: The obtained data indicate that developing high levels of dispositional EC enhances the activation of positive emotions, such as gratitude, love and hope, in the classroom. Furthermore, EC predicts IM and AE of university students by the experience of positive emotions. Conclusion: These results compel us to be aware of the importance that university students can understand the complexity of the emotional processes they undergo. A greater control of these emotions would allow students to maintain higher levels of interest in their studies at the different educational stages and to avoid the risk of school failure.</t>
  </si>
  <si>
    <t>Miranda, Rafael/AAS-5224-2021; da Costa T-6220-2018 correct, Silvia/N-6741-2018; Amutio, Alberto/AAP-7380-2020; Mendoza Lira, Michelle/ABH-2214-2021; Amutio, Alberto/O-3068-2016; Oriol, Xavier/AAO-3112-2021</t>
  </si>
  <si>
    <t>Miranda Ayala, Rafael/0000-0001-8640-6439; Amutio, Alberto/0000-0003-3989-9992; Mendoza Lira, Michelle/0000-0003-4275-1841; da Costa, Silvia/0000-0001-6011-821X; Oriol, Xavier/0000-0001-7130-7729</t>
  </si>
  <si>
    <t>AUG 25</t>
  </si>
  <si>
    <t>10.3389/fpsyg.2016.01243</t>
  </si>
  <si>
    <t>WOS:000381857000001</t>
  </si>
  <si>
    <t>Vinet, R; Martínez, JL; Guzmán, L</t>
  </si>
  <si>
    <t>Duarte, MCT; Rai, M</t>
  </si>
  <si>
    <t>Vinet, Raul; Luis Martinez, Jose; Guzman, Leda</t>
  </si>
  <si>
    <t>The Therapeutic Potential of Products based on Polyphenols from Wine Grapes in Cardiovascular Diseases</t>
  </si>
  <si>
    <t>THERAPEUTIC MEDICINAL PLANTS: FROM LAB TO THE MARKET</t>
  </si>
  <si>
    <t>Guzmán, Leda/AAF-5330-2020; Martinez, Jose/AAA-1725-2020</t>
  </si>
  <si>
    <t>978-1-4822-5404-4; 978-1-4822-5403-7</t>
  </si>
  <si>
    <t>WOS:000386221500017</t>
  </si>
  <si>
    <t>Ponce, HR; Mayer, RE; Lopez, MJ</t>
  </si>
  <si>
    <t>Ponce, Hector R.; Mayer, Richard E.; Lopez, Mario J.</t>
  </si>
  <si>
    <t>A computer-based spatial learning strategy approach that improves reading comprehension and writing</t>
  </si>
  <si>
    <t>ETR&amp;D-EDUCATIONAL TECHNOLOGY RESEARCH AND DEVELOPMENT</t>
  </si>
  <si>
    <t>This article explores the effectiveness of a computer-based spatial learning strategy approach for improving reading comprehension and writing. In reading comprehension, students received scaffolded practice in translating passages into graphic organizers. In writing, students received scaffolded practice in planning to write by filling in graphic organizers and in translating them into passages. Based on a cluster-randomized sampling process, 2,468 students distributed in 12 schools and 69 classrooms participated in the study. Schools were randomly assigned to the computer-based instruction (CBI) group or traditional instruction (TI) group. Teachers assigned to the CBI treatment integrated the applications into the language arts curriculum during one school semester. A standardized test was used to measure reading comprehension and writing. The data were analyzed through a statistical multilevel model. The findings showed that students in the CBI group improved their reading and writing skills significantly more than students under TI-yielding an effect size d = 0.30.</t>
  </si>
  <si>
    <t>Ponce, Hector R./0000-0002-7984-3945; Lopez, Mario/0000-0003-0909-7702</t>
  </si>
  <si>
    <t>1042-1629</t>
  </si>
  <si>
    <t>1556-6501</t>
  </si>
  <si>
    <t>10.1007/s11423-013-9310-9</t>
  </si>
  <si>
    <t>WOS:000326690200004</t>
  </si>
  <si>
    <t>Vera-Villarroel, P; Zych, I; Celis-Atenas, K; Cordova-Rubio, N; Buela-Casal, G</t>
  </si>
  <si>
    <t>Vera-Villarroel, Pablo; Zych, Izabela; Celis-Atenas, Karem; Cordova-Rubio, Natalia; Buela-Casal, Gualberto</t>
  </si>
  <si>
    <t>CHILEAN VALIDATION OF THE POSTTRAUMATIC STRESS DISORDER CHECKLIST-CIVILIAN VERSION (PCL-C) AFTER THE EARTHQUAKE ON FEBRUARY 27, 2010</t>
  </si>
  <si>
    <t>PSYCHOLOGICAL REPORTS</t>
  </si>
  <si>
    <t>Posttraumatic stress disorder (PTSD) is an anxiety disorder in which an individual re-experiences a traumatic event, avoids situations related to it, and shows excessive arousal. The disorder appears after experiencing a life-threatening event, such as a war or a natural disaster. Thus, the validation of tests which assess the disorder after the earthquake on February 27, 2010, in Chile is crucial for its evaluation and subsequent intervention. The present study includes psychometric data for the Posttraumatic Stress Disorder Checklist-Civilian version (PCL-C) on a sample of 509 survivors of the disaster. Values indicate good psychometric properties of the questionnaire.</t>
  </si>
  <si>
    <t>Vera-Villarroel, Pablo/AAQ-8476-2020; ZYCH, IZABELA/H-7343-2013; Vera-Villarroel, Pablo/A-1134-2011</t>
  </si>
  <si>
    <t>ZYCH, IZABELA/0000-0002-2962-0276; Vera-Villarroel, Pablo/0000-0001-9187-8414</t>
  </si>
  <si>
    <t>0033-2941</t>
  </si>
  <si>
    <t>1558-691X</t>
  </si>
  <si>
    <t>10.2466/02.13.15.17.PR0.109.4.47-58</t>
  </si>
  <si>
    <t>WOS:000295760000005</t>
  </si>
  <si>
    <t>Hidalgo-Rasmussen, CA; Martín, AHS; Rasmussen-Cruz, B; Montaño-Espinoza, R</t>
  </si>
  <si>
    <t>Alejandro Hidalgo-Rasmussen, Carlos; Hidalgo-San Martin, Alfredo; Rasmussen-Cruz, Bettylu; Montano-Espinoza, Rosa</t>
  </si>
  <si>
    <t>Quality of life according to self-perceived weight, weight control behaviors, and gender among adolescent university students in Mexico</t>
  </si>
  <si>
    <t>CADERNOS DE SAUDE PUBLICA</t>
  </si>
  <si>
    <t>The aim of this study was to analyze quality of life (QoL) according to self-perceived weight and weight control behaviors, by gender. The sample consisted of 2,401 adolescent students (1719 years of age) enrolled from 2007 to 2009 at a Mexican university; 61.9% were women, 19.4% worked, and 99.2% were single. An online self-administered questionnaire was used that included the perceptual module of the YQOL-R and seven items on body weight, adapted from YRBS 2007. Results: 52% of women and 31.7% of men were attempting to lose weight. The highest QoL scores were in students who felt they were near the right weight, those who were attempting to maintain the same weight, and those who exercised. Lowest QoL was reported by those who considered themselves overweight, were trying to lose weight, were eating less, were skipping meals, or were using unsupervised dieting, vomiting, or laxatives. In women, QoL differed between those maintaining the same weight, gaining weight, and losing weight, while QoL in men only differed for those attempting to gain weight. The findings could be useful in educational processes, preventive programs, and assessment of interventions.</t>
  </si>
  <si>
    <t>Hidalgo-Rasmussen, Carlos Alejandro/L-3565-2019</t>
  </si>
  <si>
    <t>Hidalgo-Rasmussen, Carlos Alejandro/0000-0002-5287-2076</t>
  </si>
  <si>
    <t>0102-311X</t>
  </si>
  <si>
    <t>1678-4464</t>
  </si>
  <si>
    <t>10.1590/S0102-311X2011000100007</t>
  </si>
  <si>
    <t>WOS:000287922700007</t>
  </si>
  <si>
    <t>Casanova, MP; Iglesias, P; Bolfarine, H; Salinas, VH; Peña, A</t>
  </si>
  <si>
    <t>Casanova, Maria P.; Iglesias, Pilar; Bolfarine, Heleno; Salinas, Victor H.; Pena, Alexis</t>
  </si>
  <si>
    <t>Semiparametric Bayesian measurement error modeling</t>
  </si>
  <si>
    <t>JOURNAL OF MULTIVARIATE ANALYSIS</t>
  </si>
  <si>
    <t>This work presents a Bayesian semiparametric approach for dealing with regression models where the covariate is measured with error. Given that (1) the error normality assumption is very restrictive, and (2) assuming a specific elliptical distribution for errors (Student-t for example), may be somewhat presumptuous; there is need for more flexible methods, in terms of assuming only symmetry of errors (admitting unknown kurtosis). In this sense, the main advantage of this extended Bayesian approach is the possibility of considering generalizations of the elliptical family of models by using Dirichlet process priors in dependent and independent situations. Conditional posterior distributions are implemented, allowing the use of Markov Chain Monte Carlo (MCMC), to generate the posterior distributions. An interesting result shown is that the Dirichlet process prior is not updated in the case of the dependent elliptical model. Furthermore, an analysis of a real data set is reported to illustrate the usefulness of our approach, in dealing with outliers. Finally, semiparametric proposed models and parametric normal model are compared, graphically with the posterior distribution density of the coefficients. (C) 2009 Elsevier Inc. All rights reserved.</t>
  </si>
  <si>
    <t>Bolfarine, Heleno/D-6685-2012; Pena, Alexis/MIT-7130-2025</t>
  </si>
  <si>
    <t>0047-259X</t>
  </si>
  <si>
    <t>10.1016/j.jmva.2009.11.004</t>
  </si>
  <si>
    <t>WOS:000273834800003</t>
  </si>
  <si>
    <t>Galotto, MJ; Ulloa, PA; Guarda, A; Gavara, R; Miltz, J</t>
  </si>
  <si>
    <t>Galotto, M. J.; Ulloa, P. A.; Guarda, A.; Gavara, R.; Miltz, J.</t>
  </si>
  <si>
    <t>Effect of High-Pressure Food Processing on the Physical Properties of Synthetic and Biopolymer Films</t>
  </si>
  <si>
    <t>JOURNAL OF FOOD SCIENCE</t>
  </si>
  <si>
    <t>The effect of high-pressure processing on 2 plastic food packaging films, a biopolymer (PLASiOx/PLA) and a synthetic polymer (PET-AlOx), was studied. Samples in direct contact with olive oil, as a fatty food simulant, and distilled water, as an aqueous simulant, were subjected to a pressure of 500MPa for 15 min at 50 degrees C. The mechanical, thermal, and gas barrier properties of both films were evaluated after the high-pressure processing (HPP) and compared to control samples that have not undergone this treatment. Significant changes in all properties were observed in both films after the HPP treatment and in contact with the food simulants. In both films an induced crystallization was noticed. In the PLASiOx/PLA film the changes were larger when in contact with water that probably acted as a plasticizer. In the PET-AlOx film the changes in properties were attributed to the formation of pinholes and cracks during the HPP treatment. In this film, most of the properties changed more in the presence of oil as the food</t>
  </si>
  <si>
    <t>Gavara, Rafael/H-4096-2012</t>
  </si>
  <si>
    <t>Gavara, Rafael/0000-0001-6376-8939; Ulloa, Pablo A/0000-0002-7267-9505</t>
  </si>
  <si>
    <t>0022-1147</t>
  </si>
  <si>
    <t>E304</t>
  </si>
  <si>
    <t>E311</t>
  </si>
  <si>
    <t>10.1111/j.1750-3841.2009.01212.x</t>
  </si>
  <si>
    <t>WOS:000268634400019</t>
  </si>
  <si>
    <t>Morales, P; Reyes, P; Vargas, M; Rios, M; Imarai, M; Cardenas, H; Croxatto, H; Orihuela, P; Vargas, R; Fuhrer, J; Heckels, JE; Christodoulides, M; Velasquez, L</t>
  </si>
  <si>
    <t>Morales, Priscilla; Reyes, Paz; Vargas, Macarena; Rios, Miguel; Imarai, Mónica; Cardenas, Hugo; Croxatto, Horacio; Orihuela, Pedro; Vargas, Renato; Fuhrer, Juan; Heckels, John E.; Christodoulides, Myron; Velasquez, Luis</t>
  </si>
  <si>
    <t>Infection of human Fallopian tube epithelial cells with Neisseria gonorrhoeae protects cells from tumor necrosis factor alpha-induced apptosis</t>
  </si>
  <si>
    <t>INFECTION AND IMMUNITY</t>
  </si>
  <si>
    <t>Following infection with Neisseria gonorrhoeae, bacteria may ascend into the Fallopian tubes (FT) and induce salpingitis, a major cause of infertility. In the FT, interactions between mucosal epithelial cells and gonococci are pivotal events in the pathogen's infection cycle and the inflammatory response. In the current study, primary FT epithelial cells were infected in vitro with different multiplicities of infection (MOI) of Pil(+) Opa(+) gonococci. Bacteria showed a dose-dependent association with cells and induced the secretion of tumor necrosis factor alpha (TNF-alpha). A significant finding was that gonococcal infection (MOI = 1) induced apoptosis in approximately 30% of cells, whereas increasing numbers of bacteria (MOI = 10 to 100) did not induce apoptosis. Apoptosis was observed in only 11% of cells with associated bacteria, whereas &gt; 84% of cells with no adherent bacteria were apoptotic. TNF-alpha was a key contributor to apoptosis, since (i) culture supernatants from cells infected with gonococci (MOI = 1) induced apoptosis in nalive cultures, suggesting that a soluble factor was responsible; (ii) gonococcal infection-induced apoptosis was inhibited with anti-TNF-alpha antibodies; and (iii) the addition of exogenous TNF-alpha induced apoptosis, which was inhibited by the presence of increasing numbers of bacteria (MOI = 10 to 100). These data suggest that TNF-alpha-mediated apoptosis of FT epithelial cells is likely a primary host defense mechanism to prevent pathogen colonization. However, epithelial cell-associated gonococci have evolved a mechanism to protect the cells from undergoing TNF-alpha-mediated apoptosis, and this modulation of the host innate response may contribute to establishment of infection. Understanding the antiapoptotic mechanisms used by Neisseria gonorrhoeae will inform the pathogenesis of salpingitis and could suggest new intervention strategies for prevention and treatment of the disease.</t>
  </si>
  <si>
    <t>Christodoulides, Myron/C-6699-2011</t>
  </si>
  <si>
    <t>Christodoulides, Myron/0000-0002-9663-4731; Imarai, Monica/0000-0001-8767-9180; Velasquez, Luis/0000-0002-9479-1792</t>
  </si>
  <si>
    <t>0019-9567</t>
  </si>
  <si>
    <t>1098-5522</t>
  </si>
  <si>
    <t>10.1128/IAI.00012-06</t>
  </si>
  <si>
    <t>WOS:000237862100062</t>
  </si>
  <si>
    <t>Bamón, R; Labarca, R; Mañé, R; Pacífico, MJ</t>
  </si>
  <si>
    <t>Bamon, Rodrigo; Labarca, Rafael; Mane, Ricardo; Pacifico, Maria Jose</t>
  </si>
  <si>
    <t>THE EXPLOSION OF SINGULAR CYCLES</t>
  </si>
  <si>
    <t>PUBLICATIONS MATHEMATIQUES</t>
  </si>
  <si>
    <t>0073-8301</t>
  </si>
  <si>
    <t>WOS:000207531500004</t>
  </si>
  <si>
    <t>Estrada, M; Flores, ME; Melo, F; Suga, T; Moreno-Villoslada, I</t>
  </si>
  <si>
    <t>Estrada, Mario; Flores, Mario E.; Melo, Francisco; Suga, Takeo; Moreno-Villoslada, Ignacio</t>
  </si>
  <si>
    <t>Poly(styrene sulfonate-co-glycidyl methacrylate)/Rhodamine B Films with Enhanced Energy Conversion in Luminescent Solar Concentrators Triggered by Aromatic-Aromatic Interactions</t>
  </si>
  <si>
    <t>JOURNAL OF PHYSICAL CHEMISTRY B</t>
  </si>
  <si>
    <t>Styrene sulfonate-glycidyl methacrylate copolymers have been rationally designed to furnish both insolubility in water and negatively charged aromatic functional groups that, upon undergoing aromatic-aromatic interactions with dyes, impart specific functionality to solid materials. Solid films incorporating varying amounts of the embedded fluorophore rhodamine B were obtained by solution casting of the copolymers onto glass substrates. The formed slabs were then evaluated for their potential use in energy conversion devices such as luminescent solar concentrators. The materials presented higher dye dispersion, avoiding nonfluorescent aggregates, increased fluorescence emission intensity, larger Stokes shift, lower absorption and emission overlap, reduced reabsorption, and longer fluorescence lifetime, compared with matrices made of rhodamine B/poly(methyl methacrylate). The higher dispersion, polarity, and charge transfer character in the excited state are claimed as the cause of these photophysical properties produced by the functional polymers. Tested in luminescent solar concentrator devices of 50 x 50 x 4 mm3, the device efficiency obtained reached 1.19%, whereas control devices made with rhodamine B/poly(methyl methacrylate) matrices only reached 0.33%. This aims at functional polymers containing aromatic charged residues in the solid state as potential tools to achieve improved performance in energy conversion devices based on the modulation of the photophysical response of aromatic dyes by means of aromatic-aromatic interactions.</t>
  </si>
  <si>
    <t>Moreno Villoslada, Ignacio/JOZ-4157-2023</t>
  </si>
  <si>
    <t>1520-6106</t>
  </si>
  <si>
    <t>1520-5207</t>
  </si>
  <si>
    <t>APR 12</t>
  </si>
  <si>
    <t>10.1021/acs.jpcb.4c08716</t>
  </si>
  <si>
    <t>WOS:001465836700001</t>
  </si>
  <si>
    <t>Alvarado, R; Barrientos, M; Suazo, A; Menanno, G; Pérez-Pinedo, L; Palazzi, NC; Sandoval, C</t>
  </si>
  <si>
    <t>Alvarado, Rolando; Barrientos, Marco; Suazo, Antonio; Menanno, Giovanni; Perez-Pinedo, Luis; Palazzi, Nuria Chiara; Sandoval, Cristian</t>
  </si>
  <si>
    <t>Non-destructive testing and kinematic limit analysis applied to a historic masonry church early intervened with RC elements</t>
  </si>
  <si>
    <t>ENGINEERING FAILURE ANALYSIS</t>
  </si>
  <si>
    <t>This article assesses the structural condition of a historic unreinforced masonry (URM) church whose original earthquake-resistant system was strengthened with reinforced concrete (RC) elements after the 1927 Mendoza earthquake. This early intervention, which took place between 1927 and 1930, consisted of RC frames formed by beams and columns embedded in the existing masonry. Since then, the church's seismic performance has been satisfactory, presenting minor damage after significant earthquakes. Despite its successful seismic performance, this church-and its strengthening strategy- has not been studied in depth. Due to the limited structural information available, a multidisciplinary study involving several non-destructive tests (NDT) in the church was conducted to understand its current structural state and reduce information gaps derived from historical sources and visual on-site inspection surveys. NDTs included the use of Terrestrial Laser Scanner (TLS), Unmanned Aerial Vehicle (UAV) photogrammetry, and Ground Penetrating Radar (GPR), among others. To assess the effectiveness of RC interventions, seismic behavior before and after the different retrofitting interventions was compared through linear kinematic analyses of the main failure mechanisms observed. The research results show that RC interventions increased the spectral accelerations required to activate overturning mechanisms in the macro-elements identified in the church, with safety indexes exceeding 1.0 for most RC-intervened macro-elements. The latter indicates that these elements are safe under the seismic loads specified by the Chilean code for heritage structures.</t>
  </si>
  <si>
    <t>Sandoval, Cristián/JPW-9593-2023; Palazzi, Nuria/MXJ-6100-2025</t>
  </si>
  <si>
    <t>Alvarado Funes, Rolando/0009-0002-8096-1380; Menanno, Giovanni/0000-0001-5293-8314; Barrientos, Marco/0000-0003-0653-3142; Sandoval, Cristian/0000-0002-3639-5126</t>
  </si>
  <si>
    <t>1350-6307</t>
  </si>
  <si>
    <t>1873-1961</t>
  </si>
  <si>
    <t>10.1016/j.engfailanal.2024.109205</t>
  </si>
  <si>
    <t>DEC 2024</t>
  </si>
  <si>
    <t>WOS:001390901000001</t>
  </si>
  <si>
    <t>Escobar-Soler, C; Berrios, R; Peñaloza-Díaz, G; Melis-Rivera, C; Caqueo-Urízar, A; Ponce-Correa, F; Flores, J</t>
  </si>
  <si>
    <t>Escobar-Soler, Carolang; Berrios, Raul; Penaloza-Diaz, Gabriel; Melis-Rivera, Carlos; Caqueo-Urizar, Alejandra; Ponce-Correa, Felipe; Flores, Jerome</t>
  </si>
  <si>
    <t>Effectiveness of Self-Affirmation Interventions in Educational Settings: A Meta-Analysis</t>
  </si>
  <si>
    <t>School and university can be stressful contexts that can become an important source of identity threats when social prejudices or stereotypes come into play. Self-affirmation interventions are key strategies for mitigating the negative consequences of identity threat. This meta-analysis aims to provide an overview of the effectiveness of self-affirmation interventions in educational settings. A peer-reviewed article search was conducted in January 2023. A total of 144 experimental studies that tested the effect of self-affirmation interventions in educational contexts among high school and university students from different social and cultural backgrounds were considered. The average effect of self-affirmation interventions was of low magnitude (d(IG)+ = 0.41, z = 16.01, p &lt; 0.00), with a 95% confidence interval whose values tended to lie between 0.36 and 0.45 (SE = 0.0253). In addition, moderators such as identity threat, participants' age, and intervention procedure were found. Through a meta-analysis of the impact of self-affirmation interventions in educational contexts, this study suggests that interventions are effective, resulting in a small mean effect size. Thus, self-affirmation interventions can be considered useful, brief, and inexpensive strategies to improve general well-being and performance in educational settings.</t>
  </si>
  <si>
    <t>Caqueo-Urízar, Alejandra/AAW-4045-2021; Berrios, Raul/G-5167-2019</t>
  </si>
  <si>
    <t>Melis-Rivera, Carlos/0009-0000-7138-3262; Berrios, Raul/0000-0003-1826-7822; Penaloza Diaz, Gabriel Andres Pablo/0000-0001-7857-925X; Flores Jara, Jerome/0000-0001-9333-6870; PONCE-CORREA, FELIPE/0000-0002-4768-5057; Caqueo-Urizar, Alejandra/0000-0002-4614-8380</t>
  </si>
  <si>
    <t>10.3390/healthcare12010003</t>
  </si>
  <si>
    <t>WOS:001139522700001</t>
  </si>
  <si>
    <t>Duran-Mateluna, C; Ales, Z; Elloumi, S</t>
  </si>
  <si>
    <t>Duran-Mateluna, Cristian; Ales, Zacharie; Elloumi, Sourour</t>
  </si>
  <si>
    <t>An efficient benders decomposition for the p-median problem</t>
  </si>
  <si>
    <t>EUROPEAN JOURNAL OF OPERATIONAL RESEARCH</t>
  </si>
  <si>
    <t>The p-median problem is a classic discrete location problem with numerous applications. It aims to open p sites while minimizing the sum of the distances of each client to its nearest open site. We study a Benders decomposition of the most efficient formulation in the literature. We show that the Benders cuts can be separated in linear time. The Benders reformulation leads to a compact formulation for the p-median problem. We implement a two-phase Benders decomposition algorithm that outperforms state-of-the-art methods on benchmark instances by an order of magnitude and allows to exactly solve for the first time several instances among which are large TSP instances and BIRCH instances. We also show that our implementation easily applies to the uncapacitated facility location problem.(c) 2022 Elsevier B.V. All rights reserved.</t>
  </si>
  <si>
    <t>Duran-Mateluna, Cristian/0000-0001-6024-4750; elloumi, sourour/0000-0001-6289-7958</t>
  </si>
  <si>
    <t>0377-2217</t>
  </si>
  <si>
    <t>1872-6860</t>
  </si>
  <si>
    <t>10.1016/j.ejor.2022.11.033</t>
  </si>
  <si>
    <t>WOS:000953840600001</t>
  </si>
  <si>
    <t>Crespo, R; Manuschevich, D; Parra, MJ; Crespo, F</t>
  </si>
  <si>
    <t>Crespo, Ricardo; Manuschevich, Daniela; Parra, Maria Jose; Crespo, Fernando</t>
  </si>
  <si>
    <t>Using spatial autologistic regression for predicting urban growth</t>
  </si>
  <si>
    <t>JOURNAL OF SPATIAL SCIENCE</t>
  </si>
  <si>
    <t>This paper aims to contribute to the discussion around the statistical performance of spatial autologistic regressions. We provide empirical evidence using spatially explicit land use change data. The data is fitted using both the traditional logistic regression and the spatial logistic approach. Results show that the spatial autologistic regression outperforms the traditional logistic approach. We conclude that the results from the spatial autologistic regression run on our land use change data are preferable to those from the traditional logistic regression. Various estimates from the logistic regression are non-significant in the autologistic approach. This may provoke misleading actions among urban planners.</t>
  </si>
  <si>
    <t>Crespo, Fernando/A-9122-2016; Crespo, Ricardo/JUF-6435-2023</t>
  </si>
  <si>
    <t>1449-8596</t>
  </si>
  <si>
    <t>1836-5655</t>
  </si>
  <si>
    <t>OCT 2</t>
  </si>
  <si>
    <t>10.1080/14498596.2022.2127951</t>
  </si>
  <si>
    <t>OCT 2022</t>
  </si>
  <si>
    <t>WOS:000862606700001</t>
  </si>
  <si>
    <t>Morgan, C; Sáez-Briones, P; Barra, R; Reyes, A; Zepeda-Morales, K; Constandil, L; Ríos, M; Ramírez, P; Burgos, H; Hernández, A</t>
  </si>
  <si>
    <t>Morgan, Carlos; Saez-Briones, Patricio; Barra, Rafael; Reyes, Andrea; Zepeda-Morales, Katherine; Constandil, Luis; Rios, Miguel; Ramirez, Paulina; Burgos, Hector; Hernandez, Alejandro</t>
  </si>
  <si>
    <t>Prefrontal Cortical Control of Activity in Nucleus Accumbens Core Is Weakened by High-Fat Diet and Prevented by Co-Treatment with N-Acetylcysteine: Implications for the Development of Obesity</t>
  </si>
  <si>
    <t>A loss of neuroplastic control on nucleus accumbens (NAc) neuronal activity exerted by the medial prefrontal cortex (mPFC) through long-term depression (LTD) is involved in triggering drug-seeking behavior and relapse on several substances of abuse due to impaired glutamate homeostasis in tripartite synapses of the nucleus accumbens (NAc) core. To test whether this maladaptive neuroplastic mechanism underlies the addiction-like behavior induced in young mice by a high-fat diet (HFD), we utilized 28-days-old male mice fed HFD ad-libitum over 2 weeks, followed by 5 days of HFD abstinence. Control groups were fed a regular diet. HFD fed mice showed increased Delta FosB levels in the NAc core region, whereas LTD triggered from the mPFC became suppressed. Interestingly, LTD suppression was prevented by an i.p. injection of 100 mg/kg N-acetylcysteine 2.5 h before inducing LTD from the mPFC. In addition, excessive weight gain due to HFD feeding was diminished by adding 2mg/mL N-acetylcysteine in drinking water. Those results show a loss of neuroplastic mPFC control over NAc core activity induced by HFD consumption in young subjects. In conclusion, ad libitum consumption of HFD can lead to neuroplastic changes an addiction-like behavior that can be prevented by N-acetylcysteine, helping to decrease the rate of excessive weight gain.</t>
  </si>
  <si>
    <t>; BURGOS, HECTOR/ABA-6821-2020</t>
  </si>
  <si>
    <t>Constandil, Luis/0000-0002-2504-0119; Saez-Briones, Patricio/0000-0002-1491-2639; Ramirez Garcia, Paulina/0000-0003-0971-3501; barra pezo, rafael/0000-0002-2898-3729; BURGOS, HECTOR/0000-0001-7705-4347</t>
  </si>
  <si>
    <t>10.3390/ijms231710089</t>
  </si>
  <si>
    <t>WOS:000852510800001</t>
  </si>
  <si>
    <t>Osorio, H; Tapia-Reyes, P; Espinoza, D; Laporte, D; González, A; Castro-Nallar, E; Moenne, A</t>
  </si>
  <si>
    <t>Osorio, Hector; Tapia-Reyes, Patricio; Espinoza, Daniela; Laporte, Daniel; Gonzalez, Alberto; Castro-Nallar, Eduardo; Moenne, Alejandra</t>
  </si>
  <si>
    <t>The Genome of the Marine Alga Ulva compressa (Chlorophyta) Reveals Protein-Coding Genes with Similarity to Plants and Green Microalgae, but Also to Animal, Bacterial, and Fungal Genes</t>
  </si>
  <si>
    <t>The genome of the marine alga Ulva compressa was assembled using long and short reads. The genome assembly was 80.8 Mb in size and encoded 19,207 protein-coding genes. Several genes encoding antioxidant enzymes and a few genes encoding enzymes that synthesize ascorbate and glutathione were identified, showing similarity to plant and bacterial enzymes. Additionally, several genes encoding signal transduction protein kinases, such as MAPKs, CDPKS, CBLPKs, and CaMKs, were also detected, showing similarity to plants, green microalgae, and bacterial proteins. Regulatory transcription factors, such as ethylene- and ABA-responsive factors, MYB, WRKY, and HSTF, were also present and showed similarity to plant and green microalgae transcription factors. Genes encoding enzymes that synthesize ACC and ABA-aldehyde were also identified, but oxidases that synthesize ethylene and ABA, as well as enzymes that synthesize other plant hormones, were absent. Interestingly, genes involved in plant cell wall synthesis and proteins related to animal extracellular matrix were also detected. Genes encoding cyclins and CDKs were also found, and CDKs showed similarity to animal and fungal CDKs. Few genes encoding voltage-dependent calcium channels and ionotropic glutamate receptors were identified as showing similarity to animal channels. Genes encoding Transient Receptor Potential (TRP) channels were not identified, even though TRPs have been experimentally detected, indicating that the genome is not yet complete. Thus, protein-coding genes present in the genome of U. compressa showed similarity to plant and green microalgae, but also to animal, bacterial, and fungal genes.</t>
  </si>
  <si>
    <t>Castro-Nallar, Eduardo/I-5925-2019; González, Alberto/IYJ-8593-2023; Tapia, Patricio/HLG-7846-2023</t>
  </si>
  <si>
    <t>Tapia-Reyes, Patricio/0000-0001-8797-6206; Moenne, Alejandra/0000-0002-7309-9713; Castro-Nallar, Eduardo/0000-0003-4384-8661; Gonzalez Figueroa, Alberto/0000-0002-5777-9022; Laporte, Daniel/0000-0003-0883-0917; Espinoza, Daniela/0000-0002-9765-7468</t>
  </si>
  <si>
    <t>10.3390/ijms23137279</t>
  </si>
  <si>
    <t>WOS:000824027900001</t>
  </si>
  <si>
    <t>Villalobos-Nova, K; Monroy-Moya, S; Maulen-Peñaloza, J; Pinto, GCM; Cornejo, A</t>
  </si>
  <si>
    <t>Villalobos-Nova, Karla; Monroy-Moya, Sebastian; Maulen-Penaloza, Joaquin; Pinto, Gabriela C. M.; Cornejo, Alberto</t>
  </si>
  <si>
    <t>Bringing the Spotlight to Tau and TDP-43 in Frontotemporal Dementia: A Review of Promising Chemical Compounds</t>
  </si>
  <si>
    <t>CURRENT MEDICINAL CHEMISTRY</t>
  </si>
  <si>
    <t>There is a wide variety of neurodegenerative diseases, among which frontotemporal dementia stands out. These are the second most frequent cause of dementia in the world and demand the search for an effective treatment. This disease is linked to the abnormal behavior of proteins, which group together to form insoluble aggregates. It has been shown that the tau protein and TDP-43 are the main proteins involved in these pathologies. This article details 11 compounds already used in different neuropathologies, which may serve as potential drugs against these proteins. The mechanism of how most of these molecules inhibited the tau and TDP-43 aggregation process was highlighted. Importantly, Curcumin, Proanthocyanidin B2, Oleocanthal, Oleuropein Aglycone, Thionine, and Resveratrol had been reported as direct inhibitors of tau. While 4-aminoquinoline, Dimethoxycurcumin, and Auranofin directly inhibited TDP-43. Epigallocatechin-3- gallate and Methylene Blue were described as tau and TDP-43 inhibitors. In this review, it is proposed that future research could elucidate the detailed inhibition mechanisms of these compounds to obtain relevant data to advance in treatments search for these coexisting proteins in frontotemporal dementia.</t>
  </si>
  <si>
    <t>Cornejo, Alberto/AAE-7978-2022</t>
  </si>
  <si>
    <t>Cornejo, Alberto/0000-0003-0837-4130; Villalobos-Nova, Karla/0000-0002-5559-9546</t>
  </si>
  <si>
    <t>0929-8673</t>
  </si>
  <si>
    <t>1875-533X</t>
  </si>
  <si>
    <t>10.2174/0929867329666220508175340</t>
  </si>
  <si>
    <t>WOS:000864622500001</t>
  </si>
  <si>
    <t>Castillo, H; Collado, H; Droguett, T; Sanchez, S; Vesely, M; Garrido, P; Palma, S</t>
  </si>
  <si>
    <t>Factors Affecting the Compressive Strength of Geopolymers: A Review</t>
  </si>
  <si>
    <t>Geopolymers are created by mixing a source of aluminosilicates, which can be natural or by-products from other industries, with an alkaline solution. These materials based on by-products from other industries have proven to be a less polluting alternative for concrete production than ordinary Portland cement (OPC). Geopolymers offer many advantages over OPC, such as excellent mechanical strength, increased durability, thermal resistance, and excellent stability in acidic and alkaline environments. Within these properties, mechanical strength, more specifically compressive strength, is the most important property for analyzing geopolymers as a construction material. For this reason, this study compiled information on the different variables that affect the compressive strength of geopolymers, such as Si/Al ratio, curing temperature and time, type and concentration of alkaline activator, water content, and the effect of impurities. From the information collected, it can be mentioned that geopolymers with Si/Al ratios between 1.5 and 2.0 obtained the highest compressive strengths for the different cases. On the other hand, high moderate temperatures (between 80 and 90 degrees C) induced higher compressive strengths in geopolymers, because the temperature favors the geopolymerization process. Moreover, longer curing times helped to obtain higher compressive strengths for all the cases analyzed. Furthermore, it was found that the most common practice is the use of sodium hydroxide combined with sodium silicate to obtain geopolymers with good mechanical strength, where the optimum SS/NaOH ratio depends on the source of aluminosilicates to be used. Generally speaking, it was observed that higher water contents lead to a decrease in compressive strength. The presence of calcium was found to be favorable in controlled proportions as it increases the compressive strength of geopolymers, on the other hand, impurities such as heavy metals have a negative effect on the compressive strength of geopolymers.</t>
  </si>
  <si>
    <t>Sánchez, Sebastián/L-7641-2014</t>
  </si>
  <si>
    <t>Droguett, Thomas/0000-0003-3483-0566; Castillo, Hengels/0000-0002-9319-1808</t>
  </si>
  <si>
    <t>10.3390/min11121317</t>
  </si>
  <si>
    <t>WOS:000736994600001</t>
  </si>
  <si>
    <t>Martínez, P; Rojas, G; Martínez, V; Marín, R; Cornejo, JP; Gómez, V</t>
  </si>
  <si>
    <t>Martinez, Pablo; Rojas, Graciela; Martinez, Vania; Marin, Rigoberto; Cornejo, Juan P.; Gomez, Victor</t>
  </si>
  <si>
    <t>Measuring Primary Health Care Clinicians' Skills for Depression Management</t>
  </si>
  <si>
    <t>FRONTIERS IN PSYCHIATRY</t>
  </si>
  <si>
    <t>Introduction: Primary health care clinicians play an important role in the management of depression. Thus, it is very important to have a valid and reliable assessment of the competences needed to manage depression in primary health care, with the use of clinical simulation providing such an opportunity. Objective: The present study describes the assessment of primary health care clinicians' depression-related skills through a series of objective structured clinical examination stations. Material and Methods: Clinicians from multi-professional teams for the management of depression at two primary health care clinics in Santiago, Chile, went through seven objective structured clinical examination stations, lasting 10 to 20 min each, to assess their depression-related skills. The clinical and communicative skills measured were in accordance with clinical guidelines. Standardized patients portrayed cases usually encountered in clinical practice, while expert raters evaluated clinicians' performance with standardized checklists. Results: Psychosocial clinicians performed better than biomedical clinicians in the assessed skills. The most notable results were as follows: a high level of accomplishment in the relationship with patient, medical anamnesis, health checkup, and lab test requests; heterogeneous performance in patient management according to screening results, feedback to the patient, and registration in clinical records; and major deficiencies in the differential diagnosis of bipolar disorder. Discussion: The objective structured clinical examinations administered provided an opportunity to perform an in-depth examination of the depression-related skills of primary health care clinicians, where flaws in the screening and diagnosis procedures used by biomedical clinicians were detected. Given the significant involvement of these types of clinicians in depression management, undergraduate-level and continuing health education opportunities are needed.</t>
  </si>
  <si>
    <t>Martínez, Pablo/LZF-5853-2025; martinez, vania/HTR-5513-2023; Martinez, Vania/LBT-7587-2024</t>
  </si>
  <si>
    <t>Martinez, Pablo/0000-0003-4482-7993; Martinez, Vania/0000-0001-5980-7122</t>
  </si>
  <si>
    <t>1664-0640</t>
  </si>
  <si>
    <t>AUG 14</t>
  </si>
  <si>
    <t>10.3389/fpsyt.2019.00570</t>
  </si>
  <si>
    <t>WOS:000480712300002</t>
  </si>
  <si>
    <t>Montenegro, I; Valenzuela, M; Zamorano, N; Santander, R; Baez, C; Madrid, A</t>
  </si>
  <si>
    <t>Montenegro, Ivan; Valenzuela, Miryam; Zamorano, Nicolas; Santander, Rocio; Baez, Carolina; Madrid, Alejandro</t>
  </si>
  <si>
    <t>Activity of Adesmia boronioides resinous exudate against phytopathogenic bacteria</t>
  </si>
  <si>
    <t>NATURAL PRODUCT RESEARCH</t>
  </si>
  <si>
    <t>Resinous exudate obtained from the aerial parts of Adesmia boronioides Hook.f. were evaluated to determine anti-phytopathogenic effects. Briefly, resinous exudate was obtained by dipping fresh plant material in dichloromethane; chemical composition was determined by GC-MS; and minimum inhibitory concentration (MIC) and minimum bactericidal concentration (MBC) were evaluated against four phytopathogenic bacteria. Resinous exudate yield was 8.5% (resin/fresh plant), of which esquel-6-en-9-one (14.25%), esquel-7-en-9-one (5.86%), and veratric acid (2.59%) were the effective antibacterial compounds. Tested against Pectobacterium carotovorum subsp. carotovora, Erwinia amylovora, Bacillus subtilis, and Pseudomonas syringae, MICs and MBCs ranged from 16 to 128 mu g/mL and 32-256 mu g/mL, respectively. These results provide initial evidence that resinous bush A. boronioides is a new and alternative source of substances with agricultural interest.</t>
  </si>
  <si>
    <t>Valenzuela, Miryam/AAC-1073-2020; Santander, Rocio/K-7645-2013</t>
  </si>
  <si>
    <t>madrid, alejandro/0000-0001-8977-7032; Valenzuela, Miryam/0000-0002-6475-1597</t>
  </si>
  <si>
    <t>1478-6419</t>
  </si>
  <si>
    <t>1478-6427</t>
  </si>
  <si>
    <t>MAY 31</t>
  </si>
  <si>
    <t>10.1080/14786419.2019.1648465</t>
  </si>
  <si>
    <t>AUG 2019</t>
  </si>
  <si>
    <t>WOS:000479990600001</t>
  </si>
  <si>
    <t>Juárez, AR; Ortiz-Chi, F; Borges-Martínez, M; Cárdenas-Jirón, G; Villanueva, MS; Anota, EC</t>
  </si>
  <si>
    <t>Rodriguez Juarez, A.; Ortiz-Chi, F.; Borges-Martinez, M.; Cardenas-Jiron, G.; Salazar Villanueva, M.; Chigo Anota, E.</t>
  </si>
  <si>
    <t>Stability, electronic and optical properties of the boron nitride cage (B47N53) from quantum mechanical calculations</t>
  </si>
  <si>
    <t>The structural, electronic and optical properties of an isomer proposed for the boron nitride cage (BN; BxNy; x = 47, y = 53) in the gas phase were carried out by means of DFT calculations. The results of the quantum simulations indicate there is not magnetism associated to the stable structure with neutral charge. However, the system exhibits a high cohesion energy ( - 6.08 eV/atom), this feature is relating to its high chemical stability. The quantum descriptors indicate a moderate polarity, low chemical reactivity as well as low work function for this nano-cage. This system has electronic behavior like-conductor, opposite to others BN nanostructures. On the other hand, the electronic absorption spectrum was obtained using six density functionals under the formalism of the time-dependent DFT and show a good agreement with the experimental data, these calculations reveal a strong absorption band at approximate to 260 nm in the UV region. The natural transition orbitals suggest an intramolecular charge transfer inside of BN cage, and the laplacian of the electron density evaluated in the bond critical points confirms that the cage is stabilized by the presence of homo-nuclear bonds B-B and N-N.</t>
  </si>
  <si>
    <t>Ortiz-Chi, Filiberto/L-6279-2017; Chigo, Ernesto/ABE-8083-2021; Salazar, Martin/HNJ-1129-2023; Cardenas-Jiron, Gloria/H-9508-2012</t>
  </si>
  <si>
    <t>Ortiz-Chi, Filiberto/0000-0002-2859-7633; Borges, Merlys/0000-0001-8130-1718; Salazar, Martin/0000-0002-8611-7685; Cardenas-Jiron, Gloria/0000-0003-4305-8088; Chigo, Ernesto/0000-0001-6037-7123</t>
  </si>
  <si>
    <t>10.1016/j.physe.2019.02.017</t>
  </si>
  <si>
    <t>WOS:000465001500016</t>
  </si>
  <si>
    <t>Abadias, L; Alvarez, E; Banas, J; Lizama, C</t>
  </si>
  <si>
    <t>Abadias, Luciano; Alvarez, Edgardo; Banas, Jozef; Lizama, Carlos</t>
  </si>
  <si>
    <t>SOLVABILITY AND UNIFORM LOCAL ATTRACTIVITY FOR A VOLTERRA EQUATION OF CONVOLUTION TYPE</t>
  </si>
  <si>
    <t>JOURNAL OF INTEGRAL EQUATIONS AND APPLICATIONS</t>
  </si>
  <si>
    <t>We show the existence of uniformly locally attractive solutions for a nonlinear Volterra integral equation of convolution type with a general kernel. We use methods and techniques of fixed point theorems and properties of measure of noncompactness. We extend earlier results obtained in the context of integral equations of fractional order. We give new insights about a new and striking relation between the size of data and the fractional order alpha &gt; 0 of the kernel k(t) = t(alpha-1)/Gamma(alpha).</t>
  </si>
  <si>
    <t>Lizama, Carlos/E-5909-2011</t>
  </si>
  <si>
    <t>Alvarez, Edgardo/0000-0003-2699-398X</t>
  </si>
  <si>
    <t>0897-3962</t>
  </si>
  <si>
    <t>1938-2626</t>
  </si>
  <si>
    <t>SUM</t>
  </si>
  <si>
    <t>10.1216/JIE-2019-31-2-149</t>
  </si>
  <si>
    <t>WOS:000487333700001</t>
  </si>
  <si>
    <t>Sierra-Rosales, P; Berríos, C; Miranda-Rojas, S; Squella, JA</t>
  </si>
  <si>
    <t>Sierra-Rosales, Paulina; Berrios, Cristhian; Miranda-Rojas, Sebastian; Squella, Juan A.</t>
  </si>
  <si>
    <t>Experimental and theoretical insights into the electrooxidation pathway of azo-colorants on glassy carbon electrode</t>
  </si>
  <si>
    <t>Sunset yellow, Allura red and Ponceau 4R are azo-colorants with similar chemical structures. These colorants were studied by electrochemical methods at a glassy carbon electrode in phosphate buffer solution (pH 7.0), combined with UV-Vis spectroscopic and theoretical methods to unveil their electrooxidation pathway. The electrooxidation of the azo-colorants showed an irreversible process for allura red and an electrochemical/chemical process for sunset yellow and ponceau 4R. The experimental potentials and the number of electrons involved in the oxidation process were correlated with those obtained from theoretical studies to support our findings. The characteristic bands of each colorant experimentally observed by UV-Vis were successfully assigned to specific molecular orbital transitions by theoretical calculations. According to this, the band close to 450 nm was assigned to electronic transitions centered in the azo-moiety, where spectroelectrochemical studies showed its disappearance after oxidation of the colorants. These results exposed that the azo-moiety is chemically affected by the oxidation process. The resonance structures of the colorants oxidized through the azo-moiety were confirmed by spin density analysis, suggesting the azo group as the electroactive center towards the oxidation of these colorants. In this article, we used a combined experimental and theoretical approach to provide new insights into the controversial aspects of the electrochemical oxidation of sunset yellow, allura red and ponceau 4R. As a consequence of these results, we propose a new reaction pathway involving the direct oxidation of the azo group. (C) 2018 Elsevier Ltd. All rights reserved.</t>
  </si>
  <si>
    <t>Sierra-Rosales, Paulina/K-4733-2019; Squella, Juan Arturo/A-5093-2009</t>
  </si>
  <si>
    <t>Squella, Juan Arturo/0000-0003-0362-4399; Sierra-Rosales, Paulina/0000-0001-7077-785X</t>
  </si>
  <si>
    <t>10.1016/j.electacta.2018.09.090</t>
  </si>
  <si>
    <t>WOS:000447008700058</t>
  </si>
  <si>
    <t>Minato, T; Aravena, D; Ruiz, E; Yamaguchi, K; Mizuno, N; Suzuki, K</t>
  </si>
  <si>
    <t>Minato, Takuo; Aravena, Daniel; Ruiz, Eliseo; Yamaguchi, Kazuya; Mizuno, Noritaka; Suzuki, Kosuke</t>
  </si>
  <si>
    <t>Effect of Heteroatoms on Field-Induced Slow Magnetic Relaxation of Mononuclear FeIII (S=5/2) Ions within Polyoxometalates</t>
  </si>
  <si>
    <t>INORGANIC CHEMISTRY</t>
  </si>
  <si>
    <t>In this paper, the synthesis and magnetic properties of mononuclear Fe-III-containing polyoxometalates (POMs) with different types of heteroatoms, TBA(7)H(10)[(A-alpha-XW9O34)(2)Fe] (IIX, X = Ge, Si; TBA = tetra-n-butylammonium), are reported. In these POMs, mononuclear highly distorted six-coordinate octahedral [FeO6](9-) units are sandwiched by two trivacant lacunary units [A-alpha-XW9O34](10-) (X = Ge, Si). These POMs exhibit field-induced slow magnetic relaxation based on the single high-spin Fe-III magnetic center (S = 5/2). Combining experiment and ab initio calculations, we investigated the effect of heteroatoms of the lacunary units on the field-induced slow magnetic relaxation of these POMs. By changing the heteroatoms from Si (IISi) to Ge (IIGe), the coordination geometry around the Fe-III ion is mildly changed. Concretely, the axial Fe-O bond length in IIGe is shortened compared with that in IISi, and consequently the distortion of the [FeO6](9-) unit in IIGe from the ideal octahedral coordination geometry becomes larger than that in IISi. The effective demagnetization barrier of IIGe (11.4 K) is slightly larger than that of IISi (9.2 K). Multireference ab initio calculations predict zero-field splitting parameters in good agreement with experiment. Although the differences in the coordination geometries and magnetic properties of IIGe and IISi are quite small, ab initio calculations indicate subtle changes in the magnetic anisotropy which are in line with the observed magnetic relaxation properties.</t>
  </si>
  <si>
    <t>Suzuki, Kosuke/C-4918-2012; Minato, Takuo/T-3462-2019; Minato, Takuo/E-2231-2018; Ruiz, Eliseo/A-6268-2011; Aravena, Daniel/F-2174-2011; Yamaguchi, Kazuya/R-7990-2016</t>
  </si>
  <si>
    <t>Suzuki, Kosuke/0000-0002-8123-1462; Minato, Takuo/0000-0002-4372-2906; Ruiz, Eliseo/0000-0001-9097-8499; Aravena, Daniel/0000-0003-3140-4852; Yamaguchi, Kazuya/0000-0002-7661-4936</t>
  </si>
  <si>
    <t>0020-1669</t>
  </si>
  <si>
    <t>1520-510X</t>
  </si>
  <si>
    <t>JUN 18</t>
  </si>
  <si>
    <t>10.1021/acs.inorgchem.8b00644</t>
  </si>
  <si>
    <t>WOS:000436023800025</t>
  </si>
  <si>
    <t>Adasme, P; Andrade, R; Leung, J; Lisser, A</t>
  </si>
  <si>
    <t>Adasme, Pablo; Andrade, Rafael; Leung, Janny; Lisser, Abdel</t>
  </si>
  <si>
    <t>Improved solution strategies for dominating trees</t>
  </si>
  <si>
    <t>EXPERT SYSTEMS WITH APPLICATIONS</t>
  </si>
  <si>
    <t>Intelligent systems in Wireless Sensor Networks (WSN) allow to eliminate duplicated sensed data and to efficiently route them to a central processing unit. Thus, augmenting WSN lifetime while keeping sensors connectivity and routing the sensed information through an optimized network structure. This work discusses a set of improved exact solution strategies that were effective to the design of a minimum energy consumption structure for the sensors data communication. We present an extended version of a primal-dual model for the minimum cost dominating tree (DT) problem, as well as valid inequalities to improve its linear relaxation. We discuss structural properties of dominating sets and trees used to conceive efficient cutting plane strategies. We adapt accordingly reduction techniques from dominating sets to the DT problem. The new solution techniques allow to handle to optimality challenging benchmark and new randomly generated DT instances with up to 100 nodes, which was not possible to achieve with state-of-the-art models for the problem. (C) 2018 Elsevier Ltd. All rights reserved.</t>
  </si>
  <si>
    <t>LEUNG, Janny/GMX-4666-2022; Adasme, Pablo/U-1735-2019; Leung, Janny/F-6838-2011; Andrade, Rafael/P-8202-2016</t>
  </si>
  <si>
    <t>Leung, Janny/0000-0002-9086-6056; Andrade, Rafael/0000-0003-2562-412X; Adasme, Pablo/0000-0003-2500-3294</t>
  </si>
  <si>
    <t>0957-4174</t>
  </si>
  <si>
    <t>1873-6793</t>
  </si>
  <si>
    <t>JUN 15</t>
  </si>
  <si>
    <t>10.1016/j.eswa.2018.01.031</t>
  </si>
  <si>
    <t>WOS:000427665100003</t>
  </si>
  <si>
    <t>Zagal, JH</t>
  </si>
  <si>
    <t>Zagal, Jose H.</t>
  </si>
  <si>
    <t>Editorial Overview: Tuning chemistry for better electrocatalysis</t>
  </si>
  <si>
    <t>CURRENT OPINION IN ELECTROCHEMISTRY</t>
  </si>
  <si>
    <t>zagal, jose/L-9648-2014</t>
  </si>
  <si>
    <t>2451-9103</t>
  </si>
  <si>
    <t>A3</t>
  </si>
  <si>
    <t>A4</t>
  </si>
  <si>
    <t>10.1016/j.coelec.2018.06.008</t>
  </si>
  <si>
    <t>WOS:000442798800002</t>
  </si>
  <si>
    <t>Dominguez-Sanchéz, MA; Velasco-Orjuela, GP; Quintero, AD; Correa-Bautista, JE; García-Hermoso, A; Bustos-Cruz, RH; Peña-Guzmán, CA; Téllez, LA; Ramírez-Vélez, R</t>
  </si>
  <si>
    <t>Andrea Dominguez-Sanchez, Maria; Paola Velasco-Orjuela, Gina; del Pilar Quintero, Andrea; Enrique Correa-Bautista, Jorge; Garcia-Hermoso, Antonio; Helena Bustos-Cruz, Rosa; Andres Pena-Guzman, Carlos; Tellez-T, Luis Andres; Ramirez-Velez, Robinson</t>
  </si>
  <si>
    <t>Effect Of A Single Session Of High-intensity, Resistance Or Combination Exercise Training On Neurotrophic Factors In Overweight Collegiate Men: The Brainfit Study</t>
  </si>
  <si>
    <t>MEDICINE AND SCIENCE IN SPORTS AND EXERCISE</t>
  </si>
  <si>
    <t>Annual Meeting of the American-College-of-Sports-Medicine (ACSM)</t>
  </si>
  <si>
    <t>MAY 29-JUN 02, 2018</t>
  </si>
  <si>
    <t>Minneapolis, MN</t>
  </si>
  <si>
    <t>Amer Coll Sports Med</t>
  </si>
  <si>
    <t>Ramírez-Vélez, Robinson/D-5311-2016; Correa-Bautista, Jorge/N-2741-2015; Bustos, Helena/R-5723-2019; García-Hermoso, Antonio/ADU-2591-2022; Garcia-Hermoso, Antonio/P-1857-2017</t>
  </si>
  <si>
    <t>0195-9131</t>
  </si>
  <si>
    <t>1530-0315</t>
  </si>
  <si>
    <t>WOS:000456870500302</t>
  </si>
  <si>
    <t>Figueroa, J; Rogan, J; Valdivia, JA; Kiwi, M; Romero, G; Torres, F</t>
  </si>
  <si>
    <t>Dionne, JA; Lawrence, M; Sheldon, MT</t>
  </si>
  <si>
    <t>Figueroa, Joaquin; Rogan, Jose; Alejandro Valdivia, Juan; Kiwi, Miguel; Romero, Guillermo; Torres, Felipe</t>
  </si>
  <si>
    <t>Nucleation of superfluid-light domains</t>
  </si>
  <si>
    <t>QUANTUM NANOPHOTONICS 2018</t>
  </si>
  <si>
    <t>Conference on Quantum Nanophotonics</t>
  </si>
  <si>
    <t>AUG 20-21, 2018</t>
  </si>
  <si>
    <t>San Diego, CA</t>
  </si>
  <si>
    <t>SPIE</t>
  </si>
  <si>
    <t>Electromagnetic coupled resonator arrays (CRAs) doped with a quantum two-level system allow for the quantum simulation of a Mott-insulator to super fluid phase transition. We demonstrate that the order of this simulated phase transition depends on the type of dynamics. Thus, a first order like phase transition can be induced by a quench dynamics, while a second order like phase transition is produced by an adiabatic dynamics. In addition, we show that the underlying macroscopic behavior of the phase transition in other many body systems, such as domain nucleation and phase coexistence, can also be observed in CRAs. This universal behavior emerges from the light-matter interaction and the topology of the array. Therefore, the latter can be used to manipulate the photonic transport properties of the simulated super fluid phase.</t>
  </si>
  <si>
    <t>Torres, Felipe/ABA-9751-2020; Kiwi, Miguel/D-3401-2013</t>
  </si>
  <si>
    <t>Torres, Felipe/0000-0002-0444-3250</t>
  </si>
  <si>
    <t>978-1-5106-2040-7</t>
  </si>
  <si>
    <t>10.1117/12.2319764</t>
  </si>
  <si>
    <t>WOS:000451763700001</t>
  </si>
  <si>
    <t>González, A; Carrasco, R; Soto, I; Alfaro, M; Fuentealba, D</t>
  </si>
  <si>
    <t>Gonzalez, Alvaro; Carrasco, Raul; Soto, Ismael; Alfaro, Miguel; Fuentealba, Diego</t>
  </si>
  <si>
    <t>Location Evaluation for Implementation of VLC, in Chile</t>
  </si>
  <si>
    <t>2018 7TH INTERNATIONAL CONFERENCE ON INDUSTRIAL TECHNOLOGY AND MANAGEMENT (ICITM 2018)</t>
  </si>
  <si>
    <t>7th International Conference on Industrial Technology and Management (ICITM)</t>
  </si>
  <si>
    <t>MAR 07-09, 2018</t>
  </si>
  <si>
    <t>Oxford, ENGLAND</t>
  </si>
  <si>
    <t>This research focuses on making a decision with multiple criteria about the ideal location of visible light implementation VLC in Chile. VLC is a wireless communication system that uses visible light as a means of data transmission, becoming an alternative for radio frequency systems, especially the use of WI-FI. In relation to the decision making that is required, there are several alternatives, seeking as a result to make a single decision. During the decision-making process of the implementation, physical arguments of the geography are weighted, among other significant variables, based on one of the multicriteria methods in decision-making called ELECTRA I, used on variables that are qualified and subsequently limits of comparison, as a way to help the selection of characterized alternatives. As a main characteristic, evaluate the relative advantages and disadvantages among the alternatives according to the criteria that are the object of analysis and give a certain hierarchy with preference orders.</t>
  </si>
  <si>
    <t>Alonso, Álvaro/AAO-5941-2020; Fuentealba, Diego/AAM-8509-2020; Carrasco, Raul/G-5440-2015</t>
  </si>
  <si>
    <t>Carrasco, Raul/0000-0002-5023-9349; Soto, Ismael/0000-0002-5501-5651; Fuentealba, Diego/0000-0001-5284-0448</t>
  </si>
  <si>
    <t>978-1-5386-1329-0</t>
  </si>
  <si>
    <t>WOS:000588554200051</t>
  </si>
  <si>
    <t>Díaz-Calderón, P; Flores, E; González-Muñoz, A; Pepczynska, M; Quero, F; Enrione, J</t>
  </si>
  <si>
    <t>Diaz-Calderon, P.; Flores, E.; Gonzalez-Munoz, A.; Pepczynska, M.; Quero, F.; Enrione, J.</t>
  </si>
  <si>
    <t>Influence of extraction variables on the structure and physical properties of salmon gelatin</t>
  </si>
  <si>
    <t>FOOD HYDROCOLLOIDS</t>
  </si>
  <si>
    <t>This work focuses on investigating the effect of extraction conditions (pH and time) on the biochemical and physical properties of salmon gelatin (SG). SG was extracted from salmon skins under different pH and time conditions at 60 degrees C. The characterization of the material considered proximate composition, amino acid profile, molecular weight (MW), gel strength, X-Ray diffraction, thermal properties, dynamic mechanical properties and dynamic vapour sorption analysis. Results showed that higher protein content was obtained with extraction condition pH5/2h, while lower protein content was obtained at condition pH3/5h. Extraction performed at pH5 produced SG with MW &gt; 120 kDa, while processing condition at pH3 resulted in MW bands distributed between 20 and 100 kDa. Higher contents of proline and hydroxyproline were detected in SG with high MW. This behaviour was directly correlated with gel strength and thermo-mechanical properties: higher gel strength and E' modulus were observed in SG with high MW, suggesting higher amount of triple helical structures in gelatin matrix. This was also supported by higher values of tans detected as the MW of SG decreased. This may be related with decreasing the crystalline fraction of SG. Thermal properties revealed no significant differences in melting temperature and glass transition temperature values among samples. The melting energy was significantly lower for SG with lower MW. This was confirmed by X-Ray diffraction where the intensity of the diffraction peak at similar to 2 theta = 8 degrees significantly decreased for SG extracted under more aggressive conditions. Finally, gelatin extracted under mild conditions showed higher moisture content, which was in agreement with higher amounts of triple-helix structures. Our results suggest the possibility to modulate the physical properties of SG by tuning the extraction process to obtain tailored gelatin structures for high-value applications in food technology, tissue engineering and biomedicine. (C) 2017 Elsevier Ltd. All rights reserved.</t>
  </si>
  <si>
    <t>Gonzalez-Muñoz, Adrian/GOK-1800-2022; Quero, Franck/AAV-4341-2020; Flores, Esteban/KXR-0202-2024; Enrione, Javier/I-9225-2014</t>
  </si>
  <si>
    <t>Enrione, Javier/0000-0002-3916-6775; Gonzalez M, Adrian/0000-0001-6284-6552; Diaz-Calderon, Paulo/0000-0002-8375-2210; Pepczynska, Marzena/0000-0002-4655-9585</t>
  </si>
  <si>
    <t>0268-005X</t>
  </si>
  <si>
    <t>1873-7137</t>
  </si>
  <si>
    <t>10.1016/j.foodhyd.2017.05.004</t>
  </si>
  <si>
    <t>WOS:000405058800014</t>
  </si>
  <si>
    <t>Godoy, L; Silva-Moreno, E; Mardones, W; Guzman, D; Cubillos, FA; Ganga, A</t>
  </si>
  <si>
    <t>Godoy, Liliana; Silva-Moreno, Evelyn; Mardones, Wladimir; Guzman, Darwin; Cubillos, Francisco A.; Ganga, Angelica</t>
  </si>
  <si>
    <t>Genomics Perspectives on Metabolism, Survival Strategies, and Biotechnological Applications of Brettanomyces bruxellensis LAMAP2480</t>
  </si>
  <si>
    <t>JOURNAL OF MOLECULAR MICROBIOLOGY AND BIOTECHNOLOGY</t>
  </si>
  <si>
    <t>Wine production is an important commercial issue for the liquor industry. The global production was estimated at 275.7 million hectoliters in 2015. The loss of wine production due to Brettanomyces bruxellensis contamination is currently a problem. This yeast causes a horse sweat flavor in wine, which is an undesired organoleptic attribute. To date, 6 B. bruxellensis annotated genome sequences are available (LAMAP2480, AWRI1499, AWRI1608, AWRI1613, ST05.12/22, and CBS2499), and whole genome comparisons between strains are limited. In this article, we reassembled and reannotated the genome of B. bruxellensis LAMAP2480, obtaining a 27-Mb assembly with 5.5 kb of N50. In addition, the genome of B. bruxellensis LAMAP2480 was analyzed in the context of spoilage yeast and potential as a biotechnological tool. In addition, we carried out an exploratory transcriptomic analysis of this strain grown in synthetic wine. Several genes related to stress tolerance, micronutrient acquisition, ethanol production, and lignocellulose assimilation were found. In conclusion, the analysis of the genome of B. bruxellensis LAMAP2480 reaffirms the biotechnological potential of this strain. This research represents an interesting platform for the study of the spoilage yeast B. bruxellensis. (C) 2017 S. Karger AG, Basel</t>
  </si>
  <si>
    <t>Ganga, Maria/S-8176-2019; Silva-Moreno, Evelyn/B-9545-2012; Olivares, Liliana/AAB-6276-2020; Cubillos, Francisco/MIT-2389-2025; Cubillos, Francisco/G-5195-2019</t>
  </si>
  <si>
    <t>Godoy Olivares, Liliana/0000-0001-5110-5978; Silva-Moreno, Evelyn/0000-0001-8745-7916; Cubillos, Francisco/0000-0003-3022-469X</t>
  </si>
  <si>
    <t>1464-1801</t>
  </si>
  <si>
    <t>1660-2412</t>
  </si>
  <si>
    <t>10.1159/000471924</t>
  </si>
  <si>
    <t>WOS:000409331400002</t>
  </si>
  <si>
    <t>Mora, A; Cárdenas, R; Espinoza, M; Díaz, M</t>
  </si>
  <si>
    <t>Mora, Andres; Cardenas, Roberto; Espinoza, Mauricio; Diaz, Matias</t>
  </si>
  <si>
    <t>Active Power Oscillation Elimination in 4-Leg Grid-Connected Converters Under Unbalanced Network Conditions</t>
  </si>
  <si>
    <t>PROCEEDINGS OF THE IECON 2016 - 42ND ANNUAL CONFERENCE OF THE IEEE INDUSTRIAL ELECTRONICS SOCIETY</t>
  </si>
  <si>
    <t>IEEE Industrial Electronics Society</t>
  </si>
  <si>
    <t>42nd Annual Conference of the IEEE-Industrial-Electronics-Society (IECON)</t>
  </si>
  <si>
    <t>OCT 24-27, 2016</t>
  </si>
  <si>
    <t>Florence, ITALY</t>
  </si>
  <si>
    <t>IEEE Ind Elect Soc,Inst Elect &amp; Elect Engineers</t>
  </si>
  <si>
    <t>In this paper a new methodology to compensate double-frequency power oscillations in unbalanced 4-leg distribution networks is presented. The zero sequence components in the voltages and currents are used to provide an extra degree of freedom to compensate reactive and active power pulsations. A novel closed-loop algorithm for the compensation of fluctuations in the converter side, instead of the grid side is presented in this work. Simulation results are discussed, validating the proposed control system.</t>
  </si>
  <si>
    <t>Espinoza, Mauricio/AAH-8647-2019; Mora, Andres/I-6953-2015; Diaz, Matias/R-7570-2018; Cardenas, Roberto/C-6395-2011</t>
  </si>
  <si>
    <t>Diaz, Matias/0000-0003-4489-9532; MORA, ANDRES/0000-0002-5606-2783; Cardenas, Roberto/0000-0003-3853-7703</t>
  </si>
  <si>
    <t>1553-572X</t>
  </si>
  <si>
    <t>978-1-5090-3474-1</t>
  </si>
  <si>
    <t>WOS:000399031202084</t>
  </si>
  <si>
    <t>Rubio, MA; Lissi, E; Gramsch, E; Garreaud, RD</t>
  </si>
  <si>
    <t>Rubio, Maria A.; Lissi, Eduardo; Gramsch, Ernesto; Garreaud, Rene D.</t>
  </si>
  <si>
    <t>Effect of Nearby Forest Fires on Ground Level Ozone Concentrations in Santiago, Chile</t>
  </si>
  <si>
    <t>ATMOSPHERE</t>
  </si>
  <si>
    <t>On 4 and 8 January 2014, at the height of the austral summer, intense wildfires in forests and dry pastures occurred in the Melipilla sector, located about 70 km to the southwest of Santiago, the Chilean capital, affecting more than 6 million inhabitants. Low level winds transported the forest fire plume towards Santiago causing a striking decrease in visibility and a marked increase in the concentration of both primary (PM10 and CO) and secondary (Ozone) pollutants in the urban atmosphere. In particular, ozone maximum concentrations in the Santiago basin reached hourly averages well above 80 ppb, the national air quality standard. This ozone increase took place at the three sampling sites considered in the present study. These large values can be explained in terms of high NOx concentrations and NO2/NO ratios in biomass burning emissions.</t>
  </si>
  <si>
    <t>Bajo, Maria/ABF-6991-2020; Garreaud, Rene/I-6298-2016; Gramsch, Ernesto/M-5507-2017</t>
  </si>
  <si>
    <t>Garreaud, Rene/0000-0002-7875-2443; Gramsch, Ernesto/0000-0002-6787-7355</t>
  </si>
  <si>
    <t>2073-4433</t>
  </si>
  <si>
    <t>10.3390/atmos6121838</t>
  </si>
  <si>
    <t>WOS:000367443100005</t>
  </si>
  <si>
    <t>Sturm, ME; Assof, M; Fanzone, M; Martinez, C; Ganga, MA; Jofré, V; Ramirez, ML; Combina, M</t>
  </si>
  <si>
    <t>Sturm, M. E.; Assof, M.; Fanzone, M.; Martinez, C.; Ganga, M. A.; Jofre, V.; Ramirez, M. L.; Combina, M.</t>
  </si>
  <si>
    <t>Relation between coumarate decarboxylase and vinylphenol reductase activity with regard to the production of volatile phenols by native Dekkera bruxellensis strains under 'wine-like' conditions</t>
  </si>
  <si>
    <t>INTERNATIONAL JOURNAL OF FOOD MICROBIOLOGY</t>
  </si>
  <si>
    <t>Dekkera/Brettanomyces bruxellensis is considered a major cause of wine spoilage, and 4-ethylphenol and 4-ethylguaiacol are the most abundant off-aromas produced by this species. They are produced by decarboxylation of the corresponding hydroxycinnamic acids (HCAs), followed by a reduction of the intermediate 4-vinylphenols. The aim of the present study was to examine coumarate decarboxylase (CD) and vinylphenol reductase (VR) enzyme activities in 5 native D. bruxellensis strains and determine their relation with the production of ethylphenols under 'wine-like' conditions. In addition, biomass, cell culturability, carbon source utilization and organic acids were monitored during 60 days. All strains assayed turned out to have both enzyme activities. No significant differences were found in CD activity, whilst VR activity was variable among the strains. Growth of D. bruxellensis under 'wine-like' conditions showed two growth phases. Sugars were completely consumed during the first growth phase. Transformation of HCAs into ethylphenols also occurred during active growth of the yeast. No statistical differences were observed in volatile phenol levels produced by the strains growing under 'wine-like' conditions, independently of the enzyme activity previously recorded. Furthermore, our results demonstrate a relationship between the physiological state of D. bruxellensis and its ability to produce ethylphenols. Inhibition of growth of D. bruxellensis in wine seems to be the most efficient way to avoid ethylphenol production and the consequent loss of wine quality. (C) 2015 Elsevier B.V. All rights reserved.</t>
  </si>
  <si>
    <t>Fanzone, Martin/ADY-6378-2022; Ramirez, Maria/ITU-9448-2023; Martinez, Claudio/MGS-9961-2025; Ganga, Maria/S-8176-2019</t>
  </si>
  <si>
    <t>Fanzone, Martin/0000-0002-3356-1811; Martinez, Claudio/0000-0001-8564-9287; Ramirez, Maria Laura/0000-0002-6921-2656; Combina, Mariana/0000-0002-0798-1564</t>
  </si>
  <si>
    <t>0168-1605</t>
  </si>
  <si>
    <t>1879-3460</t>
  </si>
  <si>
    <t>AUG 3</t>
  </si>
  <si>
    <t>10.1016/j.ijfoodmicro.2015.04.023</t>
  </si>
  <si>
    <t>WOS:000358100500007</t>
  </si>
  <si>
    <t>Cancino, P; Spodine, E; Paredes-García, V; Venegas-Yazigi, D; Vega, A</t>
  </si>
  <si>
    <t>Cancino, Patricio; Spodine, Evgenia; Paredes-Garcia, Veronica; Venegas-Yazigi, Diego; Vega, Andres</t>
  </si>
  <si>
    <t>The layered structure of poly[[hexaaqua(4-benzene-1,2,4,5-tetracarboxylato)dicopper(II)] tetrahydrate]</t>
  </si>
  <si>
    <t>ACTA CRYSTALLOGRAPHICA SECTION C-STRUCTURAL CHEMISTRY</t>
  </si>
  <si>
    <t>In the structure of the title compound, {[Cu-2(C10H2O8)-(H2O)(6)]center dot 4H(2)O}(n), the benzene-1,2,4,5-tetracarboxylate ligand, (btec)(4-), is located on a crystallographic inversion centre in a 4-coordination mode. The coordination environment of each pentacoordinated Cu-II centre is square pyramidal (SBP), formed by three water molecules and two carboxylate O atoms from two different (btec)(4-) ligands. The completely deprotonated (btec)(4-) ligand coordinates in a monodentate mode to four Cu-II atoms. The alternation of (btec)(4-) ligands and SBP Cu-II centres leads to the formation of a planar two-dimensional covalent network of parallelograms, parallel to the ab plane. Hydrogen bonds between a basal water molecule and an apical one from an adjacent [Cu(btec)(0.5)(H2O)(3)] unit exist in the intralayer space. Hydrogen bonds are also present between the two-dimensional network and the water molecules filling the channels in the structure.</t>
  </si>
  <si>
    <t>Paredes-Garcia, Veronica/C-4415-2011; Cancino, Patricio/AGE-4774-2022; Vega, Andres/B-2122-2010; Venegas-Yazigi, Diego/C-5022-2009</t>
  </si>
  <si>
    <t>Venegas-Yazigi, Diego/0000-0001-7816-2841; Vega, Andres/0000-0001-6501-4161</t>
  </si>
  <si>
    <t>2053-2296</t>
  </si>
  <si>
    <t>U1530</t>
  </si>
  <si>
    <t>10.1107/S0108270113026620</t>
  </si>
  <si>
    <t>WOS:000326651300029</t>
  </si>
  <si>
    <t>Rojas, G; Raff, U; Gonzalez, P; Jaimovich, R; Quintana, JC</t>
  </si>
  <si>
    <t>Rojas, G.; Raff, U.; Gonzalez, P.; Jaimovich, R.; Quintana, J. C.</t>
  </si>
  <si>
    <t>Semi-automated assessment of left ventricular mass using transaxial Tc-99m Sestamibi SPECT imaging</t>
  </si>
  <si>
    <t>COMPUTERIZED MEDICAL IMAGING AND GRAPHICS</t>
  </si>
  <si>
    <t>The left ventricular mass (LVM) using Tc-99m Sestamibi SPECT imaging may be a useful parameter to quantitatively assess the left ventricle and hence its function. The LVM was determined without reorienting the images along the long axis of the left ventricle. A comparison with reoriented SPECT images was then performed. The LVM showed the expected variations among different pathological heart conditions and the control subjects. The left ventricular mass obtained from non-reoriented tomographic views of the myocardium can be a useful index to quantitatively assess various heart conditions where the myocardium lacks perfusion either between rest and stress studies or similar conditions in longitudinal Studies. (C) 2008 Published by Elsevier Ltd.</t>
  </si>
  <si>
    <t>Rojas, Gonzalo/B-2036-2013</t>
  </si>
  <si>
    <t>Rojas-Costa, Gonzalo/0000-0002-6228-2678</t>
  </si>
  <si>
    <t>0895-6111</t>
  </si>
  <si>
    <t>10.1016/j.compmedimag.2008.09.006</t>
  </si>
  <si>
    <t>WOS:000266229100001</t>
  </si>
  <si>
    <t>do O, JM; Lorca, S; Ubilla, P</t>
  </si>
  <si>
    <t>do O, Joao Marcos; Lorca, Sebastian; Ubilla, Pedro</t>
  </si>
  <si>
    <t>Multiplicity of solutions for a class of non-homogeneous fourth-order boundary value problems</t>
  </si>
  <si>
    <t>APPLIED MATHEMATICS LETTERS</t>
  </si>
  <si>
    <t>We study the multiplicity of positive solutions for a class of fourth-order boundary value problems with non-homogeneous boundary conditions. For this, we use a fixed point theorem of cone expansion/compression type and we establish a general theorem for a type of systems of second-order ordinary differential equations involving parameters. In addition, we apply our result to the study of the existence of solutions for semilinear elliptic systems in bounded annular domains. (c) 2007 Elsevier Ltd. All rights reserved.</t>
  </si>
  <si>
    <t>do O, Joao Marcos/0000-0001-7039-4365</t>
  </si>
  <si>
    <t>0893-9659</t>
  </si>
  <si>
    <t>10.1016/j.aml.2007.02.025</t>
  </si>
  <si>
    <t>WOS:000253344700014</t>
  </si>
  <si>
    <t>Vera, A; Ahumada, H; Bahamonde, V; Montecinos, R; Araya-Maturana, R; Muñoz, D; Weiss-López, BE</t>
  </si>
  <si>
    <t>Vera, Alejandra; Ahumada, Hernan; Bahamonde, Victor; Montecinos, Rodrigo; Araya-Maturana, Ramiro; Munoz, Daniel; Weiss-Lopez, Boris E.</t>
  </si>
  <si>
    <t>Dynamics and Orientation of Parathion Dissolved in a Discotic Nematic Lyomesophase</t>
  </si>
  <si>
    <t>AUSTRALIAN JOURNAL OF CHEMISTRY</t>
  </si>
  <si>
    <t>Parathion, an organophosphorous pesticide, presents serious hazards to the environment and health. It inhibits acetylcholinesterase, an enzyme incorporated in the cell membrane. A study on the behaviour of parathion in a lipid environment is interesting from environmental cleaning and biological perspectives. H-2 NMR quadrupole splittings (Delta v(Q)) and longitudinal relaxation times (T-1) of parathion-d(4), dissolved in a nematic discotic lyomesophase made of tetradecyltrimethylammonium chloride/ decanol (10% 1,1-dideuterodecanol)/water (0.1% D2O)/NaCl, have been measured. Delta v(Q) and T-1 from DHO and 1,1-dideuterodecanol were also obtained. For a detailed understanding of the experimental results, a 19ns molecular dynamics ( MD) simulation of a bilayer fragment including three parathion molecules was calculated. Parathion is strongly attached to the aggregate and the solubilization increases the alignment of the interface components. Calculated densities show that parathion is located in the hydrophobic core, near the interface, and experiences an electrostatic interaction with the ammonium headgroups. On average, the molecule orients with the ring plane containing the bilayer normal.</t>
  </si>
  <si>
    <t>Munoz, Daniel/IXD-6516-2023; Araya-Maturana, Ramiro/N-8747-2015</t>
  </si>
  <si>
    <t>Montecinos, Rodrigo/0000-0003-0080-1839; Araya-Maturana, Ramiro/0000-0002-5082-9146; Munoz, Daniel/0000-0003-0899-6466</t>
  </si>
  <si>
    <t>0004-9425</t>
  </si>
  <si>
    <t>1445-0038</t>
  </si>
  <si>
    <t>10.1071/CH08209</t>
  </si>
  <si>
    <t>WOS:000261516300007</t>
  </si>
  <si>
    <t>Aranda, M; Gonzalez-Nilo, F; Riadi, G; Diaz, V; Perez, J; Martel, G; Hainaut, P; Mimbacas, A</t>
  </si>
  <si>
    <t>Aranda, Marcela; Gonzalez-Nilo, Fernando; Riadi, Gonzalo; Diaz, Victor; Perez, Jose; Martel, Ghyslaine; Hainaut, Pierre; Mimbacas, Adriana</t>
  </si>
  <si>
    <t>Loss of TP53-DNA interaction induced by p.C135R in lung cancer</t>
  </si>
  <si>
    <t>ONCOLOGY REPORTS</t>
  </si>
  <si>
    <t>The p53 tumor suppressor gene (TP53; OMIM: 191170) plays an important role in tumorigenesis in lung epithelial cells. TP53 encodes a sequence-specific DNA-binding protein that regulates transcription of several genes in response to DNA damage promoting cell cycle arrest, DNA repair or apoptosis. A mutation does not necessarily alter the protein function and since not all altered tumor protein p53 (TP53) conformations lead to the same biological properties, we studied Cys135Arg TP53 gene mutation in squamous cell type of non-small cell lung cancers (NSCLCs), by polymerase chain reaction-single-strand conformation polymorphism (PCR-SSCP) and direct sequencing. Cys135Arg TP53 mutation, rare in databases (11/23544 in R11, IARC TP53 database), was detected. We chose p.C135R in order to examine DNA-TP53 interaction. A comparison with the wild-type after I nano-second molecular dynamic simulation analysis revealed a significant structural change (over 4 angstrom displacement) in the contact loop Lys-Ser-Val which lies upstream and next to the mutated site in the TP53, that sterically prevents its DNA-binding activity. Additionally, the mutation produced a change in the electrostatic potential surface of the protein in the same loop where the structural modification took place. To demonstrate the degree of loss of function, functional assays in yeast and bacteria with oligonucleotides for competitive electrophoretic mobility shift assays (EMSAs) were done proving that this mutation decreases TP53 ability to bind DNA of the TP53 response element from the human p21 gene. These results demonstrate that the amino acid change C135R in the human TP53 generates the loss of TP53 DNA-binding activity directly affecting its role as a transcription factor and suggests that this observation can explain part of the phenotype described in patients affected by this type of tumor.</t>
  </si>
  <si>
    <t>Riadi, Gonzalo/ABG-2144-2020; Perez-Donoso, Jose/G-3668-2013; Hainaut, Pierre/B-6018-2012; Gonzalez Nilo, Fernando Danilo/M-5671-2016</t>
  </si>
  <si>
    <t>Perez-Donoso, Jose/0000-0002-9506-1716; Hainaut, Pierre/0000-0002-1303-1610; Mimbacas, Adriana/0000-0001-5302-619X; Riadi, Gonzalo/0000-0002-7633-2365; Gonzalez Nilo, Fernando Danilo/0000-0001-6857-3575</t>
  </si>
  <si>
    <t>1021-335X</t>
  </si>
  <si>
    <t>1791-2431</t>
  </si>
  <si>
    <t>WOS:000250570400022</t>
  </si>
  <si>
    <t>Costamagna, J; Ríos-Escudero, A; Villagrán, M; Spodine, E; Caruso, F; Zagal, J; Cardenas-Jirón, G; Páez, M</t>
  </si>
  <si>
    <t>Costamagna, Juan; Rios-Escudero, Angel; Villagran, Manual; Spodine, Evgenia; Caruso, Franco; Zagal, Jose; Cardenas-Jiron, Gloria; Paez, Maritza</t>
  </si>
  <si>
    <t>Crystal and Molecular Structure of Bis-n-octyl-hydroxynaphthaldiminato Cu(II). A Study Including Magnetic Properties of Also N-dodecyl and N-octadecyl Derivatives</t>
  </si>
  <si>
    <t>Paez, Maritza/M-2010-2014; cardenas-jiron, gloria/H-9508-2012</t>
  </si>
  <si>
    <t>P.07.01.3</t>
  </si>
  <si>
    <t>C295</t>
  </si>
  <si>
    <t>10.1107/S0108767305087428</t>
  </si>
  <si>
    <t>WOS:000478085801487</t>
  </si>
  <si>
    <t>Pelissier, T; Hernández, A; Mestre, C; Eschalier, A; Laurido, C; Paeile, C; Alvarez, P; Soto-Moyano, R</t>
  </si>
  <si>
    <t>Antinociceptive effect of clomipramine in monoarthritic rats as revealed by the paw pressure test and the C-fiber-evoked reflex</t>
  </si>
  <si>
    <t>EUROPEAN JOURNAL OF PHARMACOLOGY</t>
  </si>
  <si>
    <t>The antinociceptive effect of clomipramine was studied in monoarthritic rats by using the paw pressure test and the C-fiber-evoked reflex. Monoarthritis was produced by intra-articular injection of complete Freund's adjuvant into the tibio-tarsal joint. Joint circumference as well as vocalization threshold to graded paw pressure were evaluated weekly during a 14-week period after the intra-articular injection. At week 8, monoarthritic and vehicle-injected control rats were given either clomipramine or saline and both the paw pressure threshold and inhibition of the C-fiber-evoked reflex response were evaluated. Results showed that (i) 1.5, 3.0, and 6.0 mg/kg, i.v. of clomipramine induced significantly greater dose-dependent antinociception to paw pressure testing in the monoarthritic group, as compared to the control one; and (ii) 0.75, 1.5, 3.0, and 6.0 mg/kg, i.v. of clomipramine exerted significantly higher dose-dependent inhibition of the C-reflex activity in monoarthritic rats than in controls. Results suggest that the higher sensitivity to clomipramine in monoarthritic rats could be related to adaptive changes occurring in monoamine metabolism or in other neurotransmitter systems during chronic pain. (C) 2001 Published by Elsevier Science B.V.</t>
  </si>
  <si>
    <t>Hernandez, Alejandro/M-4796-2019; ESCHALIER, Alain/L-9957-2015</t>
  </si>
  <si>
    <t>0014-2999</t>
  </si>
  <si>
    <t>10.1016/S0014-2999(01)00848-2</t>
  </si>
  <si>
    <t>WOS:000167954900007</t>
  </si>
  <si>
    <t>LEON, A; GARGALLO, L; RADIC, D; BRAVO, J; HORTA, A</t>
  </si>
  <si>
    <t>SYNTHESIS, DILUTE-SOLUTION PROPERTIES AND CHAIN FLEXIBILITY OF POLY(DIESTERS) OF ITACONIC ACID .2. POLY(METHYL DECYL ITACONATE)</t>
  </si>
  <si>
    <t>MAKROMOLEKULARE CHEMIE-MACROMOLECULAR CHEMISTRY AND PHYSICS</t>
  </si>
  <si>
    <t>The diester of itaconic acid with decyl and methyl groups was prepared and polymerized. The dilute solution behaviour of poly(methyl decyl itaconate) poly[1-(decyloxycarbonylmethyl)-1-(methoxycarbonyl)ethylene] (PMeDI) was studied in tetrahydrofuran and 1-butanol at 298 K, by light scattering, size-exclusion chromatography, and viscometric measurements. The empirical Kuhn-Mark-Houwink-Sakurada relationships were established. The molecular parameters were calculated using one theory of the excluded volume.</t>
  </si>
  <si>
    <t>0025-116X</t>
  </si>
  <si>
    <t>WOS:A1992HL02800004</t>
  </si>
  <si>
    <t>Piña, R; Ugarte, G; Guevara, C; Pino, R; Valdebenito, K; Romero, S; del Campo, AG; Cornejo, VH; Pertusa, M; Madrid, R</t>
  </si>
  <si>
    <t>Pina, Ricardo; Ugarte, Gonzalo; Guevara, Camilo; Pino, Richard; Valdebenito, Katherine; Romero, Sofia; del Campo, Ana Gomez; Cornejo, Victor Hugo; Pertusa, Maria; Madrid, Rodolfo</t>
  </si>
  <si>
    <t>A functional unbalance of TRPM8 and Kv1 channels underlies orofacial cold allodynia induced by peripheral nerve damage</t>
  </si>
  <si>
    <t>Cold allodynia is a debilitating symptom of orofacial neuropathic pain resulting from trigeminal nerve damage. The molecular and neural bases of this sensory alteration are still poorly understood. Here, using chronic constriction injury (CCI) of the infraorbital nerve (IoN) (IoN-CCI) in mice, combined with behavioral analysis, Ca2+ imaging and patch-clamp recordings of retrogradely labeled IoN neurons in culture, immunohistochemistry, and adeno-associated viral (AAV) vector-based delivery in vivo, we explored the mechanisms underlying the altered orofacial cold sensitivity resulting from axonal damage in this trigeminal branch. We found that cold allodynia induced by IoN-CCI is linked to an increase in the proportion of cold-sensitive neurons (CSNs) contributing to this branch and a shift in their thermal thresholds to higher temperatures. These changes are correlated to a reduction of the Kv1.1-1.2-dependent brake potassium current I-KD in IoN CSNs and a rise in the percentage of trigeminal neurons expressing TRPM8. The analysis of the electrophysiological properties of CSNs contributing to the IoN suggests that painful cold hypersensitivity involves the recruitment of silent nociceptive afferents that become sensitive to mild cold in response to nerve damage. Notably, pharmacological suppression of TRPM8 channels and AAV-based transduction of trigeminal neurons with the Kv1.1 channel in vivo effectively reverted the nociceptive phenotype in injured animals. Altogether, our results unveil a crucial role of TRPM8 and Kv1 channels in orofacial cold allodynia, suggesting that both the specific TRPM8-blocking and the AAV-driven expression of potassium channels underlying I-KD in trigeminal neurons can be effective tools to revert this damage-triggered sensory alteration.</t>
  </si>
  <si>
    <t>Madrid, Rodolfo/MCJ-4974-2025; Piña, ricardo/AAU-1694-2020; Cornejo, Victor/ABD-8410-2021</t>
  </si>
  <si>
    <t>Madrid, Rodolfo/0000-0002-8623-5761; Cornejo, Victor Hugo/0000-0002-6742-7557</t>
  </si>
  <si>
    <t>10.3389/fphar.2024.1484387</t>
  </si>
  <si>
    <t>WOS:001380611700001</t>
  </si>
  <si>
    <t>Zoulagh, T; El Haiek, B; Tadeo, F; Er-Rachid, I; Barbosa, KA; Hmamed, A</t>
  </si>
  <si>
    <t>Zoulagh, Taha; El Haiek, Badreddine; Tadeo, Fernando; Er-Rachid, Ismail; Barbosa, Karina A.; Hmamed, Abdelaziz</t>
  </si>
  <si>
    <t>Polytopic energy-to-peak filter design for uncertain continuous systems over finite frequency ranges</t>
  </si>
  <si>
    <t>INTERNATIONAL JOURNAL OF SYSTEMS SCIENCE</t>
  </si>
  <si>
    <t>A new approach for the synthesis of polytopic L-2 - L-infinity filters is proposed for uncertain systems over Finite Frequency (FF) ranges. The novelty derives from the use of FF specifications combined with the L-2 - L-infinity performance index: First, conditions are provided for the asymptotic stability of the polytopic augmented systems, by trace calculation of matrices and the use of Finsler's Lemma. Then, synthesis conditions are proposed as LMIs for the polytopic filter parameters over several FF intervals. Furthermore, the use of slack matrices through Finsler's Lemma provides design conditions with less conservative outcomes. A numerical example is solved and simulated to demonstrate the effectiveness of the ongoing approach when compared with previous results in the literature.</t>
  </si>
  <si>
    <t>Barbosa, Karina/A-2236-2014; ER-RACHID, Ismail/AAW-1744-2021; Tadeo, Fernando/D-6234-2016; Zoulagh, Taha/AAT-5521-2020</t>
  </si>
  <si>
    <t>Barbosa, Karina A./0000-0001-7183-2662</t>
  </si>
  <si>
    <t>0020-7721</t>
  </si>
  <si>
    <t>1464-5319</t>
  </si>
  <si>
    <t>10.1080/00207721.2024.2344049</t>
  </si>
  <si>
    <t>WOS:001208159100001</t>
  </si>
  <si>
    <t>Jorquera-Bravo, N; Vásquez, OC</t>
  </si>
  <si>
    <t>Jorquera-Bravo, Natalia; Vasquez, Oscar C.</t>
  </si>
  <si>
    <t>On the local dominance properties in single machine scheduling problems</t>
  </si>
  <si>
    <t>ANNALS OF OPERATIONS RESEARCH</t>
  </si>
  <si>
    <t>We consider a non-preemptive singlemachine scheduling problem for a non-negative penalty function f, where an optimal schedule satisfies the left-shifted property, i.e. in any optimal sequence all executions happen without idle time with a starting time t(0) &gt;= 0. For this problem, every job j has a priority weight w(j) and a processing time p(j), and the goal is to find an order on the given jobs that minimizes Sigma w(j) f (C-j), where C-j is the completion time of job j. This paper explores local dominance properties, which provide a powerful theoretical tool to better describe the structure of optimal solutions by identifying rules that at least one optimal solution must satisfy. We propose a novel approach, which allows to prove that the number of sequences that respect the local dominance property among three jobs is only two, not three, reducing the search space from n! to n!/3((sic)n/3(sic)) schedules. In addition, we define some non-trivial cases for the problem with a strictly convex penalty function that admits an optimal schedule, where the jobs are ordered in non-increasing weight. Finally, we provide some insights into three future research directions based on our results (i) to reduce the number of steps required by an exact exponential algorithm to solve the problem, (ii) to incorporate the dominance properties as valid inequalities in a mathematical formulation to speed up implicit enumeration methods, and (iii) to show the computational complexity of the problem of minimizing the sum of weighted mean squared deviation of the completion times with respect to a common due date for jobs with arbitrary weights, whose status is still open.</t>
  </si>
  <si>
    <t>Vasquez, Oscar C./0000-0002-1393-4692</t>
  </si>
  <si>
    <t>0254-5330</t>
  </si>
  <si>
    <t>1572-9338</t>
  </si>
  <si>
    <t>10.1007/s10479-023-05801-9</t>
  </si>
  <si>
    <t>JAN 2024</t>
  </si>
  <si>
    <t>WOS:001147645000001</t>
  </si>
  <si>
    <t>Mesías-Salazar, A; Rebolledo-Robles, K; Salazar-González, R; Bravo, MA; Lucena, R; Toledo-Neira, C</t>
  </si>
  <si>
    <t>Mesias-Salazar, Angela; Rebolledo-Robles, Kevin; Salazar-Gonzalez, Ricardo; Bravo, Manuel A.; Lucena, Rafael; Toledo-Neira, Carla</t>
  </si>
  <si>
    <t>hr Hydrophobic deep eutectic solvent as extractant phase for determining six carcinogenic polycyclic aromatic hydrocarbons in tea and coffee infusion samples</t>
  </si>
  <si>
    <t>MICROCHEMICAL JOURNAL</t>
  </si>
  <si>
    <t>In this work, an analytical methodology was developed for determining polycyclic aromatic hydrocarbons (PAHs) in tea and coffee samples. The new analytical methodology uses a hydrophobic deep eutectic solvent (DES), consisting of a thymol and lidocaine mixture, for the extraction of the analytes under dispersive liquid-liquid microextraction. The extraction procedure was optimized considering several variables (extraction phase composition, sample volume, vortexing and centrifugation time). Under optimum conditions, an using ultrahigh-performance liquid chromatography with fluorescence detection as instrumental technique, the limits of detection were 39 and 53 ng &amp; BULL;L-1 in tea and coffee samples, respectively. The precision expressed as relative standard deviation was better than 6.3 %.The relative recoveries were in the 60.7-85.2 % interval. The proposed method was successfully applied to the analysis of tea and coffee samples. The levels found for the six carcinogenic PAHs are between 10-45 &amp; mu;g &amp; BULL;L-1 for tea infusions and 6-31 &amp; mu;g &amp; BULL;L-1 for coffee infusions. The methodology is defined as an excellent green method with a score of 80 using the analytical Eco-scale.</t>
  </si>
  <si>
    <t>Salazar, Ricardo/L-7870-2013; Lucena, Rafael/B-7759-2008</t>
  </si>
  <si>
    <t>Salazar-Gonzalez, Ricardo/0000-0003-2180-6022; Toledo Neira, Carla Beatriz/0000-0003-2872-3043</t>
  </si>
  <si>
    <t>0026-265X</t>
  </si>
  <si>
    <t>1095-9149</t>
  </si>
  <si>
    <t>10.1016/j.microc.2023.109022</t>
  </si>
  <si>
    <t>WOS:001038622500001</t>
  </si>
  <si>
    <t>Travieso-Torres, JC; Duarte-Mermoud, MA</t>
  </si>
  <si>
    <t>Travieso-Torres, Juan Carlos; Duarte-Mermoud, Manuel A.</t>
  </si>
  <si>
    <t>Normalized Model Reference Adaptive Control Applied to High Starting Torque Scalar Control Scheme for Induction Motors</t>
  </si>
  <si>
    <t>Recently, a novel high-starting torque scalar control scheme (HST-SCS) for induction motor(s) (IM) emerged. It expands the scalar control application field beyond centrifugal pumps, blowers, and fans, moving, for instance, some conveyor belts with nominal torque loading. This paper proposes a normalized model reference adaptive control (N-MRAC) applied to HST-SCS for IM. First, the proposal extends the MRAC, resulting inn a class of nonlinear systems encompassing the IM dynamical model. It uses a normalized information vector, jointly with a direct control approach, reducing the trial and error adaptive controller tuning. Second, a properly designed N-MRAC is applied to regulate the starting stator current within the variable speed drive under investigation. As a result, the proposed methodology keeps the HST-SCS as a simple control scheme without needing variable observers or parameter estimators and employing tuning information only from the motor nameplate and datasheet. Test bench experiments with a 10 HP motor validate the proposal effectiveness.</t>
  </si>
  <si>
    <t>Duarte-Mermoud, Manuel A./I-2693-2013; Travieso Torres, Juan carlos/N-6437-2019</t>
  </si>
  <si>
    <t>Duarte-Mermoud, Manuel A./0000-0003-2367-4553; Travieso Torres, Juan carlos/0000-0002-9246-4827</t>
  </si>
  <si>
    <t>10.3390/en15103606</t>
  </si>
  <si>
    <t>WOS:000803163900001</t>
  </si>
  <si>
    <t>Durán, AV; Aliaga, G; Deckart, K; Karas, C; Caceres, D; Nario, A</t>
  </si>
  <si>
    <t>Valdes Duran, Ana; Aliaga, Guillermo; Deckart, Katja; Karas, Cyrus; Caceres, Dante; Nario, Adriana</t>
  </si>
  <si>
    <t>The environmental geochemical baseline, background and sources of metal and metalloids present in urban, peri-urban and rural soils in the O′Higgins region, Chile</t>
  </si>
  <si>
    <t>ENVIRONMENTAL GEOCHEMISTRY AND HEALTH</t>
  </si>
  <si>
    <t>The importance of environmental geochemistry baseline in soils of O ' Higgins Region, Chile, since it hosts in its eastern area one of the major Cu-Mo producing mines in the country, is to establish and explain relationships between the chemical compositions of the Earth's surface and potential contaminants sources such as mining industry, agriculture and urban activity. A total of 109 samples of urban, peri-urban and rural soils were analyzed with X-ray fluorescence to determine most of the elemental concentrations analyzed. The C and S analyses were performed with the high-temperature combustion method, and a MERCUR mercury analyzer was used for Hg. The study shows that the distribution patterns for most major elements and some trace elements are controlled by the lithologic substrate. This study identified areas with metals and metalloids in high concentrations, which are a risk to the environment and health according to established international regulations. Some of these components correspond to Cu (2500 ppm), Mo (26,5 ppm), As (134,6 ppm), Cr (206.6 ppm), Hg (0.2 ppm), Ni (26.4 ppm), Pb (61.7 ppm), V (227,2 ppm) and Zn (180.3 ppm). Through an elementary association analysis, most of these elements resulted from extractive activities of Cu, metal alloys and oil combustion. It was also possible to trace the use of fertilizers and pesticides in agricultural soils, as well as the combustion of oil related to vehicles in the study area. This information is relevant to implement environmental management strategies to control possible exposure to toxic compounds to human health.</t>
  </si>
  <si>
    <t>Karas, Cyrus/V-5775-2017; Nario, Adriana/AFN-6990-2022; Deckart, Katja/H-8844-2013</t>
  </si>
  <si>
    <t>Karas, Cyrus/0000-0002-7436-5016; Aliaga Aliaga, Guillermo/0009-0000-5117-4885; Deckart, Katja/0000-0003-0706-5483</t>
  </si>
  <si>
    <t>0269-4042</t>
  </si>
  <si>
    <t>1573-2983</t>
  </si>
  <si>
    <t>10.1007/s10653-021-01098-4</t>
  </si>
  <si>
    <t>WOS:000705725300001</t>
  </si>
  <si>
    <t>Alvial, X; Rojas, A; Carrasco, R; Durán, C; Fernández-Campusano, C</t>
  </si>
  <si>
    <t>Alvial, Ximena; Rojas, Alejandra; Carrasco, Raul; Duran, Claudia; Fernandez-Campusano, Christian</t>
  </si>
  <si>
    <t>Overuse of Health Care in the Emergency Services in Chile</t>
  </si>
  <si>
    <t>The Public Health Service in Chile consists of different levels of complexity and coverage depending on the severity and degree of specialization of the pathology to be treated. From primary to tertiary care, tertiary care is highly complex and has low coverage. This work focuses on an analysis of the public health system with emphasis on the healthcare network and tertiary care, whose objectives are designed to respond to the needs of each patient. A review of the literature and a field study of the problem of studying the perception of internal and external users is presented. This study intends to be a contribution in the detection of opportunities for the relevant actors and the processes involved through the performance of Triage. The main causes and limitations of the excessive use of emergency services in Chile are analyzed and concrete proposals are generated aiming to benefit clinical care in emergency services. Finally, improvements related to management are proposed and the main aspects are determined to improve decision-making in hospitals, which could be a contribution to public health policies.</t>
  </si>
  <si>
    <t>Rojas, Alejandra/GXN-3580-2022; Fernández-Campusano, Christian/M-8749-2018; Duran, Claudia/S-1175-2019; Carrasco, Raul/G-5440-2015</t>
  </si>
  <si>
    <t>Fernandez-Campusano, Christian/0000-0001-7033-4178; Carrasco, Raul/0000-0002-5023-9349; Rojas, Alejandra/0000-0002-0419-0839; Duran, Claudia/0000-0002-0903-4333</t>
  </si>
  <si>
    <t>10.3390/ijerph18063082</t>
  </si>
  <si>
    <t>WOS:000639193500001</t>
  </si>
  <si>
    <t>Espinosa-Méndez, C; Arias, J</t>
  </si>
  <si>
    <t>Espinosa-Mendez, Christian; Arias, Jose</t>
  </si>
  <si>
    <t>Herding Behaviour in Asutralian stock market: Evidence on COVID-19 effect</t>
  </si>
  <si>
    <t>APPLIED ECONOMICS LETTERS</t>
  </si>
  <si>
    <t>This is the first article in investigating how COVID-19 affects Oceania's financial markets. Specifically, we investigate if COVID-19 pandemic has an effect on herding behaviour in the Australian stock market. Using a sample of all firms listed over the period from 10 June 2008 to 19 June 2020, we find evidence that COVID-19 pandemic increases herding behaviour. The results report that herding behaviour manifests during crisis and extreme periods.</t>
  </si>
  <si>
    <t>Espinosa-Méndez, Christian/G-5177-2019</t>
  </si>
  <si>
    <t>Arias, Jose/0000-0001-8126-5948; Espinosa-Mendez, Christian/0000-0001-6499-2414</t>
  </si>
  <si>
    <t>1350-4851</t>
  </si>
  <si>
    <t>1466-4291</t>
  </si>
  <si>
    <t>10.1080/13504851.2020.1854659</t>
  </si>
  <si>
    <t>DEC 2020</t>
  </si>
  <si>
    <t>WOS:000596319500001</t>
  </si>
  <si>
    <t>Hostos, JCA; Cruchaga, MA; Fachinotti, VD; Carrillo, JAZ; Zamora, E</t>
  </si>
  <si>
    <t>Alvarez Hostos, Juan C.; Cruchaga, Marcela A.; Fachinotti, Victor D.; Zambrano Carrillo, Javier A.; Zamora, Esteban</t>
  </si>
  <si>
    <t>A plausible extension of standard penalty, streamline upwind and immersed boundary techniques to the improved element-free Galerkin-based solution of incompressible Navier-Stokes equations</t>
  </si>
  <si>
    <t>The present work has been conducted in order to propose the extension of standard penalty and stabilization techniques to the improved element-free Galerkin (IEFG) method, for the numerical solution of incompressible fluid flow problems. In principle, the numerical procedures to be implemented in this communication have been conceived for finite element method (FEM)-based solutions, and these include the reduced integration penalty method (RIPM), the streamline upwind Petrov-Galerkin (SUPG) scheme, and a penalty-based immersed boundary method (PBIBM) for the imposition of essential boundary conditions along internal fluid-solid interfaces. The linear momentum balance and mass conservation equations have been coupled via the RIPM, in order to obtain a global weak formulation where the IEFG model is entirely developed in terms of improved moving least squares (IMLS) approximations of the velocity field. A detailed explanation concerning the appropriate extension of both the RIPM and SUPG procedures to the context of IEFG formulations, has also been provided. The resulting formulation has been applied to the solution of two well-known benchmark problems: i) Lid-driven square cavity flow, and ii) Flow past a fixed cylinder. Regarding the flow past a fixed cylinder benchmark problem, the fluid-solid interaction has been imposed as an internal immersed boundary condition via the PBIBM. The feasibility and reliability of implementing the RIPM, SUPG and PBIBM procedures in the IEFG formulation, have been proven by comparison with experimental and mesh-based numerical results reported in the literature. The results obtained in this study have revealed that a proper extension of the aforementioned penalty and stabilization techniques to the IEFG formulation, allows the achievement of accurate and stable numerical results during the solution of incompressible fluid-dynamics problems. (C) 2020 Elsevier B.V. All rights reserved.</t>
  </si>
  <si>
    <t>Cruchaga, Marcela/M-7522-2014; Álvarez Hostos, Juan Carlos/HJZ-4972-2023; Zamora, Esteban/AAL-1731-2020</t>
  </si>
  <si>
    <t>Fachinotti, Victor/0000-0002-5702-6274; Zamora, Esteban/0000-0001-6214-0031; Alvarez Hostos, Juan Carlos/0000-0002-4636-4948</t>
  </si>
  <si>
    <t>10.1016/j.cma.2020.113380</t>
  </si>
  <si>
    <t>WOS:000592538400002</t>
  </si>
  <si>
    <t>Raviolo, S; Jaimes, DMA; Bajales, N; Escrig, J</t>
  </si>
  <si>
    <t>Raviolo, Sofia; Arciniegas Jaimes, Diana M.; Bajales, Noelia; Escrig, Juan</t>
  </si>
  <si>
    <t>Wave reversal mode: A new magnetization reversal mechanism in magnetic nanotubes</t>
  </si>
  <si>
    <t>We have investigated the magnetic properties of 14 nm thick and 1 mu m long nickel and permalloy nanotubes with external diameters of 40 and 100 nm as a function of the angle theta at which the external magnetic field is applied. Our results show that the coercivity of 40 nm diameter nickel nanotubes follows a non-monotonic behavior from theta = 0 degrees up to theta = 60 degrees, while that corresponding to permalloy displays an increasing monotonic trend at the same angular range. At theta = 90 degrees, both materials evidence a sharp drop of the coercivity to zero, indicating that the reversal mechanism has changed to a pseudo-coherent rotation. On the other hand, nickel and permalloy nanotubes with 100 nm in diameter exhibit a similar angular dependence of the coercivity, reversing their magnetization through the nucleation and propagation of vortex domain walls for angles lower than 75 degrees. For theta = 90 degrees, a novel striking mechanism, the wave reversal mode (W), arises. This phenomenon leads to an unusual S-type shape in the hysteresis curves at those given parameters, which is until now an effect that has not been reported for these nanostructures.</t>
  </si>
  <si>
    <t>Bajales, Noelia/AGE-1802-2022; Escrig, Juan/N-4304-2015</t>
  </si>
  <si>
    <t>Escrig, Juan/0000-0002-3958-8185; Raviolo, Sofia/0009-0002-9562-1290; Bajales, Noelia/0000-0002-2507-9224; Arciniegas Jaimes, Diana Marcela/0000-0002-1487-5858</t>
  </si>
  <si>
    <t>10.1016/j.jmmm.2019.165944</t>
  </si>
  <si>
    <t>WOS:000501596800098</t>
  </si>
  <si>
    <t>Shukla, P; Roy, S; Dolui, D; Cañón-Mancisidor, W; Das, S</t>
  </si>
  <si>
    <t>Shukla, Pooja; Roy, Soumalya; Dolui, Dependu; Canon-Mancisidor, Walter; Das, Sourav</t>
  </si>
  <si>
    <t>Pentanuclear Spirocyclic Ni4Ln Derivatives: Field Induced Slow Magnetic Relaxation in the Dysprosium and Erbium Analogues</t>
  </si>
  <si>
    <t>EUROPEAN JOURNAL OF INORGANIC CHEMISTRY</t>
  </si>
  <si>
    <t>Five pentanuclear heterometallic isostructural complexes, [Ni(4)Ln(L)(2)(LH)(2)(CH3CN)(3)Cl]center dot xH(2)O center dot yCH(3)OH {Ln = Y-III (1), Gd-III (2), Tb-III (3), Dy-III (4) and Er-III (5)} [for 1 and 2, x = 2, y = 1; for 3, x = 6, y = 2; for 4, x = 5, y = 1; for 5, x = 2, y = 2] were prepared by the reaction of (E)-2-(hydroxymethyl)-6-{[(2-hydroxyphenyl)imino]methyl}-4-methylphenol (LH3) with LnCl(3)center dot 6H(2)O and Ni(OAc)(2)center dot 4H(2)O in the presence of tetrabutylammonium hydroxide (TBA-OH) base. The structural characterization reveals that compounds 1-5 contain a spirocyclic pentanuclear core [Ni(4)Ln(mu(3)-O)(4)(mu(2)-O)(4)](3+) where two triangular motifs [Ni(2)Ln(mu(3)-O)(2)(mu(2)-O)(2)](3+) are fused together through a common vertex of the Ln(III) ion. The central Ln(III) ion forms an eight-coordinated distorted triangular dodecahedron geometry, while the nickel(II) ions form a distorted octahedron geometry. Comprehensive dc magnetic studies reveal that antiferromagnetic exchange interaction exists between the Ni-II centres. The ac susceptibility measurement revels that dysprosium and erbium analogue shows field induced slow magnetic relaxation with an anisotropic barrier (U-eff) of 25.12 cm(-1) and 22.13 cm(-1) respectively.</t>
  </si>
  <si>
    <t>Das, Sourav/CAA-6653-2022; Dolui, Dependu/X-8351-2019; Canon-Mancisidor, Walter/K-8764-2014</t>
  </si>
  <si>
    <t>Shukla, Pooja/0000-0001-8791-6297; Canon-Mancisidor, Walter/0000-0003-1703-8729; Dolui, Dependu/0000-0003-3296-7489</t>
  </si>
  <si>
    <t>1434-1948</t>
  </si>
  <si>
    <t>1099-0682</t>
  </si>
  <si>
    <t>10.1002/ejic.201901350</t>
  </si>
  <si>
    <t>WOS:000517450100001</t>
  </si>
  <si>
    <t>Vera-Villarroel, P; Urzúa, A; Jaime, D; Contreras, D; Zych, I; Celis-Atenas, K; Silva, JR; Lillo, S</t>
  </si>
  <si>
    <t>Vera-Villarroel, Pablo; Urzua, Alfonso; Jaime, Daniela; Contreras, Daniela; Zych, Izabela; Celis-Atenas, Karem; Silva, Jaime R.; Lillo, Sebastian</t>
  </si>
  <si>
    <t>Positive and Negative Affect Schedule (PANAS): Psychometric Properties and Discriminative Capacity in Several Chilean Samples</t>
  </si>
  <si>
    <t>EVALUATION &amp; THE HEALTH PROFESSIONS</t>
  </si>
  <si>
    <t>We evaluated the factor structure, reliability, and discriminative capacity of the Positive and Negative Affect Schedule (PANAS) questionnaire in four different samples: two general adult populations (N = 1,548, N = 964), one adolescent population (N = 1,044), and young people with depressive symptomatology (N = 307). Exploratory factor analyses (EFAs) were performed with subsamples from Studies 1 (n = 773) and 2 (n = 527), finding that the two- and three-factor solutions had a good fit. In a confirmatory factor analysis, the two-factor solution resulted in an adequate fit in a second set of subsamples from both studies (n = 775, n = 517). In Study 3, we found good convergent and divergent validity with adequate and significant correlations found for depression (Beck's Depression Inventory), anxiety (State-Trait Anxiety Inventory), and neuroticism and extroversion (Big Five Inventory). In Study 4, the results of an EFA performed in a subsample (n = 154) found that the two- and three-factor solutions were appropriate with the former solution being confirmed in a second subsample (n = 153). Reliability was alpha = .85 for positive affect and alpha = .87 for negative affect. The PANAS questionnaire showed adequate indicators of validity and reliability in adult and adolescent populations as well as in a sample with depressive symptoms.</t>
  </si>
  <si>
    <t>Vera-Villarroel, Pablo/AAQ-8476-2020; Zych, Izabela/H-7343-2013; Lillo, Sara/KVB-4124-2024; Vera-Villarroel, Pablo/A-1134-2011; Urzua, Alfonso/A-1208-2012</t>
  </si>
  <si>
    <t>Vera-Villarroel, Pablo/0000-0001-9187-8414; Urzua, Alfonso/0000-0002-0882-2194</t>
  </si>
  <si>
    <t>0163-2787</t>
  </si>
  <si>
    <t>1552-3918</t>
  </si>
  <si>
    <t>10.1177/0163278717745344</t>
  </si>
  <si>
    <t>WOS:000485316400004</t>
  </si>
  <si>
    <t>Reyes, F; Vasquez, Y; Gramsch, E; Oyola, P; Rappenglück, B; Rubio, MA</t>
  </si>
  <si>
    <t>Reyes, Felipe; Vasquez, Yeanice; Gramsch, Ernesto; Oyola, Pedro; Rappengluck, Bernhard; Rubio, Maria A.</t>
  </si>
  <si>
    <t>Photooxidation of Emissions from Firewood and Pellet Combustion Using a Photochemical Chamber</t>
  </si>
  <si>
    <t>The main emission source in Central and Southern Chilean cities is biomass combustion from residential heating and cooking due to old combustion technologies that are still widely utilized. In order to improve our understanding of biomass burning pollution and how it ages in the atmosphere, emissions from a pellet and wood stoves were studied with the aid of a photochemical chamber. Firewood combustion is an inefficient process that produces higher chamber loading of primary emission (gases and particles) compared to pellets. When these emissions are exposed to UV irradiation secondary particles are formed. However, with both fuels the secondary particle concentration was negligible with regards to the primary initial particle concentration. Observations show that when the initial mass is the same, firewood combustion emissions are more rapidly oxidized compared to emissions from pellet combustion. Particle aging evolution inside the chamber was evaluated using fragment tracer signals, via the mass fractions f(44) vs f(43) and f(44) vs f(60) triangles plots. For the same UV irradiation time, it was found that primary particles emitted form from firewood combustion show a slower aging rate compared to those emitted from pellet combustion, but this is due to high primary loading from wood combustion. Particle aging observed inside the chamber was similar to that found it in ambient urban air of Santiago de Chile in spring of 2011, indicating that chamber measurements can be a good indicator for some atmospheric processes. Levoglucosan, a well-known tracer for biomass combustion was also studied. It was found that wood stoves yielded higher levels than pellet stoves. This is due to the higher fuel combustion efficiency in pellet stoves, which yield low levoglucosan levels, making it difficult to use it for evaluation of the impact of pellet emissions on pollution.</t>
  </si>
  <si>
    <t>Bajo, Maria/ABF-6991-2020; Gramsch, Ernesto/M-5507-2017</t>
  </si>
  <si>
    <t>Gramsch, Ernesto/0000-0002-6787-7355; Rappenglueck, Bernhard/0000-0003-3008-1633</t>
  </si>
  <si>
    <t>10.3390/atmos10100575</t>
  </si>
  <si>
    <t>WOS:000498267500013</t>
  </si>
  <si>
    <t>Corral, C; Flores-Alfonso, D; Quevedo, H</t>
  </si>
  <si>
    <t>Corral, Cristobal; Flores-Alfonso, Daniel; Quevedo, Hernando</t>
  </si>
  <si>
    <t>Charged Taub-NUT solution in Lovelock gravity with generalized Wheeler polynomials</t>
  </si>
  <si>
    <t>Wheeler's approach to finding exact solutions in Lovelock gravity has been predominantly applied to static spacetimes. This has led to a Birkhoff theorem for arbitrary base manifolds in dimensions higher than four. In this work, we generalize the method and apply it to a stationary metric. Using this perspective, we present a Taub-NUT solution in eight-dimensional Lovelock gravity coupled to Maxwell fields. We use the first-order formalism to integrate the equations of motion in the torsion-free sector. The Maxwell field is presented explicitly with general integration constants, while the background metric is given implicitly in terms of a cubic algebraic equation for the metric function. We display precisely how the NUT parameter generalizes Wheeler polynomials in a highly nontrivial manner.</t>
  </si>
  <si>
    <t>Flores, Daniel/Q-1694-2019; Corral, Cristobal/KEH-1224-2024</t>
  </si>
  <si>
    <t>Flores, Daniel/0000-0001-7866-3531; Corral, Cristobal/0000-0002-4503-4154; Quevedo, Hernando/0000-0003-4433-5550</t>
  </si>
  <si>
    <t>SEP 25</t>
  </si>
  <si>
    <t>10.1103/PhysRevD.100.064051</t>
  </si>
  <si>
    <t>WOS:000487736900003</t>
  </si>
  <si>
    <t>Salazar, DB; Williams, C</t>
  </si>
  <si>
    <t>Salazar, Daniel Barrera; Williams, Chris</t>
  </si>
  <si>
    <t>EXCEPTIONAL ZEROS AND L-INVARIANTS OF BIANCHI MODULAR FORMS</t>
  </si>
  <si>
    <t>TRANSACTIONS OF THE AMERICAN MATHEMATICAL SOCIETY</t>
  </si>
  <si>
    <t>Let f be a Bianchi modular form, that is, an automorphic form for GL(2) over an imaginary quadratic field F. In this paper, we prove an exceptional zero conjecture in the case where f is new at a prime above p. More precisely, for each prime p of F above p we prove the existence of an L-invariant L-p, depending only on p and f, such that when the p-adic L-function of f has an exceptional zero at p, its derivative can be related to the classical L-value multiplied by L-p. The proof uses cohomological methods of Darmon and Orton, who proved similar results for GL(2)/Q. When p is not split and f is the base-change of a classical modular form (f) over tilde, we relate L-p to the L-invariant of (f) over tilde, resolving a conjecture of Trifkovic in this case.</t>
  </si>
  <si>
    <t>Barrera Salazar, daniel/0000-0002-5677-2339</t>
  </si>
  <si>
    <t>0002-9947</t>
  </si>
  <si>
    <t>1088-6850</t>
  </si>
  <si>
    <t>10.1090/tran/7436</t>
  </si>
  <si>
    <t>WOS:000472528700001</t>
  </si>
  <si>
    <t>Praats, R; Kruusenberg, I; Käärik, M; Joost, U; Aruväli, J; Paiste, P; Saar, R; Rauwel, P; Kook, M; Leis, J; Zagal, JH; Tammeveski, K</t>
  </si>
  <si>
    <t>Praats, Reio; Kruusenberg, Ivar; Kaarik, Maike; Joost, Urmas; Aruvali, Jaan; Paiste, Paarn; Saar, Rando; Rauwel, Protima; Kook, Mati; Leis, Jaan; Zagal, Jose H.; Tammeveski, Kaido</t>
  </si>
  <si>
    <t>Electroreduction of oxygen in alkaline solution on iron phthalocyanine modified carbide-derived carbons</t>
  </si>
  <si>
    <t>Carbide-derived carbons (CDC) are porous carbon materials with tunable pore structure, very high specific surface area and of great potential for electrochemical applications. In this work CDC-supported transition metal macrocyclic electrocatalysts are prepared using two different type of CDC materials and iron phthalocyanine (FePc). Herein, we report the superior electrocatalytic properties of FePc/CDC catalysts fabricated via simple pyrolysis approach. The morphology, composition and structural features of these CDC-based non-noble metal catalysts are evaluated using scanning and transmission electron microscopies, X-ray photoelectron spectroscopy, N-2 physisorption and X-ray diffraction analysis. The electrochemical oxygen reduction reaction (ORR) behavior of FePc/CDC catalysts is evaluated employing the rotating disk electrode (RDE) method. FePc modified CDC materials demonstrate a superior ORR electrocatalytic activity in alkaline conditions, showing onset potential of -0.05 V (vs. SCE) close to that of commercial Pt/C. Thus, the RDE results show great potential of these non-Pt catalysts as cathode materials in metal-air batteries and alkaline membrane fuel cells. (C) 2019 Elsevier Ltd. All rights reserved.</t>
  </si>
  <si>
    <t>zagal, jose/L-9648-2014; Tammeveski, Kaido/H-7789-2015; Paiste, Kärt/HPH-1142-2023; Leis, Jaan/AAF-1935-2020; Käärik, Maike/AAI-1439-2021; Kook, Mati/Q-4461-2017</t>
  </si>
  <si>
    <t>Rauwel, Protima/0000-0001-5393-2352; Tammeveski, Kaido/0000-0002-4144-4471; Praats, Reio/0000-0001-7416-2027; Kook, Mati/0000-0002-1987-1792</t>
  </si>
  <si>
    <t>10.1016/j.electacta.2019.01.062</t>
  </si>
  <si>
    <t>WOS:000457551900107</t>
  </si>
  <si>
    <t>Hartin, A; Ringwald, A; Tapia, N</t>
  </si>
  <si>
    <t>Hartin, Anthony; Ringwald, Andreas; Tapia, Natalia</t>
  </si>
  <si>
    <t>Measuring the boiling point of the vacuum of quantum electrodynamics</t>
  </si>
  <si>
    <t>It is a long-standing nontrivial prediction of quantum electrodynamics that its vacuum is unstable in the background of a static, spatially uniform electric field and, in principle, sparks with spontaneous emission of electron-positron pairs. However, an experimental verification of this prediction seems out of reach because a sizeable rate for spontaneous pair production requires an extraordinarily strong electric field strength vertical bar E vertical bar of order the Schwinger critical field, E-c = m(e)(2)/e similar or equal to 1.3 x 10(18) V/m, where m(e) is the electron mass and e is its charge. Here, we show that the measurement of the rate of pair production due to the decays of high-energy bremsstrahlung photons in a high-intensity laser field allows for the experimental determination of the Schwinger critical field and, thus, the boiling point of the vacuum of quantum electrodynamics.</t>
  </si>
  <si>
    <t>Hartin, Anthony/H-5547-2013</t>
  </si>
  <si>
    <t>Hartin, Anthony/0000-0002-4881-8739</t>
  </si>
  <si>
    <t>FEB 12</t>
  </si>
  <si>
    <t>10.1103/PhysRevD.99.036008</t>
  </si>
  <si>
    <t>WOS:000458370800009</t>
  </si>
  <si>
    <t>Neira, S; Pereda, J; Merlin, M; Rojas, F</t>
  </si>
  <si>
    <t>Neira, Sebastian; Pereda, Javier; Merlin, Michael; Rojas, Felix</t>
  </si>
  <si>
    <t>Three-Port Full-Bridge Cell for Multilevel Converters with Battery Energy Storage</t>
  </si>
  <si>
    <t>2019 IEEE ENERGY CONVERSION CONGRESS AND EXPOSITION (ECCE)</t>
  </si>
  <si>
    <t>IEEE Energy Conversion Congress and Exposition</t>
  </si>
  <si>
    <t>11th Annual IEEE Energy Conversion Congress and Exposition (ECCE)</t>
  </si>
  <si>
    <t>SEP 29-OCT 03, 2019</t>
  </si>
  <si>
    <t>Baltimore, MD</t>
  </si>
  <si>
    <t>IEEE,IEEE Power Elect Soc,IEEE Ind Applicat Soc</t>
  </si>
  <si>
    <t>Utility-scale Battery Energy Storage Systems (BESS) have increased rapidly during the last years providing grid support for variable renewable energies, operating reserve, and any other possible ancillary service. BESS can be connected to the MV grid through conventional converters such as two-level or NPC, or through multilevel converters such as CHB or MMC. Multilevel converters do not require LV/MV transformer or ac filter, which increases the efficiency and reduces the footprint and cost. Different cell topologies for multilevel converters have been proposed in order to interface the batteries with the ac side, where the key performance indicators are the battery current peaks, number of semiconductors, footprint, efficiency and cost. This paper proposes a three-port full-bridge cell (TPC) to connect the battery in multilevel converters through a Model Predictive Control. This cell adds passive elements that decouple the battery from the cell capacitor, avoiding the battery current peaks, downsizing the cell capacitor and improving the footprint. Simulation and experimental results show that the power flow between batteries and the grid can be controlled keeping the cell capacitors balanced and ensuring the best battery treatment.</t>
  </si>
  <si>
    <t>Merlin, Michael/W-4375-2019; Neira, Sebastián/AAB-2381-2021; Rojas, Felix/U-3305-2019; Pereda Torres, Javier/F-8244-2013</t>
  </si>
  <si>
    <t>Pereda Torres, Javier/0000-0002-3407-5233; Neira, Sebastian/0000-0001-6411-5892; Merlin, Michael/0000-0001-9259-8385; Rojas, Felix/0000-0001-6145-2826</t>
  </si>
  <si>
    <t>2329-3721</t>
  </si>
  <si>
    <t>978-1-7281-0395-2</t>
  </si>
  <si>
    <t>10.1109/ecce.2019.8912646</t>
  </si>
  <si>
    <t>WOS:000520543706112</t>
  </si>
  <si>
    <t>Garmulewicz, A; Holweg, M; Veldhuis, H; Yang, AD</t>
  </si>
  <si>
    <t>Garmulewicz, Alysia; Holweg, Matthias; Veldhuis, Hans; Yang, Aidong</t>
  </si>
  <si>
    <t>Disruptive Technology as an Enabler of the Circular Economy: WHAT POTENTIAL DOES 3D PRINTING HOLD?</t>
  </si>
  <si>
    <t>CALIFORNIA MANAGEMENT REVIEW</t>
  </si>
  <si>
    <t>Three-dimensional (3D) printing has been widely identified as an emerging disruptive technology. This study examines how this technology could enable the circular economy by disrupting the existing materials value chain. Specifically, could this novel technology be used to locally manufacture new goods from local sources of recycled plastic waste, thereby offering benefits for the efficiency and effectiveness of materials cycling? This article uses the London metropolitan area-where system conditions already exist in the form of material flows, technology policy, and facilities- in order to assess 3D printing's viability as an enabler of a circular economy at the local level. An analysis of stakeholder perceptions identifies economic, technological, social, organizational, and regulatory barriers to mainstream implementation, and their likelihood of being overcome.</t>
  </si>
  <si>
    <t>Garmulewicz, Alysia/HTS-8792-2023; Yang, Aidong/M-2887-2013; Holweg, Matthias/R-2506-2017</t>
  </si>
  <si>
    <t>Garmulewicz, Alysia/0000-0001-8468-5809</t>
  </si>
  <si>
    <t>0008-1256</t>
  </si>
  <si>
    <t>2162-8564</t>
  </si>
  <si>
    <t>10.1177/0008125617752695</t>
  </si>
  <si>
    <t>WOS:000445386700006</t>
  </si>
  <si>
    <t>García-Hermoso, A; Hackney, AC; Ramírez-Vélez, R</t>
  </si>
  <si>
    <t>Garcia-Hermoso, Antonio; Hackney, Anthony C.; Ramirez-Velez, Robinson</t>
  </si>
  <si>
    <t>Ideal cardiovascular health predicts lower risk of abnormal liver enzymes levels in the Chilean National Health Survey (2009-2010)</t>
  </si>
  <si>
    <t>High levels of gamma glutamyltransferase (gamma-GT) and alanine aminotransferase (ALT), as well as fatty liver index (FLI) has been associated with higher cardiovascular disease risk factors in adults. The aim of this study was to examine the relationship between gamma-GT, ALT, and fatty liver index FLI levels across a gradient number of ideal cardiovascular health metrics in a representative sample of adults from the Chilean National Health Survey 2009-2010. Data from 1,023 men and 1,449 women (&gt;= 15 years) from the Chilean Health Survey 2009-2010 were analyzed. Ideal cardiovascular health was defined as meeting ideal levels of the following components: four behaviours (smoking, body mass index, physical activity and diet adherence) and three factors (total cholesterol, blood pressure and fasting glucose). Adults were grouped into three categories according to their number of ideal cardiovascular health metrics: ideal (5-7 metrics), intermediate (3-4 metrics), and poor (0-2 metrics). Blood levels of gamma-GT and ALT were measured and the FLI was calculated. A higher number of ideal cardiovascular health index metric was associated with lower gamma-GT, ALT and FLI (p from trend analysis &lt; 0.001). Also, adults meeting at least 3-4 metrics were predicted less likely to have prevalence of abnormal levels of gamma-GT and FLI (p&lt;0.001) compared to adults who met only 0-2 metrics. These findings reinforce the usefulness of the ideal cardiovascular health metrics proposed by the American Heart Association as a tool to identify target subjects and promote cardiovascular health in South-American adults.</t>
  </si>
  <si>
    <t>García-Hermoso, Antonio/ADU-2591-2022; Garcia-Hermoso, Antonio/P-1857-2017; Ramirez-Velez, Robinson/D-5311-2016</t>
  </si>
  <si>
    <t>Garcia-Hermoso, Antonio/0000-0002-1397-7182; Ramirez-Velez, Robinson/0000-0003-3075-6960</t>
  </si>
  <si>
    <t>OCT 19</t>
  </si>
  <si>
    <t>10.1371/journal.pone.0185908</t>
  </si>
  <si>
    <t>WOS:000413195900029</t>
  </si>
  <si>
    <t>Oriol, X; Torres, J; Miranda, R; Bilbao, M; Ortúzar, H</t>
  </si>
  <si>
    <t>Oriol, Xavier; Torres, Javier; Miranda, Rafael; Bilbao, Marian; Ortuzar, Harry</t>
  </si>
  <si>
    <t>Comparing family, friends and satisfaction with school experience as predictors of SWB in children who have and have not made the transition to middle school in different countries</t>
  </si>
  <si>
    <t>CHILDREN AND YOUTH SERVICES REVIEW</t>
  </si>
  <si>
    <t>Transition to middle school periods is especially vulnerable stages in which children need external support to facilitate their adaptation to middle education. In this regard, this study aims at observing how the social supports family and friends influence SWB before and after the transition to middle school. This is conducted taking into account the mediating effect of satisfaction with school experience in a stage where significant changes occur in the school setting. To this end, different countries that have in common a transition to middle school period taking place between 10 and 12 years old are selected. Two structural models were conducted, one for 10-year-old children and other for 12-year-old children. Both samples included 8923 participants from 4 countries (Chile, South Korea, USA and Algeria). The mean age of participants was 11.20 years (SD = 1.12). The overall analysis of the results from the two models indicates that support agents (family and friends) are significant to SBW before and after the transition to middle school period. In concrete, friend support is more important than family support to 10 and 12-year-old children. Nevertheless, satisfaction with school experience behaves as a mediator between friend support, family support and SWB, and has the greatest effect on SWB at both ages. Finally, differences observed in the invariance analysis across different countries are discussed.</t>
  </si>
  <si>
    <t>Miranda, Rafael/AAS-5224-2021; Torres-Vallejos, Javier/AAH-3587-2020; Bilbao, M. Angeles/K-8367-2014; Oriol, Xavier/AAO-3112-2021</t>
  </si>
  <si>
    <t>Miranda Ayala, Rafael/0000-0001-8640-6439; Bilbao, M. Angeles/0000-0002-5984-4908; Torres-Vallejos, Javier/0000-0002-4229-7768; Oriol, Xavier/0000-0001-7130-7729</t>
  </si>
  <si>
    <t>0190-7409</t>
  </si>
  <si>
    <t>1873-7765</t>
  </si>
  <si>
    <t>10.1016/j.childyouth.2017.06.053</t>
  </si>
  <si>
    <t>WOS:000411302300016</t>
  </si>
  <si>
    <t>Kestens, LAI; De Knijf, D; Cerda, FC; Petrov, RH</t>
  </si>
  <si>
    <t>IOP</t>
  </si>
  <si>
    <t>Kestens, Leo A. I.; De Knijf, Dorien; Castro Cerda, Felipe; Petrov, Roumen H.</t>
  </si>
  <si>
    <t>Advanced High Strength Steels: Improved Properties by Design of Textures and Microstructures</t>
  </si>
  <si>
    <t>38TH RISO INTERNATIONAL SYMPOSIUM ON MATERIALS SCIENCE</t>
  </si>
  <si>
    <t>IOP Conference Series-Materials Science and Engineering</t>
  </si>
  <si>
    <t>38th Riso International Symposium on Materials Science</t>
  </si>
  <si>
    <t>SEP 04-08, 2017</t>
  </si>
  <si>
    <t>Riso, DENMARK</t>
  </si>
  <si>
    <t>Texture and microstructure formation during annealing of a 75% cold rolled AHS steel, reheated at a rate of 10 degrees C/s to similar to 3000 degrees C/s were studied with the purpose to investigate the interaction between the recrystallization and the austenite formation as well as the possibility of grain refinement. It was found that at ultra-high heating rates, the bcc-fcc phase transformation starts before the completion of recrystallization and the deformation texture is partially retained in the samples after annealing. The crystallographic texture observed in the martensitic phase, which is the product of intercritical austenite transformation in as-quenched samples, i.e., after the double a-gamma-a' transformation, is similar to the initial cold rolling texture, which is an indication for the texture memory effect. After ultra-fast reheating with average reheating rates of 1000 degrees C/s and higher, a significant grain refinement was observed with an average calculated ferrite grain diameter of similar to 2 mu m. The obtained final ferrite grain size depends significantly on both the reheating temperature and the heating rate. The same effect is observed in 75% cold rolled quenching and partitioning steels for heating rates of 400 degrees C/s, 800 degrees C/s and 1000 degrees C/s. In both cases the combination of fine grains, and weak RD/ND-fiber textures produce an increase of strength and ductility compared to material annealed using a conventional heating rate of similar to 10 degrees C/s.</t>
  </si>
  <si>
    <t>Petrov, Roumen/A-5066-2008; Kestens, Leo/K-1716-2014; Castro Cerda, Felipe Manuel/Q-2714-2016</t>
  </si>
  <si>
    <t>Petrov, Roumen/0000-0003-0551-9058; Castro Cerda, Felipe Manuel/0000-0001-8126-5593</t>
  </si>
  <si>
    <t>1757-8981</t>
  </si>
  <si>
    <t>10.1088/1757-899X/219/1/012004</t>
  </si>
  <si>
    <t>WOS:000409355600004</t>
  </si>
  <si>
    <t>Rozas, P; Lazcano, P; Piña, R; Cho, A; Terse, A; Pertusa, M; Madrid, R; Gonzalez-Billault, C; Kulkarni, AB; Utreras, E</t>
  </si>
  <si>
    <t>Rozas, Pablo; Lazcano, Pablo; Pina, Ricardo; Cho, Andrew; Terse, Anita; Pertusa, Maria; Madrid, Rodolfo; Gonzalez-Billault, Christian; Kulkarni, Ashok B.; Utreras, Elias</t>
  </si>
  <si>
    <t>Targeted overexpression of tumor necrosis factor-α increases cyclin-dependent kinase 5 activity and TRPV1-dependent Ca2+ influx in trigeminal neurons</t>
  </si>
  <si>
    <t>PAIN</t>
  </si>
  <si>
    <t>We reported earlier that TNF-alpha, a proinflammatory cytokine implicated in many inflammatory disorders causing orofacial pain, increases the activity of Cdk5, a key kinase involved in brain development and function and recently found to be involved in pain signaling. To investigate a potential mechanism underlying inflammatory pain in trigeminal ganglia (TGs), we engineered a transgenic mouse model (TNFglo) that can conditionally overexpresses TNF-alpha upon genomic recombination by Cre recombinase. TNFglo mice were bred with Nav1.8-Cre mouse line that expresses the Cre recombinase in sensory neurons to obtain TNF-alpha: Nav1.8-Cre (TNF-alpha cTg) mice. Although TNF-alpha cTg mice appeared normal without any gross phenotype, they displayed a significant increase in TNF-alpha levels after activation of NFkB signaling in the TG. IL-6 and MCP-1 levels were also increased along with intense immunostaining for Iba1 and GFAP in TG, indicating the presence of infiltrating macrophages and the activation of satellite glial cells. TNF-alpha cTg mice displayed increased trigeminal Cdk5 activity, and this increase was associated with elevated levels of phospho-T407-TRPV1 and capsaicin-evocated Ca2+ influx in cultured trigeminal neurons. Remarkably, this effect was prevented by roscovitine, an inhibitor of Cdk5, which suggests that TNF-alpha overexpression induced sensitization of the TRPV1 channel. Furthermore, TNF-alpha cTg mice displayed more aversive behavior to noxious thermal stimulation (45 degrees C) of the face in an operant pain assessment device as compared with control mice. In summary, TNF-alpha overexpression in the sensory neurons of TNF-alpha cTg mice results in inflammatory sensitization and increased Cdk5 activity; therefore, this mouse model would be valuable for investigating the mechanism of TNF-alpha involved in orofacial pain.</t>
  </si>
  <si>
    <t>Muñoz, Ricardo/AAO-5249-2020; Madrid, Rodolfo/MCJ-4974-2025; Gonzalez-Billault, Christian/P-2393-2019; utreras, elias/I-1038-2013; Gonzalez-Billault, Christian/K-9622-2013</t>
  </si>
  <si>
    <t>Lazcano, Pablo/0000-0001-9218-5396; utreras, elias/0000-0002-1004-0466; Gonzalez-Billault, Christian/0000-0003-0335-1482; Pertusa, Maria/0000-0003-3856-9019; Pina, Ricardo/0000-0002-2316-8952</t>
  </si>
  <si>
    <t>0304-3959</t>
  </si>
  <si>
    <t>1872-6623</t>
  </si>
  <si>
    <t>10.1097/j.pain.0000000000000527</t>
  </si>
  <si>
    <t>WOS:000378876300022</t>
  </si>
  <si>
    <t>Lagos, C; Cordova, F; Gutierrez, S; Fuertes, G; Carrasco, R</t>
  </si>
  <si>
    <t>Dzitac, I; Filip, FG; Manolescu, MJ</t>
  </si>
  <si>
    <t>Lagos, Carolina; Cordova, Felisa; Gutierrez, Sebastian; Fuertes, Guillermo; Carrasco, Raul</t>
  </si>
  <si>
    <t>Data Analysis Methods Related to Energetic Consumption in Copper Mining - a Test Case in Chile</t>
  </si>
  <si>
    <t>2016 6TH INTERNATIONAL CONFERENCE ON COMPUTERS COMMUNICATIONS AND CONTROL (ICCCC)</t>
  </si>
  <si>
    <t>6th International Conference on Computers Communications and Control (ICCCC)</t>
  </si>
  <si>
    <t>MAY 10-14, 2016</t>
  </si>
  <si>
    <t>IEEE,IEEE Reg 8,Agora Univ</t>
  </si>
  <si>
    <t>According to the complexity and variety of the problem and the high volume of data, Big Data is used to data analysis of variables related to the energetic consumption, in the copper production processes in the biggest copper state company of Chile, Codelco Division Chuquicamata, highlighting the problems that are still non treated in the great mining, such as energetic consumption. The study demonstrates how energetic consumption is a key variable in copper production, and the relation that this variable has with the tons processesed, specifically in the Concentrator, area of the most energetic consumption, and its most important assets, the mills. The variables involved are Power and Temperature provided by the mills and the total tonnage entering in each process. To perform this analysis, it was neccessary to propose initially the use of Data imputation, due to the great number of missing information, non-existing on the data basis. On the other hand, the study has allowed to determine a suitable model that allows to study the simultaneous correlation of the variables that influence the energetic consumption through a multivariate model of Canonical Correlation. Finally, comparisons are established between the mean of consumption of the mills to verify potential significant differences between them. Starting from the experimental design the effect could be measured, in terms of the differences of the mills as a factor over the energetic consumption. Besides, it was determined that despite of the similar behaviour between both group of assets (The mills SAG 16, Ball 16A y Ball 16B with respect to the group of assets SAG 17, Ball 17A and Ball 17B), exists difference in the energetic consumption between the mills of a same group (of Ball and SAG).</t>
  </si>
  <si>
    <t>CORDOVA, FELISA/S-1093-2019; Fuertes, Guillermo/Q-2341-2016; Carrasco, Raul/G-5440-2015</t>
  </si>
  <si>
    <t>Gutierrez Lillo, Sebastian/0000-0003-3714-0632; CORDOVA, FELISA/0000-0002-5557-8569; Fuertes, Guillermo/0000-0003-3044-5919; Carrasco, Raul/0000-0002-5023-9349</t>
  </si>
  <si>
    <t>978-1-5090-1735-5</t>
  </si>
  <si>
    <t>WOS:000391251000038</t>
  </si>
  <si>
    <t>Vázquez, K; Espinosa-Bustos, C; Soto-Delgado, J; Tapia, RA; Varela, J; Birriel, E; Segura, R; Pizarro, J; Cerecetto, H; González, M; Paulino, M; Salas, CO</t>
  </si>
  <si>
    <t>Vazquez, Karina; Espinosa-Bustos, Christian; Soto-Delgado, Jorge; Tapia, Ricardo A.; Varela, Javier; Birriel, Estefania; Segura, Rodrigo; Pizarro, Jaime; Cerecetto, Hugo; Gonzalez, Mercedes; Paulino, Margot; Salas, Cristian O.</t>
  </si>
  <si>
    <t>New aryloxy-quinone derivatives as potential antiChagasic agents: synthesis, trypanosomicidal activity, electrochemical properties, pharmacophore elucidation and 3D-QSAR analysis</t>
  </si>
  <si>
    <t>A set of new aryloxy-quinones were synthesized and evaluated in vitro against the epimastigote form of Trypanosoma cruzi and their unspecific cytotoxicity was tested on murine macrophages J-774 cells. Most of these novel compounds were found to be much more potent and selective than the standard drug nifurtimox. Interestingly, 2-phenoxy-naphthoquinone 3b displayed a remarkable nanomolar inhibitory activity, IC50 = 20 nM, and a high selectivity index, SI = 625. The E-pc1 was determined for the most interesting compounds and no correlation with the trypanosomicidal effect was found. Therefore, an in silico study was carried out to obtain a pharmacophoric model and quantitative structuretrypanosomicidal activity relationship. The designed pharmacophore recognized the more potent and selective molecules, exhibiting five pharmacophoric features. A correlation coefficient R-2 of 0.99 of pIC(50) plotted against the predicted values indicated that the 3D-QSAR equation could be applied to further predictions of newly designed trypanosomicidal compounds.</t>
  </si>
  <si>
    <t>Salas, Cristian/IZE-2326-2023; Cerecetto, Hugo/AGJ-1293-2022; Espinosa-Bustos, Christian/E-8127-2012; Segura, Rodrigo/J-6696-2016; Tapia, Ricardo/T-7170-2017; Soto-Delgado, Jorge/A-3775-2012</t>
  </si>
  <si>
    <t>Tapia, Ricardo/0000-0003-4407-3845; Soto-Delgado, Jorge/0000-0002-2983-1727; Espinosa-Bustos, Christian/0000-0001-6038-8439; Vazquez Cisneros, Karina Wendoline/0000-0001-8592-7515; Salas, Cristian/0000-0001-7620-2459; Vazquez, Karina/0000-0002-5081-0904; Cerecetto, Hugo/0000-0003-1256-3786; Pizarro, Jaime/0000-0002-0122-1847</t>
  </si>
  <si>
    <t>10.1039/c5ra10122k</t>
  </si>
  <si>
    <t>WOS:000359136500042</t>
  </si>
  <si>
    <t>Díaz, C; García, C; Iturriaga-Vásquez, P; Aguirre, MJ; Muena, JP; Contreras, R; Ormazabal-Toledo, R; Isaacs, M</t>
  </si>
  <si>
    <t>Diaz, Carlos; Garcia, Camilo; Iturriaga-Vasquez, Patricio; Jesus Aguirre, Maria; Pablo Muena, Juan; Contreras, Renato; Ormazabal-Toledo, Rodrigo; Isaacs, Mauricio</t>
  </si>
  <si>
    <t>Experimental and theoretical study on the oxidation mechanism of dopamine in n-octyl pyridinium based ionic liquids-carbon paste modified electrodes</t>
  </si>
  <si>
    <t>This work describes the influence of n-octyl pyridinium cations based ionicliquids-carbon paste modified electrodes on the oxidation mechanism of dopamine. Ionic liquids formed by hexafluorophosphate anion and n-octyl pyridinium [R-OPy](+); R= CH3, H, CF3, where ionic liquids containing CH3 and CF3 are new products, were synthesized and characterized. Modified carbon paste electrodes with these salts were characterized by electrochemicalimpedance spectroscopy and cyclic voltammetry. Electrochemical oxidation of dopamine was studied in PBS buffer solution at pH = 7.4. The influence of the ionic liquids in the oxidation of dopamine was studied by cyclic voltammetry and rotating disk electrode. The results show that typical carbon paste electrode presents an electrochemical/chemical mechanism; whereas [OPy]PF6 and [CF3-OPy]PF6 modified electrodes present an electrochemical/chemical/electrochemical mechanism. The experimental study is complemented with a theoretical analysis of substituent effects in terms of the molecular electrostatic potential, Mulliken population analysis and second order perturbation theory probed at the cation moiety of the IL These indices consistently show an electron density accumulation at the ipso position of the pyridinium moiety of the IL that is in agreement with the electrochemical characterization. (c) 2013 Elsevier Ltd. All rights reserved.</t>
  </si>
  <si>
    <t>Aguirre, Maria/A-3935-2013; Isaacs, Mauricio/N-3027-2013; Diaz, Carlos/ITT-9959-2023; Ormazabal-Toledo, Rodrigo/AAO-5694-2020; Garcia, Camilo/H-5646-2013; Diaz, Carlos/R-8646-2018; Contreras, Renato/I-2507-2013; Ormazabal-Toledo, Rodrigo/I-2490-2013</t>
  </si>
  <si>
    <t>Garcia, Camilo/0000-0001-5997-1280; Isaacs Casanova, Mauricio/0000-0003-0503-0949; Diaz, Carlos/0000-0002-7250-8829; Aguirre, Maria/0000-0003-1134-4469; Contreras, Renato/0000-0001-6137-9534; Ormazabal-Toledo, Rodrigo/0000-0003-1777-0426</t>
  </si>
  <si>
    <t>NOV 30</t>
  </si>
  <si>
    <t>10.1016/j.electacta.2013.08.103</t>
  </si>
  <si>
    <t>WOS:000329531100111</t>
  </si>
  <si>
    <t>Calfumán, K; Dreyse, P; García, C; Aguirre, MJ; Beltrán, T; Guillamón, E; Sorribes, I; Vicent, C; Llusar, R; Isaacs, M</t>
  </si>
  <si>
    <t>Costamagna, J; Rabagliati, FM; Rivas, BL</t>
  </si>
  <si>
    <t>Calfuman, Karla; Dreyse, Paulina; Garcia, Camilo; Aguirre, Maria J.; Beltran, Tomas; Guillamon, Eva; Sorribes, Ivan; Vicent, Cristian; Llusar, Rosa; Isaacs, Mauricio</t>
  </si>
  <si>
    <t>Characterization of PVC-Tetraruthenated Metalloporphyrins Modified Electrodes: Application as Electrocatalyst in the Nitrite Reduction</t>
  </si>
  <si>
    <t>MACROMOLECULAR COMPLEXES</t>
  </si>
  <si>
    <t>Macromolecular Symposia</t>
  </si>
  <si>
    <t>13th IUPAC International Symposium on Macromoleculer Complexes (MMC)</t>
  </si>
  <si>
    <t>NOV 15-17, 2009</t>
  </si>
  <si>
    <t>Termas de Chillan, CHILE</t>
  </si>
  <si>
    <t>IUPAC</t>
  </si>
  <si>
    <t>This paper describes the electrochemical reduction of nitrite ion in 0.1M NaClO4, on glassy carbon or ITO electrodes modified with mixtures PVC-tetraruthenated metalloporphyrins. This electrode is able to keep the extraordinary electrocatalytic properties of the macrocycle allowing multielectronic transfers and a great stability as a consequence of the inclusion of the macrocycles into a polymeric support such as PVC. On the other hand, the electrochemical reduction of nitrite ion on these modified electrodes studied by cyclic voltammetry shows an enhancement in the current values and lower overpotential compared with the activity of the bare glassy carbon electrode. Controlled potential electrolysis experiments verify the production of ammonia, hydrazine and hydroxylamine, showing the electrocatalytic character and the stability of this modified electrode.</t>
  </si>
  <si>
    <t>Aguirre, Maria/A-3935-2013; Vicent, Cristian/ABC-6163-2020; Dreyse, Paulina/KSM-6016-2024; Isaacs, Mauricio/N-3027-2013; Guillamon, Eva/AAA-7557-2020; Sorribes, Ivan/AAA-7187-2019; Garcia, Camilo/H-5646-2013; Llusar, Rosa/J-8241-2014</t>
  </si>
  <si>
    <t>Vicent Barrera, Cristian/0000-0002-8288-0384; Isaacs Casanova, Mauricio/0000-0003-0503-0949; Dreyse, Paulina/0000-0003-0695-7885; Beltran Alvarez, Tomas Francisco/0000-0001-6950-3739; Sorribes, Ivan/0000-0002-3721-9335; Garcia, Camilo/0000-0001-5997-1280; Aguirre, Maria/0000-0003-1134-4469; Llusar, Rosa/0000-0002-3539-7269</t>
  </si>
  <si>
    <t>1022-1360</t>
  </si>
  <si>
    <t>10.1002/masy.201150613</t>
  </si>
  <si>
    <t>WOS:000297026400013</t>
  </si>
  <si>
    <t>García-Rico, RO; Chávez, R; Fierro, F; Martín, JF</t>
  </si>
  <si>
    <t>Garcia-Rico, Ramon O.; Chavez, Renato; Fierro, Francisco; Martin, Juan F.</t>
  </si>
  <si>
    <t>Effect of a heterotrimeric G protein α subunit on conidia germination, stress response, and roquefortine C production in Penicillium roqueforti</t>
  </si>
  <si>
    <t>INTERNATIONAL MICROBIOLOGY</t>
  </si>
  <si>
    <t>Heterotrimeric G protein signaling regulates many processes in fungi, such as development, pathogenicity, and secondary metabolite biosynthesis. For example, the G alpha Subunit Pga1 from Penicillium chrysogenum regulates conidiation and secondary metabolite production in this fungus. The dominant activating allele, pga1(G42R), encoding a constitutively active Pga1 G alpha subunit, was introduced in Penicillium roqueforti by transformation, resulting in a phenotype characterized by low sporulation and slow growth. In this work, the effect of the constitutively active Pga1(G42R) G alpha subunit on conidial germination, stress tolerance, and roquefortine C production of P roqueforti was Studied. Pga1(G42R) triggered germination in the absence of a carbon source, in addition to negatively regulating thermal and osmotic stress tolerance. The presence of the Pga1(G42R) G alpha subunit also had an important effect on roquefortine C biosynthesis, increasing production and maintaining high levels of the mycotoxin throughout a Culture period of 30 days. Together, the results suggest that G protein-mediated signaling participates in the regulation of these three processes in P roqueforti. [Int Microbiol 2009; 12(2):123-129]</t>
  </si>
  <si>
    <t>Garcia-Rico, Ramon/N-4289-2019</t>
  </si>
  <si>
    <t>Fierro, Francisco/0000-0002-2582-5362; Garcia-Rico, Ramon Ovidio/0000-0002-2451-7958; Chavez, Renato/0000-0003-1754-3610</t>
  </si>
  <si>
    <t>1139-6709</t>
  </si>
  <si>
    <t>1618-1905</t>
  </si>
  <si>
    <t>10.2436/20.1501.01.89</t>
  </si>
  <si>
    <t>WOS:000269753900006</t>
  </si>
  <si>
    <t>Cortés, A; Riveros, G; Palma, JL; Denardin, JC; Marotti, RE; Dalchiele, EA; Gómez, H</t>
  </si>
  <si>
    <t>Cortes, Andrea; Riveros, Gonzalo; Palma, Juan L.; Denardin, Juliano C.; Marotti, Ricardo E.; Dalchiele, Enrique A.; Gomez, Humberto</t>
  </si>
  <si>
    <t>Single-Crystal Growth of Nickel Nanowires: Influence of Deposition Conditions on Structural and Magnetic Properties</t>
  </si>
  <si>
    <t>JOURNAL OF NANOSCIENCE AND NANOTECHNOLOGY</t>
  </si>
  <si>
    <t>This paper examines the influence of electrode position potential, pore size, pH, composition, and temperature of the electrolytic bath on the structure of nickel nanowires arrays electrodeposited into anodic alumina oxide porous membranes. Scanning electron microscopy, X-ray diffraction, and transmission electron microscopy analysis were employed to characterize the structural and morphological properties of the nanowires. Results show that the electrodeposition potential controls the growth of nickel nanowires along some preferential crystallographic planes. At -0.90 V (vs. Ag/AgCl) single crystalline nanowires with a strong (111) orientation were obtained. High temperatures and a moderately acid pH solution contributed to improve the single crystalline character of nanowires. The presence of chloride ions produced polycrystalline nanowires at low temperature and single crystalline nanowires at high temperature. The influence of the electrodeposition potential in their magnetic anisotropies is also reported.</t>
  </si>
  <si>
    <t>Denardin, Juliano/S-6407-2019; Palma, Juan/IAP-4554-2023</t>
  </si>
  <si>
    <t>Palma, JuanLuis/0000-0003-2068-174X; Denardin, Juliano/0000-0002-1373-6207; Gomez Meier, Carlos Humberto/0000-0002-9659-4215</t>
  </si>
  <si>
    <t>1533-4880</t>
  </si>
  <si>
    <t>1533-4899</t>
  </si>
  <si>
    <t>10.1166/jnn.2009.374</t>
  </si>
  <si>
    <t>WOS:000263653400050</t>
  </si>
  <si>
    <t>Labbé, R; Baudet, C; Bustamante, G</t>
  </si>
  <si>
    <t>Labbe, R.; Baudet, C.; Bustamante, G.</t>
  </si>
  <si>
    <t>Experimental evidence of accelerated energy transfer in turbulence</t>
  </si>
  <si>
    <t>We investigate the vorticity dynamics in a turbulent vortex using scattering of acoustic waves. Two ultrasonic beams are adjusted to probe simultaneously two spatial scales in a given volume of the flow, thus allowing a dual channel recording of the dynamics of coherent vorticity structures. Our results show that this allows one to measure the average energy transfer time between different spatial length scales, and that such transfer goes faster at smaller scales.</t>
  </si>
  <si>
    <t>Labbe, Raul/C-4581-2008</t>
  </si>
  <si>
    <t>Labbe, Raul/0000-0003-4233-8387</t>
  </si>
  <si>
    <t>10.1103/PhysRevE.75.016308</t>
  </si>
  <si>
    <t>WOS:000243893700044</t>
  </si>
  <si>
    <t>Parrao-Díaz, T; Chaná-Cuevas, P; Juri-Claverías, C; Kunstmann, C; Tapia-Núñez, J</t>
  </si>
  <si>
    <t>Evaluation of cognitive impairment in a population of patients with Parkinson's disease by means of the Mini Mental Parkinson test</t>
  </si>
  <si>
    <t>REVISTA DE NEUROLOGIA</t>
  </si>
  <si>
    <t>Introduction. Parkinson's disease (PD) is a neurodegenerative disorder in which motor symptoms are initially predominant; however; as the disease progresses, cognitive deterioration becomes more evident. Tests designed to detect cognitive impairment are therefore needed. Aims. The aim of the study was to assess the cognitive status of a population of patients with PD by means of the Mini Mental Parkinson test (MMP). Patients and methods. In 110 patients with idiopathic PD, with a mean age of 66.4 +/- 10.2 years and an average history of 8.8 +/- 5.8 years of the disease, the mean severity of the disease as measured by the unified PD rating scale (UPDRS-III) was 26.2 +/- 12.9. Results. There were 20 (18.2%) subjects with dementia according to DSM-IV criteria, with a score of 20.4 +/- 6.4 on the MMP Of the 90 patients who did not have dementia, 47 cases displayed cognitive impairment, without the presence of disorders affecting their activities of daily living, who scored 25.3 +/- 4.7 points on the MMP and 43 cases did not show airy kind of cognitive impairment, with 28.0 +/- 3.3 points on the MMP: these differences were statistically significant p &lt; 0.001. Results according to age brackets showed a decrease in MMP with age and more especially so concerning memory functioning. As to severity, there is a cognitive decline, in particular with regard to memory orientation and abstraction. Conclusions. Cognitive capacity is seen to decline with age and the severity of the disease.</t>
  </si>
  <si>
    <t>Chana-Cuevas, Pedro/AAM-8215-2020; Juri, Carlos/B-6213-2008</t>
  </si>
  <si>
    <t>Juri, Carlos/0000-0002-1939-5976</t>
  </si>
  <si>
    <t>0210-0010</t>
  </si>
  <si>
    <t>1576-6578</t>
  </si>
  <si>
    <t>10.33588/rn.4006.2004081</t>
  </si>
  <si>
    <t>WOS:000228120300004</t>
  </si>
  <si>
    <t>Hutchinson, M; Raff, U; Lebedev, S</t>
  </si>
  <si>
    <t>MRI correlates of pathology in parkinsonism: segmented inversion recovery ratio imaging (SIRRIM)</t>
  </si>
  <si>
    <t>NEUROIMAGE</t>
  </si>
  <si>
    <t>The two commonest, clinically well-defined, forms of parkinsonism are idiopathic Parkinson's disease (PD) and progressive supranuclear palsy (PSP). Both involve, inter alia, pathological changes in the substantia nigra pars compacta. (SNC). In PD there is neuronal loss with associated Lewy body pathology and microglial activation. Three morphological features have been identified [Brain 114 (1991), 2283; Greenfield's Neuropathology 2 (1997), 289]. First, there is a gradient of pathological change such that the lateral segments are more affected than the medial. Second, there is thinning of the pigmented tissue, and third, there is a broadening of the overall structure in a dorsal-ventral direction, possibly caused by the migration of melanin-laden macrophages [Greenfield's Neuropathology 2 (1997), 289]. In contrast, PSP is characterized pathologically by intraneuronal neurofibrillary tangles. There are two morphological features in the SNC [Brain 114 (1991), 2283]. First, the gradient of pathological change is in the opposite direction to that of PD (i.e., the medial segments are more affected than the lateral). Second, there is atrophy. Any technique sensitive to neuropathology should be capable of detecting these features. We have previously reported on a new approach to detecting signal change in the substantia. nigra in PD. This makes use of a ratio of images acquired by two distinct inversion recovery sequences [J. Neurol, Neurosurg. Psychiatry 67 (1999), 815; Am. J. Neuroradiol. 21 (2000) 697]. The prior work suggests that the technique is sensitive to, but not necessarily specific for, PD. We present here a preliminary report on an extension of the work. This is a semiautomated segmentation analysis that enables the substantia nigra to be displayed as an isolated structure. The technique is now given the acronym SIRRIM (segmented inversion recovery ratio imaging). In contrast to our earlier work, it allows for a more accurate assessment of the gross abnormalities. We report typical SIRRIM images of the SNC. Images are shown for three subjects: a normal control, a patient with PD, and a disease control (a patient with PSP). In these examples all three morphological features of PD, as well as both morphological features of PSP, have radiological correlates. These preliminary findings suggest that SIRRIM may be specific for both diseases. (C) 2003 Elsevier Inc. All rights reserved.</t>
  </si>
  <si>
    <t>1053-8119</t>
  </si>
  <si>
    <t>1095-9572</t>
  </si>
  <si>
    <t>10.1016/j.neuroimage.2003.07.012</t>
  </si>
  <si>
    <t>WOS:000186723800044</t>
  </si>
  <si>
    <t>Torres, R; Modak, B; Urzúa, A; Monache, FD; Damonte, E; Pujol, CA</t>
  </si>
  <si>
    <t>Antiviral properties of natural and semi-synthetic compounds from Heliotropium filifolium resin</t>
  </si>
  <si>
    <t>A new compound called filifolinone 3 was synthesized from the unusual spiranic alcohol filifolinol 1, the principal compound isolated from the resinous exudate of Heliotropium filifolium. (fam.Boraginaceae) Both compounds and the ester derivative of 1, filifolinyl senecionate 2 were tested as antiviral agents against five virus species of importance in human diseases. The most active compound resulted 1, specially against polio virus, but with a tight relationship between antiviral dosis/cytotoxic dosis.</t>
  </si>
  <si>
    <t>WOS:000177975100008</t>
  </si>
  <si>
    <t>Koops, GEJ; Nauwelaerts, S; Venegas, R; Vantomme, A; Pattyn, H</t>
  </si>
  <si>
    <t>Sn nanoclusters formed in thermally grown SiO2 studied by Mossbauer spectroscopy</t>
  </si>
  <si>
    <t>NUCLEAR INSTRUMENTS &amp; METHODS IN PHYSICS RESEARCH SECTION B-BEAM INTERACTIONS WITH MATERIALS AND ATOMS</t>
  </si>
  <si>
    <t>E-MRS Spring Meeting on Materials Science with Ion Beams</t>
  </si>
  <si>
    <t>MAY 30-JUN 02, 2000</t>
  </si>
  <si>
    <t>STRASBOURG, FRANCE</t>
  </si>
  <si>
    <t>E-MRS</t>
  </si>
  <si>
    <t>We report on the formation of Sn nanoclusters in a thermally grown SiO2 film after annealing under different atmospheres. We study the different lattice positions before and after annealing with Mossbauer spectroscopy. Temperature-dependent measurements show an extreme reduction in the Debye temperature of 36% for the samples annealed in a reducing atmosphere. We show that this difference could be explained by the appearance of low lying surface modes due to the cluster embedment, (C) 2001 Elsevier Science B,V. All rights reserved.</t>
  </si>
  <si>
    <t>Vantomme, Andre/0000-0001-9158-6534</t>
  </si>
  <si>
    <t>0168-583X</t>
  </si>
  <si>
    <t>10.1016/S0168-583X(01)00499-2</t>
  </si>
  <si>
    <t>WOS:000169403700015</t>
  </si>
  <si>
    <t>Rivera, E; Navarrete, A; Garcia-Herrera, CM; Gordillo, L; Cerda, E; Celentano, DJ; Gonzalez-Candia, A; Herrera, EA</t>
  </si>
  <si>
    <t>Rivera, Eugenio; Navarrete, Alvaro; Garcia-Herrera, Claudio M.; Gordillo, Leonardo; Cerda, Enrique; Celentano, Diego J.; Gonzalez-Candia, Alejandro; Herrera, Emilio A.</t>
  </si>
  <si>
    <t>Biomechanical and histomorphometric characterization of the melatonin treatment effect in the carotid artery subjected to hypobaric hypoxia</t>
  </si>
  <si>
    <t>This study aims to assess the efficacy of melatonin in mitigating the adverse effects of hypobaric hypoxia on the cardiovascular system of neonatal lambs (30 days old). Two groups were considered for this purpose: (i) Melatonin-treated group (N = 5) and (ii) Control group (N = 6) without treatment. All subjects were exposed to hypobaric hypoxia during gestation and perinatal periods, with melatonin administered after birth. The study focused on the carotid artery, a known predictor of cardiovascular risk. Biomechanical tests, morphometric, and histological measurements were conducted, and a numerical model was developed based on the biomechanical data. Key findings showed remodeling effects: Firstly, a realignment of collagen fibers towards a longitudinal direction was observed with melatonin treatment, similar to non-hypoxic arteries. Second, changes in residual stress and ex-vivo luminal radius were noted, aiming to reduce wall stress and increase vascular resistance. These changes indicate an antihypertensive response, reducing the effects of increased blood pressure and flow due to hypobaric hypoxia. This study demonstrates that biomechanical and histomorphometric methodologies effectively assess the beneficial effects of melatonin treatment under hypobaric hypoxia exposure.</t>
  </si>
  <si>
    <t>APR 16</t>
  </si>
  <si>
    <t>10.3389/fbioe.2025.1554004</t>
  </si>
  <si>
    <t>WOS:001478757300001</t>
  </si>
  <si>
    <t>Orellana, R; Coronel, M; Carvajal, R; Escárate, P; Agüero, JC</t>
  </si>
  <si>
    <t>Orellana, Rafael; Coronel, Maria; Carvajal, Rodrigo; Escarate, Pedro; Aguero, Juan C.</t>
  </si>
  <si>
    <t>Model Error Modeling for a Class of Multivariable Systems Utilizing Stochastic Embedding Approach with Gaussian Mixture Models</t>
  </si>
  <si>
    <t>Many real-world multivariable systems need to be modeled to capture the interconnected behavior of their physical variables and to understand how uncertainty in actuators and sensors affects the system dynamics. In system identification, some estimation algorithms are formulated as multivariate data problems by assuming symmetric noise distributions, yielding deterministic system models. Nevertheless, modern multivariable systems must incorporate the uncertainty behavior as a part of the system model structure, taking advantage of asymmetric distributions to model the uncertainty. This paper addresses the uncertainty modeling and identification of a class of multivariable linear dynamic systems, adopting a Stochastic Embedding approach. We consider a nominal system model and a Gaussian mixture distributed error-model driven by an exogenous input signal. The error-model parameters are treated as latent variables and a Maximum Likelihood algorithm that functions by marginalizing the latent variables is obtained. An Expectation-Maximization algorithm that jointly uses the measurements from multiple independent experiments is developed, yielding closed-form expressions for the Gaussian mixture estimators and the noise variance. Numerical simulations demonstrate that our approach yields accurate estimates of both the multivariable nominal system model parameters and the noise variance, even when the error-model non-Gaussian distribution does not correspond to a Gaussian mixture model.</t>
  </si>
  <si>
    <t>Carvajal, Rodrigo/E-5560-2015; Coronel, Maria/LXW-8289-2024; Orellana Prato, Rafael/Y-5616-2018; Escarate, Pedro/AAH-1677-2019; Aguero, Juan C./A-8657-2013</t>
  </si>
  <si>
    <t>Aguero, Juan C./0000-0001-7104-3233</t>
  </si>
  <si>
    <t>10.3390/sym17030426</t>
  </si>
  <si>
    <t>WOS:001453784400001</t>
  </si>
  <si>
    <t>Salfate, G; Negrete-Vergara, C; Azócar, L; Xiao, LP; Sun, RC; Sánchez, J</t>
  </si>
  <si>
    <t>Salfate, Gabriel; Negrete-Vergara, Camila; Azocar, Laura; Xiao, Ling-Ping; Sun, Run-Cang; Sanchez, Julio</t>
  </si>
  <si>
    <t>Lignin and functional polymer-based materials: Synthesis, characterization and application for Cr (VI) and As (V) removal from aqueous media</t>
  </si>
  <si>
    <t>In this study, lignin derived from corncobs was chemically modified by substituting the hydroxyl groups present in its structure with methacrylate groups through a catalytic reaction using methacrylic anhydride, resulting in methacrylated lignin (ML). These MLs were incorporated in polymerization reaction of the monomer 2-[(acryloyloxy)ethyl trimethylammonium] chloride (Cl-AETA) and Cl-AETA, Cl-AETA/ML polymers were obtained, characterized (spectroscopic, thermal and microscopic analysis), and evaluated for removing Cr (VI) and As (V) from aqueous media in function of pH, contact time, initial metal concentrations and adsorbent amount. The Cl-AETA/ML polymers followed the Langmuir adsorption model for the evaluated metal anions and were able to remove up to 91 % of Cr (VI) with a qmax (maximum adsorption capacity) of 201 mg/g, while for As (V), up to 60 % could be removed with a qmax of 58 mg/g. The results demonstrate that simple modifications in lignin enhance its functionalization and properties, making it suitable for removing contaminants from aqueous media, showing promising results for potential future applications.</t>
  </si>
  <si>
    <t>Xiao, Ling-Ping/C-1259-2011; Sun, Run-Cang/Z-3747-2019; Azócar, Laura/AAD-4602-2019; Sanchez, Julio/AEO-4360-2022</t>
  </si>
  <si>
    <t>Sanchez, Julio/0000-0003-4245-0096</t>
  </si>
  <si>
    <t>10.1016/j.ijbiomac.2024.134697</t>
  </si>
  <si>
    <t>AUG 2024</t>
  </si>
  <si>
    <t>WOS:001297497400001</t>
  </si>
  <si>
    <t>Navarrete, A; Inostroza, M; Utrera, A; Bezmalinovic, A; González-Candia, A; Rivera, E; Godoy-Guzmán, C; Herrera, EA; García-Herrera, C</t>
  </si>
  <si>
    <t>Navarrete, Alvaro; Inostroza, Matias; Utrera, Andres; Bezmalinovic, Alejandro; Gonzalez-Candia, Alejandro; Rivera, Eugenio; Godoy-Guzman, Carlos; Herrera, Emilio A.; Garcia-Herrera, Claudio</t>
  </si>
  <si>
    <t>Biomechanical effects of hemin and sildenafil treatments on the aortic wall of chronic-hypoxic lambs</t>
  </si>
  <si>
    <t>Introduction: Gestation under chronic hypoxia causes pulmonary hypertension, cardiovascular remodeling, and increased aortic stiffness in the offspring. To mitigate the neonatal cardiovascular risk, pharmacological treatments (such as hemin and sildenafil) have been proposed to improve pulmonary vasodilation. However, little is known about the effects of these treatments on the aorta. Therefore, we studied the effect of hemin and sildenafil treatments in the aorta of lambs gestated and raised at highlands, thereby subjected to chronic hypoxia.Methods: Several biomechanical tests were conducted in the descending thoracic aorta (DTA) and the distal abdominal aorta (DAA), assessing 3 groups of study of hypoxic animals: non-treated (Control) and treated either with hemin or sildenafil. Based on them, the stiffness level has been quantified in both zones, along with the physiological strain in the unloaded aortic duct. Furthermore, a morphological study by histology was conducted in the DTA.Results: Biomechanical results indicate that treatments trigger an increment of axial pre-stress and circumferential residual stress levels in DTA and DAA of lambs exposed to high-altitude chronic hypoxia, which reveals a vasodilatation improvement along with an anti-hypertensive response under this characteristic environmental condition. In addition, histological findings do not reveal significant differences in either structure or microstructural content.Discussion: The biomechanics approach emerges as a valuable study perspective, providing insights to explain the physiological mechanisms of vascular function. According to established results, alterations in the function of the aortic wall may not necessarily be explained by morphostructural changes, but rather by the characteristic mechanical state of the microstructural components that are part of the studied tissue. In this sense, the reported biomechanical changes are beneficial in mitigating the adverse effects of hypobaric hypoxia exposure during gestation and early postnatal life.</t>
  </si>
  <si>
    <t>García-Herrera, Claudio/ABE-8991-2020; Herrera, Emilio/H-5992-2018; Gonzalez-Candia, Alejandro/HMP-2142-2023; Godoy-Guzman, Carlos Ignacio/IUO-1065-2023; Rivera, Eugenio/LEN-3594-2024</t>
  </si>
  <si>
    <t>Godoy-Guzman, Carlos/0000-0001-8451-7047</t>
  </si>
  <si>
    <t>10.3389/fbioe.2024.1406214</t>
  </si>
  <si>
    <t>WOS:001269082200001</t>
  </si>
  <si>
    <t>Barrenechea, G; Castillo, E; Pacheco, D</t>
  </si>
  <si>
    <t>Barrenechea, Gabriel; Castillo, Ernesto; Pacheco, Douglas</t>
  </si>
  <si>
    <t>IMPLICIT-EXPLICIT SCHEMES FOR INCOMPRESSIBLE FLOW PROBLEMS WITH VARIABLE VISCOSITY</t>
  </si>
  <si>
    <t>SIAM JOURNAL ON SCIENTIFIC COMPUTING</t>
  </si>
  <si>
    <t>This article investigates different implicit-explicit (IMEX) methods for incompressible flows with variable viscosity. The viscosity field may depend on space and time alone or, for example, on velocity gradients. Unlike most previous works on IMEX schemes, which focus on the convective term, we propose also treating parts of the diffusive term explicitly, which can reduce the coupling between the velocity components. We present different IMEX alternatives for the variable-viscosity Navier--Stokes system, analyzing their theoretical and algorithmic properties. Temporal stability is proven for all the methods presented, including monolithic and fractional-step variants. These results are unconditional except for one of the fractional-step discretizations, whose stability is shown for time-step sizes under an upper bound that depends solely on the problem data. The key finding of this work is a class of IMEX schemes whose steps decouple the velocity components and are fully linearized (even if the viscosity depends nonlinearly on the velocity) without requiring any CFL condition for stability. Moreover, in the presence of Neumann boundaries, some of our formulations lead naturally to conditions involving normal pseudotractions. This generalizes to the variable- viscosity case what happens for the standard Laplacian form with constant viscosity. Our analysis is supported by a series of numerical experiments.</t>
  </si>
  <si>
    <t>Pacheco, Douglas/LLM-6995-2024</t>
  </si>
  <si>
    <t>Pacheco, Douglas/0000-0002-3494-7118</t>
  </si>
  <si>
    <t>1064-8275</t>
  </si>
  <si>
    <t>1095-7197</t>
  </si>
  <si>
    <t>A2660</t>
  </si>
  <si>
    <t>A2682</t>
  </si>
  <si>
    <t>10.1137/23M1606526</t>
  </si>
  <si>
    <t>WOS:001311513200004</t>
  </si>
  <si>
    <t>Rodríguez-Paredes, A; Topp, E</t>
  </si>
  <si>
    <t>Rodriguez-Paredes, Andrei; Topp, Erwin</t>
  </si>
  <si>
    <t>Rates of convergence in periodic homogenization of nonlocal Hamilton-Jacobi-Bellman equations*, **</t>
  </si>
  <si>
    <t>ESAIM-CONTROL OPTIMISATION AND CALCULUS OF VARIATIONS</t>
  </si>
  <si>
    <t>In this paper we provide a rate of convergence for periodic homogenization of Hamilton-Jacobi-Bellman equations with nonlocal diffusion. The result is based on the regularity of the associated effective problem, where convexity plays a crucial role. The necessary regularity estimates are made possible by a representation formula we obtain for the effective Hamiltonian, a result that has an independent interest.</t>
  </si>
  <si>
    <t>1292-8119</t>
  </si>
  <si>
    <t>1262-3377</t>
  </si>
  <si>
    <t>JUN 9</t>
  </si>
  <si>
    <t>10.1051/cocv/2023038</t>
  </si>
  <si>
    <t>WOS:001005566300006</t>
  </si>
  <si>
    <t>Gonzalez, J; Zambra, CE; Gonzalez, L; Clausen, B; Vasco, DA</t>
  </si>
  <si>
    <t>Gonzalez, Johan; Zambra, Carlos E.; Gonzalez, Luciano; Clausen, Benjamin; Vasco, Diego A.</t>
  </si>
  <si>
    <t>Simulation of cooling in a magma chamber: Implications for geothermal fields of southern Peru</t>
  </si>
  <si>
    <t>GEOTHERMICS</t>
  </si>
  <si>
    <t>Numerical simulations of a geothermal reservoir often assume that the primary heat source is a magmatic system; however, heat from the host rock and the coupled complex transport phenomena between magma chamber and host rock also need to be considered. This research numerically simulated the cooling history of an enclosed magma chamber and the thermal effects on the host rock around it from which geothermal energy could be extracted. Modeling of the magma body included natural convection, the effect of latent heat of phase change when the crystals are being formed between the liquidus temperature and the solidus temperature, and heat conduction when the temperature is below the solidus temperature. This study takes as an example a geothermal reservoir in southern Peru (Western Cordillera) whose heat source is a rhyolitic magma chamber like those that gave rise to the intrusive rocks of the Peru coastal cordillera. This analysis varies the chamber shape and uses three solidification temperature ranges for convection and conduction models above the rock formation temperature (solidus) to study the implications for heating of the host rock. This is the first study of its kind in this area. The center of an average-sized magma chambers takes approximately 500 ka to cool from 800 ? to 300 ?. Simulated cooling times between intrusion and solidus temperatures decreased 3 ka when convection was modeled along with conduction cooling. Cooling times decreased by up to 6 ka when the solidification temperature range was increased. The host rock temperature pattern depends strongly on the stage at which the magma chamber is modeled to begin cooling. The temperatures results near the surface of the host rock obtained in this work match well with measurements at hot springs founded in several places in the Western Cordillera. Application of the methodology proposed in this study can reduce uncertainties in planning geothermal energy extraction wells. The accuracy of the numerical model described here could be improved by including more ground data from exploration wells, e.g., soil stratigraphy and temperatures variation with depth.</t>
  </si>
  <si>
    <t>Vasco, Diego/Y-2934-2019</t>
  </si>
  <si>
    <t>Gonzalez, Johan/0000-0001-8740-8743; Vasco, Diego Andres/0000-0001-7456-4683; Zambra, Carlos/0000-0002-2578-0627</t>
  </si>
  <si>
    <t>0375-6505</t>
  </si>
  <si>
    <t>1879-3576</t>
  </si>
  <si>
    <t>10.1016/j.geothermics.2022.102515</t>
  </si>
  <si>
    <t>WOS:000831708900004</t>
  </si>
  <si>
    <t>Silva, TJ; Ramirez-Carrasco, P; Romero-Hasler, P; Soto-Bustamante, E; Barrera-Arellano, D; Robert, P; Gimenez, B</t>
  </si>
  <si>
    <t>Silva, Thais Jordania; Ramirez-Carrasco, Patricia; Romero-Hasler, Patricio; Soto-Bustamante, Eduardo; Barrera-Arellano, Daniel; Robert, Paz; Gimenez, Begona</t>
  </si>
  <si>
    <t>Soybean oil organogelled emulsions as oral delivery systems of hydroxytyrosol and hydroxytyrosol alkyl esters</t>
  </si>
  <si>
    <t>Water-in-soybean oil organogelled emulsions (OGEs) were formulated as fat replacers and evaluated as delivery systems of hydroxytyrosol (HT, hydrophilic compound), hydroxytyrosol octanoate (HTC18, hydrophobic compound) and hydroxytyrosol decanoate (HTC10, with intermediate hydrophobicity and the highest antioxidant activity measured by conjugated autoxidizable triene assay). OGEs formulated with 55% of water and a ternary blend of candelilla wax, fully hydrogenated palm oil and monoacylglycerols showed mechanical properties similar to lard and solid-like behavior. The increase in the water content, together with a higher concentration of structuring agents in the oil phase, led to an increase in oil retention capacity and texture parameters. A slight desesterification of HTC10 and HTC18 was found during in vitro gastrointestinal digestion. The three bioactive compounds loaded in OGEs showed high bioaccessibility values (~84%) at the end of digestion, regardless their chain length and hydrophobicity. These OGEs designed as fat replacers showed a great potential for vehiculation of both hydrophilic and lipophilic compounds.</t>
  </si>
  <si>
    <t>Romero-Hasler, Patricio/T-7993-2019; Silva, Thais/JQV-5554-2023; Robert, Paz/G-8198-2014; Romero-Hasler, Patricio/P-6631-2018</t>
  </si>
  <si>
    <t>Romero-Hasler, Patricio/0000-0002-9211-2514; Silva, Thais Jordania/0000-0001-5818-2802</t>
  </si>
  <si>
    <t>10.1016/j.foodchem.2022.132182</t>
  </si>
  <si>
    <t>WOS:000765984700001</t>
  </si>
  <si>
    <t>Ferrari, G; Dulgheroff, PT; Claro, RM; Rezende, LFM; Azeredo, CM</t>
  </si>
  <si>
    <t>Ferrari, Gerson; Dulgheroff, Pedro Toteff; Claro, Rafael M.; Rezende, Leandro F. M.; Azeredo, Catarina Machado</t>
  </si>
  <si>
    <t>Socioeconomic inequalities in physical activity in Brazil: a pooled cross-sectional analysis from 2013 to 2019</t>
  </si>
  <si>
    <t>INTERNATIONAL JOURNAL FOR EQUITY IN HEALTH</t>
  </si>
  <si>
    <t>Background Information on socioeconomic inequalities in physical activity over time is sparse in low- to middle-income countries. In this study, we examined trends in physical activity educational inequalities in adults from Brazil between 2013 and 2019. Methods We analyzed data from seven cross-sectional studies including 359,038 adults (&gt;= 18 years) from the VIGITEL study conducted annually from 2013 to 2019. Participants responded to a questionnaire about physical activity (total, leisure, and commuting). Educational inequalities by sex and skin color were assessed through absolute (slope index of inequality - SII) and relative measures of inequality (concentration index - CIX). Results We found large absolute and relative inequalities for leisure-time physical activity, favoring those with higher educational attainment (SII2019 = 35.4; CIX2019 = 11.82). Active commuting was more prevalent in intermediate education groups, with a slight inequality toward the less educated group (SII2019 = -2.8; CIX2019 = -0.4). From 2013 to 2019, the absolute educational inequality in physical activity (total, leisure, and commuting) remained unchanged; however, the relative inequality gap narrowed for total physical activity (CIX: 8.4 in 2013 to 5.5 in 2019) and leisure-time physical activity (CIX: 18.3 in 2013 to 11.8 in 2019). Educational inequality increased in leisure-time physical activity among women and non-white individuals, while it reduced among men and white individuals; for active commuting, inequality decreased among women, and increased among men and white individuals. Conclusions Inequality in total physical activity and leisure-time physical activity favors the most educated groups in Brazil. Over time, relative educational inequality decreased for total and leisure-time physical activity, while no progress was found for absolute inequality.</t>
  </si>
  <si>
    <t>Azeredo, Catarina/B-2308-2015; Claro, Rafael/F-8996-2012; Ferrari, Gerson/ABG-6635-2021; Rezende, Leandro/C-1724-2012; Ferrari, Gerson/P-1152-2014</t>
  </si>
  <si>
    <t>Ferrari, Gerson/0000-0003-3177-6576</t>
  </si>
  <si>
    <t>1475-9276</t>
  </si>
  <si>
    <t>AUG 23</t>
  </si>
  <si>
    <t>10.1186/s12939-021-01533-z</t>
  </si>
  <si>
    <t>WOS:000687685000001</t>
  </si>
  <si>
    <t>Zayulina, KS; Elcheninov, AG; Toshchakov, S; Kochetkova, T; Novikov, AA; Blamey, JM; Kublanov, I</t>
  </si>
  <si>
    <t>Zayulina, Kseniya S.; Elcheninov, Alexander G.; Toshchakov, Stepan, V; Kochetkova, Tatiana, V; Novikov, Andrei A.; Blamey, Jenny M.; Kublanov, Ilya, V</t>
  </si>
  <si>
    <t>Novel hyperthermophilic crenarchaeon Infirmifilum lucidum gen. nov. sp. nov., reclassification of Thermofilum uzonense as Infirmifilum uzonense comb. nov. and assignment of the family Thermofilaceae to the order Thermofilales ord. nov.</t>
  </si>
  <si>
    <t>SYSTEMATIC AND APPLIED MICROBIOLOGY</t>
  </si>
  <si>
    <t>A novel hyperthermophilic crenarchaeon, strain 3507LT(T), was isolated from a terrestrial hot spring near Tinguiririca volcano, Chile. Cells were non-motile thin, slightly curved filamentous rods. It grew at 73-93 degrees C and pH range of 5 to 7.5 with an optimum at 85 degrees C and pH 6.0-6.7. The presence of culture broth filtrate of another hyperthemophilic archaeon as well as yeast extract was obligatory for growth of the novel isolate. Strain 3507LT(T) is an anaerobic chemoorganoheterotroph, fermenting monosaccharides, disaccharides and polysaccharides (lichenan, starch, xanthan gum, xyloglucan, alpha-cellulose and amorphous cellulose). No growth stimulation was detected when nitrate, thiosulfate, selenate or elemental sulfur were added as the electron acceptors. The complete genome of strain 3507LT(T) consisted of a single circular chromosome with size of 1.63 Mbp. The DNA G+C content was 53.9%. According to the 16S rRNA gene sequence as well as conserved protein sequences phylogenetic analyses, strain 3507LT(T) together with Thermofilum uzonense formed a separate cluster within a Thermofilaceae family (Thermoproteales/Thermoprotei/Crenarchaeota). Based on phenotypic characteristics, phylogeny as well as AAI comparisons, a novel genus and species Infirmifilum lucidum strain 3507LT(T) (=VKM 6-3376(T) = KCTC 15797(T)) gen. nov. sp. nov. was proposed. Its closest relative, Thermofilum uzonense strain 1807-2(T) should be reclassified as Infirmifilum uzonense strain 1807-2(T) comb. nov. Finally, based on phylogenomic and comparative genome analyses of representatives of Thermofilaceae family and other representatives of Thermoproteales order, a proposal of transfer of the family Thermofilaceae into a separate order Thermofilales ord. nov. was made. (C) 2021 Elsevier GmbH. All rights reserved.</t>
  </si>
  <si>
    <t>Kublanov, Ilya/D-2976-2013; Blamey, Jenny/M-2637-2014; Elcheninov, Alexander/AAD-2770-2019; Zayulina, Kseniya/AAU-3994-2021; Toshchakov, Stepan/E-5648-2014; Kochetkova, Tatiana/ABA-6400-2020; Novikov, Andrei/O-2848-2013</t>
  </si>
  <si>
    <t>Blamey, Jenny/0000-0002-7640-316X; Toshchakov, Stepan/0000-0001-7549-3450; Elcheninov, Alexander/0000-0003-1686-6119</t>
  </si>
  <si>
    <t>0723-2020</t>
  </si>
  <si>
    <t>1618-0984</t>
  </si>
  <si>
    <t>10.1016/j.syapm.2021.126230</t>
  </si>
  <si>
    <t>WOS:000680042300013</t>
  </si>
  <si>
    <t>Estrada-Muñoz, C; Castillo, D; Vega-Muñoz, A; Boada-Grau, J</t>
  </si>
  <si>
    <t>Estrada-Munoz, Carla; Castillo, Dante; Vega-Munoz, Alejandro; Boada-Grau, Joan</t>
  </si>
  <si>
    <t>Teacher Technostress in the Chilean School System</t>
  </si>
  <si>
    <t>The expanded use of information technology in education has led to the emergence of technostress due to a lack of adaptation to the technological environment. The purpose of this study is to identify the levels of technostress in primary and secondary education in 428 teachers using a RED-TIC questionnaire, of which skepticism, fatigue, anxiety, and inefficiency are the main components. For the empirical analysis of the data, principal component analysis (PCA) and confirmatory factor analysis (CFA) were used. The results show that 12% of Chilean teachers participating in the study feel techno-fatigued, 13% feel techno-anxious, and 11% present both conditions. Male teachers show a higher incidence of techno-anxiety and techno-fatigue than their female peers. It can be concluded that the questionnaire used is a reliable tool to evaluate the presence of technostress, and it manifests itself importantly in its components of techno-anxiety and techno-fatigue in Chilean teachers.</t>
  </si>
  <si>
    <t>Estrada-Muñoz, Carla/HSH-1293-2023; Vega-Muñoz, Alejandro/AAX-7468-2021</t>
  </si>
  <si>
    <t>Castillo, Dante/0000-0002-5648-0627; Vega, Alejandro/0000-0002-9427-2044; Estrada Munoz, Carla/0000-0002-4657-8751</t>
  </si>
  <si>
    <t>10.3390/ijerph17155280</t>
  </si>
  <si>
    <t>WOS:000559552300001</t>
  </si>
  <si>
    <t>Kessi-Pérez, EI; Molinet, J; García, V; Aguilera, O; Cepeda, F; López, ME; Sari, S; Cuello, R; Ciklic, I; Rojo, MC; Combina, M; Araneda, C; Martínez, C</t>
  </si>
  <si>
    <t>Kessi-Perez, Eduardo, I; Molinet, Jennifer; Garcia, Veronica; Aguilera, Omayra; Cepeda, Fernanda; Eugenia Lopez, Maria; Sari, Santiago; Cuello, Raul; Ciklic, Ivan; Cecilia Rojo, Maria; Combina, Mariana; Araneda, Cristian; Martinez, Claudio</t>
  </si>
  <si>
    <t>Generation of a Non-Transgenic Genetically Improved Yeast Strain for Wine Production from Nitrogen-Deficient Musts</t>
  </si>
  <si>
    <t>The yeastSaccharomyces cerevisiaeis the main species responsible for the process that involves the transformation of grape must into wine, with the initial nitrogen in the grape must being vital for it. One of the main problems in the wine industry is the deficiency of nitrogen sources in the grape must, leading to stuck or sluggish fermentations, and generating economic losses. In this scenario, an alternative is the isolation or generation of yeast strains with low nitrogen requirements for fermentation. In the present study, we carry out a genetic improvement program using as a base population a group of 70 strains isolated from winemaking environments mainly in Chile and Argentina (F-0), making from it a first and second filial generation (F(1)and F-2, respectively) based in different families and hybrids. It was found that the trait under study has a high heritability, obtaining in the F(2)population strains that consume a minor proportion of the nitrogen sources present in the must. Among these improved strains, strain 686 specially showed a marked drop in the nitrogen consumption, without losing fermentative performance, in synthetic grape must at laboratory level. When using this improved strain to produce wine from a natural grape must (supplemented and non-supplemented with ammonium) at pilot scale under wine cellar conditions, a similar fermentative capacity was obtained between this strain and a widely used commercial strain (EC1118). However, when fermented in a non-supplemented must, improved strain 686 showed the presence of a marked floral aroma absent for EC1118 strain, this difference being probably a direct consequence of its different pattern in amino acid consumption. The combination of the capacity of improved strain 686 to ferment without nitrogen addition and produce floral aromas may be of commercial interest for the wine industry.</t>
  </si>
  <si>
    <t>Yáñez, José/H-5279-2013; Molinet, Jennifer/AAI-3636-2020; Martinez, Claudio/MGS-9961-2025; Kessi, Eduardo/AAI-2566-2019; García, Verónica/AAM-1175-2021; Araneda, Cristian/H-4036-2013</t>
  </si>
  <si>
    <t>Rojo, Maria Cecilia/0000-0002-2834-8549; Cuello, Raul Andres/0009-0004-0056-0013; Araneda, Cristian/0000-0002-9986-5340; Combina, Mariana/0000-0002-0798-1564; garcia, veronica/0000-0002-5312-925X; Kessi, Eduardo/0000-0003-4225-9486; Lopez, Maria-Eugenia/0000-0001-9272-0694; Molinet, Jennifer/0000-0001-9716-4455</t>
  </si>
  <si>
    <t>10.3390/microorganisms8081194</t>
  </si>
  <si>
    <t>WOS:000564762200001</t>
  </si>
  <si>
    <t>Díaz, A; Villanueva, P; Oliva, V; Gil-Durán, C; Fierro, F; Chávez, R; Vaca, I</t>
  </si>
  <si>
    <t>Diaz, Anai; Villanueva, Pablo; Oliva, Vicente; Gil-Duran, Carlos; Fierro, Francisco; Chavez, Renato; Vaca, Inmaculada</t>
  </si>
  <si>
    <t>Genetic Transformation of the Filamentous Fungus Pseudogymnoascus verrucosus of Antarctic Origin</t>
  </si>
  <si>
    <t>Cold-adapted fungi isolated from Antarctica, in particular those belonging to the genus Pseudogymnoascus, are producers of secondary metabolites with interesting bioactive properties as well as enzymes with potential biotechnological applications. However, at genetic level, the study of these fungi has been hindered by the lack of suitable genetic tools such as transformation systems. In fungi, the availability of transformation systems is a key to address the functional analysis of genes related with the production of a particular metabolite or enzyme. To the best of our knowledge, the transformation of Pseudogymnoascus strains of Antarctic origin has not been achieved yet. In this work, we describe for the first time the successful transformation of a Pseudogymnoascus verrucosus strain of Antarctic origin, using two methodologies: the polyethylene glycol (PEG)-mediated transformation, and the electroporation of germinated conidia. We achieved transformation efficiencies of 15.87 +/- 5.16 transformants per mu g of DNA and 2.67 +/- 1.15 transformants per mu g of DNA for PEG-mediated transformation and electroporation of germinated conidia, respectively. These results indicate that PEG-mediated transformation is a very efficient method for the transformation of this Antarctic fungus. The genetic transformation of Pseudogymnoascus verrucosus described in this work represents the first example of transformation of a filamentous fungus of Antarctic origin.</t>
  </si>
  <si>
    <t>Villanueva Diaz, Pablo Nicolas/0009-0006-8895-0335; Gil-Duran, Carlos Andres/0000-0001-9638-6902; Fierro, Francisco/0000-0002-2582-5362; Chavez, Renato/0000-0003-1754-3610; Diaz Morales, Anai/0009-0001-0099-6384; Vaca, Inmaculada/0000-0002-8952-9036</t>
  </si>
  <si>
    <t>NOV 22</t>
  </si>
  <si>
    <t>10.3389/fmicb.2019.02675</t>
  </si>
  <si>
    <t>WOS:000501287800001</t>
  </si>
  <si>
    <t>Ponce, HR; Mayer, RE; Loyola, MS; López, MJ</t>
  </si>
  <si>
    <t>Ponce, Hector R.; Mayer, Richard E.; Soledad Loyola, M.; Lopez, Mario J.</t>
  </si>
  <si>
    <t>Study Activities That Foster Generative Learning: Notetaking, Graphic Organizer, and Questioning</t>
  </si>
  <si>
    <t>JOURNAL OF EDUCATIONAL COMPUTING RESEARCH</t>
  </si>
  <si>
    <t>Fourth graders were asked to read a text and either to fill in a compare-and-contrast graphic organizer, answer a set of structured questions, take notes, or simply read the text. Both the graphic organizer and questioning groups outperformed the read-only group on a comprehension test (d = 1.24 and 1.22, respectively) and a memory test (d = 0.54 and 0.53, respectively). No significant differences were found between the notetaking and read-only groups on the comprehension test (d = 0.30) or the memory test (d = 0.20). Results showed more integrative eye movements between paragraphs for the graphic organizer (d = 1.53) and the questioning groups (d = 1.90) than the read-only group, but not for the notetaking group (d = -0.06). On all three measures, the graphic organizer group and the questioning group exhibited a generative learning strategy, whereas the notetaking and read-only groups exhibited a linear learning strategy.</t>
  </si>
  <si>
    <t>Ponce, Hector/H-9545-2019; Mayer, Richard/ACN-3384-2022</t>
  </si>
  <si>
    <t>0735-6331</t>
  </si>
  <si>
    <t>1541-4140</t>
  </si>
  <si>
    <t>10.1177/0735633119865554</t>
  </si>
  <si>
    <t>WOS:000480319400001</t>
  </si>
  <si>
    <t>Silva, N; Ramírez, S; Díaz, I; Garcia, A; Hassan, N</t>
  </si>
  <si>
    <t>Silva, Nataly; Ramirez, Sara; Diaz, Isaac; Garcia, Andreina; Hassan, Natalia</t>
  </si>
  <si>
    <t>Easy, Quick, and Reproducible Sonochemical Synthesis of CuO Nanoparticles</t>
  </si>
  <si>
    <t>Copper oxide nanoparticles (CuO NPs) were synthesized in air by reducing copper (II) sulfate pentahydrate salt (CuSO(4)5H(2)O) in the presence of sodium borohydride. The reaction was stabilized with Hexadecyltrimethylammonium bromide (CTAB) in a basic medium and using ultrasound waves. Different molar ratios of CTAB:Cu2+ and NaBH4:Cu2+ were explored, to optimize the synthesis conditions, and to study the stability, size, and Zeta potential of the colloidal suspension. Optimum conditions to generate spherical, stable, and monodispersed nanoparticles with hydrodynamic diameters of 36 +/- 1.3 nm were obtained, using 16 mM CTAB and 2 M NaBH4 (molar ratios Cu2+:CTAB:NaBH4 of 1:6:10). X-ray diffraction (XRD) was implemented, and a monoclinic CuO crystal system was formed. This demonstrated a monoclinic crystal system corresponding to CuO. The diffraction peaks were identified and confirmed according to their selected area electron diffraction (SAED) patterns.</t>
  </si>
  <si>
    <t>DIAZ-ABURTO, ISAAC/AAN-4170-2021; Garcia, Andreina/J-4712-2015; Hassan, Natalia/V-8190-2017</t>
  </si>
  <si>
    <t>Garcia, Andreina/0000-0003-1607-8913; DIAZ-ABURTO, ISAAC/0000-0002-4850-1125; Hassan, Natalia/0000-0001-5001-5102; Silva, Nataly/0000-0002-1830-5182; Ramirez Pasten, Sara/0000-0003-2109-0490</t>
  </si>
  <si>
    <t>10.3390/ma12050804</t>
  </si>
  <si>
    <t>WOS:000462543700120</t>
  </si>
  <si>
    <t>Fuentealba, O; Matulich, J; Pérez, A; Pino, M; Rodríguez, P; Tempo, D; Troncoso, R</t>
  </si>
  <si>
    <t>Fuentealba, Oscar; Matulich, Javier; Perez, Alfredo; Pino, Miguel; Rodriguez, Pablo; Tempo, David; Troncoso, Ricardo</t>
  </si>
  <si>
    <t>Integrable systems with BMS3 Poisson structure and the dynamics of locally flat spacetimes</t>
  </si>
  <si>
    <t>We construct a hierarchy of integrable systems whose Poisson structure corresponds to the BMS3 algebra, and then discuss its description in terms of the Riemannian geometry of locally flat spacetimes in three dimensions. The analysis is performed in terms of two-dimensional gauge fields for isl(2,R). Although the algebra is not semisimple, the formulation can be carried out \`a la Drinfeld-Sokolov because it admits a nondegenerate invariant bilinear metric. The hierarchy turns out to be bi-Hamiltonian, labeled by a nonnegative integer k, and defined through a suitable generalization of the Gelfand-Dikii polynomials. The symmetries of the hierarchy are explicitly found. For k=1, the corresponding conserved charges span an infinite-dimensional Abelian algebra without central extensions, and they are in involution; while in the case of k=0, they generate the BMS3 algebra. In the special case of k=1, by virtue of a suitable field redefinition and time scaling, the field equations are shown to be equivalent to a specific type of the Hirota-Satsuma coupled KdV systems. For k=1, the hierarchy also includes the so-called perturbed KdV equations as a particular case. A wide class of analytic solutions is also explicitly constructed for a generic value of k. Remarkably, the dynamics can be fully geometrized so as to describe the evolution of spacelike surfaces embedded in locally flat spacetimes. Indeed, General Relativity in 3D can be endowed with a suitable set of boundary conditions, so that the Einstein equations precisely reduce to the ones of the hierarchy aforementioned. The symmetries of the integrable systems then arise as diffeomorphisms that preserve the asymptotic form of the spacetime metric, and therefore, they become Noetherian. The infinite set of conserved charges is recovered from the corresponding surface integrals in the canonical approach.</t>
  </si>
  <si>
    <t>Pino, Miguel/G-7510-2015; Perez, Alfredo/ABI-5585-2020; Matulich, Javier/JQV-3525-2023; Troncoso, Ricardo/H-5051-2013; Fuentealba, Oscar/JDN-0465-2023</t>
  </si>
  <si>
    <t>Pino, Miguel/0000-0002-7612-4515; Perez, Alfredo/0000-0003-0989-9959; Rodriguez, Pablo/0000-0002-2970-6053; Tempo Rangel, Jose David/0000-0002-5088-5594; Troncoso, Ricardo/0000-0003-3659-1140; Matulich, Javier/0000-0002-3558-9025</t>
  </si>
  <si>
    <t>10.1007/JHEP01(2018)148</t>
  </si>
  <si>
    <t>WOS:000423793200003</t>
  </si>
  <si>
    <t>Hillenkamp, M; Oyarzún, S; Troc, N; Ramade, J; Tamion, A; Tournus, F; Dupuis, V; Rodrigues, V</t>
  </si>
  <si>
    <t>Hillenkamp, Matthias; Oyarzun, Simon; Troc, Nicolas; Ramade, Julien; Tamion, Alexandre; Tournus, Florent; Dupuis, Veronique; Rodrigues, Varlei</t>
  </si>
  <si>
    <t>Size effects of the magnetic anisotropy of fcc cobalt nanoparticles embedded in copper</t>
  </si>
  <si>
    <t>EUROPEAN PHYSICAL JOURNAL D</t>
  </si>
  <si>
    <t>Cobalt nanoparticles embedded in copper matrices show strong size effects in the magnetic anisotropy with a non-monotonous dependence on the particle diameter. In this article we discuss quantitative values of the magnetic anisotropy in the frame of two models: in small clusters the surface anisotropy contribution dominates whereas larger particles (&gt;3 nm diameter) have an elliptic shape leading to increased shape anisotropy. The crystalline structure of the particles is shown to be face-centered cubic, justifying that the magneto-crystalline anisotropy can be neglected.</t>
  </si>
  <si>
    <t>BM30, Beamline/G-9313-2012; Rodrigues, Varlei/E-3631-2016; Oyarzun, Simon/M-1769-2014; Hillenkamp, Matthias/J-4055-2015</t>
  </si>
  <si>
    <t>Rodrigues, Varlei/0000-0003-0073-3186; Oyarzun, Simon/0000-0002-8764-7944; Alexandre, Tamion/0000-0001-9002-3705; Hillenkamp, Matthias/0000-0001-6847-2088</t>
  </si>
  <si>
    <t>1434-6060</t>
  </si>
  <si>
    <t>1434-6079</t>
  </si>
  <si>
    <t>10.1140/epjd/e2017-80299-x</t>
  </si>
  <si>
    <t>WOS:000418957900003</t>
  </si>
  <si>
    <t>Conejero, JA; Lizama, C; Murillo-Arcila, M</t>
  </si>
  <si>
    <t>Alberto Conejero, J.; Lizama, Carlos; Murillo-Arcila, Marina</t>
  </si>
  <si>
    <t>Chaotic semigroups from second order partial differential equations</t>
  </si>
  <si>
    <t>JOURNAL OF MATHEMATICAL ANALYSIS AND APPLICATIONS</t>
  </si>
  <si>
    <t>We give general conditions on given parameters to ensure Devaney and distributional chaos for the solution C-0-semigroup corresponding to a class of second-order partial differential equations. We also provide a critical parameter that led us to distinguish between stability and chaos for these semigroups. In the case of chaos, we prove that the Co-semigroup admits a strongly mixing measure with full support. We also give concrete examples of partial differential equations, such as the telegraph equation, whose solutions satisfy these properties. (C) 2017 Elsevier Inc. All rights reserved.</t>
  </si>
  <si>
    <t>Conejero, J. Alberto/A-8589-2008; Murillo, Marina/ABI-7284-2020; Lizama, Carlos/E-5909-2011</t>
  </si>
  <si>
    <t>Conejero, J. Alberto/0000-0003-3681-7533; murillo arcila, marina/0000-0001-6589-0452</t>
  </si>
  <si>
    <t>0022-247X</t>
  </si>
  <si>
    <t>1096-0813</t>
  </si>
  <si>
    <t>10.1016/j.jmaa.2017.07.013</t>
  </si>
  <si>
    <t>WOS:000407667900022</t>
  </si>
  <si>
    <t>Firoozabadi, AD; Diaz, A; Rojo, P; Soto, I; Mahu, R; Yoma, NB; Sedaghati, E</t>
  </si>
  <si>
    <t>Dehghan Firoozabadi, Ali; Diaz, Alejandro; Rojo, Patricio; Soto, Ismael; Mahu, Rodrigo; Becerra Yoma, Nestor; Sedaghati, Elyar</t>
  </si>
  <si>
    <t>Unsupervised Method for Correlated Noise Removal for Multi-wavelength Exoplanet Transit Observations</t>
  </si>
  <si>
    <t>PUBLICATIONS OF THE ASTRONOMICAL SOCIETY OF THE PACIFIC</t>
  </si>
  <si>
    <t>Exoplanetary atmospheric observations require an exquisite precision in the measurement of the relative flux among wavelengths. In this paper, we aim to provide a new adaptive method to treat light curves before fitting transit parameters in order to minimize systematic effects that affect, for instance, ground-based observations of exo-atmospheres. We propose a neural-network-based method that uses a reference built from the data itself with parameters that are chosen in an unsupervised fashion. To improve the performance of proposed method, K-means clustering and Silhouette criteria are used for identifying similar wavelengths in each cluster. We also constrain under which circumstances our method improves the measurement of planetary-to-stellar radius ratio without producing significant systematic offset. We tested our method in high quality data from WASP-19b and lowquality data from GJ-1214. We succeed in providing smaller error bars for the former when using JKTEBOP, but GJ-1214 light curve was beyond the capabilities of this method to improve as it was expected from our validation tests.</t>
  </si>
  <si>
    <t>Dehghan Firoozabadi, Ali/AAD-4858-2019; Rojo, Patricio/AAD-5227-2020; Yoma, Nestor/I-8230-2015</t>
  </si>
  <si>
    <t>Soto, Ismael/0000-0002-5501-5651; Sedaghati, Elyar/0000-0002-7444-5315; Rojo, Patricio/0000-0002-1607-6443; Dehghan Firoozabadi, Ali/0000-0002-6391-6863</t>
  </si>
  <si>
    <t>0004-6280</t>
  </si>
  <si>
    <t>1538-3873</t>
  </si>
  <si>
    <t>10.1088/1538-3873/aa70df</t>
  </si>
  <si>
    <t>WOS:000402535300002</t>
  </si>
  <si>
    <t>Stepanova, M; Valdivia, JA</t>
  </si>
  <si>
    <t>Stepanova, M.; Valdivia, J. A.</t>
  </si>
  <si>
    <t>Contribution of Latin-American scientists to the study of the magnetosphere of the Earth. A review</t>
  </si>
  <si>
    <t>Since the very beginning of the space era, Latin-American scientists have been contributing to the understanding of the magneto-sphere of the Earth. This review summarizes some significant contributions in this field with emphasis on results obtained during the last decade. Special attention is paid to most important topics of the magneto-sphere of the Earth such as geomagnetic storms and sub-storms and possible relations between them, interplanetary origin of storms, role of turbulent processes in the magnetosphere dynamics, and analysis of the dynamics of the magnetosphere as a complex self-organized non-linear system. (C) 2016 COSPAR. Published by Elsevier Ltd. All rights reserved.</t>
  </si>
  <si>
    <t>Valdivia, Juan/A-3631-2008; Stepanova, Marina/D-6329-2011</t>
  </si>
  <si>
    <t>Stepanova, Marina/0000-0002-1053-3375; Valdivia, Juan Alejandro/0000-0003-3381-9904</t>
  </si>
  <si>
    <t>10.1016/j.asr.2016.03.023</t>
  </si>
  <si>
    <t>WOS:000387521000005</t>
  </si>
  <si>
    <t>Cerda, FMC; Kestens, LAI; Monsalve, A; Petrov, RH</t>
  </si>
  <si>
    <t>Cerda, Felipe M. Castro; Kestens, Leo A. I.; Monsalve, Alberto; Petrov, Roumen H.</t>
  </si>
  <si>
    <t>The Effect of Ultrafast Heating in Cold-Rolled Low Carbon Steel: Recrystallization and Texture Evolution</t>
  </si>
  <si>
    <t>METALS</t>
  </si>
  <si>
    <t>The microstructure and texture evolution of cold-rolled low carbon steel after ultrafast heating and quenching is investigated. Experiments were carried out at heating rates of 150 degrees C/s and 1500 degrees C/s. The recrystallization of ferrite is studied by scanning electron microscopy and electron backscattered diffraction techniques. The texture evolution of cold rolled steel during ultrafast heating was studied, making it possible to estimate the precise effect of heating rate on the orientations of newly formed grains. The experimental results showed that the recrystallization of ferrite was not completed before the full transformation of austenite. The noticeable increase in the fraction of recrystallized grains of diameter less than 1 mu m, when the heating rate is increased from 150 degrees C/s to 1500 degrees C/s suggests that the increase of the heating rate enhances the nucleation of ferrite. The crystallographic orientations in recrystallized ferrite are strongly influenced by the heating rates. The effect of heating rate in the releasing of stored energy, carbon diffusion and spheroidization of cementite might explain some differences in textures observed in recrystallized ferrite.</t>
  </si>
  <si>
    <t>Kestens, Leo/K-1716-2014; Petrov, Roumen/A-5066-2008; Castro Cerda, Felipe Manuel/Q-2714-2016</t>
  </si>
  <si>
    <t>Monsalve, Alberto/0000-0002-5772-8815; Castro Cerda, Felipe Manuel/0000-0001-8126-5593; Petrov, Roumen/0000-0003-0551-9058</t>
  </si>
  <si>
    <t>2075-4701</t>
  </si>
  <si>
    <t>10.3390/met6110288</t>
  </si>
  <si>
    <t>WOS:000389600400035</t>
  </si>
  <si>
    <t>Cruchaga, M; Battaglia, L; Storti, M; D'Elía, J</t>
  </si>
  <si>
    <t>Cruchaga, Marcela; Battaglia, Laura; Storti, Mario; D'Elia, Jorge</t>
  </si>
  <si>
    <t>Numerical Modeling and Experimental Validation of Free Surface Flow Problems</t>
  </si>
  <si>
    <t>ARCHIVES OF COMPUTATIONAL METHODS IN ENGINEERING</t>
  </si>
  <si>
    <t>In this paper we present a summary of numerical methods for solving free surface and two fluid flow problems. We will focus the attention on level set formulations extensively used in the context of the finite element method. In particular, numerical developments to achieve accurate solutions are described. Specific topics of the algorithms, like mass preservation and interface redefinition, are evaluated. To illustrate these aspects, numerical strategies previously developed are applied to the solution of a sloshing and a water column collapse problems. To assess the capabilities of these techniques, the numerical results are compared against each other and with experimental data. Considering these aspects, the present work is aimed to outline some well reported aspects of level set-like formulations.</t>
  </si>
  <si>
    <t>Storti, Mario/E-4646-2012; Battaglia, Laura/X-3893-2019; Cruchaga, Marcela/M-7522-2014</t>
  </si>
  <si>
    <t>Cruchaga, Marcela/0000-0002-8708-2402; Battaglia, Laura/0000-0003-1607-3952</t>
  </si>
  <si>
    <t>1134-3060</t>
  </si>
  <si>
    <t>1886-1784</t>
  </si>
  <si>
    <t>10.1007/s11831-014-9138-4</t>
  </si>
  <si>
    <t>WOS:000368375700006</t>
  </si>
  <si>
    <t>Riveros, A; Vidal-Silva, N; Landeros, P; Altbir, D; Vogel, EE; Escrig, J</t>
  </si>
  <si>
    <t>Riveros, A.; Vidal-Silva, N.; Landeros, P.; Altbir, D.; Vogel, E. E.; Escrig, J.</t>
  </si>
  <si>
    <t>Magnetic vortex core in cylindrical nanostructures: Looking for its stability in terms of geometric and magnetic parameters</t>
  </si>
  <si>
    <t>The relative stability of out-of-plane ferromagnetic, vortex without core and vortex with core configurations in cylindrical nanostructures are examined in terms of their geometric and magnetic parameters. Numerical calculations are done for general geometrical structures, while analytical expressions are obtained in the limiting cases of very long nanostructures. A magnetic phase diagram that clearly identifies the parameters required to obtain a vortex with core as minimum energy configuration is obtained by computing the transition lines between these configurations. The results define the geometric and magnetic parameters for which the vortex state can be made more stable by removing the highly energetic vortex core. Finally, a phase diagram that may be useful for the potencial use of vortices in technological applications is obtained and discussed. (C) 2015 Elsevier B.V. All rights reserved.</t>
  </si>
  <si>
    <t>Rodríguez, Alejandro/R-4062-2019; Landeros, Pedro/B-4603-2012; Escrig, Juan/N-4304-2015; Vidal Silva, Nicolas/IAN-0226-2023; Altbir, Dora/R-6781-2018</t>
  </si>
  <si>
    <t>Riveros, Alejandro/0000-0002-4924-663X; Landeros, Pedro/0000-0002-0927-1419; Vogel, Eugenio/0000-0002-1701-3030; Escrig, Juan/0000-0002-3958-8185; Vidal Silva, Nicolas/0000-0002-3717-3816; Altbir, Dora/0000-0002-2945-4909</t>
  </si>
  <si>
    <t>10.1016/j.jmmm.2015.10.092</t>
  </si>
  <si>
    <t>WOS:000366585200119</t>
  </si>
  <si>
    <t>Fuertes, G; Soto, I; Carrasco, R; Vargas, M; Sabattin, J; Lagos, C</t>
  </si>
  <si>
    <t>Fuertes, Guillermo; Soto, Ismael; Carrasco, Raul; Vargas, Manuel; Sabattin, Jorge; Lagos, Carolina</t>
  </si>
  <si>
    <t>Intelligent Packaging Systems: Sensors and Nanosensors to Monitor Food Quality and Safety</t>
  </si>
  <si>
    <t>JOURNAL OF SENSORS</t>
  </si>
  <si>
    <t>The application of nanotechnology in different areas of food packaging is an emerging field that will grow rapidly in the coming years. Advances in food safety have yielded promising results leading to the development of intelligent packaging (IP). By these containers, it is possible to monitor and provide information of the condition of food, packaging, or the environment. This article describes the role of the different concepts of intelligent packaging. It is possible that this new technology could reach enhancing food safety, improving pathogen detection time, and controlling the quality of food and packaging throughout the supply chain.</t>
  </si>
  <si>
    <t>vargas, manuel/AAG-4780-2020; Fuertes, Guillermo/Q-2341-2016; Sabattin, Jorge/P-2589-2019; Carrasco, Raul/G-5440-2015</t>
  </si>
  <si>
    <t>1687-725X</t>
  </si>
  <si>
    <t>1687-7268</t>
  </si>
  <si>
    <t>10.1155/2016/4046061</t>
  </si>
  <si>
    <t>WOS:000386817700001</t>
  </si>
  <si>
    <t>Andrade, P; Rifo, L; Torres, S; Torres-Avilés, F</t>
  </si>
  <si>
    <t>Andrade, Plinio; Rifo, Laura; Torres, Soledad; Torres-Aviles, Francisco</t>
  </si>
  <si>
    <t>Bayesian Inference on the Memory Parameter for Gamma-Modulated Regression Models</t>
  </si>
  <si>
    <t>ENTROPY</t>
  </si>
  <si>
    <t>In this work, we propose a Bayesian methodology to make inferences for the memory parameter and other characteristics under non-standard assumptions for a class of stochastic processes. This class generalizes the Gamma-modulated process, with trajectories that exhibit long memory behavior, as well as decreasing variability as time increases. Different values of the memory parameter influence the speed of this decrease, making this heteroscedastic model very flexible. Its properties are used to implement an approximate Bayesian computation and MCMC scheme to obtain posterior estimates. We test and validate our method through simulations and real data from the big earthquake that occurred in 2010 in Chile.</t>
  </si>
  <si>
    <t>Torres, Soledad/G-6529-2014; Andrade, Plinio/V-1346-2019; Torres-Avilés, Francisco/J-8269-2013; Rifo, Laura/D-5953-2013</t>
  </si>
  <si>
    <t>Rifo, Laura/0000-0002-1579-8073; Torres, Soledad/0000-0002-4346-883X; Andrade, Plinio/0000-0002-3073-4609</t>
  </si>
  <si>
    <t>1099-4300</t>
  </si>
  <si>
    <t>10.3390/e17106576</t>
  </si>
  <si>
    <t>WOS:000364216800003</t>
  </si>
  <si>
    <t>Lacoste, P; Jiménez, D; Castro, A; Rendón, B; Soto, N</t>
  </si>
  <si>
    <t>Lacoste, Pablo; Jimenez, Diego; Castro, Amalia; Rendon, Bibiana; Soto, Natalia</t>
  </si>
  <si>
    <t>A bi-national appellation of origin: Pisco in Chile and Peru</t>
  </si>
  <si>
    <t>Pisco is a brandy made from selected grapes, restricted as Appellation of Origin (AO) in 1931 in Chile by executive order number 181 of May 15, and also legally protected by Peru in 1991 by executive resolution of December 12 and executive order 001-91-ICTI/IND of January 16. This AO has given rise to a commercial controversy between producers of both countries, who claim it as their own. This article proposes a new thesis: The AO of pisco is actually bi-national, belonging to Chile as well as to Peru. The reason is that the producers of the two countries contributed to the origin and consolidation of this product. Pisco would not exist without the participation of both of them. Therefore, the two countries have co-ownership rights since they are co-founders.</t>
  </si>
  <si>
    <t>Castro, Amalia/LXV-4156-2024; Cabrera, Diego/U-2906-2018</t>
  </si>
  <si>
    <t>Lacoste, Pablo/0000-0003-1876-8141; Castro San Carlos, Amalia/0000-0003-2868-2739; Jimenez, Diego/0000-0002-7408-1398</t>
  </si>
  <si>
    <t>10.4067/S0718-58392013000400014</t>
  </si>
  <si>
    <t>WOS:000329432300014</t>
  </si>
  <si>
    <t>Ponce, I; Silva, JF; Oñate, R; Miranda-Rojas, S; Muñoz-Castro, A; Arratia-Pérez, R; Mendizabal, F; Zagal, JH</t>
  </si>
  <si>
    <t>Ponce, Ingrid; Francisco Silva, J.; Onate, Ruben; Miranda-Rojas, Sebastian; Munoz-Castro, Alvaro; Arratia-Perez, Ramiro; Mendizabal, Fernando; Zagal, Jose H.</t>
  </si>
  <si>
    <t>Theoretical and Experimental Study of Bonding and Optical Properties of Self-Assembly Metallophthalocyanines Complexes on a Gold Surface. A Survey of the Substrate-Surface Interaction</t>
  </si>
  <si>
    <t>JOURNAL OF PHYSICAL CHEMISTRY C</t>
  </si>
  <si>
    <t>The formation of self-assembly monolayers (SAMs) based on a gold substrate and a thiolate ligand as anchor fragment of metallophtalocyanine has been employed as strategy toward the obtention of modified electrodes. In this Article, the formation of SAM's involving iron and cobalt phtalocyanines anchored by 4-aminothiophenol (4-ATP) and 4-mercatopyridine (4-MP) to the Au(111) surface is explored by both experimental and theoretical studies for a better understanding of their bonding pattern and optical properties. The self-assembly metallophthalocyanines complexes on gold electrode exhibits an interesting charge donation from the 4-ATP or 4-MP toward both gold substrate and phtalocyanine, denoting an effective gold-MPc interaction mediated by the titled anchor ligands. In addition, the optical properties of the self-assembled complexes supported on the gold electrode exhibit in conjuction with the well-described Q-band an interesting charge transfer from the Pc (pi) toward the gold surface, as could be observed in the FePc-4MP-Au-26 assembly.</t>
  </si>
  <si>
    <t>Mendizabal, Fernando/M-3408-2014; Ponce, Ingrid/L-9679-2014; Arratia-Perez, Ramiro/AAG-2648-2019; zagal, jose/L-9648-2014; Munoz-Castro, Alvaro/O-5207-2014</t>
  </si>
  <si>
    <t>Ponce Hormazabal, Ingrid/0000-0002-3896-9576; Munoz-Castro, Alvaro/0000-0001-5949-9449; Mendizabal, Fernando/0000-0002-6912-8630</t>
  </si>
  <si>
    <t>1932-7447</t>
  </si>
  <si>
    <t>10.1021/jp208734f</t>
  </si>
  <si>
    <t>WOS:000297195200031</t>
  </si>
  <si>
    <t>Molina, M; Manquian-Cerda, K; Escudey, M</t>
  </si>
  <si>
    <t>Molina, Mauricio; Manquian-Cerda, Karen; Escudey, Mauricio</t>
  </si>
  <si>
    <t>Sorption and Selectivity Sequences of Cd, Cu, Ni, Pb, and Zn in Single- and Multi-Component Systems in a Cultivated Chilean Mollisol</t>
  </si>
  <si>
    <t>SOIL &amp; SEDIMENT CONTAMINATION</t>
  </si>
  <si>
    <t>The heavy-metal sorption ability of soils is one of the most important factors that determine the fate of these contaminants in this medium of the biosphere. When heavy-metal containing soil amendments are land applied, a multi-component soil-solution equilibrium may occur in which various metals compete simultaneously for the sorption sites on the soil particles. In order to determine the effect of competition among Cd, Cu, Ni, Pb, and Zn on sorption characteristics and the selectivity sequence of those heavy metals in a cultivated Mollisol of central Chile, batch sorption experiments were carried out in single- and multi-component systems. Heavy metal sorption isotherms in both types of system were well described by the Langmuir's equation. For all the metals evaluated, competition among them (multi-component system) decreased both the maximum sorption capacity, obtained from the Langmuir's isotherm, and the partition coefficient (Kd) compared to the single-component system. In addition, the simultaneous presence of the five metals promoted the sorption of Cd, and to a lesser extent of Ni, on more specific sorption sites of soil particles. Either in single- or multi-component system, Pb and Cu showed a higher selectivity and retention compared to Cd, Ni and Zn, which indicates that the later heavy metals would present a higher mobility in the soil-plant-water system. Since Langmuir's parameters and Kd were highly affected by competition for all heavy metals evaluated, the use of single-component parameters in modeling assessment might lead to an incorrect description of the transport and fate of these contaminants in receiving Mollisols.</t>
  </si>
  <si>
    <t>1532-0383</t>
  </si>
  <si>
    <t>1549-7887</t>
  </si>
  <si>
    <t>PII 923010433</t>
  </si>
  <si>
    <t>10.1080/15320383.2010.486053</t>
  </si>
  <si>
    <t>WOS:000278713700002</t>
  </si>
  <si>
    <t>Aguilar, C; Rojas, PA; Ordoñez, S; Guzman, D</t>
  </si>
  <si>
    <t>Aguilar, C.; Rojas, P. A.; Ordonez, S.; Guzman, D.</t>
  </si>
  <si>
    <t>X-Ray profile analysis of Cu-8wt.%Cr processed by mechanical alloying</t>
  </si>
  <si>
    <t>This work studies the evolution of the microstrucutre of a mechanically alloyed Cu-8 wt. % Cr powder mixture by X-Ray profiles analysis. The process was carried out using a SPEX8000D upon mix with stainless steels containers and balls, keeping a constant powder to balls weight ratio of 10. Increasing the milling time, crystallite size and stacking fault energy decreased and microstrain and stacking fault probability increased. The crystallite size distribution shifts to lower crystallite size values by increasing the milling time. After a milling time of 50 hours, the data showed that a solid solution of chromium in copper was produced.</t>
  </si>
  <si>
    <t>Guzman Mendez, Danny/0000-0002-8020-9247</t>
  </si>
  <si>
    <t>10.1590/S1517-70762009000200002</t>
  </si>
  <si>
    <t>WOS:000269838800002</t>
  </si>
  <si>
    <t>Vanegas, MAE; Quijada, R; Serafini, D; Galland, GB; Palza, H</t>
  </si>
  <si>
    <t>Vanegas, M. A. Eulalia; Quijada, Raul; Serafini, Daniel; Galland, Griselda B.; Palza, Humberto</t>
  </si>
  <si>
    <t>Nonisothermal crystallization and melting behavior of syndiotactic polypropylenes of different microstructure</t>
  </si>
  <si>
    <t>JOURNAL OF POLYMER SCIENCE PART B-POLYMER PHYSICS</t>
  </si>
  <si>
    <t>Syndiotactic polypropylenes and their copolymers with 1-olefins were synthesized using two metallocene/MAO catalytic systems, and the effect of the different microstructures on nonisothermal crystallization and subsequent melting was studied. Using differential scanning calorimetry (DSC) it was observed that samples with lower content of defects showed crystallization on cooling from the melt, and a double melting peak in the subsequent heating scan, the latter associated with melt, recrystallization and remelt processes that it was confirmed by its nonreversing exothermic process found by means of temperature modulated DSC (MDSC). However, polymers with high amount of defects showed cold crystallization on heating followed by a melting process, that it was observed by MDSC. Wide angle X-ray diffraction was used for characterizing the changes of crystalline forms in relationship with crystallization process. (C) 2008 Wiley Periodicals, Inc.</t>
  </si>
  <si>
    <t>; Palza, Humberto/H-2782-2014; Galland, Griselda/A-6521-2009</t>
  </si>
  <si>
    <t>Serafini, Daniel/0000-0002-1764-5900; QUIJADA, RAUL/0000-0003-0791-6954; Palza, Humberto/0000-0001-5246-6791; Galland, Griselda/0000-0003-3678-9106; Vanegas, Maria Eulalia/0000-0003-1976-8346</t>
  </si>
  <si>
    <t>0887-6266</t>
  </si>
  <si>
    <t>1099-0488</t>
  </si>
  <si>
    <t>10.1002/polb.21416</t>
  </si>
  <si>
    <t>WOS:000254978500004</t>
  </si>
  <si>
    <t>Montalvo, S; Guerrero, L; Borja, R; Cortés, I; Sánchez, E; Colmenarejo, MF</t>
  </si>
  <si>
    <t>Montalvo, S.; Guerrero, L.; Borja, R.; Cortes, I.; Sanchez, E.; Colmenarejo, M. F.</t>
  </si>
  <si>
    <t>Treatment of wastewater from red and tropical fruit wine production by zeolite anaerobic fluidized bed reactor</t>
  </si>
  <si>
    <t>JOURNAL OF ENVIRONMENTAL SCIENCE AND HEALTH PART B-PESTICIDES FOOD CONTAMINANTS AND AGRICULTURAL WASTES</t>
  </si>
  <si>
    <t>A study of the anaerobic treatment of wastewaters derived from red (RWWW) and tropical fruit wine (TFWWW) production was carried out in four laboratory-scale fluidized bed reactors with natural zeolite as bacterial support. These reactors operated at mesophilic temperature (35C). Reactors R1 and R2 contained Chilean natural zeolite, while reactors R3 and R4 used Cuban natural zeolite as microorganism support. In addition, reactors R1 and R3 processed RWWW, while reactors R2 and R4 used TFWWW as substrate. The biomass concentration attached to zeolites in the four reactors studied was found to be in the range of 44-46 g volatile solids (VS)/L after 90 days of operation time. Both types of zeolites can be used indistinctly in the fluidized bed reactors achieving more than 80%-86% chemical oxygen demand (COD) removals for organic loading rates (OLR) of up to at least 20 g COD/L d. pH values remained within the optimal range for anaerobic microorganisms for OLR values of up to 20 and 22 g COD/L d for RWWW and TFWWW, respectively. Toxicity and inhibition levels were observed at an OLR of 20 g COD/L d in reactors R1 and R3 while processing RWWW, whereas the aforementioned inhibitory phenomena were not observed at an OLR of 24 g COD/L d in R2 and R4, treating TFWWW as a consequence of the lower phenolic compound content present in this substrate. The volatile fatty acid (VFA) levels were always lower in reactors processing TFWWW (R2 and R4) and these values ( 400 mg/L, as acetic acid) were lower than the suggested limits for digester failure. The specific methanogenic activity (SMA) was twice as high in reactors R2 and R4 than in R1 and R3 after 120 days of operation when all reactors operated at an OLR of 20 g COD/L d.</t>
  </si>
  <si>
    <t>0360-1234</t>
  </si>
  <si>
    <t>1532-4109</t>
  </si>
  <si>
    <t>10.1080/03601230802062281</t>
  </si>
  <si>
    <t>WOS:000257112500010</t>
  </si>
  <si>
    <t>Valdivia, JA; Rogan, J; Munoz, V; Toledo, B</t>
  </si>
  <si>
    <t>Valdivia, J. A.; Rogan, J.; Munoz, V.; Toledo, B.</t>
  </si>
  <si>
    <t>Hysteresis provides self-organization in a plasma model</t>
  </si>
  <si>
    <t>SPACE SCIENCE REVIEWS</t>
  </si>
  <si>
    <t>The magnetosphere is a multi-scale spatio-temporal complex dynamical system. Self-organization is a possible solution to the seemingly contradicting observation of the repeatable and coherent substorm phenomena with underlying complex behavior in the plasma sheet. Self-organization, through spatio-temporal chaos, emerges naturally in a plasma physics model with sporadic dissipation.</t>
  </si>
  <si>
    <t>Valdivia, Juan/A-3631-2008; Rogan, José/B-8819-2008; Munoz, Victor/A-2255-2008; Toledo, Benjamin/HZH-2787-2023; Toledo, Benjamin/A-1136-2008</t>
  </si>
  <si>
    <t>Toledo, Benjamin/0000-0001-5928-2290; Munoz, Victor/0000-0003-1746-4875; Valdivia, Juan Alejandro/0000-0003-3381-9904; Rogan, Jose/0000-0003-1080-2739</t>
  </si>
  <si>
    <t>0038-6308</t>
  </si>
  <si>
    <t>1572-9672</t>
  </si>
  <si>
    <t>10.1007/s11214-006-7846-2</t>
  </si>
  <si>
    <t>WOS:000239927800031</t>
  </si>
  <si>
    <t>Local superlinearity for elliptic systems involving parameters</t>
  </si>
  <si>
    <t>We study the existence, non-existence, and multiplicity of positive solutions for a class of systems of second-order ordinary differential equations using the fixed-point theorem of cone expansion/compression type, the upper-lower solutions method, and degree arguments. We apply our abstract results to study semilinear elliptic systems in bounded annular domains with non-homogeneous boundary conditions. Here the nonlinearities satisfy local superlinear assumptions. (c) 2004 Published by Elsevier Inc.</t>
  </si>
  <si>
    <t>10.1016/j.jde.2004.04.013</t>
  </si>
  <si>
    <t>WOS:000227535900001</t>
  </si>
  <si>
    <t>Noncommutativity in field space and Lorentz invariance violation</t>
  </si>
  <si>
    <t>The connection between Lorentz invariance violation and noncommutativity of fields in a quantum field theory is investigated. A new dispersion relation for a free field theory with just one additional noncommutative parameter is obtained. While values for the noncommutative scale much larger than 10(-20) eV(-1) are ruled out by the present experimental status, cosmic ray physics would be compatible with and sensible to a noncommutativity arising from quantum gravity effects. We explore the matter-antimatter asymmetry which is naturally present in this framework. (C) 2003 Published by Elsevier B.V.</t>
  </si>
  <si>
    <t>Gamboa, Jorge/R-8744-2019; Carmona Martinez, Jose Manuel/H-3732-2015; cortes, jose/C-3257-2012</t>
  </si>
  <si>
    <t>Carmona Martinez, Jose Manuel/0000-0003-2264-2306; Mendez, Fernando/0000-0002-9257-9552; cortes, jose/0000-0002-8282-3435</t>
  </si>
  <si>
    <t>JUL 17</t>
  </si>
  <si>
    <t>10.1016/S0370-2693(03)00728-7</t>
  </si>
  <si>
    <t>WOS:000184095300026</t>
  </si>
  <si>
    <t>Caruso, F; Cingolani, A; Pettinari, C; Sariego, R; Sartori, R; Tanski, J; Rossi, M</t>
  </si>
  <si>
    <t>The molecular structure of a 4-acyl-5-pyrazolon titanium tetramer, a potential antitumor species</t>
  </si>
  <si>
    <t>ANNALS OF ONCOLOGY</t>
  </si>
  <si>
    <t>Sartori, Roberto/I-3339-2013</t>
  </si>
  <si>
    <t>0923-7534</t>
  </si>
  <si>
    <t>WOS:000074749600099</t>
  </si>
  <si>
    <t>Reina, M; GonzalezColoma, A; Gutierrez, C; Cabrera, R; Henriquez, J; Villarroel, L</t>
  </si>
  <si>
    <t>Bioactive saturated pyrrolizidine alkaloids from Heliotropium floridum</t>
  </si>
  <si>
    <t>Here we describe the isolation and structural determination of the new saturated pyrrolizidine monoester alkaloids, 3'-acetyltrachelanthamine, floridine, floridinine and floridimine, along with the known one, heliovicine, from Heliotropium floridum. Their structures were established by high resolution NMR (including 2D NMR experiments), mass spectrometry, chemical reactions and by correlation with published data of known compounds. Bioassays of the alkaloidal extract and its major components against several insect pests and plant pathogens showed that 3'-acetyltrachelanthamine is a strong anti-feedant, with low toxicity against Leptinotarsa decemlineata and a moderate anti-fungal agent against Fusarium monoliforme; floridinine only showed the anti-fungal effect. (C) 1997 Elsevier Science Ltd.</t>
  </si>
  <si>
    <t>; Cabrera, Raimundo/H-9339-2015; GONZALEZ-COLOMA, AZUCENA/G-8781-2015</t>
  </si>
  <si>
    <t>Gutierrez, Carmen/0000-0001-5829-6906; Cabrera, Raimundo/0000-0002-9512-7754; GONZALEZ-COLOMA, AZUCENA/0000-0001-5124-664X</t>
  </si>
  <si>
    <t>10.1016/S0031-9422(97)00354-3</t>
  </si>
  <si>
    <t>WOS:A1997YF76300008</t>
  </si>
  <si>
    <t>Retamal, JC; Saavedra, C; Klimov, AB; Chumakov, SM</t>
  </si>
  <si>
    <t>Squeezing of light by a collection of atoms</t>
  </si>
  <si>
    <t>We study squeezing in electromagnetic field quadrature components, produced by a collection of A two-level atoms interacting with a single mode of a strong electromagnetic field. We present analytic results both for short and long interaction times. At short times, squeezing grows with the number of atoms for a given initial number of photons. The maximum squeezing which can be achieved in a strong-field case is 66%. At long interaction times, collective effects increase the quadrature fluctuations. compared to the single-atom case. However, for a given number of atoms A, any initial pure atomic state exhibits squeezing when the mean photon number of the initial coherent field satisfies the condition (n) over bar(2A)(4). At times close to the first revival, strong squeezing can be achieved for special initial atomic conditions.</t>
  </si>
  <si>
    <t>Saavedra, Carlos/C-4262-2008; Retamal, Juan/G-6425-2010; Klimov, Andrei/I-5785-2015</t>
  </si>
  <si>
    <t>Saavedra, Carlos/0000-0003-3156-3853; Retamal Abarzua, Juan Carlos/0000-0002-7174-7879; Klimov, Andrei/0000-0001-8493-721X</t>
  </si>
  <si>
    <t>10.1103/PhysRevA.55.2413</t>
  </si>
  <si>
    <t>WOS:A1997WN17400106</t>
  </si>
  <si>
    <t>IYENGAR, R; CARDEMIL, E; FREY, PA</t>
  </si>
  <si>
    <t>MEVALONATE-5-DIPHOSPHATE DECARBOXYLASE - STEREOCHEMICAL COURSE OF ATP-DEPENDENT PHOSPHORYLATION OF MEVALONATE 5-DIPHOSPHATE</t>
  </si>
  <si>
    <t>BIOCHEMISTRY</t>
  </si>
  <si>
    <t>Chicken liver mevalonate-5-diphosphate decarboxylase catalyzes the reaction of mevalonate 5-diphosphate (MVADP) with ATP to produce isopentenyl diphosphate, ADP,CO2, and inorganic phosphate. The overall reaction involves an anti elimination of the tertiary hydroxyl and carboxyl groups. To investigate the mechanism for transfer of the terminal phosphoryl group of ATP to the C-3 oxygen of MVADP, we have carried out the reaction using stereospecifically labeled (SP)-adenosine 5''-O-(3-thio[3-17O2,18O]triphosphate) ([.gamma.-17O2,18O]ATP.gamma.S) in place of ATP. The configuration of the [17O,18O]thiophosphate produced was found to be RP, corresponding to overall inversion of configuration at phosphorus in the thiophosphoryl group transfer step. This result is consistent with the direct transfer of the thiophosphoryl group from (SP)-[.gamma.17O2,18O]ATP.gamma.S to MVADP at the active site. Our result does not indicate the involvement of a covalent thiophosphoryl-enzyme on the reaction pathway.</t>
  </si>
  <si>
    <t>0006-2960</t>
  </si>
  <si>
    <t>1520-4995</t>
  </si>
  <si>
    <t>AUG 12</t>
  </si>
  <si>
    <t>10.1021/bi00364a036</t>
  </si>
  <si>
    <t>WOS:A1986D629000036</t>
  </si>
  <si>
    <t>Sosa, M; Carvajal, L; Barrera, VS; Lund, F; Aguilar, C; Cerda, FC</t>
  </si>
  <si>
    <t>Sosa, Maria; Carvajal, Linton; Barrera, Vicente Salinas; Lund, Fernando; Aguilar, Claudio; Cerda, Felipe Castro</t>
  </si>
  <si>
    <t>Acoustic Assessment of Microstructural Deformation Mechanisms on a Cold Rolled Cu30Zn Brass</t>
  </si>
  <si>
    <t>The relationship between acoustic parameters and the microstructure of a Cu30Zn brass plate subjected to plastic deformation was evaluated. The plate, previously annealed at 550 degrees C for 30 min, was cold rolled to reductions ranging from 10% to 70%. Linear ultrasonic measurements were performed on each of the nine specimens, corresponding to the nine different reductions, using the pulse-echo method to record the times of flight of longitudinal waves along the thickness axis. Subsequently, acoustic measurements were conducted to determine the nonlinear parameter beta through second harmonic generation. Microstructural analysis, carried out by X-ray diffraction, Vickers hardness testing, and optical microscopy, revealed an increase in deformation twins, reaching a maximum at 40% thickness reduction. At higher deformations, the microstructure showed the generation and proliferation of shear bands, coinciding with a decrease in the twinning structure and an increase in dislocation density. The longitudinal wave velocity exhibited a 0.9% decrease at 20% deformation, attributed to dislocations and initial twin formation, followed by a continuous increase up to 2% beyond this point, resulting from the combined effects of twinning and shear banding. The nonlinear parameter beta displayed a notable maximum, approximately one order of magnitude greater than its original value, at 40% deformation. This peak correlates with a roughly tenfold increase in twinning fault probability at the same deformation level.</t>
  </si>
  <si>
    <t>Aguilar, Claudio/B-6774-2011; Castro Cerda, Felipe Manuel/Q-2714-2016; Salinas, Vicente/B-9803-2013</t>
  </si>
  <si>
    <t>Carvajal Ortega, Linton Patricio/0000-0002-5414-2755; Lund, Fernando/0000-0002-9776-6373; Castro Cerda, Felipe Manuel/0000-0001-8126-5593; Aguilar, Claudio/0000-0002-9013-5835; Salinas, Vicente/0000-0002-5759-9371</t>
  </si>
  <si>
    <t>10.3390/ma17133321</t>
  </si>
  <si>
    <t>WOS:001269216800001</t>
  </si>
  <si>
    <t>Singer, N; Góngora-Goloubintseff, JG</t>
  </si>
  <si>
    <t>Singer, Nestor; Gongora-Goloubintseff, Jose Gustavo</t>
  </si>
  <si>
    <t>Mind the Gap! An interpretative phenomenological analysis of solidarity among Ibero-American female translators in the Spanish Wikipedia</t>
  </si>
  <si>
    <t>TRANSLATION &amp; INTERPRETING-THE INTERNATIONAL JOURNAL OF TRANSLATION AND INTERPRETING</t>
  </si>
  <si>
    <t>As one of the most popular websites in the world, Wikipedia's success has long resided in the fact that anyone can contribute to this repository of human knowledge. However, behind this democratisation and wisdom-of-the-crowd initiative lie some entrenched inequalities and biases. Most Wikipedia's regular contributors are men from the Global North, which has led to much criticism and speculation. Consequently, the user-generated encyclopaedia has often been accused of both portraying women from a male perspective and downplaying their professional achievements. Against this background, this paper explores the narratives of six experienced female Latin and Ibero-American editors that have been actively involved in the translation of women's biographies in the Spanish Wikipedia. Drawing on interpretative phenomenological analysis (IPA), this study seeks to ascertain the role of female editors-translators and how they perceive solidarity in the context of their work in the encyclopaedia. Our findings indicate that the participants view solidarity as a transformative activity whereby they collectively unite to promote equality, protect one another against harassment and oppression, and re-narrate women's biographies. Moreover, although most participants did not identify as translators, translation was widely regarded as a means to increase the number of women's articles on Wikipedia and help bridge the gender gap.</t>
  </si>
  <si>
    <t>Góngora-Goloubintseff, José Gustavo/HNQ-1210-2023; Singer, Néstor/I-3200-2019</t>
  </si>
  <si>
    <t>Gongora Goloubintseff, Jose Gustavo/0000-0001-8471-8527</t>
  </si>
  <si>
    <t>1836-9324</t>
  </si>
  <si>
    <t>10.12807/ti.116202.2024.a06</t>
  </si>
  <si>
    <t>WOS:001289290200006</t>
  </si>
  <si>
    <t>Gidi, L; Honores, J; Ibarra, J; Aguirre, MJ; Arce, R; Ramírez, G</t>
  </si>
  <si>
    <t>Gidi, Leyla; Honores, Jessica; Ibarra, Jose; Jesus Aguirre, Maria; Arce, Roxana; Ramirez, Galo</t>
  </si>
  <si>
    <t>Electrodetermination of Gallic Acid Using Multi-walled Carbon Nanotube Paste Electrodes and N-Octylpyridinium Hexafluorophosphate</t>
  </si>
  <si>
    <t>ELECTROANALYSIS</t>
  </si>
  <si>
    <t>In this work, the determination of gallic acid was performed using surface-renewable carbon paste electrodes fabricated with multi-walled carbon nanotubes (MWCNT) and a mixture of N-octylpyridinium hexafluorophosphate (OPyPF6) ionic liquid with mineral oil (MO) as binder. This system shows remarkable amperometric sensor characteristics and promotes a better electronic transfer. An electroanalytical study of gallic acid shows a linear range from 4.98 +/- 0.25 to 74.1 +/- 2.2 mu mol L-1, with R-2=0.9958 and an experiment a limit of detection of 2.70 +/- 0.08 mu mol L-1 (S/N=3), and a sensitivity of 0.029 mu A mu mol(-1) L.</t>
  </si>
  <si>
    <t>Aguirre, Maria/A-3935-2013; Arce, Roxana/V-8140-2019</t>
  </si>
  <si>
    <t>ARCE, ROXANA/0000-0002-1387-9232; , Jose Fernando Ibarra Ibarra/0009-0001-7426-1815; Honores Sotelo, Jessica/0000-0003-1172-4728</t>
  </si>
  <si>
    <t>1040-0397</t>
  </si>
  <si>
    <t>1521-4109</t>
  </si>
  <si>
    <t>10.1002/elan.202100476</t>
  </si>
  <si>
    <t>WOS:000742061300001</t>
  </si>
  <si>
    <t>Haddad, A; Hammad, A; Castro, D; Vasco, D; Soares, CAP</t>
  </si>
  <si>
    <t>Haddad, Assed; Hammad, Ahmed; Castro, Danielle; Vasco, Diego; Soares, Carlos Alberto Pereira</t>
  </si>
  <si>
    <t>Framework for Assessing Urban Energy Sustainability</t>
  </si>
  <si>
    <t>The social, economic, and environmental impacts associated with fuels used to power cities cause the sustainability of energy produced and consumed in our urban environment to be constantly challenged. In order to address the issue of urban energy sustainability, we propose a Framework for Assessing Urban Energy Sustainability (FAUES), whose main approach relies on defining a method for determining critical indices associated with the major criteria of sustainable energy generation and consumption. The framework is based on developing a three-step process that integrates historical data regarding energy consumption and production and forecasted parameters on energy sustainability and can be used both in urban energy operations and in planning new urban settlements. The framework was implemented in Brazil as a representative case study, given that its cities lack social inclusion, economic stability, and environmental protection when it comes to energy. The framework functions so that policy makers and managers can assess the sustainability of energy produced and consumed in urban environments on the basis of relevant criteria for the city in which the energy is being evaluated.</t>
  </si>
  <si>
    <t>Hammad, Ahmed/T-2116-2019; Soares, Carlos/Q-1507-2019; Vasco, Diego/Y-2934-2019; Pereira Soares, Carlos Alberto/K-2583-2013; Haddad, Assed/C-9206-2014</t>
  </si>
  <si>
    <t>Vasco, Diego Andres/0000-0001-7456-4683; Pereira Soares, Carlos Alberto/0000-0002-1332-5854; Haddad, Assed/0000-0002-4793-0905</t>
  </si>
  <si>
    <t>10.3390/su13169306</t>
  </si>
  <si>
    <t>WOS:000690281500001</t>
  </si>
  <si>
    <t>Donoso, G; Casas, F; Oyanedel, JC; López, M</t>
  </si>
  <si>
    <t>Donoso, Gonzalo; Casas, Ferran; Carlos Oyanedel, Juan; Lopez, Mauricio</t>
  </si>
  <si>
    <t>Relationship between digital development and subjective well-being in chilean school children</t>
  </si>
  <si>
    <t>COMPUTERS &amp; EDUCATION</t>
  </si>
  <si>
    <t>This study explores how access, management and use of Information and Communication Technologies in secondary schools are related to the subjective well-being of adolescents. The central hypothesis of this work is that students attending schools with high digital development have higher levels of subjective well-being. To test this hypothesis, two quantitative empirical studies carried out in Chile are used as sources of information. The first one is the 2013 National Survey of School Well-being, applied to 15-year-old students (4964 cases) from 191 schools, and the second one is the 2012 National Census of Educational Computing. Subsequently, after both sources are merged, a descriptive analysis and an explanatory model are created based on the dependent variable Personal Wellbeing Index (PWI), and the independent variables School Digital Development Index (SDDI) and attributes of establishment and subjects. Among the results, the finding of a positive and significant relationship between school digital development and higher subjective well-being scores of students stands out.</t>
  </si>
  <si>
    <t>Oyanedel, Juan/V-2833-2019; Casas, Ferran/B-8474-2011</t>
  </si>
  <si>
    <t>Oyanedel, Juan/0000-0003-4023-6926; Donoso, Gonzalo/0000-0002-9232-0428; Lopez-Tapia, Mauricio/0000-0003-4459-2768</t>
  </si>
  <si>
    <t>0360-1315</t>
  </si>
  <si>
    <t>1873-782X</t>
  </si>
  <si>
    <t>10.1016/j.compedu.2020.104027</t>
  </si>
  <si>
    <t>WOS:000595248200006</t>
  </si>
  <si>
    <t>Olivares, SI</t>
  </si>
  <si>
    <t>Olivares, Sandra Iturrieta</t>
  </si>
  <si>
    <t>The future of professional work in turbulent times</t>
  </si>
  <si>
    <t>VIVIR EN TIEMPOS CONVULSIONADOS: Reflexiones Sociocriticas para Propuestas de Intervencion Social</t>
  </si>
  <si>
    <t>The current times are characterized by being convulsed, dystopian and retrotopian, in which a posthumous ideology has been imposed, which predicts a known and somber end for humanity and its environment, trapping human thought in a kind of presentism that makes it difficult to project a promising future, where the future of work and in particular of professional work are presented as uncertain, becoming yet another source of support for posthumous ideology. In this scenario it is assumed that insubordination to this ideology is the main task of socio-critical thinking today, and therefore it is proposed to change the notion of time considering it as circular, and to relocate the idea of futures by placing it behind our backs, in order to exercise on such bases the capacity of prognostic intelligence, which is one of the professional skills that has been little explored up to now.</t>
  </si>
  <si>
    <t>Olivares, Sandra/AAS-5054-2021</t>
  </si>
  <si>
    <t>978-956-6095-21-7</t>
  </si>
  <si>
    <t>10.26448/ae9789566095217.7</t>
  </si>
  <si>
    <t>WOS:000762613700002</t>
  </si>
  <si>
    <t>Bugueño-Carrasco, S; Monteil, H; Toledo-Neira, C; Sandoval, MA; Thiam, A; Salazar, R</t>
  </si>
  <si>
    <t>Bugueno-Carrasco, Sebastian; Monteil, Helene; Toledo-Neira, Carla; Sandoval, Miguel Angel; Thiam, Abdoulaye; Salazar, Ricardo</t>
  </si>
  <si>
    <t>Elimination of pharmaceutical pollutants by solar photoelectro-Fenton process in a pilot plant</t>
  </si>
  <si>
    <t>ENVIRONMENTAL SCIENCE AND POLLUTION RESEARCH</t>
  </si>
  <si>
    <t>In this study, the simultaneous degradation of antibiotics (ampicillin, sulfamethazine, and tetracycline; and non-steroidal anti-inflammatories (diclofenac and salicylic acid)) including the total organic carbon abatement by solar photoelectro-Fenton process was assessed. Eight liters of solution containing the mixture of the five pharmaceuticals in 1 mmol L-1 Fe2+, 0.05 mol L-1 Na2SO4 at pH 3 and 35 degrees C were electrolyzed applying different current densities (j = 10, 25, and 50 mA cm(-2)) in a solar-electrochemical pilot plant. The pilot plant was equipped with an electrochemical filter press cell with a dimensionally stable anode (DSA type) and an air-diffusion cathode coupled to a solar photoreactor exposed directly to sunlight radiation. All pharmaceuticals were degraded during the first 10 min. A TOC removal efficiency of 99.2% after 100 min of treatment with an energy consumption of 534.23 kW h (kg(TOC))(-1) and 7.15 kW h m(-3) was achieved. The pharmaceutical concentration decay followed a pseudo-first-order kinetics. The specific energy per unit of mass of ampicillin, diclofenac, salicylic acid, sulfamethazine, and tetracycline was obtained at 11.73, 19.56, 35.2, 11.73, and 39.32 kW h (kg(PD))(-1) for ampicillin, diclofenac, salicylic acid, sulfamethazine, and tetracycline, respectively. With our results, we demonstrated that SPEF is an emerging technology for the treatment of this type of pollutants in short time.</t>
  </si>
  <si>
    <t>Sandoval, Miguel A/JCF-1838-2023; Salazar, Ricardo/L-7870-2013; Thiam, Abdoulaye/X-4067-2018; Sandoval, Miguel/F-3645-2019</t>
  </si>
  <si>
    <t>Salazar-Gonzalez, Ricardo/0000-0003-2180-6022; Toledo Neira, Carla Beatriz/0000-0003-2872-3043; Sandoval, Miguel/0000-0001-9659-5827</t>
  </si>
  <si>
    <t>0944-1344</t>
  </si>
  <si>
    <t>1614-7499</t>
  </si>
  <si>
    <t>10.1007/s11356-020-11223-y</t>
  </si>
  <si>
    <t>OCT 2020</t>
  </si>
  <si>
    <t>WOS:000582312400004</t>
  </si>
  <si>
    <t>Saavedra, E; Burr, JP; Alburquenque, D; Palma, JL; García-Martín, JM; Escrig, J</t>
  </si>
  <si>
    <t>Saavedra, E.; Burr, J. P.; Alburquenque, D.; Palma, J. L.; Garcia-Martin, J. M.; Escrig, J.</t>
  </si>
  <si>
    <t>Co/Ni multilayers ordered according to a periodic, Fibonnacci and Thue Morse sequence obtained by Atomic Layer Deposition</t>
  </si>
  <si>
    <t>NANO EXPRESS</t>
  </si>
  <si>
    <t>Co/Ni multilayers ordered according to a periodic, Fibonnacci and Thue Morse sequence have been obtained by Atomic Layer Deposition and a subsequent process of thermal reduction. The morphology of the multilayers was investigated by scanning electron microscopy, while longitudinal hysteresis curves were obtained by magneto-optical magnetometry of Kerr effect. The morphology of the films varies as a function of their sequence and thickness. Multilayers exhibit coercivities much higher than expected from samples synthesized with other methods. The control of the magnetic properties of multilayers, as a function of their sequence, may allow their use in spintronic devices.</t>
  </si>
  <si>
    <t>Saavedra, Eduardo/IQS-4264-2023; Palma, Juan/IAP-4554-2023; Escrig, Juan/N-4304-2015; Garcia-Martin, Jose Miguel/H-4434-2011</t>
  </si>
  <si>
    <t>Escrig, Juan/0000-0002-3958-8185; Alburquenque, Daniela/0000-0001-9236-3308; Garcia-Martin, Jose Miguel/0000-0002-5908-8428; Saavedra Diaz, Eduardo Andres/0000-0002-2842-2526; Palma, JuanLuis/0000-0003-2068-174X</t>
  </si>
  <si>
    <t>2632-959X</t>
  </si>
  <si>
    <t>10.1088/2632-959X/ab9f07</t>
  </si>
  <si>
    <t>WOS:000657242200001</t>
  </si>
  <si>
    <t>Scarpelli, DQ; Fernandes, ACP; Osiac, LR; Quevedo, TP</t>
  </si>
  <si>
    <t>Quintiliano Scarpelli, Daiana; Pinheiro Fernandes, Anna Christina; Rodriguez Osiac, Lorena; Pizarro Quevedo, Tito</t>
  </si>
  <si>
    <t>Changes in Nutrient Declaration after the Food Labeling and Advertising Law in Chile: A Longitudinal Approach</t>
  </si>
  <si>
    <t>Chile has implemented several strategies to decrease the burden of obesity and chronic diseases. The Food Labeling and Advertising Law (Law 20.606) requires a front-of-package high in warning label when energy and nutrients of concern (ENC) (total sugar, saturated fats, sodium) exceed established limits. This study aims to evaluate the impact of Law 20.606 on the ENC declaration of packaged foods in Chile, before and after the law implementation. We analyzed food nutritional labeling declarations from 70% of the most consumed packaged foods in Chile. Data collection was conducted in 2013 and 2019 in Santiago. Pictures from all sides of the package were taken from 476 products, classified into 16 food groups. All food groups had changes in the ENC declaration during the study period. Total sugar content showed the highest reduction (-15.0%;p= 0.001). Dairy, confitures and similar and sugary beverages had the greatest reduction in energy and total sugar content (p&lt; 0.01). Energy, total sugar and sodium front of package high in simulation was significantly reduced in dairy, sugary beverages, flour-based foods, confitures and similar, fish and seafoods, fats and oils, spices, condiments and sauces and sugars (p&lt; 0.05). We observed that companies reformulated products to adapt to the new regulation.</t>
  </si>
  <si>
    <t>Pizarro, Tito/AAY-2260-2021; Osiac, Lorena/AIE-8467-2022; Dourado, Daiana/AAO-6746-2021; FERNANDES, ANNA/AAS-5661-2021</t>
  </si>
  <si>
    <t>PINHEIRO FERNANDES, ANNA CHRISTINA/0000-0002-5188-2619; Rodriguez Osiac, Lorena/0000-0002-7732-2580; pizarro, tito/0000-0002-2514-0072; QUINTILIANO SCARPELLI DOURADO, DAIANA/0000-0003-4317-4601</t>
  </si>
  <si>
    <t>10.3390/nu12082371</t>
  </si>
  <si>
    <t>WOS:000577892400001</t>
  </si>
  <si>
    <t>Sánchez-Ramírez, C; Aguado, X; Hormazábal-Aguayo, I; Alarcón, E</t>
  </si>
  <si>
    <t>Sanchez-Ramirez, Celso; Aguado, Xavier; Hormazabal-Aguayo, Ignacio; Alarcon, Eduardo</t>
  </si>
  <si>
    <t>The Relation of Foot Morphology to Performance in Three Vertical Jumping Tasks</t>
  </si>
  <si>
    <t>The objective of this research is to relate the performance in three vertical jump events with morphological variables of the foot and stature. A total of 177 practitioners of 12 sporting events aged 24.5 +/- 8.0 years, with 71.01 +/- 13.00 kg of body mass, 1.71 +/- 0.09 m height, and BMI of 24.29 +/- 3.24 kg.m(-2) were evaluated with an anthropometer in terms of foot length (FL), forefoot width (FW), navicular height (NH), and hindfoot width (HW). These variables were normalized to the height of the subjects. From the footprint record the arch index (AI) was obtained, which indicates the morphology of the medial longitudinal foot arch (MLFA). Performance was evaluated in three vertical jump events: countermovement jump (CMJ), squat jump (SJ), and drop jump (DJ), recording the height reached. FL, FW and HW show a weak positive correlation (r&lt;0.4; p&lt;0.05) with the heights achieved in the three types of jump. The stature is strongly associated with FL, FW and HW (r=0.8; r=0.7 and r=0.6; respectively; p&lt;0.05) and with the height in CMJ, SJ, and DJ (r=0.37; r=0.41 and r=0.32, respectively, p&lt;0.05). The only normalized morphological foot variable that maintained consistency in the correlations analysis was the normalized foot length (NFL) with CMJ (r = 0.2, p&lt;0,05). The subjects whose left foot length was equivalent to 14 % of the stature jumped 27.94 +/- 6.63 cm, those with 15 % jumped 30.96 +/- 7.4 cm, and those with 16 % jumped 31.03 +/- 7.8 cm. FL, FW, HW, and stature are moderately correlated with performance in vertical jump events. However, after discarding the stature of the subjects, only the foot length maintained its relation with performance in CMJ.</t>
  </si>
  <si>
    <t>WOS:000525755300004</t>
  </si>
  <si>
    <t>Cruz, AAC; Freire, RM; Froelich, DB; de Lima, ACA; Muniz, AR; Ferreira, OP; Fechine, PBA</t>
  </si>
  <si>
    <t>Carneiro Cruz, Antonio Alvernes; Melo Freire, Rafael; Froelich, Diese Beatiz; Alves de Lima, Ari Clesius; Muniz, Andre Rodrigues; Ferreira, Odair Pastor; Almeida Fechine, Pierre Basilio</t>
  </si>
  <si>
    <t>Fluorescence Based Platform to Discriminate Protein Using Carbon Quantum Dots</t>
  </si>
  <si>
    <t>CHEMISTRYSELECT</t>
  </si>
  <si>
    <t>There is an urgent demand to develop a cheap, fast and robust methodology to sense proteins, since these biomolecules are often used as biomarker responsible for diagnosing of some diseases, such as cancer. In this regard, we report a theoretical and experimental study, as well as a cheap and effective 'chemical-nose' strategy based on carbon quantum dots (CQDs) and metallic cations (M) to discriminate proteins at concentration as low as 50 nM. Thus, the CQDs were firstly synthesized through citric acid thermolysis and their characteristics were fully investigated by UV-Vis absorption, fluorescence, infrared (FTIR), XPS and Raman spectroscopies and atomic force microscopy (AFM). These results pointed out for quasi-spherical CQDs with diameters in the range of 1.2-7 nm, presence of stacked graphitic layers and oxygenated functional groups, as well as disordered carbon. Based on the structural and morphological features, computational simulations were carried out to obtain a better understanding of the atomic structure. Our results evidenced a carbon-based nanoparticle formed by stacked graphene nanoflakes containing defects due to the presence of functional groups within the graphene layers. Afterwards, a 'tongue'-based approach was developed by using three distinct CQDs - M (M=Fe3+, Cu2+ or Ni2+) ensembles, which allowed us to acquire different and reproducible fluorescence patterns for four proteins (bovine serum albumin, hemoglobin, myoglobin and cytochrome C) at 50 nM. Subsequently, the pattern recognition was performed using linear discriminant analysis and 36 samples were correctly identified affording 100% of accuracy.</t>
  </si>
  <si>
    <t>Lima, Ari/D-9819-2014; Muniz, Andre/B-3369-2019; Fechine, Pierre/B-7937-2013; Ferreira, Odair Pastor/E-2228-2013</t>
  </si>
  <si>
    <t>Muniz, Andre/0000-0002-8784-012X; Fechine, Pierre/0000-0002-7822-2354; Melo Freire, Rafael/0000-0002-0914-4962; Ferreira, Odair Pastor/0000-0001-8274-5222</t>
  </si>
  <si>
    <t>2365-6549</t>
  </si>
  <si>
    <t>MAY 24</t>
  </si>
  <si>
    <t>10.1002/slct.201901014</t>
  </si>
  <si>
    <t>WOS:000468976000032</t>
  </si>
  <si>
    <t>Moncada-Basualto, M; Matsuhiro, B; Mansilla, A; Lapier, M; Maya, JD; Olea-Azar, C</t>
  </si>
  <si>
    <t>Moncada-Basualto, M.; Matsuhiro, B.; Mansilla, A.; Lapier, M.; Maya, J. D.; Olea-Azar, C.</t>
  </si>
  <si>
    <t>Supramolecular hydrogels of β-cyclodextrin linked to calcium homopoly-L-guluronate for release of coumarins with trypanocidal activity</t>
  </si>
  <si>
    <t>CARBOHYDRATE POLYMERS</t>
  </si>
  <si>
    <t>Association constants and thermodynamicsparameters on inclusion of four 3-amido coumarins that present trypanocidal activity, into 6-amino-beta-cyclodextrin (1: 1 stoichimetry) were determined. In addition, pure homopolymeric-a-L-guluronate fraction prepared by partial hydrolysis of sodium alginate from Sub-Antarctic Kelp Durvillaea antarctica was conjugated with 6-amino-beta-cyclodextrin (64% yield). To glycoconjugates, 3-amido coumarins were incorporated (73% of encapsulation) and supramolecular hydrogels were prepared by gelation with Ca2+ ions. The trypanocidal activity of the inclusion complexes increased by 10%. Likewise, an increase in diffusion in artificial membrane was observed (13%). It was found that the inclusion complexes increased the variation of the mitochondrial potential of T. cruzi (17%). The lowest release of substituted amidocoumarins (ACS) from supramolecular hydrogels occurred at pH 1.2 whereas the maximum release (34%) was observed at pH 8.0. Encapsulation of lipophilic bioactive compounds in supramolecular hydrogels allows the generation of release systems sensitive to pH with potential application in biomedicine.</t>
  </si>
  <si>
    <t>Maya, Juan/H-9561-2013; moncada, mauricio/HHN-6394-2022; OLEA AZAR, CLAUDIO/I-1605-2013</t>
  </si>
  <si>
    <t>OLEA AZAR, CLAUDIO/0000-0001-5805-0746; moncada, mauricio/0000-0003-1733-9126; Mansilla, Andres/0000-0003-3505-7018; Lapier Quezada, Michel Andres/0000-0002-1327-1964</t>
  </si>
  <si>
    <t>0144-8617</t>
  </si>
  <si>
    <t>1879-1344</t>
  </si>
  <si>
    <t>10.1016/j.carbpol.2018.10.010</t>
  </si>
  <si>
    <t>WOS:000448147100020</t>
  </si>
  <si>
    <t>Planas, AMF; Roseano, P; Elvira-García, W; Sabaté, JC; de Oca, DRM</t>
  </si>
  <si>
    <t>Fernandez Planas, Ana Ma.; Roseano, Paolo; Elvira-Garcia, Wendy; Carrera Sabate, Josefina; Roman Montes de Oca, Domingo</t>
  </si>
  <si>
    <t>From a perceptual point of view, is there prosodic continuity between languages in contact?</t>
  </si>
  <si>
    <t>SPANISH IN CONTEXT</t>
  </si>
  <si>
    <t>This paper contains the results of a set of perception tests that aimed at measuring perceived prosodic distances between different Romance languages (Italian, Friulian, Sardinian, Catalan, and Spanish). Data were collected within the framework of the AMPER project. The results were obtained by means of discrimination and identification tasks where the judges were 31 native speakers of Catalan form Barcelona and the stimuli were broad focus statements and yes-no questions in the above-mentioned languages. The perceived distances are then compared with the results of a dialectometric analysis of acoustic data. This comparison shows that the perceived distances are related to acoustic differences.</t>
  </si>
  <si>
    <t>Elvira-Garcia, Wendy/E-1633-2016</t>
  </si>
  <si>
    <t>Elvira-Garcia, Wendy/0000-0001-7002-9851</t>
  </si>
  <si>
    <t>1571-0718</t>
  </si>
  <si>
    <t>1571-0726</t>
  </si>
  <si>
    <t>10.1075/sic.00050.fer</t>
  </si>
  <si>
    <t>WOS:000508458900010</t>
  </si>
  <si>
    <t>Ponce, HR; Mayer, RE; Loyola, MS; López, MJ; Méndez, EE</t>
  </si>
  <si>
    <t>Ponce, Hector R.; Mayer, Richard E.; Soledad Loyola, Maria; Lopez, Mario J.; Mendez, Ester E.</t>
  </si>
  <si>
    <t>When two computer-supported learning strategies are better than one: An eye-tracking study</t>
  </si>
  <si>
    <t>The aim of this study is to examine the effects of using one or two computer-supported learning strategies on learning processes (as measured by integrative eye movements through eye-tracking methodology) and learning outcome (as measured by memory and comprehension tests). Sixth-grade students selected from four schools located in Santiago, Chile read a two-paragraph text on a computer screen and were asked either to read it (read-only group), highlight text as they read (highlighting group), type notes from the text into a textbox as they read (notetaking group), fill in an interactive graphic organizer (graphic organizer group), highlight first and then take notes from the text (highlighting + notetaking group) or highlight first and then fill in an interactive graphic organizer (highlighting + graphic organizer group). The graphic organizer group, highlighting + graphic organizer group, and highlighting + notetaking group each made significantly more integrative eye movements between the two paragraphs during learning (indicating better learning processes) and produced higher comprehension test scores (indicating better learning outcomes) as compared to the read-only group, whereas the highlighting group and notetaking group did not. Results are consistent with the idea that filling in graphic organizers is a generative learning strategy, whereas highlighting and typing notes into a textbox are not generative learning strategies. Similarly using two learning strategies together (notetaking and highlighting) leads to generative learning even though using either one of those strategies alone does not, so in this case two learning strategies are better than one.</t>
  </si>
  <si>
    <t>Lopez, Mario/0000-0003-0909-7702; Ponce, Hector R./0000-0002-7984-3945; Loyola, Maria Soledad/0000-0003-1418-558X</t>
  </si>
  <si>
    <t>10.1016/j.compedu.2018.06.024</t>
  </si>
  <si>
    <t>WOS:000441494100028</t>
  </si>
  <si>
    <t>Zarate, X; Saavedra-Torres, M; Rodriguez-Serrano, A; Gomez, T; Schott, E</t>
  </si>
  <si>
    <t>Zarate, Ximena; Saavedra-Torres, Mario; Rodriguez-Serrano, Angela; Gomez, Tatiana; Schott, Eduardo</t>
  </si>
  <si>
    <t>Exploring the relevance of thiophene rings as bridge unit in acceptor-bridge-donor dyes on self-aggregation and performance in DSSCs</t>
  </si>
  <si>
    <t>JOURNAL OF COMPUTATIONAL CHEMISTRY</t>
  </si>
  <si>
    <t>The possibility of dye charge recombination in DSSCs remains a challenge for the field. This consists of: (a) back-transfer from the TiO2 to the oxidized dye and (b) intermolecular electron transfer between dyes. The latter is attributed to dye aggregation due to dimeric conformations. This leads to poor electron injection which decreases the photocurrent conversion efficiency. Most organic sensitizers are characterized by an Acceptor-Bridge-Donor (A-Bridge-D) arrangement that is commonly employed to provide charge separation and, therefore, lowering the unwanted back-transfer. Here, we address the intermolecular electron transfer by studying the dimerization and photovoltaic performance of a group of A-Bridge-D structured dyes. Specifically, eight famous sulfur containing -bridges were analyzed (A and D remained fixed). Through quantum mechanical and molecular dynamics approaches, it was found that the formation of weakly stabilized dimers is allowed. The dyes with covalently bonded and fused thiophene rings as Bridges, 6d and 7d as well as 8d with a fluorene, would present high aggregation and, therefore, high probability of recombination processes. Conversely, using TiO2 cluster and surface models, delineated the shortest bridges to improve the adsorption energy and the stability of the system. Finally, the elongation of the bridge up to 2 and 3 units and their photovoltaic parameters were studied. These results showed that all the sensitizers are able to provide similar photocurrent outcomes, regardless of whether the bridge is elongated. (c) 2017 Wiley Periodicals, Inc.</t>
  </si>
  <si>
    <t>Gómez, Tatiana/X-9734-2019; Rodriguez-Serrano, Angela/ABE-7095-2020; Schott, Eduardo/J-7540-2015</t>
  </si>
  <si>
    <t>Gomez, Tatiana/0000-0001-6127-330X; Saavedra, Mario/0000-0003-2030-2375; Schott, Eduardo/0000-0002-2546-304X</t>
  </si>
  <si>
    <t>0192-8651</t>
  </si>
  <si>
    <t>1096-987X</t>
  </si>
  <si>
    <t>APR 30</t>
  </si>
  <si>
    <t>10.1002/jcc.25136</t>
  </si>
  <si>
    <t>WOS:000426509300006</t>
  </si>
  <si>
    <t>Tobarra, MM; Hermoso, AG; García, NL; Pacheco, BN; de la Cruz, LL; Carrascosa, DPP; Meseguer, MJG; Martínez-Vizcaíno, V</t>
  </si>
  <si>
    <t>Milla Tobarra, Marta; Garcia Hermoso, Antonio; Lahoz Garcia, Noelia; Notario Pacheco, Blanca; Lucas de la Cruz, Lidia; Pozuelo Carrascosa, Diana P.; Garcia Meseguer, Maria Jose; Martinez-Vizcaino, Vicente</t>
  </si>
  <si>
    <t>The relationship between socioeconomic status and beverage consumption in children: The Cuenca Study</t>
  </si>
  <si>
    <t>Introduction: beverage consumption constitutes a source of children's daily energy intake. Some authors have suggested that consumption of caloric beverages is higher in children with a low socioeconomic position because families limit their spending on healthy food in order to save money. Objective: the aim of this study was to explore the relationship between socioeconomic status and Spanish children's beverage consumption. Methods: a cross-sectional study was conducted in a sub-sample of 182 children (74 girls) aged 9-11 from the province of Cuenca (Spain). Beverage consumption was assessed using the YANA-C assessment tool, validated for HELENA study. Data for parental socioeconomic status were gathered by using self-reported occupation and education questions answered by parents and classified according to the scale proposed by the Spanish Society of Epidemiology. Results: beverage intake was higher in children belonging to a middle-status family than in those of upper socioeconomic status (p = 0.037). The energy from beverages was similar in most water intake categories, except for water from beverages (p = 0.046). Regarding other beverages categories, middle-status children had higher consumption levels. In contrast, lower status children drank more fruit juices and skimmed milk. All of these do not show statistically significant differences. Conclusions: our study did not find significant associations between beverages consumption and socioeconomic status in children. In fact, intake for most beverage categories was higher in middle-status children than in both other socioeconomic groups. Future research is needed in order to identify this complex relation between socioeconomic inequality and beverage intake behavior.</t>
  </si>
  <si>
    <t>Carrascosa, Diana/R-4379-2017; García-Hermoso, Antonio/ADU-2591-2022; Garcia-Meseguer, Maria/H-9401-2015; VIZCAINO, VICENTE/R-4336-2017; Notario Pacheco, Blanca/G-2583-2016; Garcia-Hermoso, Antonio/P-1857-2017</t>
  </si>
  <si>
    <t>Notario Pacheco, Blanca/0000-0001-8406-6952; Garcia-Hermoso, Antonio/0000-0002-1397-7182; Pozuelo-Carrascosa, Diana P/0000-0002-0527-5498</t>
  </si>
  <si>
    <t>10.20960/nh.1259</t>
  </si>
  <si>
    <t>WOS:000430906500018</t>
  </si>
  <si>
    <t>Santos, JFD; Herrera-Valenzuela, T; da Mota, GR; Franchini, E</t>
  </si>
  <si>
    <t>da Silva Santos, Jonatas Ferreira; Herrera-Valenzuela, Tomas; da Mota, Gustavo Ribeiro; Franchini, Emerson</t>
  </si>
  <si>
    <t>INFLUENCE OF HALF-SQUAT INTENSITY AND VOLUME ON THE SUBSEQUENT COUNTERMOVEMENT JUMP AND FREQUENCY SPEED OF KICK TEST PERFORMANCE IN TAEKWONDO ATHLETES</t>
  </si>
  <si>
    <t>The aim of this study was to assess the effects of different postactivation potentiation conditioning activities' volumes and intensities on countermovement jump and multiple sets of high speed kicks. Nine taekwondo athletes (M +/- SD; age: 20.3 +/- 5.2 years; height: 177 +/- 7.2 cm; body mass: 71.8 +/- 15.3 kg; maximum dynamic half-squat 1RM: 132.8 +/- 32.5 kg and practice time: 9.6 +/- 7.2 years) participated. One control and four experimental conditions were randomly applied. Each condition was composed of warm-up, conditioning activity (half-squat: 1x3 at 50 or 90% 1RM or 3x3 at 50 or 90% 1RM), followed by a 10-minute rest interval, a countermovement jump and five sets of Frequency Speed of Kick Test. The conditions were compared using an analysis of variance with repeated measures, followed by Bonferroni post-hoc test. The alpha level was set at 5%. The significant difference was found in the number of kicks among sets (F-3,F-21;128,F-36= 25.34; p&lt;.001; eta(2)=.388 [small]). The rating of perceived exertion before control condition was higher than in all experimental protocols (F-4,F-32=6.64; p=.001; eta(2)=.454 [small]). There were no effects of volume and intensity on the variables investigated (maximum countermovement jump, mean countermovement jump, kick decrement, impact and rating of perceived exertion). Our results indicate that taekwondo athletes does not improve performance after conditioning activities of different volumes and intensities.</t>
  </si>
  <si>
    <t>Mota, Gustavo R./D-1648-2015; da Silva Santos, Jonatas/O-6956-2019; Herrera-Valenzuela, Tomas/L-1819-2019; Franchini, Emerson/B-9119-2012</t>
  </si>
  <si>
    <t>Herrera-Valenzuela, Tomas/0000-0002-5219-5896; Ferreira da Silva Santos, Jonatas/0000-0002-3309-4731; Franchini, Emerson/0000-0002-0769-8398</t>
  </si>
  <si>
    <t>WOS:000379917300010</t>
  </si>
  <si>
    <t>González, H; Adaro, L; Hernández, A; Fernández, V</t>
  </si>
  <si>
    <t>Gonzalez, Hector; Adaro, Luis; Hernandez, Alejandro; Fernandez, Victor</t>
  </si>
  <si>
    <t>Effects of Preweaning Polysensorial Enrichment upon Development of the Parietal Cortical Plate of Undernourished Rats: A Stereological Study</t>
  </si>
  <si>
    <t>This investigation was undertaken in order to quantify the effects of early polysensorial enrichment on the development of cortical pyramids, located in the parietal cortex of rats simultaneously submitted to protein-energy undernutrition. A short period of stimulation during suckling significantly decreases the cellular density in the cortical plate (phylogenetic-ontogenetic evolutionary index). Results suggest that the cerebral cortex develops according to a sophisticated neuronal network, which exhibits a notable degree of structural specificity, regulated by genetic and environmental clues. The most obvious prediction is that environmental influences are probably transduced as a structural expression in the developing parietal cortical plate.</t>
  </si>
  <si>
    <t>Fernandez-Gonzalez, Victor/GQP-2953-2022; González-Caro, Héctor/AAG-3769-2019; Hernandez, Alejandro/M-4796-2019</t>
  </si>
  <si>
    <t>10.4067/S0717-95022014000400016</t>
  </si>
  <si>
    <t>WOS:000348581400016</t>
  </si>
  <si>
    <t>Antilén, M; Silva, K; Acevedo, S; Amiama, F; Faúndez, M; Knicker, H; Pizarro, C</t>
  </si>
  <si>
    <t>Antilen, M.; Silva, K.; Acevedo, S.; Amiama, F.; Faundez, M.; Knicker, H.; Pizarro, C.</t>
  </si>
  <si>
    <t>Characterization of humic acids extracted from biosolid amended soils</t>
  </si>
  <si>
    <t>The aim of this study was to evaluate the changes produced in the chemical, acid-base and structural properties of soil amended (biosolids) and humic acids HAs incubated at different times. In the current work the amendments were conducted with biosolids at different doses (30, 90 and 180 t ha(-1)) on Colina (CLN) soil for 1, 2, 4 and 6 months. The acid-base characterization of extracted humic acids (HAs) showed a slight impact on Atotal (total acidity, mEq g(-1)), at 30 and 90 t ha(-1) while at 180 t ha(-1) the greatest increase was observed from 10.5 +/- 1.61 (control) to 17.9 +/- 0.30 (6 months of incubation). without evolution over the incubation time. The Aphenolic (phenolic acidity, mEq g(-1)) acidity behaves similarly while Acarboxylic (carboxylic acidity mEq g(-1))) remains constant over time and applied doses. The application of C-13 solid state NMR technique revealed higher abundance of aromatic C (CLN 43.5%) over alkyl C (21.4%) compounds. Aromatic C presents a decrease at high biosolid doses, which occurs simultaneously with alkyl C increase when using the same surveyed doses. Therefore, it might be considered that through the addition of biosolids, components such as fatty acids, amino acids or paraffinic structures are incorporated. As a result of biosolids addition, carboxylic C content remains steady, which agrees with the Accarboxylic behavior previously determined.</t>
  </si>
  <si>
    <t>Acevedo, Sara/HKW-3794-2023</t>
  </si>
  <si>
    <t>Faundez, Mario/0000-0002-5507-3579; Acevedo, Sara/0000-0003-3203-2106; Pizarro, Carmen/0000-0003-4927-5681; Antilen-Lizana, Monica/0000-0003-0512-4267</t>
  </si>
  <si>
    <t>WOS:000353141700018</t>
  </si>
  <si>
    <t>Villagrán, M; Caruso, F; Rossi, M; Zagal, J; Costamagna, J</t>
  </si>
  <si>
    <t>Villagran, Manuel; Caruso, Francesco; Rossi, Miriam; Zagal, Jose; Costamagna, Juan</t>
  </si>
  <si>
    <t>Structure, electronic, and CV properties of hydroxy-naphthaldehyde Schiff-base copper(II) complexes derived from alkyl amines: X-ray structure of bis(n-i-propyl-3-hydroxy-2-naphthaldiminato)copper(II)</t>
  </si>
  <si>
    <t>Copper(II) complexes with Schiff bases derived from linear and branched amines with 2-hydroxy-1-naphthaldehyde and 3-hydroxy-2-naphthaldehyde were synthesized and characterized by IR and electronic spectroscopies, magnetic susceptibilities, electrochemistry, cyclic voltammetry (CV), X-ray diffraction, and theoretical calculations. Electronic spectra are a function of the R group on the imine nitrogen of the ligand that determines steric effects. Complexes obtained from 3-hydroxy-2-naphthaldehyde ligand are more distorted from planarity in dimethylformamide solutions than those of 2-hydroxy-1-naphthaldehyde for the same R group. As a result, the former are easier to reduce to the related copper(I) complexes than those of 2-hydroxy-1-naphthaldiminate. The structure of bis(N-i-propyl-3-hydroxy-2-naphthaldiminato) copper(II) was determined by single-crystal X-ray diffraction. Its molecular structure can be described as distorted flat tetrahedral influenced by important packing effects and is flatter than that calculated with density functional theory methods. Additional related flat tetrahedral complexes were studied by theoretical calculations and it has been found that electronic effects also play a significant role.</t>
  </si>
  <si>
    <t>zagal, jose/L-9648-2014; rossi, massimo/C-8411-2012</t>
  </si>
  <si>
    <t>Rossi, Miriam/0000-0001-9609-474X</t>
  </si>
  <si>
    <t>10.1080/00958972.2012.724531</t>
  </si>
  <si>
    <t>WOS:000309128800006</t>
  </si>
  <si>
    <t>Prout, DL; Douraghy, A; Silverman, RW; Rannou, FR; Chatziioannou, AF</t>
  </si>
  <si>
    <t>Prout, D. L.; Douraghy, A.; Silverman, R. W.; Rannou, F. R.; Chatziioannou, A. F.</t>
  </si>
  <si>
    <t>System Performance of OPET: A Combined Optical and PET Imaging System</t>
  </si>
  <si>
    <t>2011 IEEE NUCLEAR SCIENCE SYMPOSIUM AND MEDICAL IMAGING CONFERENCE (NSS/MIC)</t>
  </si>
  <si>
    <t>IEEE Nuclear Science Symposium and Medical Imaging Conference</t>
  </si>
  <si>
    <t>IEEE Nuclear Science Symposium/Medical Imaging Conference (NSS/MIC)/18th International Workshop on Room-Temperature Semiconductor X-Ray and Gamma-Ray Detectors</t>
  </si>
  <si>
    <t>OCT 23-29, 2011</t>
  </si>
  <si>
    <t>Valencia, SPAIN</t>
  </si>
  <si>
    <t>IEEE,Inst Elect &amp; Elect Engineers Nucl &amp; Plasma Sci Soc (IEEE NPSS)</t>
  </si>
  <si>
    <t>OPET is an imaging system that detects both high-energy gamma-rays and optical wavelength photons. This system is capable of non-invasively and repeatedly imaging small animal models in-vivo for the presence of gamma-rays from PET tracers and optical signals from bioluminescence. OPET consists of six detector modules arranged to form a ring with a bore diameter of 3.5cm, where each module is made up of a 64-channel multichannel photomultiplier tube (PMT) coupled to an 8x8 BGO crystal array. The crystal lengths and widths are 2.15mm x 2.15mm respectively. The crystal heights vary along the face of the PMT such that the array presents a smooth curving profile. The front surface of the crystals is left open to allow optical wavelength photons to enter the detector module. A charge-division readout circuit is implemented to decode the signals from the 64 outputs of each PMT into four signals from which position information is obtained. These signals are amplified, shaped, and digitized, and finally processed using a field programmable gate array (FPGA). Flood images are used to obtain position look-up tables as well as pulse height spectra for each crystal in both PET and Optical mode operation. Basic system performance parameters have been measured for both operation modes of OPET including: sensitivity and count-rate performance. In PET mode the system has a sensitivity of 3.5% at the center of the field of view and an energy resolution around 36%. The sensitivity for optical wavelength photons was measured for each detector using a calibrated light source and varied from 0.6% to 2.0%. The maximum count rate in Optical mode is 10(6) cps per detector. The first dual-mode data acquisition of OPET was performed using a two chamber phantom. In one chamber was a set of six 0.8mm diameter rods filled with FDG, while the other chamber was filled with an enzyme and substrate used in bioluminescence studies of small animals. Images from both modes of operation are be presented.</t>
  </si>
  <si>
    <t>1095-7863</t>
  </si>
  <si>
    <t>978-1-4673-0120-6</t>
  </si>
  <si>
    <t>WOS:000304755604137</t>
  </si>
  <si>
    <t>Rojas, NO; Argentina, M; Cerda, E; Tirapegui, E</t>
  </si>
  <si>
    <t>Rojas, N. O.; Argentina, M.; Cerda, E.; Tirapegui, E.</t>
  </si>
  <si>
    <t>Inertial Lubrication Theory</t>
  </si>
  <si>
    <t>Thin fluid films can have surprising behavior depending on the boundary conditions enforced, the energy input and the specific Reynolds number of the fluid motion. Here we study the equations of motion for a thin fluid film with a free boundary and its other interface in contact with a solid wall. Although shear dissipation increases for thinner layers and the motion can generally be described in the limit as viscous, inertial modes can always be excited for a sufficiently high input of energy. We derive the minimal set of equations containing inertial effects in this strongly dissipative regime.</t>
  </si>
  <si>
    <t>Argentina, Mederic/AAR-8153-2021; Rojas, Nicolás/C-8683-2019; Tirapegui, Enrique/G-8141-2016; Argentina, Mederic/I-8741-2014</t>
  </si>
  <si>
    <t>Rojas, Nicolas O./0000-0001-7562-2670; Argentina, Mederic/0000-0002-8926-7398</t>
  </si>
  <si>
    <t>MAY 7</t>
  </si>
  <si>
    <t>10.1103/PhysRevLett.104.187801</t>
  </si>
  <si>
    <t>WOS:000277417500055</t>
  </si>
  <si>
    <t>Addis, EA; Clark, AD; Vasquez, R; Wingfield, JC</t>
  </si>
  <si>
    <t>Addis, E. A.; Clark, A. D.; Vasquez, R.; Wingfield, J. C.</t>
  </si>
  <si>
    <t>Breeding variation of testosterone in the high latitude Rufous-collared sparrow, Zonotrichia capensis australis</t>
  </si>
  <si>
    <t>INTEGRATIVE AND COMPARATIVE BIOLOGY</t>
  </si>
  <si>
    <t>Annual Meeting of the Society-for-Integrative-and-Comparative-Biology</t>
  </si>
  <si>
    <t>JAN 03-07, 2009</t>
  </si>
  <si>
    <t>Boston, MA</t>
  </si>
  <si>
    <t>Soc Integrat &amp; Comparat Biol</t>
  </si>
  <si>
    <t>Addis, Elizabeth/IWU-5866-2023</t>
  </si>
  <si>
    <t>1540-7063</t>
  </si>
  <si>
    <t>E192</t>
  </si>
  <si>
    <t>WOS:000268808800764</t>
  </si>
  <si>
    <t>Fuenzalida, F; Dreyse, P; Villagra, D; Matsuhiro, B; Mendoza, L; Aguirre, M; Isaacs, M</t>
  </si>
  <si>
    <t>Fuenzalida, Francesca; Dreyse, Paulina; Villagra, Diego; Matsuhiro, Betty; Mendoza, Leonora; Aguirre, Maria J.; Isaacs, Mauricio</t>
  </si>
  <si>
    <t>Electrochemical reduction of SO2 on poly-Co-3-tetraaminophenylporphyrin glassy carbon modified electrode</t>
  </si>
  <si>
    <t>This article describes the electrochemical reduction of sulfite in water-ethanol mixtures under acidic conditions on a glassy carbon electrode modified with a conducting film formed by Co(II) tetra-3-aminophenyl porphyrin. Rotating disc electrode experiments show a kinetic limitation related with the formation of an adduct between the reduced porphyrin and the sulfur compound. UV-Visible spectroelectrochemical data suggest that Co(I) is not stabilized; thus the adduct should involve a radical species of the porphyrin. However, the resulting modified electrode is stable and shows a linear relationship between current and concentration of the sulfur species at pH 1. The detection range of sulfite by the modified electrode goes from 12 to 150 mg L-1. The detection limit is 4.15 mg L-1.</t>
  </si>
  <si>
    <t>Isaacs, Mauricio/N-3027-2013; Aguirre, Maria/A-3935-2013; Dreyse, Paulina/KSM-6016-2024; Villagra, Diego/H-6694-2013</t>
  </si>
  <si>
    <t>Isaacs Casanova, Mauricio/0000-0003-0503-0949; Aguirre, Maria/0000-0003-1134-4469</t>
  </si>
  <si>
    <t>PII 904801936</t>
  </si>
  <si>
    <t>10.1080/00958970802474839</t>
  </si>
  <si>
    <t>WOS:000260926100014</t>
  </si>
  <si>
    <t>Vergara, PM; Armesto, JJ</t>
  </si>
  <si>
    <t>Vergara, Pablo M.; Armesto, Juan J.</t>
  </si>
  <si>
    <t>Responses of Chilean forest birds to anthropogenic habitat fragmentation across spatial scales</t>
  </si>
  <si>
    <t>Although it is recognized that anthropogenic forest fragmentation affects habitat use by organisms across multiple spatial scales, there is uncertainty about these effects. We used a hierarchical sampling design spanning three spatial scales of habitat variability (landscape &gt; patch &gt; within-patch) and generalized mixed-effect models to assess the scale-dependent responses of bird species to fragmentation in temperate forests of southern Chile. The abundances of nine of 20 bird species were affected by interactions across spatial scales. These interactions resulted in a limited effect of within-patch habitat structure on the abundance of birds in landscapes with low forest cover, suggesting that suitable local habitats, such as sites with dense understory cover or large trees, are underutilized or remain unused in highly fragmented landscapes. Habitat specialists and cavity-nesters, such as tree-trunk foragers and tapaculos, were most likely to exhibit interactions across spatial scales. Because providing additional sites with dense understory vegetation or large habitat trees does not compensate the negative effect of the loss of forest area on bird species, conservation strategies should ensure the retention of native forest patches in the mixed-use landscapes.</t>
  </si>
  <si>
    <t>Armesto, Juan/G-6467-2016; Vergara, Pablo/F-2519-2010</t>
  </si>
  <si>
    <t>Vergara, Pablo/0000-0002-0024-1678</t>
  </si>
  <si>
    <t>10.1007/s10980-008-9275-y</t>
  </si>
  <si>
    <t>WOS:000262506000003</t>
  </si>
  <si>
    <t>Bazaes, S; Toncio, M; Laivenieks, M; Zeikus, JG; Cardemil, E</t>
  </si>
  <si>
    <t>Bazaes, Sergio; Toncio, Mauricio; Laivenieks, Maris; Zeikus, J. Gregory; Cardemil, Emilio</t>
  </si>
  <si>
    <t>Comparative kinetic effects of Mn (II), Mg (II) and the ATP/ADP ratio on phosphoenolpyruvate carboxykinases from Anaerobiospirillum succiniciproducens and Saccharomyces cerevisiae</t>
  </si>
  <si>
    <t>The kinetic affinity for CO2 of phosphoenolpyruvate PEP5 stop carboxykinase from Anaerobiospirillum succiniciproducens, an obligate anaerobe which PEP carboxykinase catalyzes the carboxylation of PEP in one of the final steps of succinate production from glucose, is compared with that of the PEP carboxykinase from Saccharomyces cerevisiae, which catalyzes the decarboxylation of oxaloacetate in one of the first steps in the biosynthesis of glucose. For the A. succiniciproducens enzyme, at physiological concentrations of Mn2+ stop and Mg2+ stop, the affinity for CO2 increases as the ATP/ADP ratio is increased in the assay medium, while the opposite effect is seen for the S. cerevisiae enzyme. The results show that a high ATP/ADP ratio favors CO2 fixation by the PEP carboxykinase from A. succiniciproducens but not for the S. cerevisiae enzyme. These findings are in agreement with the proposed physiological roles of S. cerevisiae and A. succiniciproducens PEP carboxykinases, and expand recent observations performed with the enzyme isolated from Panicum maximum (Chen et al. (2002) Plant Physiology 128: 160-164).</t>
  </si>
  <si>
    <t>10.1007/s10930-006-9068-6</t>
  </si>
  <si>
    <t>WOS:000247280800007</t>
  </si>
  <si>
    <t>Coddou, C; Morales, B; González, J; Grauso, M; Gordillo, F; Bull, P; Rassendren, F; Huidobro-Toro, JP</t>
  </si>
  <si>
    <t>Histidine 140 plays a key role in the inhibitory modulation of the P2X4 nucleotide receptor by copper but not zinc</t>
  </si>
  <si>
    <t>JOURNAL OF BIOLOGICAL CHEMISTRY</t>
  </si>
  <si>
    <t>To elucidate the role of extracellular histidines in the modulation of the rat P2X(4) receptor by trace metals, we generated single, double, and triple histidine mutants for residues 140, 241, and 286, replacing them with alanines. cDNAs for the wild-type and receptor mutants were expressed in Xenopus laevis oocytes and in human embryonic kidney 293 cells and examined by the two electrode and patch clamp techniques, respectively. Whereas copper inhibited concentration-dependently the ATP-gated currents in the wild-type and in the single or double H241A and H286A receptor mutants, all receptors containing H140A were insensitive to copper in both cell systems. The characteristic bell-shaped concentration-response curve of zinc observed in the wildtype receptor became sigmoid in both oocytes and human embryonic kidney cells expressing the H140A mutant; in these mutants, the zinc potentiation was 2.5-4-fold larger than in the wild-type. Results with the H140T and H140R mutants further support the importance of a histidine residue at this position. We conclude that His-140 is critical for the action of copper, indicating that this histidine residue, but not His-241 or His-286, forms part of the inhibitory allosteric metal-binding site of the P2X4 receptor, which is distinct from the putative zinc facilitator binding site.</t>
  </si>
  <si>
    <t>Rassendren, Francois/JAN-7251-2023</t>
  </si>
  <si>
    <t>Coddou, Claudio/0000-0002-5297-3694; Rassendren, Francois/0000-0003-3320-2461</t>
  </si>
  <si>
    <t>0021-9258</t>
  </si>
  <si>
    <t>1083-351X</t>
  </si>
  <si>
    <t>10.1074/jbc.M305177200</t>
  </si>
  <si>
    <t>WOS:000185318300110</t>
  </si>
  <si>
    <t>Anand, BN; Galetovic, A</t>
  </si>
  <si>
    <t>Weak property rights and holdup in R&amp;D</t>
  </si>
  <si>
    <t>JOURNAL OF ECONOMICS &amp; MANAGEMENT STRATEGY</t>
  </si>
  <si>
    <t>We study how the sequence of financing of R&amp;D varies according to the ease with which property rights over knowledge can be defined. There are two financiers: a venture capitalist (VC) and a corporation. The knowledge acquired in costly research becomes embodied in the researcher's human capital, and she may hold up the financier and walk away with the project to develop it elsewhere. The main results are: (1) When property rights are strong, research is always funded by the VC, development is performed efficiently, and breakaways from the VC to the corporation are observed in equilibrium. (2) When property rights are weak, projects may be financed by the VC or the corporation, or may remain unfunded. (3) When property rights are weak, no breakaways occur in equilibrium; local spillovers and strong product market competition increase the likelihood that research projects will get funding. (4) The equilibrium sequence of R&amp;D finance need not be first-best efficient. (5) In equilibrium, and controlling for the strength of property rights, VCs finance projects that are more profitable on average.</t>
  </si>
  <si>
    <t>1058-6407</t>
  </si>
  <si>
    <t>1530-9134</t>
  </si>
  <si>
    <t>WIN</t>
  </si>
  <si>
    <t>WOS:000165565600006</t>
  </si>
  <si>
    <t>Barbieri, ER; Hidalgo, ME; Venegas, A; Smith, R; Lissi, EA</t>
  </si>
  <si>
    <t>Varicocele-associated decrease in antioxidant defenses</t>
  </si>
  <si>
    <t>JOURNAL OF ANDROLOGY</t>
  </si>
  <si>
    <t>Varicocele is associated with an oxidative stress condition. We have measured the antioxidant defenses of varicocele patients both at the local (seminal plasma) and systemic (blood plasma) levels. The antioxidant defenses, as evaluated by the total reactive antioxidant potential parameter, decrease both in the seminal (controls = 676 +/- 128; patients = 386 +/- 186) and blood (controls = 519 +/- 63; patients = 268 +/- 110) plasma of varicocele patients. Compared with controls, patients with both normal spermiograms and spermiograms altered in motility or morphology demonstrated lower values. The results obtained suggest that varicocele-associated oxidative stress is evidenced both at the local and systemic levels. This conclusion is supported by results showing that urinary spontaneous chemiluminescence is also significantly increased in the patients.</t>
  </si>
  <si>
    <t>0196-3635</t>
  </si>
  <si>
    <t>1939-4640</t>
  </si>
  <si>
    <t>NOV-DEC</t>
  </si>
  <si>
    <t>WOS:000083877500006</t>
  </si>
  <si>
    <t>Oyarzo-Espinosa, J; Joglar-Campos, C; Quintanilla-Gatica, MR; Sepúveda-González, RA; Soto-Alvarado, MB</t>
  </si>
  <si>
    <t>Oyarzo-Espinosa, Jaime; Joglar-Campos, Carol; Quintanilla-Gatica, Mario Roberto; Sepuveda-Gonzalez, Rodrigo Antonio; Soto-alvarado, Macarena Belen</t>
  </si>
  <si>
    <t>ARTIFICIAL INTELLIGENCE AND SOCIO-SCIENTIFIC CONTROVERSIES IN SCIENCE TEACHING IN HIGHER EDUCATION. APPROACHES AND PROJECTIONS BASED ON A BIBLIOGRAPHIC REVIEW</t>
  </si>
  <si>
    <t>SISYPHUSJOURNAL OF EDUCATION</t>
  </si>
  <si>
    <t>This literature review explores the implementation of Artificial Intelligence (AI) and Natural Language Processing (NLP) in the analysis of student feedback in universities. The methodology includes identification of the topic, systematic search of sources, assessment of the relevance and quality of the studies, and synthesis of the findings. The advantages and challenges of using AI and NLP to analyse student feedback, as well as their impact on improving educational quality, are discussed. The case studies of this literature review provide valuable information for the integration of socio-scientific controversies (SSC) in science education.</t>
  </si>
  <si>
    <t>2182-8474</t>
  </si>
  <si>
    <t>2182-9640</t>
  </si>
  <si>
    <t>10.25749/sis.36570</t>
  </si>
  <si>
    <t>WOS:001462663300002</t>
  </si>
  <si>
    <t>Simonetti, JA; Yusti-Muñoz, AP; González-Herrera, MN; Salinas, ID; Moreira-Arce, D</t>
  </si>
  <si>
    <t>Simonetti, Javier A.; Yusti-Munoz, Ana Paola; Gonzalez-Herrera, Matias N.; Salinas, Ignacio Delgado; Moreira-Arce, Dario</t>
  </si>
  <si>
    <t>Prey-carrying behavior of Lycalopex foxes in Chilean Patagonia</t>
  </si>
  <si>
    <t>FOOD WEBS</t>
  </si>
  <si>
    <t>This study examines prey-carrying behavior in culpeo (Lycalopex culpaeus) and chilla (L. griseus) foxes within Chilean Patagonia's sheep farming lands. We used camera traps to register prey transportation. This behavior was more frequent during the reproductive season compared to the non-reproductive season, suggesting an association with pup-rearing activities. The presence of livestock guardian dogs and other predation control measures may also influence prey-carrying behavior, particularly in L. culpaeus, as foxes might adjust their activities in response to perceived risks. This research provides initial evidence of prey transport in these fox species and highlights the need for further study to understand its ecological implications and interactions with livestock management practices.</t>
  </si>
  <si>
    <t>Simonetti, Javier/A-4658-2008; Moreira-Arce, Dario/ABG-2898-2021</t>
  </si>
  <si>
    <t>2352-2496</t>
  </si>
  <si>
    <t>e00378</t>
  </si>
  <si>
    <t>10.1016/j.fooweb.2024.e00378</t>
  </si>
  <si>
    <t>WOS:001357546300001</t>
  </si>
  <si>
    <t>de Blas, CS; Rojas, K; Sipols, AEG; Alonso, SH; Castellanos, ME; Cano, J; Córdoba, C</t>
  </si>
  <si>
    <t>de Blas, Clara Simon; Rojas, Karina; Sipols, Ana E. Garcia; Alonso, Sonia Hernandez; Castellanos, Maria Eugenia; Cano, Javier; Cordoba, Claudia</t>
  </si>
  <si>
    <t>Evaluation of stress and anxiety levels on science and engineering undergraduate students in spain when facing written assessments guides for positive interventions</t>
  </si>
  <si>
    <t>LEARNING AND MOTIVATION</t>
  </si>
  <si>
    <t>Anxiety and stress disorders are increasingly common, especially among undergraduate students, significantly affecting their family, social, and academic lives. The isolation from restrictive measures during the COVID-19 pandemic in Spain has further exacerbated mental health issues. The disruption of in-person teaching has also impacted traditional learning and evaluation processes, increasing stress and anxiety levels in students. Based on this background, this study aims to analyze the incidence of these disorders among undergraduates and their relationship with various academic, demographic, and family factors, considering the influence of COVID-19. Our results were obtained from a survey conducted among first- and second-year URJC students who are enrolled in an experimental degree program. The statistical analysis provides guidelines for positive interventions to increase student motivation, which further leads to academic success. Results show that women exhibit higher levels of stress and a greater prevalence of anxiety compared to men. The study highlights the influence of specific factors on anxiety levels among students, proposing direct lines of action that enhance positive feelings concerning academic tasks.</t>
  </si>
  <si>
    <t>Castellanos, María/E-9851-2016; Cano, Javier/I-8131-2014; Simon de Blas, Clara/N-9447-2014</t>
  </si>
  <si>
    <t>Simon de Blas, Clara/0000-0002-6963-1295</t>
  </si>
  <si>
    <t>0023-9690</t>
  </si>
  <si>
    <t>1095-9122</t>
  </si>
  <si>
    <t>10.1016/j.lmot.2024.102058</t>
  </si>
  <si>
    <t>OCT 2024</t>
  </si>
  <si>
    <t>WOS:001336104900001</t>
  </si>
  <si>
    <t>Faouzi, T; Furrer, R; Porcu, E</t>
  </si>
  <si>
    <t>Faouzi, Tarik; Furrer, Reinhard; Porcu, Emilio</t>
  </si>
  <si>
    <t>Compatibility of space-time kernels with full, dynamical, or compact support</t>
  </si>
  <si>
    <t>MATHEMATICAL METHODS IN THE APPLIED SCIENCES</t>
  </si>
  <si>
    <t>This paper deals with compatibility of space-time kernels with (either) full, spatially dynamical, or space-time compact support. We deal with the dilemma of statistical accuracy versus computational scalability, which are in a notorious trade-off. Apparently, models with full support ensure maximal information but are computationally expensive, while compactly supported models achieve computational scalability at the expense of loss of information. Hence, an inspection of whether these models might be compatible is necessary. The criterion we use for such an inspection is based on equivalence of Gaussian measures. We provide sufficient conditions for space-time compatibility. As a corollary, we deduce implications in terms of maximum likelihood estimation and misspecified kriging prediction under fixed domain asymptotics. Some results of independent interest relate about the space-time spectrum associated with the classes of kernels proposed in the paper.</t>
  </si>
  <si>
    <t>Furrer, Reinhard/A-4580-2011</t>
  </si>
  <si>
    <t>faouzi, tarik/0000-0003-3497-050X</t>
  </si>
  <si>
    <t>0170-4214</t>
  </si>
  <si>
    <t>1099-1476</t>
  </si>
  <si>
    <t>10.1002/mma.10379</t>
  </si>
  <si>
    <t>WOS:001281777700001</t>
  </si>
  <si>
    <t>Villena, VR; Lillo, MPY; Cerda, PJ; Bravo, CP</t>
  </si>
  <si>
    <t>Villena, Veronica Rocamora; Lillo, Macarena Pena Y.; Cerda, Patricia Junge; Bravo, Cecilia Prieto</t>
  </si>
  <si>
    <t>COVID-19 risk groups and their strategies for navigating information overload during the first year of the pandemic in Chile</t>
  </si>
  <si>
    <t>SALUD COLECTIVA</t>
  </si>
  <si>
    <t>As a part of the EIS-COVID project on the access and use of information during the COVID-19 pandemic in Chile, the objective of this paper was to ascertain how people's informational environment was constructed during the first stage of the pandemic. It discusses the results of a qualitative study of people belonging to risk groups for COVID-19: people over 18 and under 65 with chronic diseases (hypertension and diabetes) and people 65 and over. Ninety semi-structured interviews were conducted in the Metropolitan and Valparaiso regions between September 2020 and January 2021. The results reveal the problematic nature of the information overload encountered by these groups and the strategies they used to navigate it: a) information avoidance; b) content corroboration and active search for reliable sources; and c) differentiated media use.</t>
  </si>
  <si>
    <t>Pena-y-Lillo, Macarena/ABA-8181-2021</t>
  </si>
  <si>
    <t>Pena-y-Lillo, Macarena/0000-0002-2422-571X</t>
  </si>
  <si>
    <t>1669-2381</t>
  </si>
  <si>
    <t>1851-8265</t>
  </si>
  <si>
    <t>e4305</t>
  </si>
  <si>
    <t>10.18294/sc.2023.4305</t>
  </si>
  <si>
    <t>WOS:001008848900001</t>
  </si>
  <si>
    <t>Núñez-Navarro, N; Muñoz, JS; Castillo, F; Ramírez-Sarmiento, CA; Poblete-Castro, I; Zacconi, FC; Parra, LP</t>
  </si>
  <si>
    <t>Nunez-Navarro, Nicolas; Salazar Munoz, Javier; Castillo, Francisco; Ramirez-Sarmiento, Cesar A.; Poblete-Castro, Ignacio; Zacconi, Flavia C.; Parra, Loreto P.</t>
  </si>
  <si>
    <t>Discovery of New Phenylacetone Monooxygenase Variants for the Development of Substituted Indigoids through Biocatalysis</t>
  </si>
  <si>
    <t>Indigoids are natural pigments obtained from plants by ancient cultures. Romans used them mainly as dyes, whereas Asian cultures applied these compounds as treatment agents for several diseases. In the modern era, the chemical industry has made it possible to identify and develop synthetic routes to obtain them from petroleum derivatives. However, these processes require high temperatures and pressures and large amounts of solvents, acids, and alkali agents. Thus, enzyme engineering and the development of bacteria as whole-cell biocatalysts emerges as a promising green alternative to avoid the use of these hazardous materials and consequently prevent toxic waste generation. In this research, we obtained two novel variants of phenylacetone monooxygenase (PAMO) by iterative saturation mutagenesis. Heterologous expression of these two enzymes, called PAMO(HPCD) and PAMO(HPED), in E. coli was serendipitously found to produce indigoids. These interesting results encourage us to characterize the thermal stability and enzyme kinetics of these new variants and to evaluate indigo and indirubin production in a whole-cell system by HPLC. The highest yields were obtained with PAMO(HPCD) supplemented with L-tryptophan, producing similar to 3000 mg/L indigo and similar to 130.0 mg/L indirubin. Additionally, both enzymes could oxidize and produce several indigo derivatives from substituted indoles, with PAMO(HPCD) being able to produce the well-known Tyrian purple. Our results indicate that the PAMO variants described herein have potential application in the textile, pharmaceutics, and semiconductors industries, prompting the use of environmentally friendly strategies to obtain a diverse variety of indigoids.</t>
  </si>
  <si>
    <t>Salazar, Javier/JVP-1276-2024; Parra, Loreto/D-2593-2014; Ramírez-Sarmiento, César/AEY-6653-2022; Poblete-Castro, Ignacio/J-2755-2019; Zacconi, Flavia/ACF-5543-2022</t>
  </si>
  <si>
    <t>Poblete-Castro, Ignacio/0000-0001-6649-0389; Zacconi, Flavia/0000-0002-3676-0453; Ramirez, Cesar/0000-0003-4647-903X; Salazar-Munoz, Javier/0000-0001-6969-9321; Castillo, Francisco/0000-0001-7930-1604</t>
  </si>
  <si>
    <t>10.3390/ijms232012544</t>
  </si>
  <si>
    <t>WOS:000873040800001</t>
  </si>
  <si>
    <t>Bohle, SL; Bal, PM; Probst, TM; Rofcanin, Y; Medina, FM</t>
  </si>
  <si>
    <t>Bohle, Sergio Lopez; Bal, P. Matthijs; Probst, Tahira M.; Rofcanin, Yasin; Medina, Felipe Munoz</t>
  </si>
  <si>
    <t>What do job insecure people do? Examining employee behaviors and their implications for well-being at a weekly basis</t>
  </si>
  <si>
    <t>JOURNAL OF MANAGEMENT &amp; ORGANIZATION</t>
  </si>
  <si>
    <t>The current study investigated employees' weekly responses to experienced job insecurity. Based on appraisal theory, it was postulated that employees may adopt three coping strategies in response to job insecurity (i.e., remaining silent, adapting, or being proactive) in order to maintain or improve their weekly well-being. We introduced a multilevel moderated mediation model, explaining how weekly job insecurity would be related to well-being in the following weeks through these three behaviors. We also expected that subordinate emotional regulation and supervisor prosocial motivation (both defined as trait variables) would function as contextual factors moderating the relationships of job insecurity with employee behavior and well-being. A 5-week diary study of 149 subordinates partially supported the model. The results showed longitudinal conditional indirect effects of job insecurity on subordinate well-being depending on subordinate emotional regulation style and supervisor prosocial motivation. In doing so, the study offers two main contributions to the job insecurity literature. First, employees are not passive responders to perceived job insecurity, but active shapers through coping depending on the context. Subordinates' emotional regulation strategy and supervisors' prosocial motivation, as trait variables, impact on how subordinates respond to perceived job insecurity over weeks. From a practical point of view, the dynamic nature of perceived job insecurity suggests implications for interventions to maintain subordinates' well-being.</t>
  </si>
  <si>
    <t>Medina, Felipe/AAN-4304-2021; Bohle, Sergio/P-7698-2014; Probst, Tahira/ABD-5600-2021; Probst, Tahira/K-2494-2014</t>
  </si>
  <si>
    <t>Probst, Tahira/0000-0002-2789-4492; ROFCANIN, YASIN/0000-0002-9945-1770</t>
  </si>
  <si>
    <t>1833-3672</t>
  </si>
  <si>
    <t>1839-3527</t>
  </si>
  <si>
    <t>10.1017/jmo.2022.45</t>
  </si>
  <si>
    <t>WOS:000807363000001</t>
  </si>
  <si>
    <t>Farías, R; Norambuena, J; Ferrer, A; Camejo, P; Zapata, C; Chávez, R; Orellana, O; Levicán, G</t>
  </si>
  <si>
    <t>Farias, Ricardo; Norambuena, Javiera; Ferrer, Alonso; Camejo, Pamela; Zapata, Claudia; Chavez, Renato; Orellana, Omar; Levican, Gloria</t>
  </si>
  <si>
    <t>Redox stress response and UV tolerance in the acidophilic iron-oxidizing bacteria Leptospirillum ferriphilum and Acidithiobacillus ferrooxidans</t>
  </si>
  <si>
    <t>RESEARCH IN MICROBIOLOGY</t>
  </si>
  <si>
    <t>The oxidative stress response represents a sum of antioxidative mechanisms that are essential for determining the adaptation and abundance of microorganisms in the environment. Leptospirillum ferriphilum and Acidithiobacillus ferrooxidans are chemolithotrophic bacteria that obtain their energy from the oxidation of ferrous ion. Both microorganisms are important for bioleaching of sulfidic ores and both are tolerant to high levels of heavy metals and other factors that can induce oxidative stress. In this work, we compared the tolerance and response of L. ferriphilum and At. ferrooxidans to Fe3+, H2O2, K2CrO4, and UV-C radiation. We evaluated growth, generation of reactive oxygen species (ROS), oxidative damage to lipid membranes and DNA, and the activity of antioxidative proteins in cells exposed to these stressors. L. ferriphilum had higher cell density, lower ROS content and less lipid and DNA damage than At. ferrooxidans. Consistent with this, the activity levels of thioredoxin and superoxide dismutase in L. ferriphilum were upregulated and higher than in At. ferrooxidans. This indicated that L. ferriphilum has a higher capacity to respond to oxidative stress and to manage redox homeostasis. This capacity could largely contribute to the high abundance of this species in natural and anthropogenic sites. (C) 2021 Institut Pasteur. Published by Elsevier Masson SAS. All rights reserved.</t>
  </si>
  <si>
    <t>Levican, Gloria/R-5191-2019; Norambuena, Javiera/MTF-3983-2025</t>
  </si>
  <si>
    <t>Norambuena, Javiera/0000-0002-2992-4907; Levican, Gloria/0000-0002-1275-7399</t>
  </si>
  <si>
    <t>0923-2508</t>
  </si>
  <si>
    <t>1769-7123</t>
  </si>
  <si>
    <t>APR-MAY</t>
  </si>
  <si>
    <t>10.1016/j.resmic.2021.103833</t>
  </si>
  <si>
    <t>MAY 2021</t>
  </si>
  <si>
    <t>WOS:000661425600004</t>
  </si>
  <si>
    <t>Abello-Romero, JB; López, D; Ganga, F; Mancilla, C</t>
  </si>
  <si>
    <t>Bautista Abello-Romero, Juan; Lopez, Daniel; Ganga, Francisco; Mancilla, Claudio</t>
  </si>
  <si>
    <t>Perceptions on Regulation and Asymmetry of Information as Critical Factors in University Governance in Latin America</t>
  </si>
  <si>
    <t>SAGE OPEN</t>
  </si>
  <si>
    <t>This article analyzes the results of an inquiry into Latin American university community members' perceptions about regulatory processes and asymmetries of information, as influential factors in the governance of Latin American universities. It does so, by examining the national laws in Argentina, Brazil, Colombia, Chile, and Mexico. Previous studies in this continent have not considered these aspects and perspectives. Our research found significant differences between countries in terms of the Board of Directors' capacity to act and the control mechanisms they can employ-which can be interpreted as national differences in the availability of their resources and their regulatory capacities. On the level of asymmetry of information, there are differences between countries, which depend on the position of the university members in their institutions. Thus, regulation and information are important factors when it comes to the governance of Latin American universities, and can explain its' diversity.</t>
  </si>
  <si>
    <t>Mancilla, Claudio/0000-0003-2864-2112; Abello Romero, Juan Bautista/0000-0003-3064-3456; Ganga-Contreras, Francisco Anibal/0000-0001-9325-6459</t>
  </si>
  <si>
    <t>2158-2440</t>
  </si>
  <si>
    <t>10.1177/21582440211023161</t>
  </si>
  <si>
    <t>WOS:000755720200001</t>
  </si>
  <si>
    <t>Zagal, JH; Specchia, S; Atanassov, P</t>
  </si>
  <si>
    <t>Zagal, Jose H.; Specchia, Stefania; Atanassov, Plamen</t>
  </si>
  <si>
    <t>Mapping transition metal-MN4 macrocyclic complex catalysts performance for the critical reactivity descriptors</t>
  </si>
  <si>
    <t>There has been a significant progress toward the development of highly active and stable platinum group metal-free (PGM-free) electrocatalysts for the oxygen reduction reaction (ORR) in polymer electrolyte fuel cells, promising a low-cost replacement for Pt group electrocatalysts. However, the success of such developments depends on the implementation of PGM-free electrocatalysts that are not only highly active but importantly, they also exhibit long-term durability under polymer electrolyte fuel cell operating conditions. This manuscript is an overview of the current status of a specific, most advanced class of PGM-free electrocatalysts: transition metal-nitrogen-carbon ORR catalysts. We present an overview for the understanding of catalysts' performance descriptors for metal-nitrogen-carbon materials.</t>
  </si>
  <si>
    <t>Atanassov, Plamen/AAI-4242-2020; zagal, jose/L-9648-2014; Specchia, Stefania/I-4487-2013</t>
  </si>
  <si>
    <t>Specchia, Stefania/0000-0003-3882-3240</t>
  </si>
  <si>
    <t>10.1016/j.coelec.2020.100683</t>
  </si>
  <si>
    <t>WOS:000662265900014</t>
  </si>
  <si>
    <t>Duarte, L; Gasaly, N; Poblete-Aro, C; Uribe, D; Echeverria, F; Gotteland, M; Garcia-Diaz, DF</t>
  </si>
  <si>
    <t>Duarte, Lissette; Gasaly, Naschla; Poblete-Aro, Carlos; Uribe, Denisse; Echeverria, Francisca; Gotteland, Martin; Garcia-Diaz, Diego F.</t>
  </si>
  <si>
    <t>Polyphenols and their anti-obesity role mediated by the gut microbiota: a comprehensive review</t>
  </si>
  <si>
    <t>REVIEWS IN ENDOCRINE &amp; METABOLIC DISORDERS</t>
  </si>
  <si>
    <t>Obesity is a global public health problem that results in chronic pathologies such as diabetes, cardiovascular diseases, and cancer. The treatment approach based on energy restriction and promotion of physical activity is ineffective in the long term. Due to the high prevalence of this pathology, complementary treatments such as brown adipose tissue activation (BAT) and white adipose tissue browning (WAT) have been proposed. Dietary polyphenols are plant secondary metabolites that can stimulate browning and thermogenesis of adipose tissue. They have also been shown to prevent body weight gain, and decrease systemic inflammation produced by high-fat diets. Ingested dietary polyphenols that reach the colon are metabolized by the gut microbiota (GM), regulating its composition and generating a great array of metabolites. GM is involved in the production of short chain fatty acids and secondary bile salts that regulate energetic metabolism. The alteration in the composition of GM observed in metabolic diseases such as obesity and type 2 diabetes can be attenuated by polyphenols. Recent studies support the hypothesis that GM would mediate WAT browning and BAT thermogenesis activation induced by polyphenol administration. Together, these results indicate that GM in the presence of polyphenols plays a fundamental role in the control of obesity possible through BAT activation.</t>
  </si>
  <si>
    <t>Garcia, Diego/AGH-4056-2022; Echeverría, Francisca/ISV-5437-2023; Duarte, Lissette/AAW-9831-2020; Gotteland, Martin/A-1841-2008; Poblete, Carlos/HOF-8260-2023; Echeverria, Francisca/M-3207-2018</t>
  </si>
  <si>
    <t>Gasaly, Naschla/0000-0002-2951-7527; Poblete-Aro, Carlos/0000-0001-9554-3996; Garcia-Diaz, Diego/0000-0002-7551-0553; Echeverria, Francisca/0000-0002-9661-0377</t>
  </si>
  <si>
    <t>1389-9155</t>
  </si>
  <si>
    <t>1573-2606</t>
  </si>
  <si>
    <t>10.1007/s11154-020-09622-0</t>
  </si>
  <si>
    <t>WOS:000604228800001</t>
  </si>
  <si>
    <t>Astudillo, G; Carrasco, R; Fernández-Campusano, C; Chacón, M</t>
  </si>
  <si>
    <t>Astudillo, Gabriel; Carrasco, Raul; Fernandez-Campusano, Christian; Chacon, Max</t>
  </si>
  <si>
    <t>Copper Price Prediction Using Support Vector Regression Technique</t>
  </si>
  <si>
    <t>Predicting copper price is essential for making decisions that can affect companies and governments dependent on the copper mining industry. Copper prices follow a time series that is nonlinear and non-stationary, and that has periods that change as a result of potential growth, cyclical fluctuation and errors. Sometimes, the trend and cyclical components together are referred to as a trend-cycle. In order to make predictions, it is necessary to consider the different characteristics of a trend-cycle. In this paper, we study a copper price prediction method using support vector regression (SVR). This work explores the potential of the SVR with external recurrences to make predictions at 5, 10, 15, 20 and 30 days into the future in the copper closing price at the London Metal Exchange. The best model for each forecast interval is performed using a grid search and balanced cross-validation. In experiments on real data sets, our results obtained indicate that the parameters (C, epsilon, gamma) of the model support vector regression do not differ between the different prediction intervals. Additionally, the amount of preceding values used to make the estimates does not vary according to the predicted interval. Results show that the support vector regression model has a lower prediction error and is more robust. Our results show that the presented model is able to predict copper price volatilities near reality, as the root-mean-square error (RMSE) was equal to or less than the 2.2% for prediction periods of 5 and 10 days.</t>
  </si>
  <si>
    <t>Astudillo, Gabriel/GWV-6606-2022; Fernández-Campusano, Christian/M-8749-2018; Carrasco, Raul/G-5440-2015</t>
  </si>
  <si>
    <t>Astudillo Munoz, Gabriel/0000-0002-2169-0253; Carrasco, Raul/0000-0002-5023-9349; Fernandez-Campusano, Christian/0000-0001-7033-4178</t>
  </si>
  <si>
    <t>10.3390/app10196648</t>
  </si>
  <si>
    <t>WOS:000587176700001</t>
  </si>
  <si>
    <t>Espina, E; Burgos-Mellado, C; Gómez, JS; Llanos, J; Rute, E; Navas, FA; Martínez-Gómez, M; Cárdenas, R; Sáez, D</t>
  </si>
  <si>
    <t>Espina, Enrique; Burgos-Mellado, Claudio; Gomez, Juan S.; Llanos, Jacqueline; Rute, Erwin; Navas, Alex F.; Martinez-Gomez, Manuel; Cardenas, Roberto; Saez, Doris</t>
  </si>
  <si>
    <t>Experimental Hybrid AC/DC-Microgrid Prototype for Laboratory Research</t>
  </si>
  <si>
    <t>2020 22ND EUROPEAN CONFERENCE ON POWER ELECTRONICS AND APPLICATIONS (EPE'20 ECCE EUROPE)</t>
  </si>
  <si>
    <t>22nd European Conference on Power Electronics and Applications (EPE ECCE Europe)</t>
  </si>
  <si>
    <t>SEP 07-11, 2020</t>
  </si>
  <si>
    <t>This paper describes a flexible testbed of a hybrid AC/DC microgrid developed for research purposes. The experimental setup is composed of 3 AC and 6 DC distributed generator units which are emulated by using three-legs inverters and settable output filters. The microgrid architecture allows to validate control schemes upstream of the modulation stage of each inverter, by using real-time targets and Matlab/Simulink interface. Two independent real-time communication networks can be used. The first one is based on optical fibre technology, whereas the second one is an Ethercat communication network. Both of them are used for instrumentation purposes and to implement the primary control level of the micro grid. To implement secondary control schemes into the microgrid (or higher control levels), an additional optical fibre-based network is used, allowing to emulate scenarios with or without communication issues such as latency, data-losses and topology changes. The built microgrid can be splitted into AC-side (3 and/or 4 wires), DC-side and interlinking-side, where both the AC and the DC side can be operated independently, according to the required electrical topology. In this testbed, several control schemes, such as proportional-integral, proportional-resonant or predictive controllers, have been investigated. Realised experimental tests include load changes, plug-and-play and communication issues scenarios.</t>
  </si>
  <si>
    <t>Espina, Enrique/AGZ-7297-2022; Burgos-Mellado, Claudio/X-6305-2019; Llanos, Jacqueline/KZU-6934-2024; Saez, Doris/JBJ-6880-2023; Gomez Quintero, Juan Sebastian/AAL-5096-2020; Navas Fonseca, Alex Dario/ABA-2690-2021; Martinez Gomez, Manuel/W-3713-2017; Cardenas, Roberto/C-6395-2011</t>
  </si>
  <si>
    <t>Gomez Quintero, Juan Sebastian/0000-0002-6507-1462; Navas Fonseca, Alex Dario/0000-0003-1393-8412; Espina, Enrique/0000-0002-2075-2010; Martinez Gomez, Manuel/0000-0002-4337-7866; Llanos, Jacqueline/0000-0002-6708-3897; Cardenas, Roberto/0000-0003-3853-7703</t>
  </si>
  <si>
    <t>978-9-0758-1536-8</t>
  </si>
  <si>
    <t>10.23919/epe20ecceeurope43536.2020.9215751</t>
  </si>
  <si>
    <t>WOS:000629036800165</t>
  </si>
  <si>
    <t>Huilinir, C; Fuentes, V; Esposito, G; Montalvo, S; Guerrero, L</t>
  </si>
  <si>
    <t>Huilinir, Cesar; Fuentes, Vivian; Esposito, Giovanni; Montalvo, Silvio; Guerrero, Lorna</t>
  </si>
  <si>
    <t>Nitrification in the presence of sulfide and organic matter in a sequencing moving bed biofilm reactor (SMBBR) with zeolite as biomass carrier</t>
  </si>
  <si>
    <t>JOURNAL OF CHEMICAL TECHNOLOGY AND BIOTECHNOLOGY</t>
  </si>
  <si>
    <t>BACKGROUND The biological nitrification process is inhibited in the presence of sulfide and organic matter (OM). The use of immobilized biomass on inert carriers may help to decrease this inhibition. Thus, the main goal of the present work was to develop a sequencing moving bed biofilm reactor (SMBBR) using zeolite as biomass carrier and to determine its performance in presence of sulfide and OM. RESULTS The use of zeolite as biomass carrier improves both the total ammonia nitrogen (TAN) oxidation and nitrate accumulation, allowing the system to be able to treat higher nitrogen loading rates. The SMBBR with zeolite in presence of sulfide and OM performed nitrification better than a sequencing batch reactor (SBR), by keeping the TAN and chemical oxygen demand (COD) removal efficiency at &gt;90% for both inhibitory conditions. The SMBBR also is able to degrade COD by &lt;= 98%. Finally, biomass with zeolite settled faster than biomass without zeolite, improving the sludge volume index (SVI) by 53.8%. CONCLUSIONS It was possible to develop a SMBBR system using zeolite as biomass carrier. The SMBBR could maintain a nitrifying system under inhibitory conditions, allowing efficiencies of TAN and COD removal as high as 90%. (c) 2019 Society of Chemical Industry</t>
  </si>
  <si>
    <t>Huilinir, Cesar/IYS-6899-2023; Esposito, Giovanni/B-5829-2013</t>
  </si>
  <si>
    <t>Huilinir, Cesar/0000-0002-3487-684X; Guerrero, Lorna/0000-0001-6123-4052; Esposito, Giovanni/0000-0001-7960-5253</t>
  </si>
  <si>
    <t>0268-2575</t>
  </si>
  <si>
    <t>1097-4660</t>
  </si>
  <si>
    <t>10.1002/jctb.6219</t>
  </si>
  <si>
    <t>WOS:000493848800001</t>
  </si>
  <si>
    <t>Litinskaya, M; Herrera, F</t>
  </si>
  <si>
    <t>Litinskaya, Marina; Herrera, Felipe</t>
  </si>
  <si>
    <t>Vacuum-enhanced optical nonlinearities with disordered molecular photoswitches</t>
  </si>
  <si>
    <t>It is well known that nonlinear optical signals such as cross-phase modulation can be coherently enhanced in multilevel atomic gases under conditions of electromagnetically induced transparency, but analogous results in solids are challenging to obtain due to natural energetic disorder. We propose a solid-state cavity QED scheme to enable cross-phase modulation between two arbitrarily weak classical fields in the optical domain, using a highly disordered intracavity medium composed of organic molecular photoswitches. Even in the presence of strong energetic and orientational disorder, the unique spectral properties of organic photoswitches can be used to enhance the desired nonlinearity under conditions of vacuum-induced transparency, enabling cross-phase modulation signals that surpass the detection limit imposed by absorption losses. Possible applications of the scheme include integrated all-optical switching with low photon numbers.</t>
  </si>
  <si>
    <t>10.1103/PhysRevB.99.041107</t>
  </si>
  <si>
    <t>WOS:000455825600001</t>
  </si>
  <si>
    <t>Dìaz, O; Pastene, R; Encina-Montoya, F; Vega, R; Oberti-Grassau, C</t>
  </si>
  <si>
    <t>Duarte, AC; Reis, V</t>
  </si>
  <si>
    <t>Diaz, Oscar; Pastene, Ruben; Encina-Montoya, Francisco; Vega, Rolando; Oberti-Grassau, Carlos</t>
  </si>
  <si>
    <t>Arsenic speciation in algae: Case studies in American Continent</t>
  </si>
  <si>
    <t>ARSENIC SPECIATION IN ALGAE</t>
  </si>
  <si>
    <t>Wilson and Wilsons Comprehensive Analytical Chemistry</t>
  </si>
  <si>
    <t>Encina, Francisco/KHY-0248-2024</t>
  </si>
  <si>
    <t>PASTENE OLIVARES, RUBEN/0000-0002-7137-0303</t>
  </si>
  <si>
    <t>0166-526X</t>
  </si>
  <si>
    <t>978-0-444-64265-3; 978-0-444-64264-6</t>
  </si>
  <si>
    <t>10.1016/bs.coac.2019.04.002</t>
  </si>
  <si>
    <t>WOS:000560392000010</t>
  </si>
  <si>
    <t>Firoozabadi, AD; Irarrazaval, P; Adasme, P; Durney, H; Olave, MS; Azurdia-Meza, C</t>
  </si>
  <si>
    <t>Wysocki, TA; Wysocki, BJ</t>
  </si>
  <si>
    <t>Firoozabadi, Ali Dehghan; Irarrazaval, Pablo; Adasme, Pablo; Durney, Hugo; Olave, Miguel Sanhueza; Azurdia-Meza, Cesar</t>
  </si>
  <si>
    <t>Estimation the Number of Speakers Based on Adaptive Wavelet Transform by Generalized Eigenvalue Decomposition and K-means Clustering</t>
  </si>
  <si>
    <t>2019 13TH INTERNATIONAL CONFERENCE ON SIGNAL PROCESSING AND COMMUNICATION SYSTEMS (ICSPCS)</t>
  </si>
  <si>
    <t>13th IEEE International Conference on Signal Processing and Communication Systems (ICSPCS)</t>
  </si>
  <si>
    <t>DEC 16-18, 2019</t>
  </si>
  <si>
    <t>Surfers Paradise, AUSTRALIA</t>
  </si>
  <si>
    <t>IEEE,IEEE Commun Soc,Univ Nebraska, Peter Kiewit Inst</t>
  </si>
  <si>
    <t>The aim of this paper is estimation the number of simultaneous speakers from the overlapped speech signals. The proposed method in this paper is based on spectrum estimation with adaptive wavelet transform in combination with generalized eigenvalue decomposition (GEVD) and K-means clustering. Firstly, the spectral estimation method is implemented on all microphone signals to select the best part of signal spectrum. In following, the microphone signals are divided to different subbands by using of adaptive wavelet transform. The GEVD algorithm is implemented on each microphone pairs in different subband to estimate the room impulse response and time difference of arrival (TDOA). Finally, the K-means clustering with silhouette criteria is used to estimate the number of speakers (K value). The proposed algorithm is implemented on simulated and real data to show the superiority of the proposed method in comparison with other previous works.</t>
  </si>
  <si>
    <t>Meza, Cesar/D-6948-2014; Irarrazaval, Pablo/F-8232-2013; Dehghan Firoozabadi, Ali/AAD-4858-2019; Sanhueza Olave, Miguel/JFS-4364-2023; Adasme, Pablo/U-1735-2019</t>
  </si>
  <si>
    <t>Irarrazaval, Pablo/0000-0002-5186-2642</t>
  </si>
  <si>
    <t>978-1-7281-2194-9</t>
  </si>
  <si>
    <t>WOS:000613248200011</t>
  </si>
  <si>
    <t>Matus, MF; Vilos, C; Cisterna, BA; Fuentes, E; Palomo, I</t>
  </si>
  <si>
    <t>Matus, Maria Francisca; Vilos, Cristian; Cisterna, Bruno A.; Fuentes, Eduardo; Palomo, Ivan</t>
  </si>
  <si>
    <t>Nanotechnology and primary hemostasis: Differential effects of nanoparticles on platelet responses</t>
  </si>
  <si>
    <t>Despite the numerous advantages offered by diverse platforms based on nanomedicine, several nanomaterials have shown significant cell toxicity that could induce chronic adverse effects on human health. Blood compatibility is one of the leading factors to consider for the design and development of nanosystems as therapeutics. Aforementioned is because systemic circulation is the gateway for most nano-drug therapeutic systems and its interactions with the blood components such as platelets could influence the maintenance of hemostasis and thrombus formation. Unfortunately, the thrombotoxicity of some nanomaterials regarding the activation/inhibition of platelets limits their biomedical applications. Additionally, the critical factors that drive those effects on platelet function are still not entirely elucidated. In this work, we describe the effect of different nanomaterials on the platelet function, its action mechanisms, and future potential as nanotherapeutics.</t>
  </si>
  <si>
    <t>Fuentes, Eduardo/I-2889-2017; Ortiz, Cristian/F-9162-2014; Palomo, Iván/I-4321-2018</t>
  </si>
  <si>
    <t>Matus, Maria Francisca/0000-0002-4816-531X; Palomo, Ivan/0000-0002-9618-8778; Cisterna, Bruno A./0000-0002-3421-8628; Fuentes, Eduardo/0000-0003-0099-4108</t>
  </si>
  <si>
    <t>10.1016/j.vph.2017.11.004</t>
  </si>
  <si>
    <t>WOS:000424858500001</t>
  </si>
  <si>
    <t>Muhammad, A; Younas, M; Druon-Bocquet, S; Romero, J; Sanchez-Marcano, J</t>
  </si>
  <si>
    <t>Muhammad, Amir; Younas, Mohammad; Druon-Bocquet, Stephanie; Romero, Julio; Sanchez-Marcano, Jose</t>
  </si>
  <si>
    <t>Numerical modelling and simulation of membrane-based extraction of copper (II) using hollow fiber contactors</t>
  </si>
  <si>
    <t>DESALINATION AND WATER TREATMENT</t>
  </si>
  <si>
    <t>This work describes the mathematical modelling and numerical simulation of a hollow fiber membrane contactor for copper (II) extraction from aqueous solutions with 1,1,1-trifluoro-2,4-pentanedione commonly known as TFA diluted in n-decanol. Model was developed for convection-diffusion mass and momentum transfer using continuity and Navier-Stokes equations. Model equations were solved using a computational fluid dynamics code, and results were validated with experimental data. After validation of model, simulation was performed to check the effects of hydrodynamics conditions on contactor performance. 49% of copper (II) was extracted from aqueous solution for feed flow rate of 8.3 x 10(-7) m(3).s(-1), and for partition coefficient equals to 1. However, simulation results indicated that extraction could be greatly improved by decreasing feed flow and increasing partition coefficient. Simulation was also run to study the distribution profiles of copper (II) concentration, flux and velocity in 2-D.</t>
  </si>
  <si>
    <t>Romero, Julio/I-6705-2013; Muhammad, Amir/AAU-2438-2020; Sanchez-Marcano, Jose/E-1445-2012; YOUNAS, Mohammad/K-9754-2018</t>
  </si>
  <si>
    <t>Romero, Julio/0000-0002-1229-1592; Sanchez-Marcano, Jose/0000-0003-1783-2092; YOUNAS, Mohammad/0000-0003-3234-3297; Muhammad, Amir/0000-0001-5071-9919</t>
  </si>
  <si>
    <t>1944-3994</t>
  </si>
  <si>
    <t>1944-3986</t>
  </si>
  <si>
    <t>10.5004/dwt.2017.20169</t>
  </si>
  <si>
    <t>WOS:000403567200014</t>
  </si>
  <si>
    <t>Oyarzún, DP; Pizarro, GD; Asenjo, A; Tello, A; Martin-Trasanco, R; Zúñiga, C; Sánchez, J; Arratia-Perez, R</t>
  </si>
  <si>
    <t>Oyarzun, Diego P.; Pizarro, Guadalupe del C.; Asenjo, Andres; Tello, Alejandra; Martin-Trasanco, Rudy; Zuniga, Cesar; Sanchez, Julio; Arratia-Perez, Ramiro</t>
  </si>
  <si>
    <t>SYNTHESIS AND MORPHOLOGICAL CHARACTERIZATION OF NANOCOMPOSITE BASED ON ANODIC TiO2 NANOTUBES AND POLY(N-MALEOYL GLYCINE-CO-ACRYLIC ACID)</t>
  </si>
  <si>
    <t>In this study, we examined the synthesis, and characterization of TiO2/poly(N-maleoylglycine-co-acrylic acid) (TiO2/poly(MG-co-AA)) nanocomposite. The nanocomposite was prepared by the dispersion of TiO2 nanotubes in a water solution of the polymer (3% w/w) and then it was lyophilized. The nanocomposite was characterized by FTIR and Raman spectroscopies. The incorporation of TiO2 nanotubes to the polymeric matrix was determined by transmission electron microscopy (TEM) from which TiO2 nanotubes in the inner of copolymer with diameters ranging between 90 and 100 nm were observed. The overall morphology of the previously synthetized nanotubes was determined by scanning electron microscopy (SEM). For the nanocomposite system, the morphology was studied by atomic force microscopy (AFM) from which a grain shape structure was observed. This process resulted in a new nanocompsite material with an average grain diameter estimated by SEM and AFM ranging between 210-240 nm. It was observed that the nanotubes were homogeneously dispersed within the polymeric matrix. The prepared material could be suitable in the design of electronic devices and additionally could have potential applications as biomaterial.</t>
  </si>
  <si>
    <t>PIZARRO, GUADALUPE/V-3353-2017; Martin-Trasancos, Rudy/L-2791-2017; Oyarzun, Diego/MTF-4062-2025; Sanchez, Julio/AEO-4360-2022; Arratia-Perez, Ramiro/AAG-2648-2019</t>
  </si>
  <si>
    <t>Sanchez, Julio/0000-0003-4245-0096; Asenjo Collao, Andres M./0000-0002-1706-6968; Tello Zamorano, Alejandra/0000-0003-3271-0405; Zuniga, Cesar/0009-0004-8736-6861</t>
  </si>
  <si>
    <t>10.4067/s0717-97072017000303634</t>
  </si>
  <si>
    <t>WOS:000417443500017</t>
  </si>
  <si>
    <t>Arenas-Salinas, M; Vargas-Pérez, JI; Morales, W; Pinto, C; Muñoz-Díaz, P; Cornejo, FA; Pugin, B; Sandoval, JM; Díaz-Vásquez, WA; Muñoz-Villagrán, C; Rodríguez-Rojas, F; Morales, EH; Vásquez, CC; Arenas, FA</t>
  </si>
  <si>
    <t>Arenas-Salinas, Mauricio; Vargas-Perez, Joaquin I.; Morales, Wladimir; Pinto, Camilo; Munoz-Diaz, Pablo; Cornejo, Fabin A.; Pugin, Benoit; Sandoval, Juan M.; Diaz-Vasquez, Waldo A.; Munoz-Villagran, Claudia; Rodriguez-Rojas, Fernanda; Morales, Eduardo H.; Vasquez, Claudio C.; Arenas, Felipe A.</t>
  </si>
  <si>
    <t>Flavoprotein-Mediated Tellurite Reduction: Structural Basis and Applications to the Synthesis of Tellurium-Containing Nanostructures</t>
  </si>
  <si>
    <t>The tellurium oxyanion tellurite (TeO32-) is extremely harmful for most organisms. It has been suggested that a potential bacterial tellurite resistance mechanism would consist of an enzymatic, NAD(P)H-dependent, reduction to the less toxic form elemental tellurium (Te0). To date, a number of enzymes such as catalase, type II NADH dehydrogenase and terminal oxidases from the electron transport chain, nitrate reductases, and dihydrolipoamide dehydrogenase (E3), among others, have been shown to display tellurite-reducing activity. This activity is generically referred to as tellurite reductase (TR). Bioinformatic data resting on some of the abovementioned enzymes enabled the identification of common structures involved in tellurite reduction including vicinal catalytic cysteine residues and the FAD/NAD(P)+-binding domain, which is characteristic of some flavoproteins. Along this line, thioredoxin reductase (TrxB), alkyl hydroperoxide reductase (AhpF), glutathione reductase (GorA), mercuric reductase (MerA), NADH: flavorubredoxin reductase (NorW), dihydrolipoamide dehydrogenase, and the putative oxidoreductase YkgC from Escherichia coli or environmental bacteria were purified and assessed for TR activity. All of them displayed in vitro TR activity at the expense of NADH or NADPH oxidation. In general, optimal reducing conditions occurred around pH 910 and 37 degrees C. Enzymes exhibiting strong TR activity produced Te-containing nanostructures (TeNS). While GorA and AhpF generated TeNS of 75 nm average diameter, E3 and YkgC produced larger structures (&gt;100 nm). Electron-dense structures were observed in cells over-expressing genes encoding TrxB, GorA, and YkgC.</t>
  </si>
  <si>
    <t>Arenas, Mauricio/NBW-8966-2025; Hernández, Eduardo/N-4531-2013; Pinto, Chiara/ISS-0320-2023; Pugin, Benoit/X-2984-2018</t>
  </si>
  <si>
    <t>Rodriguez Rojas, Fernanda Jimena/0009-0006-1232-5891; Pugin, Benoit/0000-0001-7132-9477; Cornejo, Fabian/0000-0002-6633-392X</t>
  </si>
  <si>
    <t>JUL 26</t>
  </si>
  <si>
    <t>10.3389/fmicb.2016.01160</t>
  </si>
  <si>
    <t>WOS:000380349700001</t>
  </si>
  <si>
    <t>Molina-Quiroz, RC; Silva, CA; Molina, CF; Leiva, LE; Reyes-Cerpa, S; Contreras, I; Santiviago, CA</t>
  </si>
  <si>
    <t>Molina-Quiroz, Roberto C.; Silva, Cecilia A.; Molina, Cristian F.; Leiva, Lorenzo E.; Reyes-Cerpa, Sebastian; Contreras, Ines; Santiviago, Carlos A.</t>
  </si>
  <si>
    <t>Exposure to sub-inhibitory concentrations of cefotaxime enhances the systemic colonization of Salmonella Typhimurium in BALB/c mice</t>
  </si>
  <si>
    <t>OPEN BIOLOGY</t>
  </si>
  <si>
    <t>It has been proposed that sub-inhibitory concentrations of antibiotics play a role in virulence modulation. In this study, we evaluated the ability of Salmonella enterica serovar Typhimurium (hereafter S. Typhimurium) to colonize systemically BALB/c mice after exposure to a sub-inhibitory concentration of cefotaxime (CTX). In vivo competition assays showed a fivefold increase in systemic colonization of CTX-exposed bacteria when compared to untreated bacteria. To identify the molecular mechanisms involved in this phenomenon, we carried out a high-throughput genetic screen. A transposon library of S. Typhimurium mutants was subjected to negative selection in the presence of a sub-inhibitory concentration of CTX and genes related to anaerobic metabolism, biosynthesis of purines, pyrimidines, amino acids and other metabolites were identified as needed to survive in this condition. In addition, an impaired ability for oxygen consumption was observed when bacteria were cultured in the presence of a sub-inhibitory concentration of CTX. Altogether, our data indicate that exposure to sub-lethal concentrations of CTX increases the systemic colonization of S. Typhimurium in BALB/c mice in part by the establishment of a fitness alteration conducive to anaerobic metabolism.</t>
  </si>
  <si>
    <t>Leiva, Lorenzo Eugenio/JWO-3288-2024; Molina-Quiroz, Roberto/H-4696-2019; Silva, Cecilia A./E-1382-2015; Santiviago, Carlos/N-9991-2018</t>
  </si>
  <si>
    <t>Silva, Cecilia A./0000-0003-1945-7767; Santiviago, Carlos/0000-0002-7043-7908</t>
  </si>
  <si>
    <t>2046-2441</t>
  </si>
  <si>
    <t>10.1098/rsob.150070</t>
  </si>
  <si>
    <t>WOS:000365030400002</t>
  </si>
  <si>
    <t>Carvallo, GO; Teillier, S; Castro, SA; Figueroa, JA</t>
  </si>
  <si>
    <t>Carvallo, Gaston O.; Teillier, Sebastian; Castro, Sergio A.; Figueroa, Javier A.</t>
  </si>
  <si>
    <t>The phylogenetic properties of native- and exotic-dominated plant communities</t>
  </si>
  <si>
    <t>AUSTRAL ECOLOGY</t>
  </si>
  <si>
    <t>Phylogenetic properties of communities (phylogenetic diversity and phylogenetic structure) allow for the characterisation of phylogenetic patterns and provide the information necessary to infer mechanisms of species assembly. Because humans have introduced exotic species and modified the physical conditions of landscapes, the phylogenetic properties of communities should change according to the proportion of natives to exotics hosted by sites and to the strength of the conditions that act as habitat filters in human-disturbed habitats. To assess the effects of the introduction of exotic plant species, we characterized the phylogenetic properties of 67 plant communities with different degrees of exotic species dominance in a region of central Chile with a Mediterranean climate. Five indices were used to estimate the phylogenetic properties. The Faith index (FPD), the mean pairwise distance (MPD) and the mean nearest neighbour distance (MNND) were used to estimate phylogenetic diversity, and the nearest relative index (NRI) and the nearest taxon index (NTI) were used as estimators of the phylogenetic structure (the phylogenetic distribution of taxa in a community) of species assemblages. We observed greater phylogenetic diversity of natives versus exotic plants despite the fact that natives accounted for a fewer number of taxa among the studied communities. Second, assemblages exhibited a phylogenetically clustered structure, which is attributable to an over-representation of some families of exotic flora (Asteraceae, Brassicaceae, Fabaceae, Papaveraceae, Poaceae) and suggests habitat filtering processes that could have acted by selecting species with traits that permit adaptation to the harsh conditions of human-disturbed sites.</t>
  </si>
  <si>
    <t>Figueroa, Javier/I-3451-2019</t>
  </si>
  <si>
    <t>Carvallo, Gaston O./0000-0001-5825-0983</t>
  </si>
  <si>
    <t>1442-9985</t>
  </si>
  <si>
    <t>1442-9993</t>
  </si>
  <si>
    <t>10.1111/aec.12079</t>
  </si>
  <si>
    <t>WOS:000334019500005</t>
  </si>
  <si>
    <t>Cárdenas-Jirón, GI; León-Plata, P; Seminario, JM</t>
  </si>
  <si>
    <t>Seminario, JM</t>
  </si>
  <si>
    <t>Cardenas-Jiron, Gloria I.; Leon-Plata, Paola; Seminario, Jorge M.</t>
  </si>
  <si>
    <t>Functionalized Graphene and Cobalt Phthalocyanine Based Materials with Potential Use for Electrical Conduction</t>
  </si>
  <si>
    <t>DESIGN AND APPLICATIONS OF NANOMATERIALS FOR SENSORS</t>
  </si>
  <si>
    <t>Challenges and Advances in Computational Chemistry and Physics</t>
  </si>
  <si>
    <t>In this work we investigate at the density functional theory level (B3PW91, B3LYP, M05-2X) the electrical properties of complexes formed by cobalt phthalocyanine (CoPc) and cobalt tetraaminophthalocyanine (CoTAPc) adsorbed on functionalized graphene (FG). As functionalization are studied the carboxylate (18 complexes), epoxide (three complexes), hydroxyl (three complexes) and carboxyl (two complexes) groups. Three models of graphene molecules are used; pristine, defect (Def), and vacancy (Vac), leading to a total of 26 complexes. We studied three main orientations for the interaction graphene-phthalocyanine; parallel, perpendicular and extended. Binding energies show a very large stability for G-COO--CoTAPc complexes (similar to-100 to -150 kcal/mol) in an extended orientation and a little lower for G-O-CoPc and G-OH-CoPc in a parallel orientation (similar to-20 to -65 kcal/mol). No adsorption of CoPc occur on G-COOH. HOMO-LUMO Gap (HLG) show higher values for the complexes than the fragment FG when the functionalization COO-is by the edge of graphene; giving account of a favorable adsorption of CoPc (CoTAPc) in agreement with the binding energies. For epoxide and hydroxyl (except for G-Vac) where the functionalization is on the center of G, we found that HLG is shorter in similar to 0.5 eV with respect to FG (similar to 4 eV). The high HLG values for these complexes suggest that the adsorption of CoPc is completely favorable. Several of these complexes present an electron acceptor species (FG) and an electron donor species (CoPc, CoTAPc). For the stable complexes, we found a higher current conduction for the parallel orientation. Thus, complexes with carboxylate functionalization present a conduction of similar to 7 mu A similar for hydroxyl (similar to 7 mu A) but some lower than for epoxide (similar to 18 mu A). The results have shown that the adsorption of cobalt phthalocyanines on functionalized graphene is feasible; yielding a tunable hybrid material that allows sensing because of the intrinsic electrical properties provided by functionalized G and CoPc.</t>
  </si>
  <si>
    <t>Seminario, Jorge/C-9646-2012; Cardenas-Jiron, Gloria/H-9508-2012</t>
  </si>
  <si>
    <t>Cardenas-Jiron, Gloria/0000-0003-4305-8088</t>
  </si>
  <si>
    <t>978-94-017-8848-9; 978-94-017-8847-2</t>
  </si>
  <si>
    <t>10.1007/978-94-017-8848-9_7</t>
  </si>
  <si>
    <t>10.1007/978-94-017-8848-9</t>
  </si>
  <si>
    <t>WOS:000343085200007</t>
  </si>
  <si>
    <t>Molina, M; Escudey, M; Chang, AC; Chen, WP; Arancibia-Miranda, N</t>
  </si>
  <si>
    <t>Molina, Mauricio; Escudey, Mauricio; Chang, Andrew C.; Chen, Weiping; Arancibia-Miranda, Nicolas</t>
  </si>
  <si>
    <t>Trace element uptake dynamics for maize (Zea mays L.) grown under field conditions</t>
  </si>
  <si>
    <t>PLANT AND SOIL</t>
  </si>
  <si>
    <t>The trace element uptake process of plants is a key factor in assessing the risks of trace element build-up in agricultural soils. Scarce information exists on the trace element dynamic uptake of plants grown in the field, especially on those potentially hazardous. In this study, the uptake process of As, Cd, Cu, and Zn in maize plants was quantified and characterized throughout the entire season. Along two seasons, the uptake dynamics of field-grown maize plants in absorbing the soil borne trace elements was examined. Biomass production and the concentration of the elements in plant and soil solution samples were determined. A kinetic model was employed to characterize the uptake by plants. The kinetic parameters of the uptake process, maximum cumulative uptake rate, U (max) , time to reach 50 % of U (max) , t (U50) , and reciprocal of the uptake rate, b (U) when followed throughout the season in terms of the plant's growing degree days remained constant between seasons and were element specific. In spite of the large amount biomass produced, maize plants extracted minute quantities of Cd and As. Increasing cumulative uptake rates of As, Cd, Cu, and Zn from the soil took place primarily in the early half of the growing season when the biomass accumulation was still less than 50 % of the maximum harvested biomass. The element-specific plant uptake factor (PUF), which denote the partition of trace elements between the soil solution and plant phases, decreased following a first-order kinetics along the growing period, did not show any significant difference between seasons, and, at maturity stage, followed the sequence Cda parts per thousand yenZn &gt; Cua parts per thousand yenAs. The uptake process of the elements was adequately described by the kinetic model, showing similar patterns but different magnitude and distribution in the plant. The extraction of Cd and As by plants is low in comparison to common inputs through fertilizer applications into maize production systems, indicating potential risk of trace element accumulation in soils. The PUF may be estimated according to the kinetics parameters of the uptake process. On a per-unit-soil solution element basis, Cd and Zn would be more susceptible to the soil-to-plant transfer than As and Cu.</t>
  </si>
  <si>
    <t>/0009-0006-1337-808X</t>
  </si>
  <si>
    <t>0032-079X</t>
  </si>
  <si>
    <t>10.1007/s11104-013-1628-x</t>
  </si>
  <si>
    <t>WOS:000323253500035</t>
  </si>
  <si>
    <t>Gil-Costa, V; Inostrosa-Psijas, A; Marin, M; Feuestein, E</t>
  </si>
  <si>
    <t>Kilpatrick, P; Milligan, P; Stotzka, R</t>
  </si>
  <si>
    <t>Gil-Costa, Veronica; Inostrosa-Psijas, Alonso; Marin, Mauricio; Feuestein, Esteban</t>
  </si>
  <si>
    <t>Service Deployment Algorithms for Vertical Search Engines</t>
  </si>
  <si>
    <t>PROCEEDINGS OF THE 2013 21ST EUROMICRO INTERNATIONAL CONFERENCE ON PARALLEL, DISTRIBUTED, AND NETWORK-BASED PROCESSING</t>
  </si>
  <si>
    <t>Euromicro Conference on Parallel Distributed and Network-Based Processing</t>
  </si>
  <si>
    <t>21st Euromicro International Conference on Parallel, Distributed, and Network-Based Processing (PDP)</t>
  </si>
  <si>
    <t>FEB 27-MAR 01, 2013</t>
  </si>
  <si>
    <t>Belfast, NORTH IRELAND</t>
  </si>
  <si>
    <t>Queens Univ Belfast,Euromicro</t>
  </si>
  <si>
    <t>Web search engines are systems devised to cope with highly dynamic and demanding query rates. These systems are composed by several services, each one dedicated to execute a single operation required to solve a query. Services are allocated into thousand of multi-core processors organized in racks. Some services communicate more than others, so it is desirable to put them in the same rack. In this work, we present and evaluate deployment algorithms for a web search engine. In particular, we focus on vertical search engines with specific on-line content which may include shopping, advertisement, etc.. Our goal is to improve the performance of a search engine by reducing communication time. Communication among services is performed by means of a fast and complex network supporting parallel sending and receiving of messages. We propose a communication-graph based method, in which processors are the nodes of the graph and communication between them is represented as weighted arcs. Results show that our proposal method is able to reduce maximum query response time.</t>
  </si>
  <si>
    <t>Gil-Costa, Veronica/0000-0003-4637-9725; Marin, Mauricio/0000-0003-0662-7149; Inostrosa-Psijas, Alonso/0000-0002-2922-0870</t>
  </si>
  <si>
    <t>978-0-7695-4939-2; 978-1-4673-5321-2</t>
  </si>
  <si>
    <t>10.1109/PDP.2013.28</t>
  </si>
  <si>
    <t>WOS:000321123000020</t>
  </si>
  <si>
    <t>Cruchaga, M; Löhner, R; Celentano, D</t>
  </si>
  <si>
    <t>Cruchaga, Marcela; Loehner, Rainald; Celentano, Diego</t>
  </si>
  <si>
    <t>Experimental and numerical analysis of a sphere falling into a viscous fluid</t>
  </si>
  <si>
    <t>INTERNATIONAL JOURNAL FOR NUMERICAL METHODS IN FLUIDS</t>
  </si>
  <si>
    <t>The experimental and numerical analysis of spheres falling into viscous flows is considered. The physical model is built using a set of silicone and glass spheres falling into oil and water. The rigid-body trajectory of the sphere and the free surface evolution are obtained from videos. The numerical results are obtained using two different finite element codes. The first code uses a fractional step approach with adaptive meshes and time-step sizes whereas the second code uses a monolithic fully coupled fixed-mesh technique. The results exhibit a good comparison between both numerical techniques and with the experiments. Copyright (C) 2011 John Wiley &amp; Sons, Ltd.</t>
  </si>
  <si>
    <t>Celentano, Diego/JQW-5027-2023; Cruchaga, Marcela/M-7522-2014</t>
  </si>
  <si>
    <t>Cruchaga, Marcela/0000-0002-8708-2402</t>
  </si>
  <si>
    <t>0271-2091</t>
  </si>
  <si>
    <t>10.1002/fld.2648</t>
  </si>
  <si>
    <t>WOS:000305450000004</t>
  </si>
  <si>
    <t>Molina, JP; Zolezzi, JM; Contreras, J; Rudnick, H; Reveco, MJ</t>
  </si>
  <si>
    <t>Pablo Molina, Juan; Manuel Zolezzi, Juan; Contreras, Javier; Rudnick, Hugh; Jose Reveco, Maria</t>
  </si>
  <si>
    <t>Nash-Cournot Equilibria in Hydrothermal Electricity Markets</t>
  </si>
  <si>
    <t>IEEE TRANSACTIONS ON POWER SYSTEMS</t>
  </si>
  <si>
    <t>A method is presented that allows finding the market clearance prices within a hydrothermal power exchange market that incorporates network constraints. An analysis is made of the degree of market power exerted by the various agents. The Nash-Cournot equilibrium solution of the market is achieved using the Nikaido-Isoda function, which is derived from the profit maximization functions calculated by the generating companies. Both thermal, hydro generation, and network constraints are considered in the model, with coupling constraints of the hydro units also taken into account. The model is applied to the main Chilean interconnected power system, whose abundant hydro production and existing network bottlenecks make it a valuable suitable case for study. The results for pool-based and bilateral contract markets highlight the strength of the method and show the contribution of the transmission system and hydro constraints.</t>
  </si>
  <si>
    <t>Contreras, Javier/C-7128-2013; Rudnick, Hugh/F-8281-2013</t>
  </si>
  <si>
    <t>Zolezzi Cid, Juan Manuel/0009-0001-5377-0688; Rudnick, Hugh/0000-0002-5424-7784</t>
  </si>
  <si>
    <t>0885-8950</t>
  </si>
  <si>
    <t>1558-0679</t>
  </si>
  <si>
    <t>10.1109/TPWRS.2010.2077313</t>
  </si>
  <si>
    <t>WOS:000293711700013</t>
  </si>
  <si>
    <t>Zúñiga, C; Moya, SA; Fuentealba, M; Aranda, B; Aguirre, P</t>
  </si>
  <si>
    <t>Zuniga, C.; Moya, S. A.; Fuentealba, M.; Aranda, B.; Aguirre, P.</t>
  </si>
  <si>
    <t>Catalytic hydrogenation of N-benzylideneaniline using a new complex of ruthenium (II) derived from 2-ferrocenyl-1,8-naphthyridine</t>
  </si>
  <si>
    <t>INORGANIC CHEMISTRY COMMUNICATIONS</t>
  </si>
  <si>
    <t>2-Ferrocenyl-1,8-naphthyridine (1) and cis,cis,cis-dicarbonyl-dichloro-bis (2-ferrocenyl-1,8-naphthyridine) ruthenium(II) complex (2) have been synthesized and characterized by IR, H-1-NMR spectroscopy and elemental analysis. The structure of the compounds was determined by X-ray analysis. The complex (2) showed catalytic activity in the hydrogenation reaction of N-benzylideneaniline by hydrogen transfer with conversions between 89% and 33% for catalyst/substrate relations 200/1 and 400/1. (C) 2011 Elsevier B.V. All rights reserved.</t>
  </si>
  <si>
    <t>Fuentealba, Mauricio/F-3406-2011</t>
  </si>
  <si>
    <t>Fuentealba, Mauricio/0000-0002-2152-2102; Zuniga, Cesar/0009-0004-8736-6861</t>
  </si>
  <si>
    <t>1387-7003</t>
  </si>
  <si>
    <t>1879-0259</t>
  </si>
  <si>
    <t>10.1016/j.inoche.2011.03.043</t>
  </si>
  <si>
    <t>WOS:000291835600040</t>
  </si>
  <si>
    <t>Dreyse, P; Isaacs, M; Calfumán, K; Cáceres, C; Aliaga, A; Aguirre, MJ; Villagra, D</t>
  </si>
  <si>
    <t>Dreyse, Paulina; Isaacs, Mauricio; Calfuman, Karla; Caceres, Cesar; Aliaga, Alvaro; Jesus Aguirre, Maria; Villagra, Diego</t>
  </si>
  <si>
    <t>Electrochemical reduction of nitrite at poly-[Ru(5-NO2-phen)2Cl] tetrapyridylporphyrin glassy carbon modified electrode</t>
  </si>
  <si>
    <t>This work describes the preparation of modified electrodes with Poly-tetraruthenated porphyrin. Also, a detailed Raman and electrochemical characterization of these surfaces is shown. Glassy carbon electrodes were modified with Ni (II), Zn (II) and metal free polymeric film of tetrapyridylporphyrin coordinated to four [Ru(5-NO2-phen)(2)Cl](+) moieties. These modified electrodes are very stable in aqueous solutions, and were evaluated for the electrochemical reduction of nitrite ion at pH = 5.9 in 0.1 M NaClO4. When the solution contains 0.01 M nitrite, linear sweep voltammetry results, show an enhancement in the current from 0,3 V with the conducting polymers, compared to the bare electrode behavior. Analyses after controlled potential electrolysis experiments verify the production of hydrazine, hydroxylamine and ammonia. Hydroxylamine was the product of higher production among the three studied catalysts. The behavior of the modified electrodes allows predicting that the reduction process of nitrite takes place through reduced macrocycle ring. The electrocatalytic activity of the modified electrodes, measured as turn over frequency is dependent on the potential and the central ion in the cavity of the macrocycle. Finally, the modified electrode containing Ni2+ in the cavity of the macrocycle was used as an amperometric sensor toward nitrite detection. The results show a limit of detection of 9.37 x 10(-6) M and a linear rage of concentration of 1.49 x 10(-5) to 1.24 x 10(-4) M. (C) 2011 Elsevier Ltd. All rights reserved.</t>
  </si>
  <si>
    <t>Aliaga, Alvaro/D-2595-2011; Aguirre, Maria/A-3935-2013; Isaacs, Mauricio/N-3027-2013; Villagra, Diego/H-6694-2013; Dreyse, Paulina/KSM-6016-2024</t>
  </si>
  <si>
    <t>Isaacs Casanova, Mauricio/0000-0003-0503-0949; Aguirre, Maria/0000-0003-1134-4469; Dreyse, Paulina/0000-0003-0695-7885</t>
  </si>
  <si>
    <t>MAY 30</t>
  </si>
  <si>
    <t>10.1016/j.electacta.2011.03.028</t>
  </si>
  <si>
    <t>WOS:000291907300045</t>
  </si>
  <si>
    <t>Faraday patterns in lubricated thin films</t>
  </si>
  <si>
    <t>We study the patterns observed in the vicinity of a Faraday instability, in the limit of a very thin layer of viscous fluid. We numerically solve our previous model [N.O. Rojas et al., Phys. Rev. Lett. 104, 187801 (2010)] and compare our predictions to experiments. Our model captures quantitatively the threshold of instability. The direct simulation of our system permits us to predict the patterns observed in experiments.</t>
  </si>
  <si>
    <t>Tirapegui, Enrique/G-8141-2016; Argentina, Mederic/AAR-8153-2021; Rojas, Nicolás/C-8683-2019; Argentina, Mederic/I-8741-2014</t>
  </si>
  <si>
    <t>10.1140/epjd/e2010-10328-3</t>
  </si>
  <si>
    <t>WOS:000289735000004</t>
  </si>
  <si>
    <t>Torres-Avilés, F; Carrasco, E; Icaza, G; Pérez-Bravo, F</t>
  </si>
  <si>
    <t>Torres-Avilés, Francisco; Carrasco, Elena; Icaza, Gloria; Perez-Bravo, Francisco</t>
  </si>
  <si>
    <t>Clustering of cases of type 1 diabetes in high socioeconomic communes in Santiago de Chile: spatio-temporal and geographical analysis</t>
  </si>
  <si>
    <t>ACTA DIABETOLOGICA</t>
  </si>
  <si>
    <t>The objective of this study was to describe spatial and space-time patterns of type 1 diabetes in children less than 15 years old, diagnosed between 2000 and 2005 with residence in the Metropolitan Region of Chile. Knox and Mantel tests were used to detect space-time interaction between cases. An ecological Bayesian model adjusted by socioeconomic factor and year was proposed to estimate the incidence by communes. Initially, there was no space-time interaction between cases, but there is evidence of clustering effect in urban areas of the region. The incidence rate for the overall study period was estimated by 6.18/100,000 (95% CI: 5.69-6.70), with a significant annual trend of 8.2% (P &lt; 0.01). The geographical incidence could be explained by the human development index, as a socioeconomic factor. These results suggest that children living in communes with higher socioeconomic levels may be at higher risk of developing type 1 diabetes. Our findings support the hypothesis of an aetiological role of environmental factors in the onset of type 1 diabetes.</t>
  </si>
  <si>
    <t>; Torres-Aviles, Francisco/J-8269-2013</t>
  </si>
  <si>
    <t>Icaza, Gloria/0000-0002-3192-3428; Torres-Aviles, Francisco/0000-0001-7973-4709</t>
  </si>
  <si>
    <t>0940-5429</t>
  </si>
  <si>
    <t>1432-5233</t>
  </si>
  <si>
    <t>10.1007/s00592-010-0189-1</t>
  </si>
  <si>
    <t>WOS:000280372600010</t>
  </si>
  <si>
    <t>Gramsch, E; Gidhagen, L; Wahlin, P; Oyola, P; Moreno, F</t>
  </si>
  <si>
    <t>Gramsch, Ernesto; Gidhagen, Lars; Wahlin, Peter; Oyola, Pedro; Moreno, Francisco</t>
  </si>
  <si>
    <t>Predominance of soot-mode ultrafine particles in Santiago de Chile: Possible sources</t>
  </si>
  <si>
    <t>A monitoring campaign was performed in Santiago de Chile during a winter month of 2003 and 2006 (July) using several instruments to measure the size distribution of particulate material. For the first time, the size distribution of ultrafine particles was measured in Santiago, and an estimation of its sources was done by analyzing its temporal variation. The study was performed in three sites: one of them is located in the eastern part of Santiago, a sector with low particle concentration and about 100 m from a busy street. The other site is located in the western part, which is the sector that has the highest concentration of fine and coarse particle matter during winter, also located far from a street. The third site is located within 5 in from the busiest street in Santiago. In all stations traffic is the dominating source for fine and ultrafine particles and the size distribution is peaked towards 60-100 nm (soot mode). Only in the site near the street, it is possible to see a clear peak towards smaller sizes (10-30 nm). The size distribution measurements presented here indicate that aerosol dynamics play a more important role for the Santiago case as compared to cleaner cities in Europe. Changes in the particle size during different hours of the day reflect both variations in meteorological mixing conditions as well as effects of aerosol dynamic processes such as coagulation, condensation and dry deposition. A relative increase in the number of the larger ultrafine particles (d &gt;= 70 nm), as compared to the number of smaller particles (d &lt; 70 nm) correlated with wind speed is an indication of pollution transport with aged particles from other parts of the city. (C) 2009 Elsevier Ltd. All rights reserved.</t>
  </si>
  <si>
    <t>Gramsch, Ernesto/M-5507-2017</t>
  </si>
  <si>
    <t>Gramsch, Ernesto/0000-0002-6787-7355; Moreno, Francisco/0000-0001-9637-0919</t>
  </si>
  <si>
    <t>1873-2844</t>
  </si>
  <si>
    <t>10.1016/j.atmosenv.2009.01.047</t>
  </si>
  <si>
    <t>WOS:000265809300004</t>
  </si>
  <si>
    <t>Pena, R; Cardenas, R; Reyes, E; Clare, J; Wheeler, P</t>
  </si>
  <si>
    <t>Pena, Ruben; Cardenas, Roberto; Reyes, Eduardo; Clare, Jon; Wheeler, Pat</t>
  </si>
  <si>
    <t>Control Strategy of an Indirect Matrix Converter with Modifying DC Voltage</t>
  </si>
  <si>
    <t>EPE: 2009 13TH EUROPEAN CONFERENCE ON POWER ELECTRONICS AND APPLICATIONS, VOLS 1-9</t>
  </si>
  <si>
    <t>13th European Conference on Power Electronics and Applications (EPE 2009)</t>
  </si>
  <si>
    <t>SEP 08-10, 2009</t>
  </si>
  <si>
    <t>Barcelona, SPAIN</t>
  </si>
  <si>
    <t>The Indirect Matrix Converter (IMC) consists of an input matrix converter stage and an output voltage source inverter (VSI) stage. The input matrix converter provides the DC voltage needed for the output stage. Usually, the switching sequences of the input and output stages are arranged to have soft switching commutation at the input stage. The capability of the input matrix converter to generate produce different DC voltages is exploited in this paper. If the converter can operate at a reduced DC voltage then commutation of the VSI can take place at lower voltages. Depending on the required output voltage, the modulation of the input matrix converter is changed in order to obtain a lower/higher DC voltage without causing over modulation The strategy could be applied to a cage induction machine drive, operating at low speed and therefore requiring low voltage, or a doubly-fed induction machine drive operating near synchronous speed where the required rotor voltage is smaller. The strategy is experimentally validated controlling the output current of the IMC feeding a resistive-inductive load. Experimental results are shown for step changes in demanded reference currents and current regulation at different modulation strategies of the input converter.</t>
  </si>
  <si>
    <t>pena, ruben/H-1806-2018; Cardenas, Roberto/C-6395-2011; Clare, Jon/M-2032-2018</t>
  </si>
  <si>
    <t>Cardenas, Roberto/0000-0003-3853-7703; Wheeler, Patrick/0000-0003-0307-581X; Clare, Jon/0000-0001-8243-4280</t>
  </si>
  <si>
    <t>978-1-4244-4432-8</t>
  </si>
  <si>
    <t>WOS:000275384102172</t>
  </si>
  <si>
    <t>Connelly, MJ; Barry, LP; Kennedy, BF; Reid, DA</t>
  </si>
  <si>
    <t>Connelly, Michael J.; Barry, Liam P.; Kennedy, Brendan F.; Reid, Douglas A.</t>
  </si>
  <si>
    <t>Numerical analysis of four-wave mixing between picosecond mode-locked laser pulses in a tensile-strained bulk SOA</t>
  </si>
  <si>
    <t>OPTICAL AND QUANTUM ELECTRONICS</t>
  </si>
  <si>
    <t>7th International Conference on Numerical Simulation of Optoelectronic Devices (NUSOD '07)</t>
  </si>
  <si>
    <t>SEP 24-27, 2007</t>
  </si>
  <si>
    <t>Univ Delaware, Newark, DE</t>
  </si>
  <si>
    <t>Univ Delaware</t>
  </si>
  <si>
    <t>A numerical model of four-wave mixing between picosecond pulses in a tensile-strained bulk semiconductor optical amplifier is presented. The model utilizes a modified schrodinger equation to model pulse propagation. The Schrodinger equation parameters such as the material gain first and second order dispersion, linewidth enhancement factors and optical loss coefficient were obtained using a previously developed steady-state model. The predicted four-wave mixing pulse characteristics show reasonably good agreement with experimental Pulse characteristics obtained using Frequency Resolved Optical Gating. In particular simulations predict a large increase in the pulse pedestals of the FWM converted Pulse, which is verified by experiment.</t>
  </si>
  <si>
    <t>Barry, Liam/G-7041-2011; Kennedy, Brendan/C-2455-2013</t>
  </si>
  <si>
    <t>connelly, michael/0000-0003-1661-9265; Kennedy, Brendan/0000-0003-4782-0498; Barry, Liam/0000-0001-8366-4790</t>
  </si>
  <si>
    <t>0306-8919</t>
  </si>
  <si>
    <t>1572-817X</t>
  </si>
  <si>
    <t>5-6</t>
  </si>
  <si>
    <t>10.1007/s11082-008-9201-1</t>
  </si>
  <si>
    <t>WOS:000259499800021</t>
  </si>
  <si>
    <t>Lopez-Alarcón, C; Speisky, H; Lissi, E</t>
  </si>
  <si>
    <t>Lopez-Alarcon, Camilo; Speisky, Hernan; Lissi, Eduardo</t>
  </si>
  <si>
    <t>Antioxidant effect of 5-amino salicylic acid on copper-mediated LDL oxidation</t>
  </si>
  <si>
    <t>The antioxidant effect of 5-Aminosalicylic acid (5-ASA) on copper-mediated LDL oxidation was followed either by the emitted chemiluminiscence (CL) or by UV-vis spectroscopy. 5-ASA addition extends the lag phase in a concentration-dependent manner without changes in the rate of the process in the autoaccelerated phase. The antioxidant behavior of 5-ASA was very similar to that of Trolox, a very efficient water soluble antioxidant. The copper-binding capacity of 5-ASA was evaluated by UV-visible spectroscopy. The addition of copper to a 5-ASA solution increases the absorbance at 332 nm and generates a new band at 298 nm. These changes in the UV-vis spectra indicate formation of a complex between 5-ASA and copper. However, LDL protection by 5-ASA is unrelated to its copper chelating capacity.</t>
  </si>
  <si>
    <t>SPEISKY, HERNAN/E-6146-2013; Lopez, Camilo/J-5770-2013</t>
  </si>
  <si>
    <t>10.4067/S0716-97602007000200006</t>
  </si>
  <si>
    <t>WOS:000250812900006</t>
  </si>
  <si>
    <t>Raff, U; Hutchinson, M; Rojas, GM; Huete, I</t>
  </si>
  <si>
    <t>Raff, Ulrich; Hutchinson, Michael; Rojas, Gonzalo M.; Huete, Isidro</t>
  </si>
  <si>
    <t>Inversion recovery MRI in idiopathic Parkinson disease is a very sensitive tool to assess neurodegeneration in the substantia nigra: Preliminary investigation</t>
  </si>
  <si>
    <t>Rationale and Objectives. Segmented inversion recovery (IR) ratio imaging (SIRRIM) has been established as a sensitive tool to assess neurodegeneration of the substantia nigra pars compacta (SNC) in patients with idiopathic Parkinson disease (IPD). The obtained results suggest the possibility of magnetic resonance imaging (MRI) as a biological marker for IPD. The strength and a parsimonious analysis of the technique are discussed to assess the potential of using MRI as a biological marker for IPD and improve the differential diagnosis of sporadic Parkinson disease. Our hypothesis states that the magnetic resonance SIRRIM technique allows direct visualization and quantitation of neural cell loss in the SNc and therefore could become a reliable biological marker for Parkinson disease. To achieve this goal, some key aspects of data acquisition and data analysis need to be addressed. The clinical impact of the SIRRIM technique could be considerable, considering that it might become a viable surrogate to other techniques. Patients and Methods. Twelve patients with IPD and 12 age-matched control subjects were imaged by using the SIRRIM technique based on two IR imaging sequences that were designed to suppress white and gray matter to assess loss of neural cells in situ by means of a ratio image (white matter suppressed image to gray matter suppressed image). The radiological index was correlated with the Unified Parkinson Disease Rating Scale (UPDRS) for patients with IPD. Results. All patients with IPD were identified correctly, and full dichotomization between healthy volunteers and patients was obtained with our database. Our SIRRIM technique shows that it can be used to rule out Parkinson disease from essential tremor and other forms of Parkinsonism, such as progressive supranuclear palsy and multisystem atrophy. In addition, it is sensitive enough to identify patients with early-stage IPD. Conclusion. The hypothesis of using SIRRIM as a biological marker to assess IPD is supported by excellent correlation with clinical UPDRS scoring and has proved useful for the evaluation and quantitation of neurodegeneration with our SIRRIM technique, showing, in addition, that the differential diagnosis of IPD can be improved. Technical aspects of acquisition and data processing that need to be addressed can be overcome. It ultimately confirms that our objectives can be achieved and allows us to expect assessment of the progressive development of neurodegeneration in longitudinal studies and the putative neuroprotective approaches taken during the evolution of the disease.</t>
  </si>
  <si>
    <t>1878-4046</t>
  </si>
  <si>
    <t>10.1016/j.acra.2006.01.049</t>
  </si>
  <si>
    <t>WOS:000237709000008</t>
  </si>
  <si>
    <t>Alexandrakis, George; Rannou, Fernando R.; Chatziioannou, Arion F.</t>
  </si>
  <si>
    <t>Effect of optical property estimation accuracy on tomographic bioluminescence imaging: simulation of a combined optical-PET (OPET) system</t>
  </si>
  <si>
    <t>Inevitable discrepancies between the mouse tissue optical properties assumed by an experimenter and the actual physiological values may affect the tomographic localization of bioluminescent sources. In a previous work, the simplifying assumption of optically homogeneous tissues led to inaccurate localization of deep sources. Improved results may be obtained if a mouse anatomical map is provided by a high-resolution imaging modality and optical properties are assigned to segmented tissues. In this work, the feasibility of this approach was explored by simulating the effect of different magnitude optical property errors on the image formation process of a combined optical-PET system. Some comparisons were made with corresponding simulations using higher spatial resolution data that are typically attainable by CCD cameras. In addition, simulation results provided insights on some of the experimental conditions that could lead to poor localization of bioluminescent sources. They also provided a rough guide on how accurately tissue optical properties need to be known in order to achieve correct localization of point sources with increasing tissue depth under low background noise conditions.</t>
  </si>
  <si>
    <t>APR 21</t>
  </si>
  <si>
    <t>10.1088/0031-9155/51/8/006</t>
  </si>
  <si>
    <t>WOS:000237774000006</t>
  </si>
  <si>
    <t>Gamboa, J; López-Sarrión, J; Polychronakos, AP</t>
  </si>
  <si>
    <t>Ultraviolet modified photons and anisotropies in the cosmic microwave background radiation</t>
  </si>
  <si>
    <t>We discuss a minimal canonical modification of electrodynamics in order to account for ultraviolet Lorentz violating effects. This modification creates a birefringence that rotates the polarization planes from different directions. Such effects might be detectable in the anisotropic polarization of the Cosmic Microwave Background radiation. (c) 2006 Elsevier B.V. All rights reserved.</t>
  </si>
  <si>
    <t>Gamboa, Jorge/R-8744-2019; Polychronakos, Alexios/HSC-2351-2023</t>
  </si>
  <si>
    <t>Lopez Sarrion, Justo Javier/0000-0002-2868-194X; Polychronakos, Alexios P./0000-0002-0443-2797</t>
  </si>
  <si>
    <t>10.1016/j.physletb.2006.02.014</t>
  </si>
  <si>
    <t>WOS:000236229700006</t>
  </si>
  <si>
    <t>Do, OJM; Lorca, S; Ubilla, P</t>
  </si>
  <si>
    <t>Three positive solutions for a class of elliptic systems in annular domains</t>
  </si>
  <si>
    <t>PROCEEDINGS OF THE EDINBURGH MATHEMATICAL SOCIETY</t>
  </si>
  <si>
    <t>In this paper we study the existence and multiplicity of positive radial solutions for a class of semilinear elliptic systems in bounded annular domains with non-homogeneous boundary conditions by the use of a fixed-point theorem of cone expansion/compression type.</t>
  </si>
  <si>
    <t>0013-0915</t>
  </si>
  <si>
    <t>1464-3839</t>
  </si>
  <si>
    <t>10.1017/S0013091503000944</t>
  </si>
  <si>
    <t>WOS:000229944500005</t>
  </si>
  <si>
    <t>Plyushchay, MS; de Traubenberg, MR</t>
  </si>
  <si>
    <t>Cubic root of Klein-Gordon equation</t>
  </si>
  <si>
    <t>We construct new relativistic linear differential equation in d dimensions generalizing Dirac equation by employing the Clifford algebra of the cubic polynomial associated to Klein-Gordon operator multiplied by the mass parameter. Unlike the Dirac case where the spin content is unique and Lorentz covariance is manifest, here the spin as well as Lorentz covariance of the theory are related to the choice of representation of the Clifford algebra. One of the considered explicit matrix representations gives rise to anyon-like fields in d = 1 + 1. Coupling to a U(1) gauge field is discussed and compared with Dirac theory. (C) 2000 Published by Elsevier Science B.V. All rights reserved.</t>
  </si>
  <si>
    <t>de Traubenberg Michel, Rausch/B-2255-2013</t>
  </si>
  <si>
    <t>10.1016/S0370-2693(00)00190-8</t>
  </si>
  <si>
    <t>WOS:000086203000039</t>
  </si>
  <si>
    <t>Guerrero, J; Moya, SA; Garland, MT; Baggio, RF</t>
  </si>
  <si>
    <t>Bromotricarbonyl(3,3′-dimethyl-2,2′-biquinoline-N,N′)rhenium(I)</t>
  </si>
  <si>
    <t>In the title compound, [ReBr(C20H16N2)(CO)(3)], the Re atom has a slightly distorted octahedral coordination, with Re-Br = 2.6299 (9), Re-N = 2.217 (4) and Re-C = 1.902(6)-1.927(7) Angstrom.</t>
  </si>
  <si>
    <t>10.1107/S010827019800691X</t>
  </si>
  <si>
    <t>WOS:000077537400019</t>
  </si>
  <si>
    <t>Gautier, JL; Restovic, A; Poillerat, G; Chartier, P</t>
  </si>
  <si>
    <t>Physicochemical versus electrochemical properties of thin CuxMn3-xO4 spinel films</t>
  </si>
  <si>
    <t>EUROPEAN JOURNAL OF SOLID STATE AND INORGANIC CHEMISTRY</t>
  </si>
  <si>
    <t>Thin copper-manganese oxide films were prepared on conducting glass using the reactive nebulization technique to carry out a study on the effect of Mn substitution by Cu on their physicochemical and electrocatalytical properties. The electrocatalytical activity of electrode materials on the oxygen evolution reaction (OER) was found to be simultaneously dependent on the open circuit potential (OCP) and on the pH of zero charge (pHz).</t>
  </si>
  <si>
    <t>0992-4361</t>
  </si>
  <si>
    <t>WOS:A1997XK13200005</t>
  </si>
  <si>
    <t>Becerra, VG; Valdivia-Lefort, P; Barraza, R; García, JG</t>
  </si>
  <si>
    <t>Becerra, Valentina Gonzalez; Valdivia-Lefort, Patricio; Barraza, Rodrigo; Garcia, Jesus Garcia</t>
  </si>
  <si>
    <t>Electrical Model Analysis for Bifacial PV Modules Using Real Performance Data in Laboratory</t>
  </si>
  <si>
    <t>The new PV technologies, such as bifacial modules, bring the challenge of analyzing the response of numerical models and their fit to actual measurements. Thus, this study explores various models available in the literature for simulating the IV curve behavior of bifacial photovoltaic modules. The analysis contains traditional models, such as single and double-diode models, and empirical or analytical methodologies. Therefore, this paper proposes and implements a model performance assessment framework. This framework aims to establish a common basis for comparison and verify the applicability of each model by contrasting it with experimental data under controlled conditions of irradiance and temperature. The study utilizes bifacial modules of PERC+, HJT, and n-PERT technologies, tracing IV curves using a high-precision A+A+A+ solar simulator and conducting two sets of laboratory illumination measurements: single-sided and double-sided. In the first case, each face of the module is illuminated separately, while in the latter, the incident frontal illuminating light is reflected on a reflective surface. Experimental data obtained from these measurements are used to evaluate three different approximations for bifacial IV curve models in the case of double-sided illumination. The employed model for single-sided illumination is a single-diode model. The evaluation of various models revealed that shadowing from frames and junction boxes contributes to an increase in the error of modeled IV curves. However, among the three evaluated bifacial electrical models, one exhibited superior performance, with current errors approaching approximately 20%. To mitigate this discrepancy, a proposed methodology highlighted the significance of accurately estimating Io, suggesting its potential to reduce errors. This research provides a foundation for comparing electrical models to identify their strengths and limitations, paving the way for the development of more accurate modeling approaches tailored to bifacial modules. The insights gained from this study are crucial for enhancing the precision of IV curve predictions under various illumination conditions, which is essential for optimizing bifacial module performance in real-world applications.</t>
  </si>
  <si>
    <t>VALDIVIA, PATRICIO/KMA-0184-2024; Barraza, Rodrigo/O-3204-2016</t>
  </si>
  <si>
    <t>VALDIVIA, PATRICIO/0000-0002-7457-1346; Garcia, Jesus/0000-0001-6396-2192</t>
  </si>
  <si>
    <t>10.3390/en17235868</t>
  </si>
  <si>
    <t>WOS:001377786400001</t>
  </si>
  <si>
    <t>Palma, D; Oliva, V; Montanares, M; Gil-Durán, C; Travisany, D; Chávez, R; Vaca, I</t>
  </si>
  <si>
    <t>Palma, Diego; Oliva, Vicente; Montanares, Mariana; Gil-Duran, Carlos; Travisany, Dante; Chavez, Renato; Vaca, Inmaculada</t>
  </si>
  <si>
    <t>Expanding the Toolbox for Genetic Manipulation in Pseudogymnoascus: RNAi-Mediated Silencing and CRISPR/Cas9-Mediated Disruption of a Polyketide Synthase Gene Involved in Red Pigment Production in P. verrucosus</t>
  </si>
  <si>
    <t>JOURNAL OF FUNGI</t>
  </si>
  <si>
    <t>Fungi belonging to the genus Pseudogymnoascus have garnered increasing attention in recent years. One of the members of the genus, P. destructans, has been identified as the causal agent of a severe bat disease. Simultaneously, the knowledge of Pseudogymnoascus species has expanded, in parallel with the increased availability of genome sequences. Moreover, Pseudogymnoascus exhibits great potential as a producer of specialized metabolites, displaying a diverse array of biological activities. Despite these significant advancements, the genetic landscape of Pseudogymnoascus remains largely unexplored due to the scarcity of suitable molecular tools for genetic manipulation. In this study, we successfully implemented RNAi-mediated gene silencing and CRISPR/Cas9-mediated disruption in Pseudogymnoascus, using an Antarctic strain of Pseudogymnoascus verrucosus as a model. Both methods were applied to target azpA, a gene involved in red pigment biosynthesis. Silencing of the azpA gene to levels of 90% or higher eliminated red pigment production, resulting in transformants exhibiting a white phenotype. On the other hand, the CRISPR/Cas9 system led to a high percentage (73%) of transformants with a one-nucleotide insertion, thereby inactivating azpA and abolishing red pigment production, resulting in a white phenotype. The successful application of RNAi-mediated gene silencing and CRISPR/Cas9-mediated disruption represents a significant advancement in Pseudogymnoascus research, opening avenues for comprehensive functional genetic investigations within this underexplored fungal genus.</t>
  </si>
  <si>
    <t>Montanares, Mariana/0009-0005-0599-1880; Travisany, Dante/0000-0002-2545-176X; Chavez, Renato/0000-0003-1754-3610</t>
  </si>
  <si>
    <t>2309-608X</t>
  </si>
  <si>
    <t>10.3390/jof10020157</t>
  </si>
  <si>
    <t>WOS:001171983900001</t>
  </si>
  <si>
    <t>Rojas-Andrade, R; Zurita, SA; Bravo, GP; Vargas, B</t>
  </si>
  <si>
    <t>Rojas-Andrade, Rodrigo; Zurita, Samuel Aranguren; Bravo, Gabriel Prosser; Vargas, Belen</t>
  </si>
  <si>
    <t>Assessment of the implementation of psychological first aid training: adaptation and validation of determinants of the implementation behavior questionnaire</t>
  </si>
  <si>
    <t>ADVANCES IN MENTAL HEALTH</t>
  </si>
  <si>
    <t>ObjectivePsychological First Aid (PFA) is essential in emergencies and disasters. However, if incorrectly applicated, it can have negative consequences for the mental health of both those providing assistance and those receiving it. Therefore, it is important to have adequate tools to measure the implementation the quality of PFA training. The Determinants of Implementation Behavior Questionnaire was adapted and validated in a sample of PFA trainers in Chile.MethodsOne hundred and one trainers completed the questionnaire translated into Spanish. The instrument was subjected to a process of item reduction to ensure its viability, the adjustment of the instrument's factorial structure to the theoretical frameworks used in the field was analyzed and its reliability was evaluated.ResultsA scale with 18 items divided into 5 dimensions was obtained. The results indicated an acceptable fit to the theoretical model (chi 2/gl = 1.106, CFI = .997, TLI = .996, RMSEA = .033). All dimensions showed good reliability (omega = .668 -.793).DiscussionThe instrument validly and reliably assesses behavioral determinants of implementation. An adapted, validated, short-form instrument will facilitate evaluations of the implementation of PFA training.</t>
  </si>
  <si>
    <t>Vargas Gallegos, Belen/0000-0003-1028-9066; Aranguren Zurita, Samuel Alejandro/0000-0001-6623-0114; Prosser Bravo, Gabriel/0000-0003-1255-5890</t>
  </si>
  <si>
    <t>1838-7357</t>
  </si>
  <si>
    <t>1837-4905</t>
  </si>
  <si>
    <t>10.1080/18387357.2023.2291372</t>
  </si>
  <si>
    <t>WOS:001124364500001</t>
  </si>
  <si>
    <t>Urtubia, LO; Portela, YR; Rojas, ZBO</t>
  </si>
  <si>
    <t>Urtubia, Luis Orellana; Portela, Yinely Ruiz; Rojas, Zimri Bani Orellana</t>
  </si>
  <si>
    <t>PENTECOSTALS IN COSTA RICA: THEIR RELIGIOUS AND SOCIAL IDENTITY IN THE 20TH CENTURY</t>
  </si>
  <si>
    <t>REVISTA UNIVERSIDAD Y SOCIEDAD</t>
  </si>
  <si>
    <t>This article aims to analyze from a socio-historical and religious perspective the identity of Pentecostalism in Costa Rica from the period 1950-1990. From a methodological and theoretical perspective, the most significant contributions published in the last 30 years on its religious legitimacy are analyzed. From the methodological point of view, we turn to two theoretical references of Latin American Pentecostalism, the theologians Bernardo Campos and Juan Sepulveda, the Americans Donald Dayton and the historian Luisa Jeter de Walker. Specifically, five identity aspects of Pentecostalism in Costa Rica are examined: religious roots; thought; beliefs and practices; organization and administration; and the social ethics of the movement. It is concluded that Pentecostalism is located in Costa Rica as one of the plural versions and alternatives in the religious field since the second part of the 20th century, which has had an impact on culture or on the formation of new or old identities that are revitalized, but now demanding the right to existence and recognition as valid and legitimate forms of cultural expression.</t>
  </si>
  <si>
    <t>2218-3620</t>
  </si>
  <si>
    <t>WOS:001126631700057</t>
  </si>
  <si>
    <t>Caceres, D; Gimenez, B; Marquez-Ruiz, G; Holgado, F; Vergara, C; Romero-Hasler, P; Soto-Bustamante, E; Robert, P</t>
  </si>
  <si>
    <t>Caceres, Denisse; Gimenez, Begona; Marquez-Ruiz, Gloria; Holgado, Francisca; Vergara, Cristina; Romero-Hasler, Patricio; Soto-Bustamante, Eduardo; Robert, Paz</t>
  </si>
  <si>
    <t>Incorporation of hydroxytyrosol alkyl esters of different chain length as antioxidant strategy in walnut oil spray-dried microparticles with a sodium alginate outer layer</t>
  </si>
  <si>
    <t>Omega-3 rich vegetable oils, such as walnut oil, are gaining interest because of their health benefits. Synthetized homologous series of hydroxytyrosol alkyl esters (HTEs) with different alkyl chain lengths (C4-C18) were incorporated in purified walnut oil (PWO) spray-dried microparticles, designed with Capsul (R) (C) as encapsulating agent and sodium alginate (SA) as outer layer (PWO-C/SA). The encapsulation efficiency (&gt;87%) and Tg of PWO-C/SA microparticles were not affected by the HTEs. The incorporation of HTE-Cl 0 increased the melting point (185.0 +/- 1.3 degrees C), decreasing the formation of Dimers + Polymers (1.12 +/- 0.05% at day 35 of storage) and the crystallinity of the microparticles (&gt;170 C). The highest stability of PWO-C (HTE-C10)/SA suggests a specific location of HTE-C10 at the oil:water interface. The SA layer delayed the release of fatty acids during in vitro digestion. The incorporation of HTEs of medium chain length can be a suitable strategy to protect unsaturated oils encapsulated by spray-drying.</t>
  </si>
  <si>
    <t>Vergara, Cristina/AAT-9575-2021; Robert, Paz/G-8198-2014; Holgado, Francisca/AAC-1822-2020; Romero-Hasler, Patricio/T-7993-2019; Romero-Hasler, Patricio/P-6631-2018</t>
  </si>
  <si>
    <t>HOLGADO, FRANCISCA/0000-0003-4950-5950; Romero-Hasler, Patricio/0000-0002-9211-2514</t>
  </si>
  <si>
    <t>10.1016/j.foodchem.2022.133595</t>
  </si>
  <si>
    <t>WOS:000827950000008</t>
  </si>
  <si>
    <t>Orellana-Maldonado, I; Aspée, A; Barrias, P; Santana, PA; Tirapegui, C</t>
  </si>
  <si>
    <t>Orellana-Maldonado, Italo; Aspee, Alexis; Barrias, Pablo; Santana, Paula A.; Tirapegui, Cristian</t>
  </si>
  <si>
    <t>Photoswitching studies of new photochromic ionic liquids studied in real time by in situ irradiation</t>
  </si>
  <si>
    <t>The photoswitching behavior of new double cationic azobenzene derivatives AZO(pyr) and AZO(imid) was studied by in situ irradiation in the cavity of a H-1-NMR spectrometer. The setup of the experiments allowed us to easily collect, in real-time, valuable spectral information to quantify the concentration of photoisomers without deconvolution of the data. With this information, the equilibrium constant and thermodynamics parameters of the photoinduced equilibrium at the photostationary state could be determined. At the same time, this type of experiment also allowed us to obtain precise structural information (i.e., chemical shift, integration, and constant coupling of each isomer) based on the pattern of the signals of the H-1-NMR spectra of the photoswitches. The same irradiation system was utilized to study the fatigue of the cationic AZO(pyr) and AZO(imid) in several solvents, finding that these probes are photostable in methanol, dimethyl sulfoxide, and propyl ammonium formate.</t>
  </si>
  <si>
    <t>Orellana Maldonado, Italo/AIC-9601-2022; Tirapegui, Cristian/U-3748-2018; Barrias, Pablo/V-7218-2018</t>
  </si>
  <si>
    <t>Tirapegui, Cristian/0000-0002-2895-3204; Orellana Maldonado, Italo/0000-0002-9311-5792; Santana Sepulveda, Paula/0000-0002-5742-4926; Barrias, Pablo/0000-0003-4072-4436</t>
  </si>
  <si>
    <t>JUL 5</t>
  </si>
  <si>
    <t>10.1039/d2nj01194h</t>
  </si>
  <si>
    <t>WOS:000812298000001</t>
  </si>
  <si>
    <t>Maldonado, T; Flores, E; Llanos, L; Aravena, D; Vega, A; Godoy, F; Aspée, A; Arancibia-Miranda, N; Ferraudi, G; Gómez, A</t>
  </si>
  <si>
    <t>Maldonado, Tamara; Flores, Erick; Llanos, Leonel; Aravena, Daniel; Vega, Andres; Godoy, Fernando; Aspee, Alexis; Arancibia-Miranda, Nicolas; Ferraudi, Guillermo; Gomez, Alejandra</t>
  </si>
  <si>
    <t>Azo-hydrazone tautomerism in organometallic complexes triggered by a -Re(CO)3(L) core: A spectroscopic and theoretical study</t>
  </si>
  <si>
    <t>DYES AND PIGMENTS</t>
  </si>
  <si>
    <t>The spectroscopic properties and tautomeric behavior of five novel Rhenium (I) tricarbonyl complexes bearing an azo ligand are presented. The organic ligand is stable in solution as the hydrazone tautomer. It remains as hydrazone in different medium conditions (solvent, concentration, pH, etc.) without the formation of detectable amounts of the azo tautomer. However, the complexation of this ligand to the strong electron-withdrawing fragment -Re(CO)(3)X (X = Cl-, Br-) causes tautomerism to appear in the organic moiety. Two well-defined re- gions in the electronic spectra for both tautomers were observed, allowing the azo/enol-keto/hydrazone equilibrium to be followed. TD-DFT calculations indicate that for the keto/hydrazone form, the main absorption band is attributed to an IL transition. In contrast, the azo/enol species shows a major contribution of the (MLCT)-M-1 (d pi (Re) -&gt; d pi*(NN)) transition. The tautomeric equilibrium is easily shifted using solvents with different dielectric constant and hydrogen bond donor/acceptor (HBD/HBA) abilities. Also, the tautomerization process is deeply influenced by the electronic properties of the axial ligand. Therefore, this behavior represents a different strategy for the design of novel materials with optical properties. Furthermore, tautomerism is affected by the concentration of complexes and the presence of water in solvents. The acid-base behavior of these compounds in a 50% v/v ethanol-buffer system showed that the azo/enol tautomer is stabilized in acidic media. At the same time, an increase of pH promotes tautomerization toward the keto/hydrazone, followed by forming the anionic form at pH &gt; 8.</t>
  </si>
  <si>
    <t>Arancibia-Miranda, Nicolás/I-6743-2013; Flores, Erick/GPK-2155-2022; Vega, Andres/B-2122-2010; Aravena, Daniel/F-2174-2011</t>
  </si>
  <si>
    <t>llanos silva, leonel/0000-0001-6494-1908; Aravena, Daniel/0000-0003-3140-4852; Flores, Dr. Erick/0000-0002-2573-6650; Maldonado Hernandez, Tamara/0000-0002-3863-3001</t>
  </si>
  <si>
    <t>0143-7208</t>
  </si>
  <si>
    <t>1873-3743</t>
  </si>
  <si>
    <t>10.1016/j.dyepig.2021.109953</t>
  </si>
  <si>
    <t>WOS:000744244000002</t>
  </si>
  <si>
    <t>Estrada-Muñoz, C; Vega-Muñoz, A; Castillo, D; Muller-Pérez, S; Boada-Grau, J</t>
  </si>
  <si>
    <t>Estrada-Munoz, Carla; Vega-Munoz, Alejandro; Castillo, Dante; Muller-Perez, Sheyla; Boada-Grau, Joan</t>
  </si>
  <si>
    <t>Technostress of Chilean Teachers in the Context of the COVID-19 Pandemic and Teleworking</t>
  </si>
  <si>
    <t>This article shows the levels of technostress in primary and secondary education teachers in Chile, in the context of educational telework that Chile has adopted in connection with the health crisis by COVID-19. The information has been collected with the use of the RED-TIC scale, previously used in this country, whose validity and reliability of the instrument has been treated, for this case, with confirmatory factorial analysis (CFA) with a national coverage sample of 3006 teachers. The results show that 11% of teachers reveal techno anxiety and 7.2%, techno fatigue. Combining both manifestations, we find that 6.8% of teachers are techno stressed. Finally, fatigue and anxiety factors are higher for female teachers.</t>
  </si>
  <si>
    <t>Vega-Muñoz, Alejandro/AAX-7468-2021; Estrada-Muñoz, Carla/HSH-1293-2023</t>
  </si>
  <si>
    <t>Castillo, Dante/0000-0002-5648-0627; Vega, Alejandro/0000-0002-9427-2044; Muller, Sheyla/0000-0002-6524-6824; Estrada Munoz, Carla/0000-0002-4657-8751</t>
  </si>
  <si>
    <t>10.3390/ijerph18105458</t>
  </si>
  <si>
    <t>WOS:000654849400001</t>
  </si>
  <si>
    <t>Guerra, C; Ringuedé, A; Azocar, MI; Walter, M; Galarce, C; Bedioui, F; Cassir, M; Sancy, M</t>
  </si>
  <si>
    <t>Guerra, C.; Ringuede, A.; Azocar, M. I.; Walter, M.; Galarce, C.; Bedioui, F.; Cassir, M.; Sancy, M.</t>
  </si>
  <si>
    <t>Corrosion analysis of AISI 430 stainless steel in the presence of Escherichia coli and Staphylococcus aureus</t>
  </si>
  <si>
    <t>AISI 430 stainless steel is an attractive material to be used in the healthcare industry, particularly as a sensor due to its low cost, corrosion resistance, as well as being Ni-free. AISI 430 was evaluated in an artificial sweat solution with the presence of Escherichia coli, and Staphylococcus aureus. Surface microbial analyses did not reveal colonization of bacteria on metallic surfaces, even when bacteria adhesion was investigated in a Miieller-Hinton solution. However, by electrochemical techniques, the AISI 430 surfaces demonstrated clear signs of corrosion mainly in a sterile medium after two weeks of exposure.</t>
  </si>
  <si>
    <t>Galarce, Carlos/AAR-9405-2021; Azocar, Manuel/I-1226-2013; Bedioui, Fethi/N-3507-2014; Sancy, Mamie/L-6270-2014</t>
  </si>
  <si>
    <t>Bedioui, Fethi/0000-0002-0063-4412; Sancy, Mamie/0000-0001-9523-2629; GALARCE GUTIERREZ, CARLOS/0000-0002-4250-3998</t>
  </si>
  <si>
    <t>10.1016/j.corsci.2020.109204</t>
  </si>
  <si>
    <t>WOS:000618190400003</t>
  </si>
  <si>
    <t>Mora, A; Cárdenas, R; Urrutia, M; Espinoza, M; Díaz, M</t>
  </si>
  <si>
    <t>Mora, Andres; Cardenas, Roberto; Urrutia, Matias; Espinoza, Mauricio; Diaz, Matias</t>
  </si>
  <si>
    <t>A Vector Control Strategy to Eliminate Active Power Oscillations in Four-Leg Grid-Connected Converters Under Unbalanced Voltages</t>
  </si>
  <si>
    <t>IEEE JOURNAL OF EMERGING AND SELECTED TOPICS IN POWER ELECTRONICS</t>
  </si>
  <si>
    <t>The problems associated with active power oscillations (APOs) in grid-connected converters are well-known. Imbalances in the grid usually produce double-frequency oscillations in the dc-link voltage and current which could reduce the useful life of solar panels, batteries, and capacitors connected to this point. Moreover, as reported in the literature, double-frequency reactive power oscillations (RPOs) also produce adverse effects in distribution systems, and it is desirable to eliminate or mitigate them. When a four-leg power converter is connected to an unbalanced grid, the zero-sequence current provides extra degrees of freedom to compensate or even eliminate the power oscillations at the converter dc-link side. In this paper, a new methodology to regulate these double-frequency power components is proposed. It is based on a closed-loop vector control approach, where the active power oscillations (APOs) at converter side are transformed into a synchronous frame rotating at twice the grid frequency and regulated using the zero-sequence current. To avoid overcurrent produced by the circulation of positive-, negative-, and zero-sequence components a current limiter is also proposed in this paper. Experimental results obtained with a 4-kW four-leg power converter prototype are presented and discussed in this paper.</t>
  </si>
  <si>
    <t>Espinoza, Mauricio/AAH-8647-2019; Mora, Andres/I-6953-2015; Cardenas, Roberto/C-6395-2011; Diaz, Matias/R-7570-2018</t>
  </si>
  <si>
    <t>Cardenas, Roberto/0000-0003-3853-7703; MORA, ANDRES/0000-0002-5606-2783; Diaz, Matias/0000-0003-4489-9532</t>
  </si>
  <si>
    <t>2168-6777</t>
  </si>
  <si>
    <t>2168-6785</t>
  </si>
  <si>
    <t>10.1109/JESTPE.2019.2921536</t>
  </si>
  <si>
    <t>WOS:000534642200067</t>
  </si>
  <si>
    <t>Kreppel, T; Rojas, F; Hackl, CM; Kalmbach, O; Diaz, M; Gatica, G</t>
  </si>
  <si>
    <t>Kreppel, Thomas; Rojas, Felix; Hackl, Christoph M.; Kalmbach, Oliver; Diaz, Matias; Gatica, Gustavo</t>
  </si>
  <si>
    <t>Extended Model of Chopper Cells for Open Circuit Fault Detection in Modular Multilevel Cascade Converters using Sliding Mode Observers</t>
  </si>
  <si>
    <t>2020 IEEE 11TH INTERNATIONAL SYMPOSIUM ON POWER ELECTRONICS FOR DISTRIBUTED GENERATION SYSTEMS (PEDG)</t>
  </si>
  <si>
    <t>IEEE International Symposium on Power Electronics for Distributed Generation Systems</t>
  </si>
  <si>
    <t>IEEE 11th International Symposium on Power Electronics for Distributed Generation Systems (PEDG)</t>
  </si>
  <si>
    <t>SEP 28-OCT 01, 2020</t>
  </si>
  <si>
    <t>IEEE,IEEE Croatia Sect,Croatia Sect PEL Chapter,Croatia Sect IE Chapter,Croatian Soc Commun, Comp, Elect, Measurement &amp; Control,Fac Elect Engn &amp; Comp,Tech Univ Kosice, Fac Elect Engn &amp; Informat,Slovakian Electrotechn Soc</t>
  </si>
  <si>
    <t>Fault detection and isolation (FDI) strategies can be implemented to increase reliability and prevent faults of power switches from disrupting converter operation. This is especially important for Modular Multilevel Cascade Converters (MMCC) due to the high number of switches employed in this topology. This paper proposes a new model for chopper cells, the core component of an MMCC. Unlike reported methods, the proposed model enables open-circuit fault detection and excellent tracking of cluster currents using a Sliding Mode Observer (SMO) under normal and faulty operation. The model has been successfully validated to detect faulty operation by using PLECS simulations in a BTB MMCC-DSCC.</t>
  </si>
  <si>
    <t>gatica, gustavo/KXR-7308-2024; Rojas, Felix/U-3305-2019; Hackl, Christoph/AAC-7066-2019; Diaz, Matias/R-7570-2018</t>
  </si>
  <si>
    <t>Rojas, Felix/0000-0001-6145-2826; Kalmbach, Oliver/0000-0003-4901-3120; Diaz, Matias/0000-0003-4489-9532</t>
  </si>
  <si>
    <t>2329-5759</t>
  </si>
  <si>
    <t>978-1-7281-6990-3</t>
  </si>
  <si>
    <t>10.1109/pedg48541.2020.9244420</t>
  </si>
  <si>
    <t>WOS:000851397200083</t>
  </si>
  <si>
    <t>Ríos, JA; Barake, MF; Labbé, TP</t>
  </si>
  <si>
    <t>Rios, Juvenal A.; Francisca Barake, M.; Labbe, Tomas P.</t>
  </si>
  <si>
    <t>Scientific physicians in crisis? In Memoriam Dr. Jorge Mardones Restat</t>
  </si>
  <si>
    <t>Rios, Juvenal/KII-7543-2024</t>
  </si>
  <si>
    <t>Barake, Francisca/0000-0003-4528-7415</t>
  </si>
  <si>
    <t>WOS:000504652600020</t>
  </si>
  <si>
    <t>Das, AK; Gamboa, J; Méndez, F; Tapia, N</t>
  </si>
  <si>
    <t>Das, Ashok K.; Gamboa, Jorge; Mendez, Fernando; Tapia, Natalia</t>
  </si>
  <si>
    <t>Testing dark matter with the anomalous magnetic moment in a dark matter quantum electrodynamics model</t>
  </si>
  <si>
    <t>We consider a model of dark quantum electrodynamics (QEDs) which is coupled to a visible photon through a kinetic mixing term. We compute the g(x) - 2 for the dark fermion, where g(x) is its gyromagnetic factor. We show that the g(x)- 2 of the dark fermion is related to the g(x)'- 2 of ( visible) QEDs through a constant which depends on the kinetic mixing factor. We determine g(x)-2 as a function of the mass ratio k = m(B)/m., where m(B) and m(x) denote the masses of the dark photon and the dark fermion, respectively, and we show how g(x) - 2 becomes very different for light and heavy fermions around m(B) &lt;= 10(- 4) eV.</t>
  </si>
  <si>
    <t>Das, Ashok/K-7202-2017; Gamboa, Jorge/R-8744-2019</t>
  </si>
  <si>
    <t>Das, Ashok/0000-0002-4958-6706; Gamboa, Jorge/0000-0001-7992-7199; Mendez, Fernando/0000-0002-9257-9552</t>
  </si>
  <si>
    <t>10.1142/S0217732317501759</t>
  </si>
  <si>
    <t>WOS:000413393900003</t>
  </si>
  <si>
    <t>Sarmiento, L; Rojas-Soto, GE; Rodríguez-Martínez, CE</t>
  </si>
  <si>
    <t>Sarmiento, Lorena; Rojas-Soto, Gladys E.; Rodriguez-Martinez, Carlos E.</t>
  </si>
  <si>
    <t>Predictors of Inappropriate Use of Diagnostic Tests and Management of Bronchiolitis</t>
  </si>
  <si>
    <t>BIOMED RESEARCH INTERNATIONAL</t>
  </si>
  <si>
    <t>Background. The aim of the present study was to determine predictors of inappropriate use of diagnostic tests and management of bronchiolitis in a population of hospitalized infants. Methods. In an analytical cross-sectional study, we determined independent predictors of the inappropriate use of diagnostic tests and management of bronchiolitis in a population of hospitalized infants. We defined a composite outcome score as the main outcome variable. Results. Of the 303 included patients, 216 (71.3%) experienced an inappropriate use of diagnostic tests and treatment of bronchiolitis. After controlling for potential confounders, it was found that atopic dermatitis (OR 5.30; CI 95% 1.14-24.79; p = 0.034), length of hospital stay (OR 1.48; CI 95% 1.08-2.03; p = 0.015), and the number of siblings (OR 1.92; CI 95% 1.13-3.26; p = 0.015) were independent predictors of an inappropriate use of diagnostic tests and treatment of the disease. Conclusions. Inappropriate use of diagnostic tests and treatment of bronchiolitis was a highly prevalent outcome in our population of study. Participants with atopic dermatitis, a longer hospital stay, and a greater number of siblings were at increased risk for inappropriate use of diagnostic tests and management of the disease.</t>
  </si>
  <si>
    <t>Rodriguez-Martinez, Carlos E./0000-0003-2560-6693</t>
  </si>
  <si>
    <t>2314-6133</t>
  </si>
  <si>
    <t>2314-6141</t>
  </si>
  <si>
    <t>10.1155/2017/9730696</t>
  </si>
  <si>
    <t>WOS:000404567100001</t>
  </si>
  <si>
    <t>Cariñena, JF; Plyushchay, MS</t>
  </si>
  <si>
    <t>Carinena, Jose F.; Plyushchay, Mikhail S.</t>
  </si>
  <si>
    <t>Ground-state isolation and discrete flows in a rationally extended quantum harmonic oscillator</t>
  </si>
  <si>
    <t>Ladder operators for the simplest version of a rationally extended quantum harmonic oscillator (REQHO) are constructed by applying a Darboux transformation to the quantum harmonic oscillator system. It is shown that the physical spectrum of the REQHO carries a direct sum of a trivial and an infinitedimensional irreducible representation of the polynomially deformed bosonized ospd(1 vertical bar 2) superalgebra. In correspondence with this the ground state of the system is isolated from other physical states but can be reached by ladder operators via nonphysical energy eigenstates, which belong to either an infinite chain of similar eigenstates or to the chains with generalized Jordan states. We show that the discrete chains of the states generated by ladder operators and associated with physical energy levels include six basic generalized Jordan states, in comparison with the two basic Jordan states entering in analogous discrete chains for the quantum harmonic oscillator.</t>
  </si>
  <si>
    <t>Carinena, Jose/H-4210-2011</t>
  </si>
  <si>
    <t>NOV 23</t>
  </si>
  <si>
    <t>10.1103/PhysRevD.94.105022</t>
  </si>
  <si>
    <t>WOS:000388529000009</t>
  </si>
  <si>
    <t>Sáez, CA; Roncarati, F; Moenne, A; Moody, AJ; Brown, MT</t>
  </si>
  <si>
    <t>Saez, Claudio A.; Roncarati, Francesca; Moenne, Alejandra; Moody, A. John; Brown, Murray T.</t>
  </si>
  <si>
    <t>Copper-induced intra-specific oxidative damage and antioxidant responses in strains of the brown alga Ectocarpus siliculosus with different pollution histories</t>
  </si>
  <si>
    <t>AQUATIC TOXICOLOGY</t>
  </si>
  <si>
    <t>Inter- and intra-specific variation in metal resistance has been observed in the ecologically and economically important marine brown macroalgae (Phaeophyceae), but the mechanisms of cellular tolerance are not well elucidated. To investigate inter-population responses of brown seaweeds to copper (Cu) pollution, the extent of oxidative damage and antioxidant responses were compared in three strains of the filamentous brown seaweed Ectocarpus siliculosus, the model organism for the algal class Phaeophyceae that diverged from other major eukaryotic groups over a billion year ago. Strains isolated from locations with different pollution histories (i.e. LIA, from a pristine site in Scotland; REP and Es524 from Cu-contaminated sites in England and Chile, respectively) were exposed to total dissolved Cu concentrations (Cur) of up to 2.4 mu M (equivalent to 128 nM Cu2+) for 10 d. LIA exhibited oxidative stress, with increases in hydrogen peroxide (H2O2) and lipid peroxidation (measured as TBARS levels), and decreased concentrations of photosynthetic pigments. Es524 presented no apparent oxidative damage whereas in REP, TBARS increased, revealing some level of oxidative damage. Adjustments to activities of enzymes and antioxidant compounds concentrations in Es524 and REP were strain and treatment dependent. Mitigation of oxidative stress in Es524 was by increased activities of superoxide dismutases (SOD) at low CUT, and catalase (CAT) and ascorbate peroxidase (APX) at all CUT, accompanied by higher levels of antioxidants (ascorbate, glutathione, phenolics) at higher Cur. In REP, only APX activity increased, as did the antioxidants. For the first time evidence is presented for distinctive oxidative stress defences under excess Cu in two populations of a species of brown seaweed from environments contaminated by Cu. (C) 2014 Elsevier B.V. All rights reserved.</t>
  </si>
  <si>
    <t>Moody, John/E-5699-2012; Sáez, Claudio/AAP-6923-2021; Brown, Murray/K-5291-2014</t>
  </si>
  <si>
    <t>Brown, Murray/0000-0003-2655-8611; Saez, Claudio/0000-0002-5037-3484; Moody, John/0000-0002-1994-7419</t>
  </si>
  <si>
    <t>0166-445X</t>
  </si>
  <si>
    <t>1879-1514</t>
  </si>
  <si>
    <t>10.1016/j.aquatox.2014.11.019</t>
  </si>
  <si>
    <t>WOS:000349592100009</t>
  </si>
  <si>
    <t>Dorta, E; Fuentes-Lemus, E; Aspée, A; Atala, E; Speisky, H; Bridi, R; Lissi, E; López-Alarcón, C</t>
  </si>
  <si>
    <t>Dorta, E.; Fuentes-Lemus, E.; Aspee, A.; Atala, E.; Speisky, H.; Bridi, R.; Lissi, E.; Lopez-Alarcon, C.</t>
  </si>
  <si>
    <t>The ORAC (oxygen radical absorbance capacity) index does not reflect the capacity of antioxidants to trap peroxyl radicals</t>
  </si>
  <si>
    <t>In the present work we demonstrate from kinetic studies that under the experimental conditions proposed for the ORAC protocol, ORAC values do not correlate with the capacity of antioxidants to trap peroxyl radicals (ROO center dot), suggesting a dominant role of alkoxyl radicals (RO center dot) in the assay.</t>
  </si>
  <si>
    <t>SPEISKY, HERNAN/E-6146-2013; Lopez, Camilo/J-5770-2013; Pérez, Dorta/T-7820-2019; Fuentes Lemus, Eduardo/X-4292-2019; Bridi, Raquel/JCN-9916-2023; bridi, raquel/F-1572-2015</t>
  </si>
  <si>
    <t>Fuentes Lemus, Eduardo/0000-0002-1465-8466; bridi, raquel/0000-0002-3891-5770; Lopez, Camilo/0000-0002-0174-8972; Dorta, Eva/0000-0002-2292-0356</t>
  </si>
  <si>
    <t>10.1039/c5ra01645b</t>
  </si>
  <si>
    <t>WOS:000354211100032</t>
  </si>
  <si>
    <t>Antonova, EE; Kirpichev, IP; Stepanova, MV</t>
  </si>
  <si>
    <t>Antonova, E. E.; Kirpichev, I. P.; Stepanova, M. V.</t>
  </si>
  <si>
    <t>Plasma pressure distribution in the surrounding the Earth plasma ring and its role in the magnetospheric dynamics</t>
  </si>
  <si>
    <t>JOURNAL OF ATMOSPHERIC AND SOLAR-TERRESTRIAL PHYSICS</t>
  </si>
  <si>
    <t>We analyzed the characteristics of the plasma region surrounding the Earth at the geocentric distances between 6 and 15R(E) using the data of THEMIS mission from April 2007 to September 2012. The obtained averaged distributions of plasma pressure, of pressure anisotropy, and of magnetic field near the equatorial plane showed the presence of a ring-shaped structure surrounding the Earth. It was found that for quiet geomagnetic conditions the plasma pressure is nearly isotropic for all magnetic local times at geocentric distances &gt; 6R(E). Taking into consideration that the minimal values of the magnetic field at the field lines near noon are shifted from the equatorial plane, we estimate the value of plasma beta parameter in the region of minimal values of the magnetic field using the Tsyganenko-2001 magnetic field model. It was found that the values of plasma beta parameter are of the order of unity for the nightside part of the ring-shaped structure in the equatorial plane and for the region of minimal values of the magnetic field in the dayside, indicating that the ring-shaped structure should play an active role in the magnetic field distortion. Comparison of obtained distribution of plasma pressure at the equatorial plane with the values of plasma pressure at low altitudes, showed that the considerable part of the auroral oval can be mapped into the analyzed plasma ring. The role of the high-beta plasma ring surrounding the Earth for Earth-Sun System disturbances is discussed. (C) 2013 Elsevier Ltd. All rights reserved.</t>
  </si>
  <si>
    <t>Kirpichev, Igor/HHM-2487-2022; Antonova, Elizaveta/A-2716-2012; Stepanova, Marina/D-6329-2011</t>
  </si>
  <si>
    <t>Antonova, Elizaveta/0000-0001-6980-3993; Stepanova, Marina/0000-0002-1053-3375</t>
  </si>
  <si>
    <t>1364-6826</t>
  </si>
  <si>
    <t>1879-1824</t>
  </si>
  <si>
    <t>10.1016/j.jastp.2013.12.005</t>
  </si>
  <si>
    <t>WOS:000337986700006</t>
  </si>
  <si>
    <t>Verdejo, H; Kliemann, W; Vargas, L</t>
  </si>
  <si>
    <t>Verdejo, Humberto; Kliemann, Wolfgang; Vargas, Luis</t>
  </si>
  <si>
    <t>Performance of Power Systems under Sustained Random Perturbations</t>
  </si>
  <si>
    <t>MATHEMATICAL PROBLEMS IN ENGINEERING</t>
  </si>
  <si>
    <t>This paper studies linear systems under sustained additive random perturbations. The stable operating point of an electric power system is replaced by an attracting stationary solution if the system is subjected to (small) random additive perturbations. The invariant distribution of this stationary solution gives rise to several performance indices that measure how well the system copes with the randomness. These indices are introduced, showing how they can be used for the optimal tuning of system parameters in the presence of noise. Results on a four-generator two-area system are presented and discussed.</t>
  </si>
  <si>
    <t>Kliemann, Wolfgang/0000-0002-9986-5500; vargas, Luis/0000-0001-6539-1768</t>
  </si>
  <si>
    <t>1024-123X</t>
  </si>
  <si>
    <t>1563-5147</t>
  </si>
  <si>
    <t>10.1155/2014/432548</t>
  </si>
  <si>
    <t>WOS:000345043800001</t>
  </si>
  <si>
    <t>Diaz, PS; Solar, PA; Juica, NE; Orihuela, PA; Cardenas, H; Christodoulides, M; Vargas, R; Velasquez, LA</t>
  </si>
  <si>
    <t>Diaz, Patricia S.; Solar, Paula A.; Juica, Natalia E.; Orihuela, Pedro A.; Cardenas, Hugo; Christodoulides, Myron; Vargas, Renato; Velasquez, Luis A.</t>
  </si>
  <si>
    <t>Differential expression of extracellular matrix components in the Fallopian tubes throughout the menstrual cycle</t>
  </si>
  <si>
    <t>REPRODUCTIVE BIOLOGY AND ENDOCRINOLOGY</t>
  </si>
  <si>
    <t>Background: One of the unique characteristics of the female genital tract is the extensive tissue remodeling observed throughout the menstrual cycle. Multiple components of the extracellular matrix take part in this tissue rebuilding; however, the individual components involved have not been identified. Methods: In the present study, the expression of extracellular matrix proteins and selected matrix metalloproteinase (MMP) activities in Fallopian tubes (FT) throughout the menstrual cycle were examined by PCR array, immunocytochemistry, zymography and bioinformatics. Results: Of the eighty-four genes analyzed, eighty-three were expressed in the FT during at least one stage of the menstrual cycle. We observed a significant increase (&gt;/=2-fold) in ADAMTS1, ADAMTS13, COL7A1, MMP3, MMP9, PECAM1, and THBS3 in the periovulatory phase compared to the follicular phase. Meanwhile, we observed a significant decrease (&gt;/=2-fold) in COL7A1, ICAM1, ITGA8, MMP16, MMP9, CLEC3B, SELE and TIMP2 in the lutheal phase compared to the periovulatory phase. Immunocytochemistry showed that MMP-3 and MMP-9 were localized in the endosalpinx during all phases of the menstrual cycle. Gelatin zymograms detected non-cycle-dependent protease activity. Conclusions: Several extracellular matrix components were regulated throughout the menstrual cycle in a cyclic pattern, suggesting a possible steroid regulation and a role in tissue remodeling and FT functions.</t>
  </si>
  <si>
    <t>Díaz, Patricia/GOV-2972-2022; Christodoulides, Myron/C-6699-2011</t>
  </si>
  <si>
    <t>Solar, Paula/0000-0002-7035-7270; Velasquez, Luis/0000-0002-9479-1792; Christodoulides, Myron/0000-0002-9663-4731; Diaz, Patricia/0000-0003-2099-1019</t>
  </si>
  <si>
    <t>1477-7827</t>
  </si>
  <si>
    <t>AUG 16</t>
  </si>
  <si>
    <t>10.1186/1477-7827-10-56</t>
  </si>
  <si>
    <t>WOS:000310751900001</t>
  </si>
  <si>
    <t>Muñoz, MA; Urzúa, A; Echeverría, J; Bucio, MA; Hernández-Barragán, A; Joseph-Nathan, P</t>
  </si>
  <si>
    <t>Munoz, Marcelo A.; Urzua, Alejandro; Echeverria, Javier; Bucio, Maria A.; Hernandez-Barragan, Angelina; Joseph-Nathan, Pedro</t>
  </si>
  <si>
    <t>Determination of absolute configuration of salvic acid, an ent-labdane from Eupatorium salvia, by vibrational circular dichroism</t>
  </si>
  <si>
    <t>The relative stereochemistry at C13 and the absolute configuration of salvic acid, a constituent of the leaves of Eupatorium salvia, were established as the 13-(R)-ent-labdane 1. The results follow from vibrational circular dichroism measurements of the derived 0-methyl ether methyl ester 3 which were compared to OFT B3LYP/DGDZVP calculated spectra. The relative stereochemistry of salvic acid at C13 was independently verified by single crystal X-ray diffraction measurements of 1, and of its derived diol 4. (C) 2012 Elsevier Ltd. All rights reserved.</t>
  </si>
  <si>
    <t>Muñoz, Marcelo/S-7373-2019; Echeverría, Javier/AAK-3323-2020</t>
  </si>
  <si>
    <t>Munoz, Marcelo A./0000-0003-2691-572X; Urzua, Alejandro/0000-0003-2638-0921; Echeverria, Javier/0000-0002-1688-968X</t>
  </si>
  <si>
    <t>10.1016/j.phytochem.2012.04.014</t>
  </si>
  <si>
    <t>WOS:000306729800013</t>
  </si>
  <si>
    <t>Ochoa, H; Fornaro, O; Bustos, O; Schulz, B</t>
  </si>
  <si>
    <t>Ochoa, H.; Fornaro, O.; Bustos, O.; Schulz, B.</t>
  </si>
  <si>
    <t>Directional solidification of dilute Sn-Pb alloys</t>
  </si>
  <si>
    <t>INTERNATIONAL JOURNAL OF CAST METALS RESEARCH</t>
  </si>
  <si>
    <t>Microstructure evolution and pattern formation during directional solidification of dilute Sn-Pb system were analysed. Planar, cellular and dendritic morphologies were obtained by adequate thermal gradient and interface velocity control. The samples were obtained from pure elements in concentrations of 0.05, 1.0 and 4.0 wt-% Pb. Growth was carried out in a Bridgman device in the velocity range of 0.38-30 mu m s(-1) at thermal gradients from 1.3 to 2.6 degrees C mm(-1). The samples were examined using metallographic techniques to determine their morphology and dimensional characteristics. The system was analysed to describe the different stages of evolution of the morphology and transitions. It was observed that both primary cellular and dendritic spacing decreased with increasing velocity. However, in the cellular-dendritic transition zone, an important increase in spacing was detected and basically associated with convective effects during irregular cellular growth.</t>
  </si>
  <si>
    <t>Fornaro, Osvaldo/AAP-8158-2020; Ochoa, Humberto/AAH-9154-2019</t>
  </si>
  <si>
    <t>Fornaro, Osvaldo/0000-0003-1150-8531; Ochoa Dominguez, Humberto de Jesus/0000-0002-3400-9279</t>
  </si>
  <si>
    <t>1364-0461</t>
  </si>
  <si>
    <t>10.1179/1743133612Y.0000000010</t>
  </si>
  <si>
    <t>WOS:000307436700002</t>
  </si>
  <si>
    <t>Cárdenas-Jirón, GI; Barboza, CA; López, R; Menéndez, MI</t>
  </si>
  <si>
    <t>Cardenas-Jiron, Gloria I.; Barboza, Cristina A.; Lopez, Ramon; Isabel Menendez, M.</t>
  </si>
  <si>
    <t>Theoretical Study on the Electronic Excitations of a Porphyrin-Polypyridyl Ruthenium(II) Photosensitizer</t>
  </si>
  <si>
    <t>JOURNAL OF PHYSICAL CHEMISTRY A</t>
  </si>
  <si>
    <t>In this work, we investigated the UV-vis spectra of the [Ru(bipy)(2)(MPyTPP)Cl](+) (MPyTPP = 5-pyridyl-15, 20,25-triphenylporphyrin) complex and its related species [Ru(bipy)(2)(py)Cl](+) and MPyTPP, by using time-dependent density functional theory and a set of functionals (B3LYP, M05, MPWB1K, and PBE0) in chloroform with the basis set 6-31++G-(d,p) for nonmetal atoms and the pseudopotential LANL2DZ for Ru. Practically no geometrical changes are observed in the Ru environment when py ligand is replaced by MPyTPP. This replacement favors the electronic redistribution from bipy ligands to Ru, and from the metal to MPyTPP ligand, as indicated by NBO analysis. We found that M05 functional predicts very well the UV-vis spectra, as it shows a low deviation with respect to the experimental data, with a maximum error of 0.19 eV (11 nm). M05 theoretical electronic spectrum of [Ru(bipy)(2)(MPyTPP)Cl](+) complex indicates that the presence of the Ru complex does not alter Q porphyrin bands, while charge transfer bands from Ru to bipy and porphyrin ligands mixes up in the region close to the porphyrin Soret band. Theoretical analysis allows the decomposition of this broad experimental band into specific ones identifying the Soret band and new metal to ligand charge transfers toward porphyrin at 425 and 478 am, which were not possible in none of the moieties MPyTPP and [Ru(bipy)(2)(Py)Cl](+) complex. In the UV region, the most intense intraligand band of bipy ligands becomes slightly blue-shifted both in the experimental and in the theoretical spectrum of [Ru(bipy)(2)(MPyTPP)Cl](+) complex compared to that in [Ru(bipy)(2)(py)Cl](+) complex. Some of the bands of [Ru(bipy)(2)(MPyTPP)Cl](+) showed in this theoretical study may have practical applications. That is the case for the band at 478 nm, with potential use in PDT, and those more energetic at 348 and 329 nm, which could help in the cleavage mechanism of DNA performed by this ruthenium complex.</t>
  </si>
  <si>
    <t>Barboza, Cristina/B-1038-2013; LOPEZ, RAMON/H-5078-2015; Menendez, M. Isabel/B-7698-2009; Cardenas-Jiron, Gloria/H-9508-2012</t>
  </si>
  <si>
    <t>1089-5639</t>
  </si>
  <si>
    <t>1520-5215</t>
  </si>
  <si>
    <t>NOV 3</t>
  </si>
  <si>
    <t>10.1021/jp202377d</t>
  </si>
  <si>
    <t>WOS:000296169800007</t>
  </si>
  <si>
    <t>López-Alarcón, C; Duffe, F; Lissi, E; Olea-Azar, C; Leiva, A</t>
  </si>
  <si>
    <t>Lopez-Alarcon, Camilo; Duffe, Felipe; Lissi, Eduardo; Olea-Azar, Claudio; Leiva, Angel</t>
  </si>
  <si>
    <t>Reaction of Diphenylpicrylhydrazyl (DPPH) with Antioxidants in Presence of Poly(ε-caprolactone)/Poly(N-vinyl-2-pyrrolidone) Block Copolymer Nanoaggregates</t>
  </si>
  <si>
    <t>The reaction of antioxidants with 2,2-diphenyl-l-picrylhydrazyl (DPPH) has been studied employing both, ethanol and nano aggregates biodegradable block copolymers (BBC) in aqueous solution, as reaction media. Gal late derivatives with different chain lengths (gallic acid, methyl, propyl and octyl gallate) were used as antioxidants model, and BBC containing a central section of poly-epsilon-caprolactone (PCL) and three arms of poly-vinylpirrolidone (PVP) were used to originate nano aggregates in aqueous solution. The course of the reaction was followed by the changes of the DPPH absorption band at 517 nm. In ethanol, using an excess of antioxidants, DPPH was consumed completely by all gallate derivatives. Nevertheless, when the same reaction was carried out in aqueous nano aggregates of BBC, only a partial consumption of DPPH was observed, suggesting the occurrence of a complex reaction mechanism.</t>
  </si>
  <si>
    <t>Lopez, Camilo/J-5770-2013; OLEA AZAR, CLAUDIO/I-1605-2013</t>
  </si>
  <si>
    <t>Leiva-Campusano, Angel Rodrigo/0000-0003-3744-1945; Lopez, Camilo/0000-0002-0174-8972; OLEA AZAR, CLAUDIO/0000-0001-5805-0746</t>
  </si>
  <si>
    <t>10.1166/jnn.2011.3537</t>
  </si>
  <si>
    <t>WOS:000286344400029</t>
  </si>
  <si>
    <t>Alarcón, H; Ramos, O; Vanel, L; Vittoz, F; Melo, F; Géminard, JC</t>
  </si>
  <si>
    <t>Alarcon, Hector; Ramos, Osvanny; Vanel, Loic; Vittoz, Franck; Melo, Francisco; Geminard, Jean-Christophe</t>
  </si>
  <si>
    <t>Softening Induced Instability of a Stretched Cohesive Granular Layer</t>
  </si>
  <si>
    <t>We report on a cellular pattern which spontaneously forms at the surface of a thin layer of a cohesive granular material submitted to in-plane stretching. We present a simple model in which the mechanism responsible of the instability is the strain softening exhibited by humid granular materials above a typical strain. Our analysis indicates that such a type of instability should be observed in any system presenting a negative stress sensitivity to strain perturbations.</t>
  </si>
  <si>
    <t>Melo, Francisco/M-3923-2014; Ramos, Osvanny/S-5525-2016; Vanel, Loic/L-6228-2015</t>
  </si>
  <si>
    <t>GEMINARD, Jean-Christophe Nicolas Denis/0000-0002-9773-4806; Alarcon, Hector/0000-0003-4603-4946; Ramos, Osvanny/0000-0001-6014-4944; Melo, Francisco Esteban/0000-0001-6818-5476; Vanel, Loic/0000-0001-9137-729X</t>
  </si>
  <si>
    <t>10.1103/PhysRevLett.105.208001</t>
  </si>
  <si>
    <t>WOS:000284052700015</t>
  </si>
  <si>
    <t>Falomir, H; Gamboa, J; López-Sarrión, J; Méndez, F; da Silva, AJ</t>
  </si>
  <si>
    <t>Falomir, H.; Gamboa, J.; Lopez-Sarrion, J.; Mendez, F.; da Silva, A. J.</t>
  </si>
  <si>
    <t>Vortices in U(1) noncommutative gauge fields</t>
  </si>
  <si>
    <t>Charged vortex solutions for the noncommutative Maxwell-Higgs model in 3+1 dimensions are found. We show that the stability of these vortex solutions is lost for some, large enough, noncommutativity parameters. A nontopological charge, however, is induced by noncommutative effects.</t>
  </si>
  <si>
    <t>Mendez, Fernando/0000-0002-9257-9552; Falomir, Horacio/0000-0001-8188-1062; Lopez Sarrion, Justo Javier/0000-0002-2868-194X</t>
  </si>
  <si>
    <t>10.1103/PhysRevD.74.047701</t>
  </si>
  <si>
    <t>WOS:000240239500133</t>
  </si>
  <si>
    <t>Pérez, H; Ruiz, S; Núñez, H; White, A; Gotteland, M; Hernández, A</t>
  </si>
  <si>
    <t>Perez, H.; Ruiz, S.; Nunez, H.; White, A.; Gotteland, M.; Hernandez, A.</t>
  </si>
  <si>
    <t>Paraventricular-coerulear interactions:: role in hypertension induced by prenatal undernutrition in the rat</t>
  </si>
  <si>
    <t>EUROPEAN JOURNAL OF NEUROSCIENCE</t>
  </si>
  <si>
    <t>Rats submitted to fetal growth retardation by in utero malnutrition develop hypertension when adult, showing increased hypothalamic mRNA expression for corticotropin-releasing hormone (CRH) and increased central noradrenergic activity. As hypothalamic CRH serves as an excitatory neurotransmitter within the locus coeruleus (LC) and coerulear norepinephrine plays a similar role within the paraventricular nucleus (PVN) of the hypothalamus, we studied, in both normal and prenatally undernourished 40-day-old anesthetized rats, the effects of intra-LC microinjection of CRH and intra-PVN microinjection of the alpha(1)-adrenoceptor antagonist prazosin on multiunit neuronal activity recorded simultaneously from the two nuclei, as well as the effects on systolic pressure. Undernutrition was induced during fetal life by restricting the diet of pregnant mothers to 10 g daily, whereas mothers of control rats received the same diet ad libitum. At day 40 of postnatal life: (i) undernourished rats showed increased neuronal activity in the PVN and LC, as well as increased systolic pressure; (ii) intra-LC CRH stimulated LC and PVN neurons and increased systolic pressure only in normal rats; (iii) intra-PVN prazosin decreased LC and PVN neuronal activity and systolic pressure only in undernourished rats; and (iv) in normal rats, prazosin prevented the stimulatory effect of CRH only in PVN activity; in undernourished rats, prazosin allowed CRH to regain its stimulatory effects. The results point to the existence of an excitatory PVN-LC closed loop, which seems to be hyperactive in prenatally undernourished rats as a consequence of fetal programming; this loop could be responsible, in part, for the hypertension developed by these animals.</t>
  </si>
  <si>
    <t>Núñez, Héctor/AEL-0196-2022; Gotteland, Martin/A-1841-2008; Hernandez, Alejandro/M-4796-2019</t>
  </si>
  <si>
    <t>Nunez Alarcon, Hector/0009-0006-9234-9446; Hernandez, Alejandro/0000-0001-9222-6522</t>
  </si>
  <si>
    <t>0953-816X</t>
  </si>
  <si>
    <t>10.1111/j.1460-9568.2006.04997.x</t>
  </si>
  <si>
    <t>WOS:000239979800026</t>
  </si>
  <si>
    <t>Ispolatov, I; Krapivsky, PL; Mazo, I; Yuryev, A</t>
  </si>
  <si>
    <t>Cliques and duplication-divergence network growth</t>
  </si>
  <si>
    <t>A population of complete subgraphs or cliques in a protein network model is studied. The network evolves via duplication and divergence supplemented with linking a certain fraction of target-replica vertex pairs. We derive a clique population distribution, which scales linearly with the size of the network and is in perfect agreement with numerical simulations. Fixing both parameters of the model so that the number of links and abundance of triangles are equal to those observed in the fruitfly protein-binding network, we precisely predict the 4- and 5-clique abundance. In addition, we show that such features as fat-tail degree distribution, various rates of average degree growth and non-averaging, revealed recently for a particular case of a completely asymmetric divergence, are present in a general case of arbitrary divergence.</t>
  </si>
  <si>
    <t>Krapivsky, Pavel/A-4612-2014; Mazo, Ilya/G-6549-2014; Ispolatov, Iaroslav/E-8544-2010</t>
  </si>
  <si>
    <t>Mazo, Ilya/0000-0002-8587-4895; Ispolatov, Iaroslav/0000-0002-0201-3396; Yuryev, Anton/0000-0003-1021-4849</t>
  </si>
  <si>
    <t>JUN 17</t>
  </si>
  <si>
    <t>10.1088/1367-2630/7/1/145</t>
  </si>
  <si>
    <t>WOS:000229836500002</t>
  </si>
  <si>
    <t>Stepanova, MV; Antonova, EE; Troshichev, O</t>
  </si>
  <si>
    <t>Daly, E; FullerRowell, TJ; Heynderickx, D; Onsager, T; Shea, MA</t>
  </si>
  <si>
    <t>Forecasting of DST variations from polar cap indices using neural networks</t>
  </si>
  <si>
    <t>SPACE WEATHER</t>
  </si>
  <si>
    <t>ADVANCES IN SPACE RESEARCH-SERIES</t>
  </si>
  <si>
    <t>The 15-min averaged polar cap (PC) index was used as an input parameter for the Dst variation forecasting. The PC index is known to describe well the principal features of the solar wind as well as the total energy input to the magnetosphere. This allowed us to design a neural network able to forecast the Dst variations from I to 4 h ahead. 1998 PC and Dst data sets were used for training and testing and 1997 data sets was used for validation proposes. From the 15 moderate and strong geomagnetic storms observed during 1997, nine were successfully forecasted. In three cases the observed minimum Dst value was less than the predicted one, and only in three cases the neural network was not able to reproduce the features of the geomagnetic storm. (c) 2005 COSPAR. Published by Elsevier Ltd. All rights reserved.</t>
  </si>
  <si>
    <t>Stepanova, Marina/D-6329-2011; Antonova, Elizaveta/A-2716-2012</t>
  </si>
  <si>
    <t>Stepanova, Marina/0000-0002-1053-3375; Antonova, Elizaveta/0000-0001-6980-3993</t>
  </si>
  <si>
    <t>10.1016/j.asr.2003.09.073</t>
  </si>
  <si>
    <t>WOS:000235183100037</t>
  </si>
  <si>
    <t>Escudey, M; Galindo, G; Briceño, M; Chang, AC</t>
  </si>
  <si>
    <t>Influence of particle size on 31P-NMR analysis of extracts from volcanic ashderived soils in Chile</t>
  </si>
  <si>
    <t>The phosphorus distribution in soil (&lt;2 mm) and in clay size separates (&lt;2 mum) of two uncultivated volcanic soils from southern Chile (one Ultisol and one Andisol) was studied by phosphorus-31 nuclear magnetic resonance spectroscopy (P-31-NMR). The total P content ranges of the Ultisol samples were 733-1108 mg kg(-1) (soil) and 746-896 mg kg(-1) (clay), lower than 2163-2216 mg kg(-1) (soil) and 2683-3362 mg kg(-1) (clay) obtained for Andisol samples. In both fractions the P-31-NMR spectra of a single alkaline extraction, using 0.25 M NaOH and Chelex 100, showed the presence of inorganic orthophosphate, monoester-P, diester-P and pyrophosphate. Phospholipids-teichoic acids P were observed, but only in the clay size separates of the Andisol. Important differences in spectra of soils and clay size separates were observed only in samples with high organic matter content. The clay size separates enriched with organic matter have more and better defined signals of organic P forms. This allows the identification of P forms that might not be detected by P-31-NMR in the whole soil extracts.</t>
  </si>
  <si>
    <t>0717-9324</t>
  </si>
  <si>
    <t>WOS:000189308600002</t>
  </si>
  <si>
    <t>Salazar, I; Escudey, M; Guajardo, J; Goulding, KWT</t>
  </si>
  <si>
    <t>Effects of organic matter and iron oxides on cation exchange equilibria and potassium selectivity in a volcanic ash soil of Chile</t>
  </si>
  <si>
    <t>The volcanic ash soils of Chile are naturally acidic, of variable charge, relatively rich in organic matter (OM) and contain little reserves of potassium (K). Ion exchange controls the availability of nutrient cations such as K and is strongly influenced by the OM and iron oxide content of the soils. Agricultural use has depleted OM, destabilized structure and made the soils more acidic. To obtain basic information to guide soil management for nutrient availability, we measured calcium-potassium (Ca-K), calcium-sodium (Ca-Na) and calcium-magnesium (Ca-Mg) exchange equilibria at 5degreesC and 25degreesC in three &lt; 2 mum fractions of a Vilcun Series volcanic ash soil of Chile: the whole fraction-Clay, the fraction with OM removed-Clay-OM, and the fraction with OM and iron oxides removed-Clay-OM-Fe. The cation exchange capacity of the fractions decreased in the order Clay-OM-Fe &gt; Clay - OM &gt; Clay because the OM, especially, and to some extent Fe blocks exchange sites, and because removing Fe increases the pH and the cation exchange sites. The selectivity coefficients for exchange were calculated by the Gaines and Thomas method. Graphs of the selectivity coefficient against fractional saturation suggested three types of exchange sites, a first group with some limited selectivity for Na and K over Ca at small Na and K saturations (15-20% of the exchange complex), and two different types with selectivity decreasing with increasing Na and K saturation. Calcium was preferred to Mg for the whole exchange.</t>
  </si>
  <si>
    <t>Goulding, Keith Walter Thomas/B-2635-2012</t>
  </si>
  <si>
    <t>Goulding, Keith Walter Thomas/0000-0002-6465-1465</t>
  </si>
  <si>
    <t>19-20</t>
  </si>
  <si>
    <t>10.1081/CSS-120015914</t>
  </si>
  <si>
    <t>WOS:000179962000010</t>
  </si>
  <si>
    <t>Faini, F; Labbe, C; Salgado, I; Coll, J</t>
  </si>
  <si>
    <t>Chemistry toxicity and antifeedant activity of the resin of Flourensia thurifera</t>
  </si>
  <si>
    <t>BIOCHEMICAL SYSTEMATICS AND ECOLOGY</t>
  </si>
  <si>
    <t>The resin extract from leaves and stems of Flourensia thurifera displayed high levels of activity in the brine shrimp (Artemia salina) and antifeedant disk-choice (Spodoptera littoralis) bioassays. A bioassay-guided fractionation of the extract led to the isolation of nine known aromatic compounds (1-9) including coumarins, chromenes, a benzofuran, a flavonoid and p-coumaric acid derivatives. The results of bioassays on the pure compounds are discussed. (C) 1997 Elsevier Science Ltd.</t>
  </si>
  <si>
    <t>TOLEDANO, JOSE/AAJ-5842-2020</t>
  </si>
  <si>
    <t>0305-1978</t>
  </si>
  <si>
    <t>1873-2925</t>
  </si>
  <si>
    <t>10.1016/S0305-1978(96)00100-7</t>
  </si>
  <si>
    <t>WOS:A1997XD14600001</t>
  </si>
  <si>
    <t>CROSS, D; FARIAS, G; DOMINGUEZ, J; AVILA, J; MACCIONI, RB</t>
  </si>
  <si>
    <t>CARBOXYL-TERMINAL SEQUENCES OF BETA-TUBULIN INVOLVED IN THE INTERACTION OF HMW-MAPS - STUDIES USING SITE-SPECIFIC ANTIBODIES</t>
  </si>
  <si>
    <t>MOLECULAR AND CELLULAR BIOCHEMISTRY</t>
  </si>
  <si>
    <t>After the finding of the involvement of the C-terminal moieties of tubulin subunits in the interaction of MAPs, different studies have focused on the substructure of the binding domains for the different MAPs. Current biochemical evidence point to the role of a low-homology sequence between alpha and beta-subunits within the conserved region of the C-terminal domain of tubulin, in the binding of MAP-2 and tau. Another line of studies indicates that a site for interaction of the high molecular weight MAPs is located in the variable region defined by the glutamic-rich C-terminus of beta-tubulin. Here, we report the usefulness of idiotypic site-directed antibodies, produced by immunization with peptides from different beta-tubulin isoforms, to study both MAP-1 and MAP-2 binding sites on tubulin. On the basis of these results with site-specific antibodies along with previous structural information (Cross et al., 1991, Biochemistry 30: 4362-4366), we propose the role of consensus sequences, from the invariant beta-tubulin C-terminal domain in the binding of MAP-2 and from the variable domain in the interactions of MAP-1 and MAP-2.</t>
  </si>
  <si>
    <t>Maccioni, Ricardo/ABA-9608-2020; Avila, Jesus/I-2610-2015</t>
  </si>
  <si>
    <t>Avila, Jesus/0000-0002-6288-0571</t>
  </si>
  <si>
    <t>0300-8177</t>
  </si>
  <si>
    <t>1573-4919</t>
  </si>
  <si>
    <t>10.1007/BF00925677</t>
  </si>
  <si>
    <t>WOS:A1994NT09400010</t>
  </si>
  <si>
    <t>Yánez, D; Espinoza, LC; Vargas, I; Romero, J; Aguirre, MJ; Arce, R; Quijada-Maldonado, E; Abejon, R</t>
  </si>
  <si>
    <t>Yanez, D.; Espinoza, L. C.; Vargas, I.; Romero, J.; Aguirre, M. J.; Arce, R.; Quijada-Maldonado, E.; Abejon, Ricardo</t>
  </si>
  <si>
    <t>Treated greywater as a novel water resource: the perspective of greywater treatment for reuse from a bibliometric analysis</t>
  </si>
  <si>
    <t>WATER SCIENCE AND TECHNOLOGY</t>
  </si>
  <si>
    <t>The current global water crisis has prompted research into technologies that can reuse different water resources to mitigate water scarcity. The use of treated greywater can be proposed to provide additional water resources. By reusing this water in different applications, the global water crisis can be mitigated at the local scale. This study presents a bibliometric analysis to assess the state of the art of greywater treatment and its reuse technologies. This analysis is based on the scientific literature published until 2023 in the database Scopus regarding greywater treatment and 1,024 documents were found. The results showed a clear exponential increase in the accumulated number of publications in this topic, which was spurred during the mid-1990s. The most prolific country was the United States, while China, the other typical scientific superpower in most fields, occupied the sixth position in the ranking. Environmental Sciences was the knowledge subject with more documents, followed by Engineering and Chemical Engineering. The bibliometric study was complemented using SciMAT to create bibliometric networks that represent the evolution of the themes throughout time. The most important themes were identified, among which three key points stand out: greywater characterization, technologies for greywater treatment, and water management, including the reuse of treated greywater.</t>
  </si>
  <si>
    <t>Arce, Roxana/V-8140-2019; Aguirre, Maria/A-3935-2013; Romero, Julio/I-6705-2013; Abejon, Ricardo/I-7171-2019; Espinoza, Carolina/HSH-9507-2023</t>
  </si>
  <si>
    <t>Romero, Julio/0000-0002-1229-1592; ARCE, ROXANA/0000-0002-1387-9232; Quijada-Maldonado, Esteban/0000-0003-1411-4327; ABEJON, Ricardo/0000-0002-8030-7752; Yanez Sevilla, Diana/0000-0003-2840-5731</t>
  </si>
  <si>
    <t>0273-1223</t>
  </si>
  <si>
    <t>1996-9732</t>
  </si>
  <si>
    <t>10.2166/wst.2024.384</t>
  </si>
  <si>
    <t>WOS:001367028700001</t>
  </si>
  <si>
    <t>Carvajal, A; Sepúlveda, C; Navia, D; Poblete-Castro, I; Pinto-Ibieta, F; Serrano, A</t>
  </si>
  <si>
    <t>Carvajal, Andrea; Sepulveda, Claudio; Navia, Daniel; Poblete-Castro, Ignacio; Pinto-Ibieta, Fernanda; Serrano, Antonio</t>
  </si>
  <si>
    <t>Bulking agent in dry anaerobic digestion as a key factor for the enhancement of biogas production</t>
  </si>
  <si>
    <t>NEW BIOTECHNOLOGY</t>
  </si>
  <si>
    <t>Dry anaerobic digestion (dry-AD) is an attractive process for solid wastes such as agri-food waste. However, some limitations mainly associated to lack of effective mixing, can hinder the methane production capacity of the systems. Bulking agent (BA) has been proposed as a solution to the compaction issues in systems without mechanical agitation, such as leaching bed reactors. However, effects of BA are still not clear, and, thus, the factors to consider for its dose has not been optimized yet. This work studies the effect of BA in dry-AD. Two substrates with different characteristics were proposed as models, bean peel as a lignocellulosic substrate and a mixture of food waste as a readily biodegradable substrate. Inert plastic rings were used as BA at different BA:S ratios. Assessed BA:S ratio did not affect the performance of methane production for the lignocellulosic waste, but it did significantly affect to the easily biodegradable substrate, showing up to a 28% of methane production increase. This result could be due to the presence of lignocellulosic compounds in the bean peel, behaving like a natural BA. In assays with an increased bed height, the compaction of the system was more severe, resulting in the rapid acidification of the processes. At these conditions, the positive effect of BA addition was more marked, allowing methane production and no acidification of the system. Thus, the addition of BA is a suitable strategy for improving methane production or stability in dry-AD systems without requiring the stirring of the systems.</t>
  </si>
  <si>
    <t>Poblete-Castro, Ignacio/J-2755-2019; Guevara, Andrea/G-1602-2011</t>
  </si>
  <si>
    <t>Pinto-Ibieta, Fernanda/0000-0001-6005-886X; Poblete-Castro, Ignacio/0000-0001-6649-0389; Navia, Daniel/0000-0003-3541-3692</t>
  </si>
  <si>
    <t>1871-6784</t>
  </si>
  <si>
    <t>1876-4347</t>
  </si>
  <si>
    <t>10.1016/j.nbt.2024.05.002</t>
  </si>
  <si>
    <t>WOS:001242584600001</t>
  </si>
  <si>
    <t>Kirpichev, IP; Antonova, EE; Stepanova, MV</t>
  </si>
  <si>
    <t>Kirpichev, I. P.; Antonova, E. E.; Stepanova, M. V.</t>
  </si>
  <si>
    <t>On the Relationship Between Regions of Large-Scale Field-Aligned Currents and Regions of Plateau in Plasma Pressure Observed in the Equatorial Plane of the Earth's Magnetosphere</t>
  </si>
  <si>
    <t>GEOPHYSICAL RESEARCH LETTERS</t>
  </si>
  <si>
    <t>Since the discovery of the large-scale field-aligned currents it is widely acknowledged that gaps exist between the Region 1 (R1) and Region 2 (R2) currents in which the current values are relatively small as compared to neighboring regions. Assuming that the field-aligned currents are generated by plasma pressure gradients, we analyzed data collected by the THEMIS satellites between 2007 and 2011 to identify regions with very low plasma pressure gradients (pressure plateaus), which could be responsible for the appearance of these gaps. It was found that the pressure profiles with low radial gradients are typically located between 8 and 10 Radii around the Earth. Projections of pressure plateau regions onto ionospheric altitudes, for both individual events and on a statistical basis, coincide with the locations of gaps between Iijima and Potemra field-aligned currents. The role played by identified pressure plateaus in shaping the pattern of large-scale field-aligned currents is discussed. Field-aligned currents that flow between the magnetosphere and ionosphere along magnetic field lines play a crucial role in magnetosphere-ionosphere interactions. Despite being discovered at the start of the space era, their origins are still subject to debate. In our current study, we have established that the observed gaps between the upward and downward currents correspond to the plateau regions of constant plasma pressure, as obtained using data from the THEMIS mission. This finding provides strong evidence in favor of the generation of field-aligned currents by plasma pressure gradients in the transition region between the dipole and tail-like geomagnetic field. This is a critical piece of information for understanding the global dynamics of Earth's magnetosphere. During quiet geomagnetic conditions, the regions of plasma pressure plateau are observed in the inner magnetosphereThese regions are located at geocentric distances of 8-10 RE forming a ring surrounding the EarthThe localization of the plasma pressure plateau region and gaps between the Region 1 and 2 currents should be located at the same distance</t>
  </si>
  <si>
    <t>Kirpichev, Igor/HHM-2487-2022; Stepanova, Marina/D-6329-2011; Antonova, Elizaveta/A-2716-2012</t>
  </si>
  <si>
    <t>0094-8276</t>
  </si>
  <si>
    <t>1944-8007</t>
  </si>
  <si>
    <t>SEP 28</t>
  </si>
  <si>
    <t>e2023GL105190</t>
  </si>
  <si>
    <t>10.1029/2023GL105190</t>
  </si>
  <si>
    <t>WOS:001065338600001</t>
  </si>
  <si>
    <t>Rojas, F; Cárdenas, R; Burgos-Mellado, C; Espina, E; Pereda, J; Pineda, C; Arancibia, D; Díaz, M</t>
  </si>
  <si>
    <t>Rojas, Felix; Cardenas, Roberto; Burgos-Mellado, Claudio; Espina, Enrique; Pereda, Javier; Pineda, Cristian; Arancibia, David; Diaz, Matias</t>
  </si>
  <si>
    <t>An Overview of Four-Leg Converters: Topologies, Modulations, Control and Applications</t>
  </si>
  <si>
    <t>In three-phase unbalanced systems, where the circulation of zero sequence current is necessary, four-leg converters provide a neutral connection for single-phase or other unbalanced loads typically utilized in three-phase distribution systems. In addition, control of the magnitude and phase of the zero-sequence voltage and/or current are also achieved using four-leg power converters. However, even when four-leg converters have become very important in several fields as for instance, four-leg microgrids and aerospace applications, a comprehensive review of the converter topologies, control methods, modulation methods and output filters have not been hitherto published. In this paper, a comprehensive overview of the state-of-the-art of four-leg converters is presented, based on the selection of over 400 papers published in journals and conferences, identifying mature and incipient topologies, modulation strategies, control schemes and applications. Each topic presented in this work is thoroughly discussed and reviewed, analyzing characteristics, implementation issues, and reported advantages and disadvantages to provide a comprehensive overview of the current research and future challenges in four-leg converters. The most important applications of four-leg converters are also discussed in this work, including stand-alone power supply, uninterruptible power supplies, grid-connected 4-leg inverters, ground power units for aerospace applications, active filtering for power quality enhancement, cooperative control of 4-leg converters for micro-grid applications, among others. Finally, future work and conclusions are highlighted in this paper.</t>
  </si>
  <si>
    <t>Rojas, Felix/U-3305-2019; Burgos-Mellado, Claudio/X-6305-2019; Espina, Enrique/AGZ-7297-2022; Diaz, Matias/R-7570-2018; Cardenas, Roberto/C-6395-2011; Pereda Torres, Javier/F-8244-2013</t>
  </si>
  <si>
    <t>Burgos-Mellado, Claudio/0000-0003-1990-0191; Rojas, Felix/0000-0001-6145-2826; Espina, Enrique/0000-0002-2075-2010; Diaz, Matias/0000-0003-4489-9532; Cardenas, Roberto/0000-0003-3853-7703; Pereda Torres, Javier/0000-0002-3407-5233</t>
  </si>
  <si>
    <t>10.1109/ACCESS.2022.3180746</t>
  </si>
  <si>
    <t>WOS:000811550800001</t>
  </si>
  <si>
    <t>Villanueva, P; Vásquez, G; Gil-Durán, C; Oliva, V; Díaz, A; Henríquez, M; Alvarez, E; Laich, F; Chávez, R; Vaca, I</t>
  </si>
  <si>
    <t>Villanueva, Pablo; Vasquez, Ghislaine; Gil-Duran, Carlos; Oliva, Vicente; Diaz, Anai; Henriquez, Marlene; Alvarez, Eduardo; Laich, Federico; Chavez, Renato; Vaca, Inmaculada</t>
  </si>
  <si>
    <t>Description of the First Four Species of the Genus Pseudogymnoascus From Antarctica</t>
  </si>
  <si>
    <t>The genus Pseudogymnoascus represents a diverse group of fungi widely distributed in different cold regions on Earth. Our current knowledge of the species of Pseudogymnoascus is still very limited. Currently, there are only 15 accepted species of Pseudogymnoascus that have been isolated from different environments in the Northern Hemisphere. In contrast, species of Pseudogymnoascus from the Southern Hemisphere have not yet been described. In this work, we characterized four fungal strains obtained from Antarctic marine sponges. Based on multilocus phylogenetic analyses and morphological characterizations we determined that these strains are new species, for which the names Pseudogymnoascus antarcticus sp. nov., Pseudogymnoascus australis sp. nov., Pseudogymnoascus griseus sp. nov., and Pseudogymnoascus lanuginosus sp. nov. are proposed. Phylogenetic analyses indicate that the new species form distinct lineages separated from other species of Pseudogymnoascus with strong support. The new species do not form sexual structures and differ from the currently known species mainly in the shape and size of their conidia, the presence of chains of arthroconidia, and the appearance of their colonies. This is the first report of new species of Pseudogymnoascus not only from Antarctica but also from the Southern Hemisphere.</t>
  </si>
  <si>
    <t>Duarte, Eduardo/Q-7341-2019; Alvarez Duarte, Eduardo/F-3174-2013</t>
  </si>
  <si>
    <t>Villanueva Diaz, Pablo Nicolas/0009-0006-8895-0335; Diaz Morales, Anai/0009-0001-0099-6384; Alvarez Duarte, Eduardo/0000-0001-6117-7916</t>
  </si>
  <si>
    <t>NOV 19</t>
  </si>
  <si>
    <t>10.3389/fmicb.2021.713189</t>
  </si>
  <si>
    <t>WOS:001027066400001</t>
  </si>
  <si>
    <t>Costa, M; Freiría-Gándara, J; Losada-Barreiro, S; Paiva-Martins, F; Aliaga, C; Bravo-Díaz, C</t>
  </si>
  <si>
    <t>Costa, Marlene; Freiria-Gandara, Josefa; Losada-Barreiro, Sonia; Paiva-Martins, Fatima; Aliaga, Carolina; Bravo-Diaz, Carlos</t>
  </si>
  <si>
    <t>Interfacial kinetics in olive oil-in-water nanoemulsions: Relationships between rates of initiation of lipid peroxidation, induction times and effective interfacial antioxidant concentrations</t>
  </si>
  <si>
    <t>JOURNAL OF COLLOID AND INTERFACE SCIENCE</t>
  </si>
  <si>
    <t>Hypothesis: A detailed quantitative description of the effects of antioxidants in inhibiting lipid peroxidation in oil-in-water emulsions can be achieved by determining the relationships between the rates of initiation of the lipid peroxidation reaction, the length of the induction period preceding the propagation step of the radical oxidation process and the effective antioxidant interfacial concentrations. Experiments: We successfully prepared and characterized a series of olive oil-in-water nanoemulsions and allowed them to spontaneously oxidize. Their oxidative stability was evaluated by carrying out in the presence, and absence, of antioxidants derived from gallic acid, by monitoring the formation of primary oxidation products with time, by determining the corresponding induction periods, and by determining the effective interfacial concentrations of the antioxidants in the intact emulsions. Findings: Results show that both, the length of the induction periods and the antioxidant interfacial concentrations change concomitantly, increasing with the hydrophobicity of the antioxidant up to a maximum at the octyl derivative; longer aliphatic chains decrease their efficiency. The ratio between the interfacial antioxidant concentration and the induction period remains constant independently of the antioxidant, demonstrating that the effective concentrations of antioxidant at the interface control their efficiencies in emulsions. (c) 2021 The Author(s). Published by Elsevier Inc. This is an open access article under the CC BY-NC-ND license (http://creativecommons.org/licenses/by-nc-nd/4.0/).</t>
  </si>
  <si>
    <t>Costa, Marlene/ABG-6021-2021; Paiva-Martins, Fátima/V-6105-2017; Bravo-Diaz, Carlos/L-7582-2014; Costa, Marlene/K-4726-2014; Losada Barreiro, Sonia/J-8491-2014</t>
  </si>
  <si>
    <t>Bravo-Diaz, Carlos/0000-0002-9468-0881; Paiva-Martins, Fatima/0000-0003-1149-6876; Costa, Marlene/0000-0001-9614-409X; Losada Barreiro, Sonia/0000-0002-9447-5626</t>
  </si>
  <si>
    <t>0021-9797</t>
  </si>
  <si>
    <t>1095-7103</t>
  </si>
  <si>
    <t>10.1016/j.jcis.2021.06.101</t>
  </si>
  <si>
    <t>WOS:000704428600007</t>
  </si>
  <si>
    <t>El Aiss, H; Zoulagh, T; El Hajjaji, A; Hmamed, A</t>
  </si>
  <si>
    <t>El Aiss, Hicham; Zoulagh, Taha; El Hajjaji, Ahmed; Hmamed, Abdelaziz</t>
  </si>
  <si>
    <t>Full and reduced-order H∞ filtering of Takagi-Sugeno fuzzy time-varying delay systems: Input-output approach</t>
  </si>
  <si>
    <t>INTERNATIONAL JOURNAL OF ADAPTIVE CONTROL AND SIGNAL PROCESSING</t>
  </si>
  <si>
    <t>This article addresses the issue of delay-dependent H-infinity filtering design for TakagiSugeno fuzzy time-varying delay systems using the input-output approach. A three-term approximation model has been used to transform the original system into two interconnected subsystems. Since the nonquadratic Lyapunov-Krasovskii functional requires to deal with the membership function's (MF) time derivative, upper-bound inequalities have been added to the obtained conditions. Based on the scaled small gain theorem, nonquadratic Lyapunov-Krasovskii functional approach and considering the bounds of the MF time-derivative, the H-infinity full- and reduced-order filters are designed and then formulated in terms of linear matrix inequalities. Finally, illustrative examples are presented to demonstrate the validity of the proposed methods.</t>
  </si>
  <si>
    <t>El Aiss, Hicham/AAD-6510-2022; Zoulagh, Taha/AAT-5521-2020; El Hajjaji, Ahmed/D-6459-2016</t>
  </si>
  <si>
    <t>EL AISS, hicham/0000-0003-1098-275X; Zoulagh, Taha/0000-0003-4796-2744; El Hajjaji, Ahmed/0000-0002-7564-3620</t>
  </si>
  <si>
    <t>0890-6327</t>
  </si>
  <si>
    <t>1099-1115</t>
  </si>
  <si>
    <t>10.1002/acs.3225</t>
  </si>
  <si>
    <t>WOS:000629788500001</t>
  </si>
  <si>
    <t>Barbieri, S; Labbé, S; Starosta, S</t>
  </si>
  <si>
    <t>Barbieri, Sebastian; Labbe, Sebastien; Starosta, Stepan</t>
  </si>
  <si>
    <t>A characterization of Sturmian sequences by indistinguishable asymptotic pairs</t>
  </si>
  <si>
    <t>EUROPEAN JOURNAL OF COMBINATORICS</t>
  </si>
  <si>
    <t>We give a new characterization of biinfinite Sturmian sequences in terms of indistinguishable asymptotic pairs. Two asymptotic sequences on a full Z-shift are indistinguishable if the sets of occurrences of every pattern in each sequence coincide up to a finitely supported permutation. This characterization can be seen as an extension to biinfinite sequences of Pirillo's theorem which characterizes Christoffel words. Furthermore, we provide a full characterization of indistinguishable asymptotic pairs on arbitrary alphabets using substitutions and biinfinite characteristic Sturmian sequences. The proof is based on the well-known notion of derived sequences. (C) 2021 Elsevier Ltd. All rights reserved.</t>
  </si>
  <si>
    <t>Barbieri, Sebastián/HTS-1654-2023; Starosta, Štěpán/HHM-3263-2022</t>
  </si>
  <si>
    <t>Labbe, Sebastien/0000-0002-7330-2718; Barbieri, Sebastian/0000-0001-9567-2085</t>
  </si>
  <si>
    <t>0195-6698</t>
  </si>
  <si>
    <t>1095-9971</t>
  </si>
  <si>
    <t>10.1016/j.ejc.2021.103318</t>
  </si>
  <si>
    <t>WOS:000652025600013</t>
  </si>
  <si>
    <t>Ponce, HR; Mayer, RE; Loyola, MS</t>
  </si>
  <si>
    <t>Ponce, Hector R.; Mayer, Richard E.; Soledad Loyola, Maria</t>
  </si>
  <si>
    <t>Effects on Test Performance and Efficiency of Technology-Enhanced Items: An Analysis of Drag-and-Drop Response Interactions</t>
  </si>
  <si>
    <t>One of the most common technology-enhanced items used in large-scale K-12 testing programs is the drag-and-drop response interaction. The main research questions in this study are: (a) Does adding a drag-and-drop interface to an online test affect the accuracy of student performance? (b) Does adding a drag-and-drop interface to an online test affect the speed of student performance? In three different experiments involving fourth, sixth, and eighth graders, respectively; students answered reading comprehension questions presented in conventional (i.e., paper-based design) or drag-and-drop formats. The tests consisted of four-sentence ordering items in Experiment 1, four graphic organizer items in Experiment 2, and two cloze tests and two graphic organizer items in Experiment 3. The conventional and drag &amp; drop groups were compared on test performance (i.e., accuracy) and efficiency (i.e., response time and number of mouse clicks). Across the three experiments, the conventional and drag &amp; drop groups did not differ in mean performance, but the drag &amp; drop group responded more efficiently than the conventional group (faster response time, d = 0.62, and fewer mouse clicks, d = 1.13).</t>
  </si>
  <si>
    <t>Loyola, Maria Soledad/0000-0003-1418-558X; Ponce, Hector R./0000-0002-7984-3945</t>
  </si>
  <si>
    <t>10.1177/0735633120969666</t>
  </si>
  <si>
    <t>NOV 2020</t>
  </si>
  <si>
    <t>WOS:000600173600001</t>
  </si>
  <si>
    <t>Ojeda-Aravena, A; Herrera-Valenzuela, T; Garcia-Garcia, JM; Ramirez-Campillo, R</t>
  </si>
  <si>
    <t>Ojeda-Aravena, Alex; Herrera-Valenzuela, Tomas; Manuel Garcia-Garcia, Jose; Ramirez-Campillo, Rodrigo</t>
  </si>
  <si>
    <t>Six weeks of HIIT based on repeated 5-meter sprints vs. countermovement jumps: effects on physical performance among karate athletes. A pilot-study</t>
  </si>
  <si>
    <t>IDO MOVEMENT FOR CULTURE-JOURNAL OF MARTIAL ARTS ANTHROPOLOGY</t>
  </si>
  <si>
    <t>Background. The kumite section or karate kumite is characterized by high-intensity activity, including explosive actions. Problem and Aim. Determine the magnitude of the effect on the physical performance of karate athletes of the application of two protocols: HIIT-SPRINT and HIIT-JUMP performed at the beginning of a training session (20 minutes) for six weeks. Methods. Both the HIIT-JUMP and HIIT-SPRINT group underwent a six-week HIIT program, while the CONTROL group continued with their regular karate training. The athletes performed the following tests: squat jump, countermovement jump, 5m and 10m line speed, change of direction, aerobic capacity and body composition. Results. Fat mass (kg) decreased in the HIIT-JUMP group (ES = -0.63), while the HIIT-SPRINT group reduced the percent of body fat (ES = -0.85). Jump height for the squat and countermovement jumps increased in the HIIT-SPRINT group (ES = 0.82 and 0.94, respectively) and 10-m test (ES = -1.14) and change in direction (ES = -0.60) times were reduced. The HIIT-JUMP group decreased their times for the 5-m and 10-m tests (ES = -0.97 and -1.07, respectively). The HIIT SPRINT group improved in the 5-m test compared to the CONTROL group (ES = 0.62). Conclusions. These results suggest that both HIIT modalities offer specific adaptations, and could be considered as complementary to the training of athletes.</t>
  </si>
  <si>
    <t>Herrera-Valenzuela, Tomas/L-1819-2019; Ramirez-Campillo, Rodrigo/M-1258-2016; Ojeda Aravena, Alex/KRQ-5703-2024</t>
  </si>
  <si>
    <t>Ojeda-Aravena, Alex/0000-0002-2406-9622; Ramirez-Campillo, Rodrigo/0000-0003-2035-3279</t>
  </si>
  <si>
    <t>2084-3763</t>
  </si>
  <si>
    <t>2082-7571</t>
  </si>
  <si>
    <t>10.14589/ido.20.2.4</t>
  </si>
  <si>
    <t>WOS:000523369400004</t>
  </si>
  <si>
    <t>Arias, P; Bernal, N; Herrera, A; Maldonado, C</t>
  </si>
  <si>
    <t>Arias, Paola; Bernal, Nicolas; Herrera, Alan; Maldonado, Carlos</t>
  </si>
  <si>
    <t>Reconstructing non-standard cosmologies with dark matter</t>
  </si>
  <si>
    <t>Once dark matter has been discovered and its particle physics properties have been determined, a crucial question rises concerning how it was produced in the early Universe. If its thermally averaged annihilation cross section is in the ballpark of few x 10(-26) cm(3)/s, the WIMP mechanism in the standard cosmological scenario (i.e. radiation dominated Universe) will be highly favored. If this is not the case one can either consider an alternative production mechanism, or a non-standard cosmology. Here we study the dark matter production in scenarios with a non-standard expansion history. Additionally, we reconstruct the possible non-standard cosmologies that could make the WIMP mechanism viable.</t>
  </si>
  <si>
    <t>; Bernal, Nicolas/L-5091-2014; Arias, Paola/Q-5912-2017</t>
  </si>
  <si>
    <t>Herrera, Alan Yuseth/0000-0002-5215-375X; Maldonado, Carlos/0000-0001-7929-1733; Bernal, Nicolas/0000-0003-1069-490X; Arias, Paola/0000-0001-5551-9182</t>
  </si>
  <si>
    <t>10.1088/1475-7516/2019/10/047</t>
  </si>
  <si>
    <t>WOS:000503491500015</t>
  </si>
  <si>
    <t>Tasca, F; Tortolini, C; Bollella, P; Antiochia, R</t>
  </si>
  <si>
    <t>Tasca, Federico; Tortolini, Cristina; Bollella, Paolo; Antiochia, Riccarda</t>
  </si>
  <si>
    <t>Microneedle-based electrochemical devices for transdermal biosensing: a review</t>
  </si>
  <si>
    <t>Many research efforts over the last decade have been devoted to the development of microneedle-based diagnostic devices for minimally invasive transdermal biosensing and for long-term health monitoring. Transdermal biosensing via microneedle allows the development of minimally invasive easy-to-use point-of-care biodevices. The main objective of this short review is to provide a general overview of the most immediate and relevant progress in microneedle-based transdermal biosensing in the last five years. A critical analysis of the recent literature is finally presented.</t>
  </si>
  <si>
    <t>Bollella, Paolo/U-3963-2019; Tasca, Federico/J-4134-2015</t>
  </si>
  <si>
    <t>BOLLELLA, PAOLO/0000-0001-9049-6406</t>
  </si>
  <si>
    <t>10.1016/j.coelec.2019.04.003</t>
  </si>
  <si>
    <t>WOS:000485814400008</t>
  </si>
  <si>
    <t>Assessment of Industrial Modules to Design a GFMA Process for Cyanide Recovery Based on a Phenomenological Model</t>
  </si>
  <si>
    <t>Cyanide recovery in the gold-mining industry is a crucial step in terms of the cost of operation. Currently, a process such as AVR (acidification, volatilization and recycling), based on packed towers for stripping and absorption stages, addresses this issue with high levels of investment and operational costs. Gas-filled membrane absorption (GFMA) emerges then as an attractive alternative because the stripping and absorption stages can be performed in a single stage, reducing associated investment and operational costs. Despite the advantages of this technology, applications at industrial scale are still emerging. A possible reason is the lack of clear scaling-up methodologies where experimental data can be taken to select the optimum industrial hollow-fiber membrane contactor module (HFMC). The present study proposes a methodology to select adequately between available industrial Liqui-Cel (TM) modules to design a process under optimal operational conditions. The methodology is based on a phenomenological model developed for recovering cyanide by using the GFMA process. Simulation of the Liqui-Cel (TM) industrial membrane modules employed to recover cyanide in the GFMA process, both in a batch arrangement with a feed-flow rate, and in the range 10-125 m(3)/h, showed that in terms of cyanide recovery there are no differences between the modules tested when they work at the same feed-flow rate. The design criteria to scale-up was determined: to ensure performance at different scales, the length of the transfer unit (HTU) should be kept at different capacities of HFMC modules that comprise the equipment characteristics (mass-transfer area, stream velocities, and mass-transfer coefficient values). Additionally, the number of commercial modules Liqui-Cel (TM) required to treat 57 m(3)/h and 250 m(3)/h ensuring a cyanide recovery of 95% was also determined. Finally, the most profitable option (lower pressure drop and module cost) resulted in the use of the 14 x 40 Liqui-Cel (TM) module.</t>
  </si>
  <si>
    <t>Estay, Humberto/0000-0001-8518-7131; Romero, Julio/0000-0002-1229-1592; Ruby-Figueroa, Rene/0000-0001-7747-1837; Troncoso, Elizabeth/0000-0002-6749-774X</t>
  </si>
  <si>
    <t>10.3390/pr6040034</t>
  </si>
  <si>
    <t>WOS:000435183300009</t>
  </si>
  <si>
    <t>Rojo, MC; Palazzolo, CT; Cuello, R; González, M; Guevara, F; Ponsone, ML; Mercado, LA; Martínez, C; Combina, M</t>
  </si>
  <si>
    <t>Rojo, M. C.; Torres Palazzolo, C.; Cuello, R.; Gonzalez, M.; Guevara, F.; Ponsone, M. L.; Mercado, L. A.; Martinez, C.; Combina, M.</t>
  </si>
  <si>
    <t>Incidence of osmophilic yeasts and Zygosaccharomyces rouxii during the production of concentrate grape juices</t>
  </si>
  <si>
    <t>FOOD MICROBIOLOGY</t>
  </si>
  <si>
    <t>Zygosaccharomyces rouxii is the main spoilage yeast of grape juice concentrates. Detection and identification of Z rouxii during the production of grape juice concentrate is critical to prevent spoilage in the final product. In this work, three grape juice concentrate processing plants were assessed by identifying osmophilic yeasts in juices and surfaces during different stages of a complete production line. Subsequently, molecular typing of Z rouxii isolates was done to determine the strain distribution of this spoilage yeast. Osmotolerant yeast species, other than Z rouxii, were mainly recovered from processing plant environments. Z rouxii was only isolated from surface samples with grape juice remains. Z. rouxii was largely isolated from grape juice samples with some degree of concentration. Storage of grape juice pre-concentrate and concentrate allowed an increase in the Z rouxii population. A widely distributed dominant molecular Z rouxii pattern was found in samples from all three processing plants, suggesting resident microbes inside the plant. (C) 2016 Elsevier Ltd. All rights reserved.</t>
  </si>
  <si>
    <t>Guevara, Felipe/AAE-9957-2019; Martinez, Claudio/MGS-9961-2025; Guevara, Felipe/D-4629-2016</t>
  </si>
  <si>
    <t>Cuello, Raul Andres/0009-0004-0056-0013; Rojo, Maria Cecilia/0000-0002-2834-8549; Ponsone, Maria Lorena/0000-0002-4549-760X; Combina, Mariana/0000-0002-0798-1564; Martinez, Claudio/0000-0001-8564-9287; Torres Palazzolo, Carolina/0000-0003-1412-9836; Guevara, Felipe/0000-0003-4868-044X</t>
  </si>
  <si>
    <t>0740-0020</t>
  </si>
  <si>
    <t>1095-9998</t>
  </si>
  <si>
    <t>10.1016/j.fm.2016.11.017</t>
  </si>
  <si>
    <t>WOS:000395842500002</t>
  </si>
  <si>
    <t>Irigoyen-Campuzano, R; González-Béjar, M; Pino, E; Proal-Nájera, JB; Pérez-Prieto, J</t>
  </si>
  <si>
    <t>Irigoyen-Campuzano, Rafael; Gonzalez-Bejar, Maria; Pino, Eduardo; Proal-Najera, Jose B.; Perez-Prieto, Julia</t>
  </si>
  <si>
    <t>A Metal-Free, Nonconjugated Polymer for Solar Photocatalysis</t>
  </si>
  <si>
    <t>CHEMISTRY-A EUROPEAN JOURNAL</t>
  </si>
  <si>
    <t>Heterogeneous catalysts that can absorb light over the solar range are ideal for green photocatalysis. Recently, attention has been directed towards the generation of novel solar-light photocatalysts, in particular, metal-free polymers. Herein, it is demonstrated that a metal-free, nonconjugated, anthraquinone-based copolymer (poly[1,4-diamine- 9,10-dioxoanthracene-alt-(benzene-1,4-dioic acid)] (COP)) with a strong absorption in the visible region is effective as a sunlight heterogeneous photocatalyst. As a proof of concept, it has been used to mineralize 2,5-dichlorophenol (2,5-DCP) in water under air and sunlight irradiation. The photocatalytic efficiency of COP compares well with that of TiO2-P25 when the reaction is carried out in a solar photoreactor in acid medium. Steady-state and time-resolved (ab-sorption and emission) studies performed on COP suspended in 6:4 DMF/H2O have provided valuable information about the COP species generated under different pH conditions. Steady-state absorption and fluorescence data are consistent with the existence of a tautomeric equilibrium between the 9,10-keto and 1,10-iminoketo quinoid forms for the anthraquinone in the ground state. Moreover, in basic media, transient absorption measurements showed the presence of two bands ascribed to the tautomeric triplet excited states, whereas only one of the triplets was observed in acid medium. A mechanism for the photocatalyzed degradation of 2,5-DCP by COP is proposed on the basis of these observations.</t>
  </si>
  <si>
    <t>PEREZ-PRIETO, JULIA/E-8442-2014; Gonzalez-Bejar, Maria/B-6934-2014</t>
  </si>
  <si>
    <t>PEREZ-PRIETO, JULIA/0000-0002-5833-341X; Pino, Eduardo Francisco/0000-0002-7851-3952; Gonzalez-Bejar, Maria/0000-0001-5434-4210; Irigoyen-Campuzano, Jose Rafael/0000-0002-8872-5932; Proal Najera, Jose Bernardo/0000-0001-6356-5998</t>
  </si>
  <si>
    <t>0947-6539</t>
  </si>
  <si>
    <t>1521-3765</t>
  </si>
  <si>
    <t>10.1002/chem.201605064</t>
  </si>
  <si>
    <t>WOS:000395774300019</t>
  </si>
  <si>
    <t>Blanco, C; Aldunate, I; Canales, J; Rivas, J; Riquelme, D; Morales, D; Silva, I; Alvarez, A; Vergara, A; Poblete, H; Romero, A; Leiva, E; González, W; Varela, D; Cáceres, M; Cerda, O</t>
  </si>
  <si>
    <t>Blanco, C.; Aldunate, I.; Canales, J.; Rivas, J.; Riquelme, D.; Morales, D.; Silva, I.; Alvarez, A.; Vergara, A.; Poblete, H.; Romero, A.; Leiva, E.; Gonzalez, W.; Varela, D.; Caceres, M.; Cerda, O.</t>
  </si>
  <si>
    <t>The Microtubule-associated End Binding proteins regulate the ER exporting and trafficking of TRPM4 channels.</t>
  </si>
  <si>
    <t>MOLECULAR BIOLOGY OF THE CELL</t>
  </si>
  <si>
    <t>Annual Joint Meeting of the American-Society-for-Cell-Biology and the European-Molecular-Biology-Organization (ASCB/EMBO)</t>
  </si>
  <si>
    <t>DEC 02-06, 2017</t>
  </si>
  <si>
    <t>Philadelphia, PA</t>
  </si>
  <si>
    <t>Amer Soc Cell Biol,European Mol Biol Org</t>
  </si>
  <si>
    <t>Poblete, Horacio/E-4974-2012; Cerda, Oscar/N-3895-2018</t>
  </si>
  <si>
    <t>1059-1524</t>
  </si>
  <si>
    <t>1939-4586</t>
  </si>
  <si>
    <t>P1433</t>
  </si>
  <si>
    <t>WOS:000426664300432</t>
  </si>
  <si>
    <t>Panakhov, GM; Abbasov, EM; Bakhtiyarov, SI; Siginer, DA</t>
  </si>
  <si>
    <t>Panakhov, Geylani M.; Abbasov, Eldar M.; Bakhtiyarov, Sayavur I.; Siginer, Dennis A.</t>
  </si>
  <si>
    <t>THE EFFECT OF GAS EVOLUTION ON HYDRODYNAMIC CHARACTERISTICS OF FLUID FLOW IN PIPELINE</t>
  </si>
  <si>
    <t>A relative motion of different phases leads to formation of certain. forces at the interface of transported fluid and pipe walls. In the non-isothermal flow case a thermal interaction between the phases will affect the flow velocity, the pressure and the temperature distributions in variable cross section pipes. Laboratory experiments were conducted in order to study the effects of the gas generation at the pipe walls on the hydrodynamic characteristics of the two-phase oil/gas flow. It is shown that a throughput capacity of the pipe is affected by the temperature difference between the oil and the pipe walls. At certain temperature difference value (similar to 3 degrees C) the pipe capacity reached a maximum value.</t>
  </si>
  <si>
    <t>ABBASOV, ELDAR/R-4724-2016; Panahov, Geylani/AAD-8127-2019</t>
  </si>
  <si>
    <t>V007T09A009</t>
  </si>
  <si>
    <t>WOS:000400877800009</t>
  </si>
  <si>
    <t>von Bernhardi, R; Eugenín-von Bernhardi, L; Eugenín, J</t>
  </si>
  <si>
    <t>VonBernhardi, R; Eugenin, J; Muller, KJ</t>
  </si>
  <si>
    <t>von Bernhardi, Rommy; Eugenin-von Bernhardi, Laura; Eugenin, Jaime</t>
  </si>
  <si>
    <t>What Is Neural Plasticity?</t>
  </si>
  <si>
    <t>PLASTIC BRAIN</t>
  </si>
  <si>
    <t>Advances in Experimental Medicine and Biology</t>
  </si>
  <si>
    <t>Neural plasticity refers to the capacity of the nervous system to modify itself, functionally and structurally, in response to experience and injury. As the various chapters in this volume show, plasticity is a key component of neural development and normal functioning of the nervous system, as well as a response to the changing environment, aging, or pathological insult. This chapter discusses how plasticity is necessary not only for neural networks to acquire new functional properties, but also for them to remain robust and stable. The article also reviews the seminal proposals developed over the years that have driven experiments and strongly influenced concepts of neural plasticity.</t>
  </si>
  <si>
    <t>von Bernhardi, Rommy/IAO-3764-2023</t>
  </si>
  <si>
    <t>von Bernhardi, Rommy/0000-0002-9022-7676</t>
  </si>
  <si>
    <t>0065-2598</t>
  </si>
  <si>
    <t>2214-8019</t>
  </si>
  <si>
    <t>978-3-319-62817-2; 978-3-319-62815-8</t>
  </si>
  <si>
    <t>10.1007/978-3-319-62817-2_1</t>
  </si>
  <si>
    <t>10.1007/978-3-319-62817-2</t>
  </si>
  <si>
    <t>WOS:000438289100001</t>
  </si>
  <si>
    <t>Mendiburo-Seguel, A; Páez, D; Martínez-Sánchez, F</t>
  </si>
  <si>
    <t>Mendiburo-Seguel, Andres; Paez, Dario; Martinez-Sanchez, Francisco</t>
  </si>
  <si>
    <t>Humor styles and personality: A meta-analysis of the relation between humor styles and the Big Five personality traits</t>
  </si>
  <si>
    <t>SCANDINAVIAN JOURNAL OF PSYCHOLOGY</t>
  </si>
  <si>
    <t>This research summarizes the knowledge generated in social psychology and positive psychology about the relationship between humor styles, personality and wellbeing. Specifically, a meta-analysis was performed with the results of 15 studies on humor styles measured by the Humor Styles Questionnaire (Martin, Puhlik-Doris, Larsen, Gray &amp; Weir, 2003) in correlation with the personality traits measured by the Big Five Personality model (measured with different scales). Following the steps presented by Rosenthal (1991) for meta-analysis in the case of correlational research, we calculated the total mean r as an indicator of effect size. Results show that affiliative humor has a strong and homogeneous relation to neuroticism and extraversion. The homogeneity and heterogeneity found between variables and possible explanations are discussed in the conclusion.</t>
  </si>
  <si>
    <t>Paez, Dario/D-5207-2009; Martinez-Sanchez, Francisco/B-6946-2013</t>
  </si>
  <si>
    <t>Paez, Dario/0000-0002-8459-6037; Martinez-Sanchez, Francisco/0000-0003-4645-0333</t>
  </si>
  <si>
    <t>0036-5564</t>
  </si>
  <si>
    <t>1467-9450</t>
  </si>
  <si>
    <t>10.1111/sjop.12209</t>
  </si>
  <si>
    <t>WOS:000354185700011</t>
  </si>
  <si>
    <t>Cruz, N; Lepe, S; Leyva, Y; Peña, F; Saavedra, J</t>
  </si>
  <si>
    <t>Cruz, Norman; Lepe, Samuel; Leyva, Yoelsy; Pena, Francisco; Saavedra, Joel</t>
  </si>
  <si>
    <t>No stable dissipative phantom scenario in the framework of a complete cosmological dynamics</t>
  </si>
  <si>
    <t>We investigate the phase space dynamics of a bulk viscosity model in the Eckart approach for a spatially flat Friedmann-Robertson-Walker universe. We have included two barotropic fluids and a dark energy component. One of the barotropic fluids is treated as an imperfect fluid having bulk viscosity, whereas the other components are assumed to behave as perfect fluids. Both barotropic fluids are identified as either radiation or dark matter. Considering that the bulk viscosity acts on either radiation or dark matter, we find that viscous phantom solutions with stable behavior are not allowed in the framework of complete cosmological dynamics. Only an almost zero value of the bulk viscosity allows a transition from a radiation-dominated to a matter-dominated epoch, which then evolves to an accelerated late time expansion, dominated by dark energy.</t>
  </si>
  <si>
    <t>Leyva, Yoelsy/I-1219-2013</t>
  </si>
  <si>
    <t>Leyva, Yoelsy/0000-0002-4333-839X; saavedra, joel/0000-0002-1430-3008</t>
  </si>
  <si>
    <t>OCT 21</t>
  </si>
  <si>
    <t>10.1103/PhysRevD.90.083524</t>
  </si>
  <si>
    <t>WOS:000344031500004</t>
  </si>
  <si>
    <t>Torres, F; Altbir, D; Kiwi, M</t>
  </si>
  <si>
    <t>Torres, F.; Altbir, D.; Kiwi, M.</t>
  </si>
  <si>
    <t>Dzyaloshinskii-Moriya interaction and magnetic ordering in 1D and 2D at nonzero T</t>
  </si>
  <si>
    <t>EPL</t>
  </si>
  <si>
    <t>The inclusion of a Dzyaloshinskii-Moriya short-range antisymmetric interaction in the Heisenberg Hamiltonian induces spontaneous magnetization, at nonzero temperatures, in one and two dimensions. It is shown that quantum fluctuations are reduced by the DzyaloshinskiiMoriya interaction, but short-range correlations are increased, thereby allowing the existence of long-range magnetic order in these low-dimensional systems. Copyright (C) EPLA, 2014</t>
  </si>
  <si>
    <t>Torres, Felipe/ABA-9751-2020; Kiwi, Miguel/D-3401-2013; Altbir, Dora/R-6781-2018; Torres, Felipe/I-8339-2015</t>
  </si>
  <si>
    <t>Torres, Felipe/0000-0002-0444-3250; Altbir, Dora/0000-0002-2945-4909; Torres, Felipe/0000-0003-2193-6337</t>
  </si>
  <si>
    <t>0295-5075</t>
  </si>
  <si>
    <t>1286-4854</t>
  </si>
  <si>
    <t>10.1209/0295-5075/106/47004</t>
  </si>
  <si>
    <t>WOS:000337348100022</t>
  </si>
  <si>
    <t>Cárdenas-Jirón, GI; León-Plata, P; Cortes-Arriagada, D; Seminario, JM</t>
  </si>
  <si>
    <t>Cardenas-Jiron, Gloria I.; Leon-Plata, Paola; Cortes-Arriagada, Diego; Seminario, Jorge M.</t>
  </si>
  <si>
    <t>Electron Transport Properties through Graphene Oxide-Cobalt Phthalocyanine Complexes</t>
  </si>
  <si>
    <t>We present a theoretical study using density functional theory at the M05-2X/6-31G(d)/LANL2DZ level of theory of the structural, stability, reactivity, and electrical properties of cobalt phthalocyanine (CoPc) adsorbed on functionalized graphene (G). The functionalization, localized at the center of graphene, is based on epoxide (-O), hydroxyl (-OH), and carboxyl (-COOH) complexes. Three types of graphene molecules are used: pristine, defect (Def), and vacancy (Vac). Binding energies show large stabilities for G-O-CoPc, from similar to-43 to -65 kcal/mol, and for G-OH-CoPc, from similar to-19 to -32 kcal/mol. No adsorption of CoPc occurs on G-COOH. The HOMO-LUMO gap is shorter by similar to 0.5 eV for the complexes containing epoxide and hydroxyl (except for G-Vac) than for the functionalized G, thus implying a higher reactivity of the former. All these results together with the nature of the frontier molecular orbitals, which make functionalized G electron acceptor and CoPc electron donor species, explain the charge transfer properties of the complexes. Complexes containing epoxide functionalization present a better conduction of similar to 18 mu A (at similar to 1 V) than those complexes containing hydroxyl functionalization (similar to 7 mu A). These results show that the adsorption of cobalt phthalocyanine on functionalized graphene is feasible; yielding a tunable hybrid material that allows sensing because of the intrinsic electrical properties provided by functionalized G and CoPc.</t>
  </si>
  <si>
    <t>Seminario, Jorge/C-9646-2012; Cortés-Arriagada, Diego/J-5940-2019; Cardenas-Jiron, Gloria/H-9508-2012</t>
  </si>
  <si>
    <t>Cardenas-Jiron, Gloria/0000-0003-4305-8088; Cortes-Arriagada, Diego/0000-0002-6709-1723</t>
  </si>
  <si>
    <t>1932-7455</t>
  </si>
  <si>
    <t>NOV 14</t>
  </si>
  <si>
    <t>10.1021/jp405951p</t>
  </si>
  <si>
    <t>WOS:000327110500026</t>
  </si>
  <si>
    <t>Salazar-Aravena, D; Corona, RM; Goerlitz, D; Nielsch, K; Escrig, J</t>
  </si>
  <si>
    <t>Salazar-Aravena, D.; Corona, R. M.; Goerlitz, D.; Nielsch, K.; Escrig, J.</t>
  </si>
  <si>
    <t>Magnetic properties of multisegmented cylindrical nanoparticles with alternating magnetic wire and tube segments</t>
  </si>
  <si>
    <t>The magnetic properties in multisegmented cylindrical nanostructures comprised of nanowire and nanotube segments are investigated numerically as a function of their geometry. In this work we report systematic changes in the coercivity and remanence in these systems. Besides, we have found the ideal conditions for a magnetic configuration with two antiparallel domains that could be used to help to stabilize magnetic nanoparticles inside ferromagnetic multisegmented cylindrical nanoparticles. This magnetic behavior is due to the fact that the tube segment reverses its magnetization before the wire segment, allowing the control of the magnetic domain walls motion between two segments. In this way, these magnetic nanoobjects can be an alternative to store information or even perform logic functions. (c) 2013 Elsevier B.V. All rights reserved.</t>
  </si>
  <si>
    <t>Görlitz, Detlef/D-8530-2012; Nielsch, Kornelius/S-3196-2016; Salazar-Aravena, Diego/F-5133-2016; Escrig, Juan/N-4304-2015</t>
  </si>
  <si>
    <t>Corona, Rosa/0000-0001-6054-5019; Salazar-Aravena, Diego/0000-0002-6250-8358; Escrig, Juan/0000-0002-3958-8185; Nielsch, Kornelius/0000-0003-2271-7726</t>
  </si>
  <si>
    <t>10.1016/j.jmmm.2013.07.030</t>
  </si>
  <si>
    <t>WOS:000324311200029</t>
  </si>
  <si>
    <t>Biler, P; Espejo, EE; Guerra, I</t>
  </si>
  <si>
    <t>Biler, Piotr; Espejo, Elio E.; Guerra, Ignacio</t>
  </si>
  <si>
    <t>BLOWUP IN HIGHER DIMENSIONAL TWO SPECIES CHEMOTACTIC SYSTEMS</t>
  </si>
  <si>
    <t>COMMUNICATIONS ON PURE AND APPLIED ANALYSIS</t>
  </si>
  <si>
    <t>This paper deals with blowup properties of solutions to multicomponent parabolic-elliptic Keller-Segel model of chemotaxis in higher dimensions</t>
  </si>
  <si>
    <t>Biler, Piotr/AAM-2990-2021</t>
  </si>
  <si>
    <t>Biler, Piotr/0000-0002-2293-6964</t>
  </si>
  <si>
    <t>1534-0392</t>
  </si>
  <si>
    <t>1553-5258</t>
  </si>
  <si>
    <t>10.3934/cpaa.2013.12.89</t>
  </si>
  <si>
    <t>WOS:000310642800003</t>
  </si>
  <si>
    <t>Casas, F; Murua, A; Nadinic, M</t>
  </si>
  <si>
    <t>Casas, Fernando; Murua, Ander; Nadinic, Mladen</t>
  </si>
  <si>
    <t>Efficient computation of the Zassenhaus formula</t>
  </si>
  <si>
    <t>COMPUTER PHYSICS COMMUNICATIONS</t>
  </si>
  <si>
    <t>A new recursive procedure to compute the Zassenhaus formula up to high order is presented, providing each exponent in the factorization directly as a linear combination of independent commutators and thus containing the minimum number of terms. The recursion can be easily implemented in a symbolic algebra package and requires much less computational effort, both in time and memory resources, than previous algorithms. In addition, by bounding appropriately each term in the recursion, it is possible to get a larger convergence domain of the Zassenhaus formula when it is formulated in a Banach algebra. (c) 2012 Elsevier B.V. All rights reserved.</t>
  </si>
  <si>
    <t>Casas, Fernando/G-1588-2011; Murua, Ander/H-1100-2017</t>
  </si>
  <si>
    <t>Casas, Fernando/0000-0002-6445-279X; Murua, Ander/0000-0002-3430-9642</t>
  </si>
  <si>
    <t>0010-4655</t>
  </si>
  <si>
    <t>1879-2944</t>
  </si>
  <si>
    <t>10.1016/j.cpc.2012.06.006</t>
  </si>
  <si>
    <t>WOS:000308122000008</t>
  </si>
  <si>
    <t>Lacoste, P; Aranda, M; Matamala, J; Premat, E; Quinteros, K; Soto, N; Gaete, J; Rivas, J; Solar, M</t>
  </si>
  <si>
    <t>Lacoste, Pablo; Aranda, Marcela; Matamala, Jorge; Premat, Estela; Quinteros, Katherine; Soto, Natalia; Gaete, Jocelyn; Rivas, Javier; Solar, Mario</t>
  </si>
  <si>
    <t>GRAPE CRUSHING AND TRADITIONAL WINE PRESSES IN CHILE AND ARGENTINA (1550-1850)</t>
  </si>
  <si>
    <t>ATENEA</t>
  </si>
  <si>
    <t>The wine press is a vessel where grapes are crushed and where the process of the elaboration of wine begins. It is relevant not only for its industrial and economic significance but also for its social and cultural implications. This article contributes to the understanding of the socioeconomic history of the region under study while at the same time serving as a contribution to the development of the recognition of the value of the traditional methods of the wine industry that once again are being used for the elaboration of Premium wines as well as for wine tourism.</t>
  </si>
  <si>
    <t>Rivas, Francisco/IUM-3499-2023</t>
  </si>
  <si>
    <t>Lacoste, Pablo/0000-0003-1876-8141</t>
  </si>
  <si>
    <t>0718-0462</t>
  </si>
  <si>
    <t>10.4067/S0718-04622011000100003</t>
  </si>
  <si>
    <t>WOS:000295347000003</t>
  </si>
  <si>
    <t>Martínez, A; Rayas, JA; Cordero, R; Balieiro, D</t>
  </si>
  <si>
    <t>Rosas, E; Arzate, N; Torres, I; Sumaya, J</t>
  </si>
  <si>
    <t>Martinez, Amalia; Rayas, J. A.; Cordero, Raul; Balieiro R, Daniela</t>
  </si>
  <si>
    <t>Morphology of leaves cuticle by fringe projection</t>
  </si>
  <si>
    <t>EIGHTH SYMPOSIUM OPTICS IN INDUSTRY</t>
  </si>
  <si>
    <t>8th Symposium on Optics in Industry</t>
  </si>
  <si>
    <t>SEP 09-10, 2011</t>
  </si>
  <si>
    <t>Toluca, MEXICO</t>
  </si>
  <si>
    <t>Acad Mexicana Optica,Div Optica, Sociedad Mexicana Fisica,ICO Mexico Territorial Comm Opt,Red Iberoamericana Optica (RIAO),Universidad Autonoma Estado Mexico, Facultad Ciencias,Centro Investigaciones Optica (CIO),Optica Electronica, Instituto Nacl Astrofisica (INAOE),Universidad Nacl Autonoma Mexico, Centro Ciencias Aplicadas Desarrollo Tecnologico (CCADET),Centro Nacl Metrologia (CENAM),Centro Investigacion Cientifica Educacion Super Ensenada (CICESE),Univ Autonoma San Luis Potosi, Instiuto Investigacion Comunicacion Optica (IICO),Tenologico Monterrey, Centro Optica,Internacional Soc Opt &amp; Photon (SPIE),Universidad Guanajuato,Universidad Autonoma Yucatan,Universidad Autonoma Estado Morelos,Centro Innovacion Aplicada Tecnologias Competitivas (CIATEC),Opt Soc Amer (OSA),Universidad Guadalajara,Universidad Autonoma Zacatecas,Instituto Politecnico Nacl, Centro Investigacion Ciencia Aplicada Tecnologia Avanzada,Consejo Mexiquense Ciencia Tecnologia (COMECYT),Natl Instruments Mexico,Telefonos Mexico (TELMEX),Sistemas Aplicaciones Telecomunicaciones (SATEL),Agilent Technol Mexico,Acterna Mexico,Insimet,Supervy Sistemas (YOKOGAWA),Varian,Construlita Queretaro (PHILIPS Construlita),Sistemas Infrarrojos Potencia (FLIR Syst),Exacto Tecnologia Punta Arquitectura Iluminacion,Laboratorio Calibracion Calificacion (INSTRUMET),Perkin Elmer Mexico,Metrocal,Exacolor Labs,Thor Labs, Inc,MultiON Consulting,Ocean Opt,MIXBAAL,Quantel Med,Asios,DEC-Electronica,Soluciones Tecnologicas (ST)</t>
  </si>
  <si>
    <t>The development of this work is important in the morphological study of plant parts, specifically in the study of the cuticle of fruits or leaves. The implemented optical technique for fringe projection can identify potential fracture zones which damage the presentation of the fruits impacting business as well as producing them. Specifically, we obtained information on the thickness of a cuticle corresponding to the abaxial surface of a leaf of apple (Malus domestica) of the variety Golden Delicious.</t>
  </si>
  <si>
    <t>Rayas, Juan/CAG-8266-2022; Cordero, Raul/M-7979-2017</t>
  </si>
  <si>
    <t>Rayas, Juan Antonio/0000-0001-6809-2368</t>
  </si>
  <si>
    <t>978-0-81948-934-0</t>
  </si>
  <si>
    <t>82870E</t>
  </si>
  <si>
    <t>10.1117/12.911891</t>
  </si>
  <si>
    <t>WOS:000297496000013</t>
  </si>
  <si>
    <t>Bueso, A; Figueroa, M; Cousin, L; Hoyos, W; Martínez-Torres, AE; Mallol, J; Garcia-Marcos, L</t>
  </si>
  <si>
    <t>Bueso, A.; Figueroa, M.; Cousin, L.; Hoyos, W.; Martinez-Torres, A. E.; Mallol, J.; Garcia-Marcos, L.</t>
  </si>
  <si>
    <t>Poverty-associated risk factors for wheezing in the first year of life in Honduras and El Salvador</t>
  </si>
  <si>
    <t>Background: Risk factors for wheezing specifically during the first year of life have been studied in well-developed countries, but the information from developing countries is very scarce. There are no such studies focusing on factors derived from poverty. The aim of the present study was to determine if risk factors related to poverty are associated to wheezing during the first year of life in infants from Honduras and El Salvador. Methods: A survey, using a validated questionnaire, was carried out in the metropolitan area of San Pedro Sula (Honduras) and in La Libertad (El Salvador) in centres where infants attended for a scheduled vaccination shot or a healthy child visit at 12 months of age. Fieldworkers offered questionnaires to parents and helped the illiterate when necessary. The main outcome variable was wheezing during the first year of life, as reported by parents. Results: A total of 1047 infants in El Salvador and 780 in Honduras were included in the analysis. The prevalence of wheeze in the first year was higher in El Salvador (41.2%) than in Honduras (27.7%), as was recurrent wheezing defined as three or more episodes (18.4% vs. 11.7%). Wheezing and recurrent wheezing was associated to unpaved floor in the household (summary odds ratios for both countries 1.55, p=0.036 and 1.72, p=0.054 for any wheeze and recurrent wheezing, respectively); dust entering from streets (1.30, p=0.052 and 1.67, p=0.008); living in a heavily polluted area (1.33, p=0.037 and 1.52, p=0.033); and having mould stains on the household walls (1.36, p=0.072 and 1.76, p=0.007). Furthermore, marginal associations were found for additional person at home and use of kerosene as cooking fuel. University studies in the mother (0.34, p=0.046 and 0.32, p=0.022) and a professional occupation in the father (0.34, p=0.046 and 0.26, p=0.047) were associated to a lower risk. Conclusions: The prevalence of wheezing and recurrent wheezing is notoriously high in El Salvador and Honduras. In those populations factors related to poverty are associated to a higher prevalence of wheezing and recurrent wheezing, whereas higher maternal education and paternal professional occupation behave as protective factors. (C) 2010 SEICAP. Published by Elsevier Espana, S.L. All rights reserved.</t>
  </si>
  <si>
    <t>Garcia-Marcos, Luis/0000-0002-0925-3851; Mallol, Javier/0000-0003-2528-8672</t>
  </si>
  <si>
    <t>1578-1267</t>
  </si>
  <si>
    <t>10.1016/j.aller.2010.01.003</t>
  </si>
  <si>
    <t>WOS:000280314800007</t>
  </si>
  <si>
    <t>Bao, QA; Rannou, FR; Taschereau, R; Stout, DB; Chatziioannou, AF</t>
  </si>
  <si>
    <t>Yu, B</t>
  </si>
  <si>
    <t>Bao, Qinan; Rannou, Fernando R.; Taschereau, Richard; Stout, David B.; Chatziioannou, Arion F.</t>
  </si>
  <si>
    <t>Image Reconstruction for PETbox, a Benchtop Preclinical PET Tomograph</t>
  </si>
  <si>
    <t>2009 IEEE NUCLEAR SCIENCE SYMPOSIUM CONFERENCE RECORD, VOLS 1-5</t>
  </si>
  <si>
    <t>IEEE Nuclear Science Symposium Conference 2009</t>
  </si>
  <si>
    <t>OCT 25-31, 2009</t>
  </si>
  <si>
    <t>IEEE, Nucl Plasma Sci Sect,IEEE</t>
  </si>
  <si>
    <t>PETbox, an integrated low-cost benchtop preclinical PET scanner dedicated to high throughput quantitative mouse studies is currently under development at the Crump Institute for Molecular Imaging, UCLA. The system employs two opposing flat panel BGO detector blocks on a static gantry and produces a limited number of projection angles around a central anteroposterior (AP) view. Iterative reconstruction based on a Maximum Likelihood and Expectation Maximization (ML-EM) algorithm was developed with incorporation of a probability matrix, which takes into account the detection probability and inter-crystal scattering. Point sources at different positions were simulated with the GATE software package and showed a peak sensitivity of 3.87% at a 150-650 keV energy window. When applying a sensitivity correction map, the image values of the reconstructed point sources at different positions are within a 5.3% standard deviation, indicating good quantification accuracy. The spatial resolution of point sources is largely uniform along the coronal direction across the field of view (FONT) with worse resolution along the direction orthogonal to the detector blocks, which is mainly due to the reduced spatial sampling in that direction. A voxelized digital mouse (Moby phantom) was also simulated and then iteratively reconstructed. Attenuation and non-uniform sensitivity corrections were applied. Quantification accuracy was evaluated with the reconstructed Moby data and two analytically simulated data sets. To a first approximation, reasonably good quantification accuracy was obtained for most important organs with the PETbox reconstructed image. This evaluation indicates that the integrated detector system design, reconstruction algorithm and attenuation correction work well, which is very important for quantitative pharmacokinetic and pharmacodynamic studies. In-vivo mouse studies were also acquired and reconstructed. The obtained images proved the capability of PETbox as a dedicated mouse scanner for both dynamic and static acquisitions.</t>
  </si>
  <si>
    <t>978-1-4244-3961-4</t>
  </si>
  <si>
    <t>10.1109/NSSMIC.2009.5401967</t>
  </si>
  <si>
    <t>WOS:000280505101229</t>
  </si>
  <si>
    <t>Soto-Moyano, R; Burgos, H; Flores, F; Valladares, L; Sierralta, W; Fernández, V; Pérez, H; Hernández, P; Hernández, A</t>
  </si>
  <si>
    <t>Soto-Moyano, Ruben; Burgos, Hector; Flores, Francisco; Valladares, Luis; Sierralta, Walter; Fernandez, Victor; Perez, Hernan; Hernandez, Paula; Hernandez, Alejandro</t>
  </si>
  <si>
    <t>Melatonin administration impairs visuo-spatial performance and inhibits neocortical long-term potentiation in rats</t>
  </si>
  <si>
    <t>PHARMACOLOGY BIOCHEMISTRY AND BEHAVIOR</t>
  </si>
  <si>
    <t>Melatonin has been shown to inhibit long-term potentiation (LTP) in hippocampal slices of rats. Since LTP may be one of the main mechanisms by which memory traces are encoded and stored in the central nervous system, it is possible that melatonin could modulate cognitive performance by interfering with the cellular and/or molecular mechanisms involved in LTP. We investigated in rats the effects of intraperitoneally-administered melatonin (0.1, 1 and 10 mg/kg), its saline-ethanol solvent, or saline alone, on the acquisition of visuo-spatial memory as well as on the ability of the cerebral cortex to develop UP in vivo. Visuo-spatial performance was assessed daily in rats, for 10 days, in an 8-arm radial maze, 30 min after they received a single daily dose of melatonin. Visual cortex UP was determined in sodium pentobarbital anesthetized rats (65 mg/kg i.p.), by potentiating transcallosal evoked responses with a tetanizing train (312 Hz, 500 ms duration) 30 min after administration of a single dose of melatonin. Results showed that melatonin impaired visuo-spatial performance in rats, as revealed by the greater number of errors committed and time spent to solve the task in the radial maze. Melatonin also prevented the induction of neocortical Up. It is concluded that melatonin, at the doses utilized in this study, could alter some forms of neocortical plasticity involved in short- and long-term visuo-spatial memories in rats. (c) 2006 Elsevier Inc. All rights reserved.</t>
  </si>
  <si>
    <t>Hernandez, Alejandro/M-4796-2019; BURGOS, HECTOR/ABA-6821-2020; Flores, Francisco/L-6850-2013</t>
  </si>
  <si>
    <t>Hernandez, Alejandro/0000-0001-9222-6522; BURGOS, HECTOR/0000-0001-7705-4347; Flores, Francisco/0000-0002-8974-9717</t>
  </si>
  <si>
    <t>0091-3057</t>
  </si>
  <si>
    <t>10.1016/j.pbb.2006.09.009</t>
  </si>
  <si>
    <t>WOS:000243621800017</t>
  </si>
  <si>
    <t>Ferraudi, G; Canales, JC; Kharisov, B; Costamagna, J; Zagal, JG; Cardenas-Jirón, G; Paez, M</t>
  </si>
  <si>
    <t>Synthetic N-substituted metal aza-macrocyclic complexes:: Properties and applications</t>
  </si>
  <si>
    <t>Recent contributions to the chemistry of macrocyclic metal complexes and ligands are reviewed. The compounds reviewed have the following structural features: aza-macrocycles having 1,10-phenanthroline and 2,2'-bipyridine groups and pendants arms; highly aromatic azamacrocycles with 'phthalocyanine and porphyrin units incorporating pendant arms; aliphatic aza-macrocycles with pendant arms and/or polyrucleating aza-macrocycles. Several of their chemical properties are critically reviewed but the emphasis is on structural and synthetic details.</t>
  </si>
  <si>
    <t>Paez, Maritza/M-2010-2014; Kharisov, Boris/E-3056-2013; zagal, jose/L-9648-2014; Cardenas-Jiron, Gloria/H-9508-2012</t>
  </si>
  <si>
    <t>Canales Villalobos, Juan Carlos/0009-0006-3215-4997; Cardenas-Jiron, Gloria/0000-0003-4305-8088; paez, maritza/0000-0001-5881-884X</t>
  </si>
  <si>
    <t>10.1080/00958970512331328635</t>
  </si>
  <si>
    <t>WOS:000226665400007</t>
  </si>
  <si>
    <t>Silva, E; Herrera, L; Edwards, AM; de la Fuente, J; Lissi, E</t>
  </si>
  <si>
    <t>Enhancement of riboflavin-mediated photo-oxidation of glucose 6-phosphate dehydrogenase by urocanic acid</t>
  </si>
  <si>
    <t>We have investigated the riboflavin (RF)-sensitized inactivation of glucose 6-phosphate dehydrogenase (G6PD) in the presence and absence of trans-urocanic acid (UCA). The inactivation of the enzyme results from its direct oxidation by the excited triplet RF in a Type-I-photosensitized reaction whose efficiency increases at low oxygen concentration. The addition of histidine to the system produced no change in the inactivation rate, discarding the participation of singlet oxygen in the reaction. On the other hand, the presence of UCA results in its bleaching, with a significant enhancement of RF-mediated inactivation of G6PD. Both the consumption of UCA and G6PD are faster at low oxygen concentrations. UCA also produced a decrease in the sensitizer photodecomposition yield. These results indicate that the enhancement of the RF-mediated G6PD inactivation observed in the presence of UCA is not a singlet oxygenmediated process. It is proposed that UCA consumption and its effect on G6PD inactivation are due to a complex reaction sequence initiated by a direct oxidation of UCA by the excited sensitizer triplet. The oxidation of the semireduced flavin gives rise to reactive oxygen species (ROS) responsible for the increased rate of the process. This is supported by the protection afforded by several additives with ROS removal capacity: benzoate, superoxide dismutase and catalase.</t>
  </si>
  <si>
    <t>De la Fuente, Julio R./I-2474-2013</t>
  </si>
  <si>
    <t>De la Fuente, Julio R./0000-0002-3875-6263; Edwards-Mujica, Ana M./0000-0002-4637-1013</t>
  </si>
  <si>
    <t>1751-1097</t>
  </si>
  <si>
    <t>JAN-FEB</t>
  </si>
  <si>
    <t>10.1562/2004-07-14-RA-233.1</t>
  </si>
  <si>
    <t>WOS:000227106800030</t>
  </si>
  <si>
    <t>Hernández, A; Laurido, C; Mondaca, M; Pelissier, T; Burgos, H; Soto-Moyano, R</t>
  </si>
  <si>
    <t>Lesion of the bulbospinal noradrenergic pathways blocks desipramine-induced inhibition of the C-fiber evoked nociceptive reflex in rats</t>
  </si>
  <si>
    <t>Desipramine-induced inhibition of spinal cord nociceptive transmission was studied in rats with or without lesion of the bulbospinal noradrenergic system by recording the C-fiber evoked nociceptive reflex from a hind limb. Bulbospinal noradrenergic projections were lesioned by injecting intrathecally 20 mug of 6-hydroxydopamine 2 weeks before the electrophysiological experiments. Results show that desipramine (5, 10 and 20 mg/kg intraperitoneally) produced dose-dependent inhibition of the C reflex response duration in rats having intact noradrenergic bulbospinal systems. The inhibitory effect of desipramine was reduced or even abolished in rats pre-treated with 6-hydroxydopamine. In addition, [H-3]-noradrenaline uptake was significantly lower in spinal cord slices arising from 6-hydroxydopamine lesioned animals, as compared to that from intact rats. These observations support the notion that the antinociceptive activity of antidepressants with noradrenergic selectivity depends on a normal rate of endogenous noradrenaline released by bulbospinal neurons. (C) 2001 Elsevier Science ireland Ltd. All rights reserved.</t>
  </si>
  <si>
    <t>Hernandez, Alejandro/0000-0001-9222-6522; BURGOS, HECTOR/0000-0001-7705-4347</t>
  </si>
  <si>
    <t>1872-7972</t>
  </si>
  <si>
    <t>APR 13</t>
  </si>
  <si>
    <t>10.1016/S0304-3940(01)01544-0</t>
  </si>
  <si>
    <t>WOS:000168031600001</t>
  </si>
  <si>
    <t>Polymerization of vinyl monomers photoinitiated by p-nitroaniline:: Photoinitiation mechanism</t>
  </si>
  <si>
    <t>The polymerization rate of methyl methacrylate photoinitiated by p-nitroacetanilide in the presence of triethylamine was measured as a function of the amine concentration in different media. The polymerization is more efficient in nonpolar medium (benzene/monomer). ESR studies show the formation of a nitro and an amino free radical, which are formed by photoinduced proton transfer from the amine to the nitro group. The amine radical is the active species that adds to the monomer. (C) 2000 John Wiley &amp; Sons, Inc.</t>
  </si>
  <si>
    <t>10.1002/(SICI)1099-0518(20000615)38:12&lt;2269::AID-POLA160&gt;3.0.CO;2-H</t>
  </si>
  <si>
    <t>WOS:000087239700016</t>
  </si>
  <si>
    <t>Perez, DD; Leighton, F; Aspee, A; Aliaga, C; Lissi, E</t>
  </si>
  <si>
    <t>A comparison of methods employed to evaluate antioxidant capabilities.</t>
  </si>
  <si>
    <t>Three different methodologies frequently employed to evaluate the indexes that report the antioxidant capabilities of pure compounds and/or complex mixtures of antioxidants are applied to a series of mono- and polyphenols, as well as to two wine (red and white) samples. These methodologies are based on the bleaching of a stable radical, the effect of the additive upon luminol chemiluminescence induced by peroxyl radicals, and the effect of the additive upon the bleaching of the fluorescence from a dye molecule. Widely different responses are obtained from the different methodologies. These differences are interpreted in terms of the different factors (stoichiometric factors and/or reactivities) that determines the indexes evaluated by these different methodologies.</t>
  </si>
  <si>
    <t>Aliaga, Carolina/G-6024-2019</t>
  </si>
  <si>
    <t>Aliaga, Carolina/0000-0002-1352-3164</t>
  </si>
  <si>
    <t>WOS:000165303700004</t>
  </si>
  <si>
    <t>Light-cone quantization of two dimensional field theory in the path integral approach -: art. no. 105016</t>
  </si>
  <si>
    <t>A quantization condition due to the boundary conditions and the compatification of the light cone space-time coordinate x(-) is identified at the level of the classical equations for the right-handed fermionic field in two dimensions. A detailed analysis of the implications of the implementation of this quantization condition at the quantum level is presented. In the case of the Thirring model one has selection rules on the excitations as a function of the coupling and in the case of the Schwinger model a double integer structure of the vacuum is derived in the light-cone frame. Two different quantized chiral Schwinger models are found, one of them without a theta-vacuum structure. A generalization of the quantization condition to theories with several fermionic fields and to higher dimensions is presented. [S0556-2821(99)06210-4].</t>
  </si>
  <si>
    <t>Cortes, Jose/C-3257-2012; Gamboa, Jorge/R-8744-2019</t>
  </si>
  <si>
    <t>0556-2821</t>
  </si>
  <si>
    <t>10.1103/PhysRevD.59.105016</t>
  </si>
  <si>
    <t>WOS:000080442000055</t>
  </si>
  <si>
    <t>CamposVallette, MM; Clavijo, RE; Mendizabal, F; Diaz, G; Costamagna, J; Canales, J; Vargas, J</t>
  </si>
  <si>
    <t>Vibrational study and semiempirical calculation for the hexaazacyclophane copper(II) complex</t>
  </si>
  <si>
    <t>VIBRATIONAL SPECTROSCOPY</t>
  </si>
  <si>
    <t>The FTIR and Raman spectra of the hexaazacyclophane Cu(II) complex were recorded, and analyzed from a normal coordinate treatment by using an extended number of internal coordinates. The CuN force constant equal to 1.0 mdyn Angstrom(-1) represents satisfactorily the CuN bonding. Bond orders and total charge density for the metal free macrocycle and the complex were calculated within the molecular orbital theory framework at the INDO/1 level. Semiempirical results suggest a high electronic density on the coordination site.</t>
  </si>
  <si>
    <t>Mendizabal, Fernando/M-3408-2014; Vallette, Marcelo/I-2860-2013</t>
  </si>
  <si>
    <t>Mendizabal, Fernando/0000-0002-6912-8630; Canales Villalobos, Juan Carlos/0009-0006-3215-4997</t>
  </si>
  <si>
    <t>0924-2031</t>
  </si>
  <si>
    <t>10.1016/S0924-2031(96)00064-1</t>
  </si>
  <si>
    <t>WOS:A1997WR57400007</t>
  </si>
  <si>
    <t>de Victo, ER; Ferrari, G; Drenowatz, C; Solé, D</t>
  </si>
  <si>
    <t>de Victo, Eduardo Rossato; Ferrari, Gerson; Drenowatz, Clemens; Sole, Dirceu</t>
  </si>
  <si>
    <t>Associations of lifestyle behaviors with mental health in a nationwide cross-sectional survey of 152,860 Brazilian students</t>
  </si>
  <si>
    <t>REVISTA PAULISTA DE PEDIATRIA</t>
  </si>
  <si>
    <t>Objective: To evaluate the association between modifiable lifestyle behaviors and mental health indicators in Brazilian adolescents. Methods: This cross-sectional study used data from the 2019 National Survey of School Health including 152,860 students. The lifestyle behaviors and mental health indicators were obtained from a self-reported questionnaire. Logistic regression analyses were used to examine the association between lifestyle behaviors and mental health indicators. Results: Infrequent healthy eating (OR 1.22; 95%CI 1.14-1.31), being inactive (OR 1.82; 95%CI 1.65- 2.01), smoking (OR 1.24; 95%CI 1.10-1.40), and irregular school attendance (OR 1.31; 95%CI 1.22- 1.40) were associated with not having close friends. Additionally, not having close friends was also associated with unhealthy eating (OR 0.86; 95%CI 0.81-0.92) and alcohol consumption (OR 0.81; 95%CI 0.75-0.87). Infrequent healthy eating (OR 1.29; 95%CI 1.24-1.33), frequent unhealthy eating (OR 1.39; 95%CI 1.35-1.43), being inactive (OR 1.12; 95%CI 1.07-1.18), excessive screen time and sitting (OR 1.10; 95%CI 1.07-1.14 and OR 1.68; 95%CI 1.63-1.73, respectively), smoking (OR 1.26; 95%CI 1.19-1.34), alcohol (OR 1.33; 95%CI 1.28-1.37), drugs (OR 1.13; 95%CI 1.05-1.22), and irregular school attendance (OR 1.53; 95%CI 1.48-1.59) were associated with worse self-rated mental health. Conclusions: Various lifestyle behaviors are associated with different indicators of mental health.</t>
  </si>
  <si>
    <t>Ferrari, Gerson/HHM-6173-2022; Solé, Dirceu/JAO-0340-2023; Victo, Eduardo/JQI-9333-2023; Drenowatz, Clemens/A-1928-2013; Ferrari, Gerson/P-1152-2014</t>
  </si>
  <si>
    <t>Drenowatz, Clemens/0000-0002-3861-5364; Sole, Dirceu/0000-0002-3579-0861; Ferrari, Gerson/0000-0003-3177-6576; Rossato de Victo, Eduardo/0000-0002-4409-741X</t>
  </si>
  <si>
    <t>0103-0582</t>
  </si>
  <si>
    <t>1984-0462</t>
  </si>
  <si>
    <t>e2024080</t>
  </si>
  <si>
    <t>10.1590/1984-0462/2025/43/2024080</t>
  </si>
  <si>
    <t>WOS:001376704400004</t>
  </si>
  <si>
    <t>Herrero, S; Menares, R; Rivera-Letelier, J</t>
  </si>
  <si>
    <t>Herrero, Sebastian; Menares, Ricardo; Rivera-Letelier, Juan</t>
  </si>
  <si>
    <t>There are at most finitely many singular moduli that are S-units</t>
  </si>
  <si>
    <t>COMPOSITIO MATHEMATICA</t>
  </si>
  <si>
    <t>We show that for every finite set of prime numbers $S$, there are at most finitely many singular moduli that are $S$-units. The key new ingredient is that for every prime number $p$, singular moduli are $p$-adically disperse. We prove analogous results for the Weber modular functions, the $\lambda$-invariants and the McKay-Thompson series associated with the elements of the monster group. Finally, we also obtain that a modular function that specializes to infinitely many algebraic units at quadratic imaginary numbers must be a weak modular unit.</t>
  </si>
  <si>
    <t>Menares, Ricardo/AAS-8925-2020</t>
  </si>
  <si>
    <t>Menares, Ricardo/0000-0001-5819-5347</t>
  </si>
  <si>
    <t>0010-437X</t>
  </si>
  <si>
    <t>1570-5846</t>
  </si>
  <si>
    <t>MAR 5</t>
  </si>
  <si>
    <t>10.1112/S0010437X23007704</t>
  </si>
  <si>
    <t>WOS:001177910900001</t>
  </si>
  <si>
    <t>Biswas, A; Topp, E</t>
  </si>
  <si>
    <t>Biswas, Anup; Topp, Erwin</t>
  </si>
  <si>
    <t>Nonlocal ergodic control problem in Rd</t>
  </si>
  <si>
    <t>MATHEMATISCHE ANNALEN</t>
  </si>
  <si>
    <t>We study the existence-uniqueness of solution(u,lambda)to the ergodic Hamilton-Jacobi equation (-Delta)(s)u+H(x,u)=f-lambda in R-d, and u &gt;= 0, where s is an element of (12,1). We show that the critical lambda=lambda &amp; lowast;, defined as the infimum of all lambda attaining a non-negative supersolution, attains a nonnegative solution u. Under suitable conditions, it is also shown that lambda &amp; lowast; is the supremum of all lambda for which a non-positive subsolution is possible. Moreover, uniqueness of the solution u, corresponding to lambda &amp; lowast;, is also established. Furthermore, we provide a probabilistic characterization that determines the uniqueness of the pair (u,lambda &amp; lowast;) in the class of all solution pair(u,lambda) with u &gt;= 0. Our proof technique involves both analytic and probabilistic methods incombination with a new local Lipschitz estimate obtained in this article.</t>
  </si>
  <si>
    <t>Topp Paredes, Erwin Maximiliano/0000-0002-0578-8250</t>
  </si>
  <si>
    <t>0025-5831</t>
  </si>
  <si>
    <t>1432-1807</t>
  </si>
  <si>
    <t>10.1007/s00208-023-02760-1</t>
  </si>
  <si>
    <t>WOS:001174064000001</t>
  </si>
  <si>
    <t>Goldstein, M; Vallejos-Vidal, E; Wong-Benito, V; Barraza-Rojas, F; Tort, L; Reyes-Lopez, FE; Imarai, M</t>
  </si>
  <si>
    <t>Goldstein, Merari; Vallejos-Vidal, Eva; Wong-Benito, Valentina; Barraza-Rojas, Felipe; Tort, Lluis; Reyes-Lopez, Felipe E.; Imarai, Monica</t>
  </si>
  <si>
    <t>Effects of artificial photoperiods on antigen-dependent immune responses in rainbow trout (Oncorhynchus mykiss)</t>
  </si>
  <si>
    <t>FISH &amp; SHELLFISH IMMUNOLOGY</t>
  </si>
  <si>
    <t>In this study, we investigated the effects of the artificial photoperiods that mimic summer (16L:8D; 16 h Light: 8 h Dark) and winter (8L:16D) solstices, equinoxes (12L:12D), and the artificial 24-h light regimen (24L:0D) on the leukocyte populations and the T helper and regulatory type responses on rainbow trout (Oncorhynchus mykiss). Using flow cytometry analysis, we found that photoperiod induces changes in head kidney leukocyte subsets. The lymphoid subset increased in the 16L:8D summer solstice regime. The analysis using antibodies against B and T cells showed the increase of CD4-1(+) T lymphocytes and other unidentified lymphoid cells, with no changes in the B cells. To investigate the modulatory influence of the photoperiod on the fish T cell response, we quantified in the head kidney the transcript levels of genes involved in the Th1 type response (t-bet, ifn-gamma, il-12p35, il-12p40c), Th2 type response (gata3, il-4/13a), Th17 response (ror-gamma il-17a/f), T regulatory response (foxp3 alpha, il-10a, tgf-beta 1), and the T cell growth factor il-2. The results showed that the seasonal photoperiod alone has a limited influence on the expression of these genes, as the only difference was observed in il-14/13a and il-10a transcripts of fish kept on the 16L:8D regimen. In addition, the 24L:0D treatment used in aquaculture produces a reduction of il-14/ 13a and il-17a/f. We also evaluated the effect of photoperiod in the presence of an antigenic stimulus. Thus, in fish immunized with the recombinant viral protein 1 (rVP1) of infectious pancreatic necrosis virus (IPNV), the photoperiod had a striking influence on the type of adaptive immune response. Each photoperiod fosters a unique immune signature of antigenic response. A classical type 1 response is observed in fish subjected to the 16L:8D photoperiod. In contrast, fish in the 12L:12D photoperiod showed only the upregulation of il-12p40c. Further-more, none of the cytokines were increased in fish maintained on the artificial 24L:0D regimen, and a decrease in the master transcription factors (t-bet, ror-gamma t, and foxp3 alpha) was observed. Thus, fish on the 12L:12D and 24L:0D photoperiod appear hyporesponsive regarding the T cell response. Altogether, this study showed that photo-periods modify the magnitude and quality of the T-helper response in rainbow trout and thus impact essential mechanisms for the generation of immune memory and protection against microorganisms.</t>
  </si>
  <si>
    <t>Tort, Lluis/H-5650-2011; Reyes-López, Felipe/S-1760-2018; Vallejos-Vidal, Eva/R-9606-2019</t>
  </si>
  <si>
    <t>Tort, Lluis/0000-0002-3907-722X; Goldstein, Merari/0000-0002-7006-964X; Reyes-Lopez, Felipe E./0000-0002-5001-457X; Vallejos-Vidal, Eva/0000-0002-3091-2700</t>
  </si>
  <si>
    <t>1050-4648</t>
  </si>
  <si>
    <t>1095-9947</t>
  </si>
  <si>
    <t>10.1016/j.fsi.2023.108759</t>
  </si>
  <si>
    <t>MAY 2023</t>
  </si>
  <si>
    <t>WOS:000993151600001</t>
  </si>
  <si>
    <t>Lecaros, R; Ortega, JH; Pérez, A; De Teresa, L</t>
  </si>
  <si>
    <t>Lecaros, Rodrigo; Ortega, Jaime H.; Perez, Ariel; De Teresa, Luz</t>
  </si>
  <si>
    <t>Discrete Calderon problem with partial data</t>
  </si>
  <si>
    <t>INVERSE PROBLEMS</t>
  </si>
  <si>
    <t>In this work, we are interested in analyzing the well-known Calderon problem, which is an inverse boundary value problem of determining a coefficient function of an elliptic partial differential equation from the knowledge of the associated Dirichlet-to-Neumann map on the boundary of a domain. We consider the discrete version of the Calderon inverse problem with partial boundary data; in particular, we establish logarithmic stability estimates for the discrete Calderon problem, in dimension d ? 3, for the discrete H-r-norm on the boundary under suitable a priori bounds. The proof of our main result is based on a new discrete Carleman estimate for the discrete Laplacian operator with boundary observations.</t>
  </si>
  <si>
    <t>Lecaros, Rodrigo/LBH-1804-2024; Ortega, Jaime H./E-5651-2013; de Teresa, Luz/G-2816-2016</t>
  </si>
  <si>
    <t>Lecaros, Rodrigo/0000-0003-3929-7684; Perez, Ariel/0000-0001-8024-669X; Ortega, Jaime H./0000-0001-9751-7513; de Teresa, Luz/0000-0002-4051-1214</t>
  </si>
  <si>
    <t>0266-5611</t>
  </si>
  <si>
    <t>1361-6420</t>
  </si>
  <si>
    <t>10.1088/1361-6420/acb0f8</t>
  </si>
  <si>
    <t>WOS:000922182600001</t>
  </si>
  <si>
    <t>Gil-Lacruz, M; Cañete-Lairla, M; Navarro, J; Montaño-Espinoza, R; Espinoza-Santander, I; Osorio-Parraguez, P</t>
  </si>
  <si>
    <t>Gil-Lacruz, Marta; Canete-Lairla, Miguel; Navarro, Jorge; Montano-Espinoza, Rosa; Espinoza-Santander, Iris; Osorio-Parraguez, Paulina</t>
  </si>
  <si>
    <t>Validation of the WHOQOL-BREF Quality of Life Questionnaire in an Urban Sample of Older Adults in a Neighbourhood in Zaragoza (Spain)</t>
  </si>
  <si>
    <t>Background: Nowadays, the increase in life expectancy needs to be matched by an increase in the wellbeing of older adults. A starting point is the definition of what is understood by health-related quality of life and its measurement in different contexts. Our research translates these international priorities to a local base. Objective: To evaluate the psychometric characteristics of the World Health Organization Quality of Life Questionnaire (WHOQOL-BREF) in a sample of older adults from a Spanish urban community (Casablanca). Methods: In collaboration with the local health centre, we designed and implemented the health neighbourhood survey. Interviews took place at subjects' homes with 212 women and 135 men over the age of 60, who were residents in Casablanca. With the results, we evaluated the psychometric characteristics of WHOQOL-BREF and tested its reliability and validation. Results: The instrument has a high internal consistency with a Cronbach's Alpha of 0.9. The items with higher correlation value were: ability to carry out activities in daily life, enough energy for daily life. The scale contributions of Physical Health dimension (0.809) and Psychological Health dimension (0.722) were notable. Conclusions: As with other studies, the instrument proved to be an integral evaluation of the diverse domains that condition the wellbeing of older adults.</t>
  </si>
  <si>
    <t>; espinoza, iris/M-9625-2017; Canete, Miguel/I-5323-2012; Gil-Lacruz, Marta/H-5995-2015; Navarro Lopez, Jorge/ABF-6236-2020</t>
  </si>
  <si>
    <t>Montano Espinoza, Rosa/0009-0000-3367-9687; espinoza, iris/0000-0001-8949-8885; Canete, Miguel/0000-0002-2415-9257; Gil-Lacruz, Marta/0000-0001-8261-058X; Osorio-Parraguez, Paulina/0000-0002-6438-3712; Navarro Lopez, Jorge/0000-0001-6148-0667</t>
  </si>
  <si>
    <t>10.3390/healthcare10112272</t>
  </si>
  <si>
    <t>WOS:000912344100001</t>
  </si>
  <si>
    <t>Acosta, A; Antipán, J; Fernández, M; Prado, G; Sandoval-Altamirano, C; Günther, G; Gutiérrez-Urrutia, I; Poblete-Castro, I; Vega, A; Pizarro, N</t>
  </si>
  <si>
    <t>Acosta, Alison; Antipan, Javier; Fernandez, Mariano; Prado, Gaspar; Sandoval-Altamirano, Catalina; Gunther, German; Gutierrez-Urrutia, Izabook; Poblete-Castro, Ignacio; Vega, Andres; Pizarro, Nancy</t>
  </si>
  <si>
    <t>Photochemistry of P,N-bidentate rhenium(I) tricarbonyl complexes: reactive species generation and potential application for antibacterial photodynamic therapy</t>
  </si>
  <si>
    <t>In this work, we describe the photoisomerization of facial rhenium(I) tricarbonyl complexes bearing P,N-bidentate pyridyl/phosphine ligands with different chelating rings and anions: RePNBr, RePNTfO, and RePNNBr, which are triggered under irradiation at 365 nm in solutions. The apparent photodegradation rate constants (k(app)) depend on the coordinating ability of the solvent, being lowest in acetonitrile. The k(app) value increases as the temperature rises, suggesting a reactive IL excited state thermally populated from the MLCT excited state involved. Using the Eyring equation, positive activation enthalpies (Delta H-not equal) accompanied by high negative values for the activation entropy (Delta S-not equal) were obtained. These results suggest whatever the P,N-ligand or anion, the reaction proceeds through a strongly solvated or a compact transition state, which is compatible with an associative mechanism for the photoisomerization. A 100-fold decrease in the log(10) CFU value is observed for E. coli and S. aureus in irradiated solutions of the compounds, which follows the same tendency as their singlet oxygen generation quantum yield: RePNBr &gt; RePNTfO &gt; RePNNBr, while no antibacterial activity is observed in the darkness. This result indicates that the generation of singlet oxygen plays a key role in the antibacterial capacity of these complexes.</t>
  </si>
  <si>
    <t>Pizarro, Nancy/E-1131-2015; Poblete-Castro, Ignacio/J-2755-2019; Acosta, Alison/KYP-7555-2024; Vega, Andres/B-2122-2010; Gunther, German/I-1028-2013</t>
  </si>
  <si>
    <t>Sandoval-Altamirano, Catalina/0000-0002-8550-3218; Pizarro, Nancy/0000-0002-4688-0889; Vega, Andres/0000-0001-6501-4161; Poblete-Castro, Ignacio/0000-0001-6649-0389</t>
  </si>
  <si>
    <t>SEP 27</t>
  </si>
  <si>
    <t>10.1039/d1ra06416a</t>
  </si>
  <si>
    <t>WOS:000716063100001</t>
  </si>
  <si>
    <t>Amenabar, MJ; Martinez, L; Yuan, M; Contardo, X; Cerpa, LM; Rodrigo, C; Blamey, JM</t>
  </si>
  <si>
    <t>Amenabar, Maximiliano J.; Martinez, Litsy; Yuan, Maylee; Contardo, Ximena; Cerpa, Luis M.; Rodrigo, Cristian; Blamey, Jenny M.</t>
  </si>
  <si>
    <t>Role of Chemosynthetic Thermophilic Communities on the Biogeochemical Cycles of Minerals in the Orca Seamount Area, Antarctica</t>
  </si>
  <si>
    <t>GEOMICROBIOLOGY JOURNAL</t>
  </si>
  <si>
    <t>The Orca Seamount is a submarine volcanic structure, located in a tectonic area of the Bransfield Strait, characterized by cortical extension and roll back-type subduction. Recent investigations have described the presence of hydrothermal activity and thermophilic microorganisms in this submarine volcano, raising questions regarding the role these microorganisms might play in the environment. The presence of hydrothermal activity interacting with cold Antarctic marine waters has probably exerted a great impact on the chemistry of the Orca Seamount area, providing different types of substrates capable to support complex microbial communities. In this work, we further study the Orca Seamount area with respect to the mineralogy present in this environment and the role microorganisms might play in the biogeochemical cycles. Here we show that the assemblage of minerals detected in the Orca Seamount area is like those commonly found in other hydrothermal environments, consistent with previous investigations reporting hydrothermal activity in this zone. Sulfur- and iron-bearing minerals in addition to inorganic soluble compounds are able to support chemosynthetic microbial communities inhabiting the Orca Seamount. The role of these microorganisms on the sulfur, iron, and carbon cycle is discussed and analyzed in the context of the mineralogy and conditions of the environment.</t>
  </si>
  <si>
    <t>Cerpa, Luis/A-4861-2015; Rodrigo, Cristian/KSL-7509-2024; Blamey, Jenny/M-2637-2014; Amenabar, Maximiliano/AAD-5354-2020</t>
  </si>
  <si>
    <t>Amenabar, Maximiliano/0000-0003-1890-5353; Cerpa, Luis/0000-0001-8717-5142</t>
  </si>
  <si>
    <t>0149-0451</t>
  </si>
  <si>
    <t>1521-0529</t>
  </si>
  <si>
    <t>NOV 2</t>
  </si>
  <si>
    <t>10.1080/01490451.2021.1966141</t>
  </si>
  <si>
    <t>WOS:000688351700001</t>
  </si>
  <si>
    <t>Cid-Jofré, V; Gárate-Pérez, M; Clark, PJ; Valero-Jara, V; España, RA; Sotomayor-Zárate, R; Cruz, G; Renard, GM</t>
  </si>
  <si>
    <t>Cid-Jofre, Valeska; Garate-Perez, Macarena; Clark, Philip J.; Valero-Jara, Viviana; Espana, Rodrigo A.; Sotomayor-Zarate, Ramon; Cruz, Gonzalo; Renard, Georgina M.</t>
  </si>
  <si>
    <t>Chronic modafinil administration to preadolescent rats impairs social play behavior and dopaminergic system</t>
  </si>
  <si>
    <t>NEUROPHARMACOLOGY</t>
  </si>
  <si>
    <t>Some clinical trials are investigating modafinil (Mod) as a treatment for attentional deficit and hyperactivity disorder (ADHD) in children and adolescents. Mod increases dopamine (DA) levels in the reward system by blocking dopamine transporter (DAT). Social interactions are rewarding behaviors and evidence reveals the importance of reward circuitry in social interactions. Chronic psychostimulant treatments alter DA neurotransmission and associated behaviors. The aim of this work was to evaluate the effects of chronic Mod treatment during preadolescence on social play behavior, locomotor activity, and DA in nucleus accumbens (NAc). Preadolescent male Sprague-Dawley rats were injected with Mod (75 mg/kg i.p.) or vehicle for 14 days (PND22 to PND35). After that, we measured social play behavior, content and DA release in NAc by HPLC coupled to electrochemical detection, protein levels of DA type 2 receptor (D2) by Western blot and DA kinetic by fast-scan cyclic voltammetry (FSCV) in NAc. Regarding social play, the total number of pinning events decreased in the Mod group compared with the vehicle. The K+-stimulated DA release in NAc was significantly lower in Mod treated rats compared with vehicle group. Also, Mod increases locomotor activity at the first injection, but this effect is almost completely lost at day 14 of Mod treatment. Chronic Mod treatment during preadolescence in rats impairs dopaminergic neurotransmission in NAc and decreases the capacity of rats to perceive rewarding effects of social play. Importantly, as Mod is being evaluated to treat ADHD in children and adolescents, potential effects on social behavior should be considered since this kind of behavior in this particular stage is crucial for neurodevelopment.</t>
  </si>
  <si>
    <t>Cid-Jofré, Valeska/ABE-3761-2021; Cruz, Gonzalo/I-6147-2018</t>
  </si>
  <si>
    <t>Cruz, Gonzalo/0000-0002-1458-3599; Sotomayor-Zarate, Ramon/0000-0002-1239-5367; Renard, Georgina Maria/0000-0002-5439-7547</t>
  </si>
  <si>
    <t>0028-3908</t>
  </si>
  <si>
    <t>1873-7064</t>
  </si>
  <si>
    <t>10.1016/j.neuropharm.2020.108404</t>
  </si>
  <si>
    <t>WOS:000601149900009</t>
  </si>
  <si>
    <t>Ojeda-Aravena, A; Herrera-Valenzuela, T; Azócar-Gallardo, J; García-García, JM</t>
  </si>
  <si>
    <t>Ojeda-Aravena, Alex; Herrera-Valenzuela, Tomas; Azocar-Gallardo, Jairo; Manuel Garcia-Garcia, Jose</t>
  </si>
  <si>
    <t>The methodological alternative of the Bayes factor in clinical nutrition research Comment</t>
  </si>
  <si>
    <t>REVISTA ESPANOLA DE NUTRICION HUMANA Y DIETETICA</t>
  </si>
  <si>
    <t>Ojeda Aravena, Alex/KRQ-5703-2024; Garcia-Garcia, Jose/P-9163-2019; Herrera-Valenzuela, Tomas/L-1819-2019; Azócar-Gallardo, Jairo/AAR-3785-2021</t>
  </si>
  <si>
    <t>Herrera-Valenzuela, Tomas/0000-0002-5219-5896; , Jairo Azocar-Gallardo/0000-0002-0552-2487; Ojeda-Aravena, Alex/0000-0002-2406-9622</t>
  </si>
  <si>
    <t>2173-1292</t>
  </si>
  <si>
    <t>2174-5145</t>
  </si>
  <si>
    <t>10.14306/renhyd.24.4.1239</t>
  </si>
  <si>
    <t>WOS:000605104100013</t>
  </si>
  <si>
    <t>Silva, E; Barrias, P; Fuentes-Lemus, E; Tirapegui, C; Aspee, A; Carroll, L; Davies, MJ; López-Alarcón, C</t>
  </si>
  <si>
    <t>Silva, Eduardo; Barrias, Pablo; Fuentes-Lemus, Eduardo; Tirapegui, Cristian; Aspee, Alexis; Carroll, Luke; Davies, Michael J.; Lopez-Alarcon, Camilo</t>
  </si>
  <si>
    <t>Riboflavin-induced Type 1 photo-oxidation of tryptophan using a high intensity 365 nm light emitting diode</t>
  </si>
  <si>
    <t>The mechanism of photo-oxidation of tryptophan (Trp) sensitized by riboflavin (RF) was examined employing high concentrations of Trp and RF, with a high intensity 365 nm light emitting diode (LED) source under N-2, 20% and 100% O-2 atmospheres. Dimerization of Trp was a major pathway under the N2 atmosphere, though this occurred with a low yield ((D)phi(Trp) = 5.9x10(-3)), probably as a result of extensive back electron transfer reactions between RF center dot- and Trp(H)(center dot+). The presence of O-2 decreased the extent of this back electron transfer reaction, and the extent of Trp dimerization. This difference is attributed to the formation of O-2(center dot-) (generated via electron transfer from RF center dot- to O-2) which reacts rapidly with Trp(center dot) leading to extensive consumption of the parent amino acid and formation of peroxides and multiple other oxygenated products (N-formylkynurenine, alcohols, diols) of Trp, as detected by LC-MS. Thus, it appears that the first step of the Type 1 mechanism of Trp photooxidation, induced by this high intensity 365 nm light source, is an electron transfer reaction between the amino acid and (RF)-R-3, with the presence of O-2 modulating the subsequent reactions and the products formed, as a result of O-2(center dot-) formation. These data have potential biological significance as LED systems and RF-based treatments have been proposed for the treatment of pathological myopia and keratitis.</t>
  </si>
  <si>
    <t>Silva, Eduardo/KUC-8055-2024; Fuentes Lemus, Eduardo/X-4292-2019; Lopez, Camilo/J-5770-2013; Barrias, Pablo/V-7218-2018; Carroll, Luke/E-9366-2015; Davies, Michael/H-4939-2011; Tirapegui, Cristian/U-3748-2018</t>
  </si>
  <si>
    <t>Barrias, Pablo/0000-0003-4072-4436; Fuentes Lemus, Eduardo/0000-0002-1465-8466; Carroll, Luke/0000-0002-8600-4023; Davies, Michael/0000-0002-5196-6919; Tirapegui, Cristian/0000-0002-2895-3204; Lopez, Camilo/0000-0002-0174-8972</t>
  </si>
  <si>
    <t>10.1016/j.freeradbiomed.2018.11.026</t>
  </si>
  <si>
    <t>WOS:000455199300013</t>
  </si>
  <si>
    <t>Espinosa, C; Maquieira, C; Jara, M; Vieito, JP</t>
  </si>
  <si>
    <t>Espinosa, Christian; Maquieira, Carlos; Jara, Mauricio; Vieito, Joao Paulo</t>
  </si>
  <si>
    <t>Does corporate diversification create value in emerging markets? New evidence from Chile</t>
  </si>
  <si>
    <t>CANADIAN JOURNAL OF ADMINISTRATIVE SCIENCES-REVUE CANADIENNE DES SCIENCES DE L ADMINISTRATION</t>
  </si>
  <si>
    <t>Using a sample of 85 Chilean firms listed in the Santiago Stock Exchange from 2005 to 2013, we analyze the impact of corporate diversification on firm value. We consider voting rights of the main shareholder and institutional investors' influence on firm value. We report firm-value destruction for diversified firms. Regarding ownership concentration, we report a negative relation between the largest shareholder ownership and firm value. Separation between voting rights and cash flows rights of this shareholder is negatively related to firm value. While Pension Fund Administrators (AFP) mitigate firm value destruction in diversified firms, other institutional investors do not play an active role in controlling value destruction. Finally, if the largest owner is a family, we report firm-value creation in diversified firms. Copyright (c) 2016 ASAC. Published by John Wiley &amp; Sons, Ltd.</t>
  </si>
  <si>
    <t>Jara, Mauricio/HHN-5573-2022; Espinosa-Méndez, Christian/G-5177-2019; Maquieira, Carlos/ISB-9473-2023; Vieito, João/AAE-1207-2020; Vieito, Joao Paulo/J-5191-2012</t>
  </si>
  <si>
    <t>Vieito, Joao Paulo/0000-0002-0899-4930; Espinosa-Mendez, Christian/0000-0001-6499-2414; Jara, Mauricio/0000-0001-6339-3794; Maquieira, Carlos/0000-0001-5710-4669</t>
  </si>
  <si>
    <t>0825-0383</t>
  </si>
  <si>
    <t>1936-4490</t>
  </si>
  <si>
    <t>10.1002/cjas.1393</t>
  </si>
  <si>
    <t>WOS:000426608400009</t>
  </si>
  <si>
    <t>Urzúa, A; Bascur, M; Guzmán, F; Urbina, M</t>
  </si>
  <si>
    <t>Urzua, Angel; Bascur, Miguel; Guzman, Fabian; Urbina, Mauricio</t>
  </si>
  <si>
    <t>Carry-over effects modulated by salinity during the early ontogeny of the euryhaline crab Hemigrapsus crenulatus from the Southeastern Pacific coast: Development time and carbon and energy content of offspring</t>
  </si>
  <si>
    <t>COMPARATIVE BIOCHEMISTRY AND PHYSIOLOGY A-MOLECULAR &amp; INTEGRATIVE PHYSIOLOGY</t>
  </si>
  <si>
    <t>Hemigrapsus crenulatus is a key species of coastal and estuarine ecosystems in the Southeastern Pacific and New Zealand. Since the gravid females-and their embryos-develop under conditions of variable salinity, we propose that low external salinity will be met with an increase in energy expenditures in order to maintain osmoregulation; subsequently, the use of energy reserves for reproduction will be affected. In this study, we investigate in H. crenulatus whether 1) the biomass and energy content of embryos is influenced by salinity experienced during oogenesis and embryogenesis and 2) how variation in the biomass and energy content of embryos affects larval energetic condition at hatching. Here at low salinity (5 PSU), egg-bearing females experienced massive and frequent egg losses, and therefore the development of their eggs during embryogenesis was not completed. In turn, at intermediate and high salinity (15 and 30 PSU) embryogenesis was completed, egg development was successful, and larvae were obtained. Consistently, larvae hatched from eggs produced and incubated at high salinity (30 PSU) were larger, had higher dry weight, and had increased carbon content and energy than larvae hatched from eggs produced at intermediate salinity (15 PSU). From these results, it is seen that the size and biomass of early life stages of H. crenulatus can be affected by environmental salinity experienced during oogenesis and embryogenesis, and this variation can then directly affect the energetic condition of offspring at birth. Therefore, this study reveals a cascade effect modulated by salinity during the early ontogeny.</t>
  </si>
  <si>
    <t>Urzúa, Ángel/AAA-6095-2019; Bascur, Miguel/AAJ-4426-2021; Rivas, Fabián/AAH-3076-2019</t>
  </si>
  <si>
    <t>Urzua Osorio, Angel Gabriel/0000-0001-7706-5126; Bascur, Miguel Angel/0000-0002-4076-4262; Guzman-Rivas, Fabian/0000-0002-8883-2324</t>
  </si>
  <si>
    <t>1095-6433</t>
  </si>
  <si>
    <t>1531-4332</t>
  </si>
  <si>
    <t>10.1016/j.cbpa.2018.01.001</t>
  </si>
  <si>
    <t>WOS:000425204800007</t>
  </si>
  <si>
    <t>Hidalgo, S; Molina-Mateo, D; Escobedo, P; Zárate, RV; Fritz, E; Fierro, A; Perez, EG; Iturriaga-Vasquez, P; Reyes-Parada, M; Varas, R; Fuenzalida-Uribe, N; Campusano, JM</t>
  </si>
  <si>
    <t>Hidalgo, Sergio; Molina-Mateo, Daniela; Escobedo, Pia; Zarate, Rafaella V.; Fritz, Elsa; Fierro, Angelica; Perez, Edwin G.; Iturriaga-Vasquez, Patricio; Reyes-Parada, Miguel; Varas, Rodrigo; Fuenzalida-Uribe, Nicolas; Campusano, Jorge M.</t>
  </si>
  <si>
    <t>Characterization of a Novel Drosophila SERT Mutant: Insights on the Contribution of the Serotonin Neural System to Behaviors</t>
  </si>
  <si>
    <t>ACS CHEMICAL NEUROSCIENCE</t>
  </si>
  <si>
    <t>A better comprehension on how different molecular components of the serotonergic system contribute to the adequate regulation of behaviors in animals is essential in the interpretation on how they are involved in neuropsychiatric and pathological disorders. It is possible to study these components in simpler animal models including the fly Drosophila melanogaster, given that most of the components of the serotonergic system are conserved between vertebrates and invertebrates. Here we decided to advance our understanding on how the serotonin plasma membrane transporter (SERT) contributes to serotonergic neurotransmission and behaviors in Drosophila. In doing this, we characterized for the first time a mutant for Drosophila SERT (dSERT) and additionally used a highly selective serotonin-releasing drug, 4-methylthioamphetamine (4-MTA), whose mechanism of action involves the SERT protein. Our results show that dSERT mutant animals exhibit an increased survival rate in stress conditions, increased basal motor behavior, and decreased levels in an anxiety-related parameter, centrophobism. We also show that 4-MTA increases the negative chemotaxis toward a strong aversive odorant, benzaldehyde. Our neurochemical data suggest that this effect is mediated by dSERT and depends on the 4-MTA-increased release of serotonin in the fly brain. Our in silico data support the idea that these effects are explained by specific interactions between 4-MTA and dSERT. In sum, our neurochemical, in silico, and behavioral analyses demonstrate the critical importance of the serotonergic system and particularly dSERT functioning in modulating several behaviors in Drosophila.</t>
  </si>
  <si>
    <t>Perez, Edwin/KVY-5791-2024; Fierro, Angelica/AAJ-2533-2020; Campusano, Jorge M/A-1592-2014; Hidalgo, Sergio/IAM-6633-2023</t>
  </si>
  <si>
    <t>Perez, Edwin/0000-0002-3777-6297; Fuenzalida Uribe, Nicolas Leonardo/0000-0002-4975-7667; Campusano, Jorge M/0000-0001-5254-8340; Hidalgo, Sergio/0000-0002-2604-156X; Fierro Huerta, Angelica/0000-0002-6507-4188; Zarate, Rafaella V/0000-0001-7250-9007</t>
  </si>
  <si>
    <t>1948-7193</t>
  </si>
  <si>
    <t>10.1021/acschemneuro.7b00089</t>
  </si>
  <si>
    <t>WOS:000413502700012</t>
  </si>
  <si>
    <t>Vinet, R; Alvarez, R; Knox, M; Guzmán, L; Martínez, JL; Flores, E</t>
  </si>
  <si>
    <t>Vinet, Raul; Alvarez, Rocio; Knox, Marcela; Guzman, Leda; Martinez, Jose L.; Flores, Eva</t>
  </si>
  <si>
    <t>Vasodilatory properties of Solanum crispum Ruiz &amp; Pav. a South American native plant</t>
  </si>
  <si>
    <t>Solanum crispum Ruiz &amp; Pav. (S. crispum) is a southern South American native plant that is usually used in traditional medicine for the treatment of symptoms associated with both, acute and chronic ailments. Enema and infusion of leaves and stems are used to treat fever, headache, inflammation and hypertension. In this study, we aim to assess the vasoactive effect of hydroalcoholic extracts of S. crispum on isolated rat aorta rings. The hydroalcoholic extract of S. crispum induced a vasodilatory effect (42.6 +/- 4.1%) in aortic rings precontracted with phenylephrine (0.1 mu M). The aortic relaxation was largely endothelium-dependent and mediated by nitric oxide (NO). The endothelium-and NO-dependence was demonstrated by a drastic fall in the dilatation induced by the extract when the endothelium was removed (10.6 +/- 2.3%) and when nitric oxide synthase (NOS) was inhibited (12.3 +/- 2.5%) by nitro-L-arginine (L-NNA). This result supports the popular use of S. crispum in the treatment of hypertension that may be due, at least in part, to the vasodilator effect of one o more compounds present in their leaves and stems. Further studies should be performed to clarify this phenomenon.</t>
  </si>
  <si>
    <t>Martinez, Jose/A-4725-2013; Guzmán, Leda/AAF-5330-2020</t>
  </si>
  <si>
    <t>WOS:000377958400003</t>
  </si>
  <si>
    <t>Artigas, EM; Vilches-Montero, S; Yrigoyen, CC</t>
  </si>
  <si>
    <t>Marinao Artigas, Enrique; Vilches-Montero, Sonia; Chasco Yrigoyen, Coro</t>
  </si>
  <si>
    <t>Antecedents of tourism destination reputation: The mediating role of familiarity</t>
  </si>
  <si>
    <t>JOURNAL OF RETAILING AND CONSUMER SERVICES</t>
  </si>
  <si>
    <t>This study aims to test whether cognitive perception and affective evaluation of a tourism destination are significant antecedents of its reputation; and whether this relationship is mediated by familiarity. The proposed model was tested among 750 participants and results revealed that 40% of a destination's reputation is explained by familiarity. Familiarity in turn, is explained by cognitive perception (43%) and affective evaluation (14%). Findings confirmed the mediating role of familiarity in the relationship between cognitive perception, affective evaluation, and destination reputation. Given the important mediating role of familiarity, the various stakeholders in the tourism industry should strengthen familiarity in order to develop and enhance their reputation. (C) 2015 Elsevier Ltd. All rights reserved.</t>
  </si>
  <si>
    <t>Chasco, Coro/IUN-0313-2023; Marinao-Artigas, Enrique/CAF-2031-2022; Chasco, Coro/L-2577-2013</t>
  </si>
  <si>
    <t>Vilches-Montero, Sonia/0000-0002-9809-1929; Chasco, Coro/0000-0001-8098-9979</t>
  </si>
  <si>
    <t>0969-6989</t>
  </si>
  <si>
    <t>1873-1384</t>
  </si>
  <si>
    <t>10.1016/j.jretconser.2015.06.005</t>
  </si>
  <si>
    <t>WOS:000358088800016</t>
  </si>
  <si>
    <t>Jara-Bertin, M; Lopez-Iturriaga, F; Espinosa, C</t>
  </si>
  <si>
    <t>Jara-Bertin, Mauricio; Lopez-Iturriaga, Felix; Espinosa, Christian</t>
  </si>
  <si>
    <t>Is there a corporate diversification discount or premium? Evidence from Chile</t>
  </si>
  <si>
    <t>Purpose - The purpose of this paper is to analyze the effect of the corporate ownership diversification, i.e. how the involvement in the ownership of other non-financial firms affects the value of listed firms. The authors control for the unrelated diversification when the firm has different business segments in different sectors. Design/methodology/approach - The authors analyze a sample of Chilean-listed firms between 2005 and 2009, in two stages. First, the authors compute the diversification premium or discount, defined as the part of the firms' capitalization that stems from the diversification strategy. Then, the authors regress the premium or discount against the business and ownership diversification measures and other control variables. Findings - In addition to a discount for unrelated business diversification, the authors find an ownership diversification discount when non-financial firms are shareholders of other firms. However, this discount turns into a premium when the firm gains the control of the owned firm, especially in related sectors. Originality/value - The authors pioneer the analysis of the ownership diversification in Latin American firms. The results apply not only to Chile but also to a number of Latin American countries since many of these countries have, in common with Chile, a concentrated corporate ownership structure and a weak protection of investors' rights.</t>
  </si>
  <si>
    <t>Jara, Mauricio/HHN-5573-2022; Espinosa-Méndez, Christian/G-5177-2019; Lopez-Iturriaga, Felix/F-5321-2012</t>
  </si>
  <si>
    <t>Jara, Mauricio/0000-0001-6339-3794; Lopez-Iturriaga, Felix/0000-0003-0875-5283</t>
  </si>
  <si>
    <t>10.1108/ARLA-10-2014-0168</t>
  </si>
  <si>
    <t>WOS:000359044900007</t>
  </si>
  <si>
    <t>Chávez, H; Baldick, R; Matevosyan, J</t>
  </si>
  <si>
    <t>Chavez, Hector; Baldick, Ross; Matevosyan, Julija</t>
  </si>
  <si>
    <t>CPS1 Compliance-Constrained AGC Gain Determination for a Single-Balancing Authority</t>
  </si>
  <si>
    <t>The integration of non-dispatchable generation has increased the need for ancillary services to maintain frequency control performance, and the determination of adequacy to ensure reliability has become an important operating concern. This work determines the AGC gain of a single balancing authority interconnection in order for system frequency to comply with NERC control performance standards, ensuring secondary control adequacy. The particular case of wind expansion is considered, and a simulation of ERCOT is presented to evaluate the performance of the formulation.</t>
  </si>
  <si>
    <t>Matevosyan, Julia/0000-0003-0391-6076</t>
  </si>
  <si>
    <t>10.1109/TPWRS.2013.2285727</t>
  </si>
  <si>
    <t>WOS:000335399100056</t>
  </si>
  <si>
    <t>Almodovar, I; Cardona, W; Delgado-Castro, T; Zapata-Torres, G; Rezende, MC; Araya-Maturana, R; Maestro, MC; Ruano, JLG</t>
  </si>
  <si>
    <t>Almodovar, Iriux; Cardona, Wilson; Delgado-Castro, Tomas; Zapata-Torres, Gerald; Caroli Rezende, Marcos; Araya-Maturana, Ramiro; Carmen Maestro, M.; Garcia Ruano, Jose L.</t>
  </si>
  <si>
    <t>Remote regio- and stereocontrol by the sulfinyl group: Diels-Alder reaction of sulfinyl dienols and 8,8-dimethylnaphthalene-1,4,5(8H)-trione</t>
  </si>
  <si>
    <t>TETRAHEDRON-ASYMMETRY</t>
  </si>
  <si>
    <t>Diels-Alder cycloaddition of 8,8-dimethylnaphthalene-1,4,5(8H)-trione with diastereomeric hydroxy-sulfinyldienes proceeded with high yields and good pi-facial and regioselectivities. The hydroxysulfoxide moiety controls the regio- and stereoselectivities, through hydrogen bonds in the suggested transition state. (C) 2012 Elsevier Ltd. All rights reserved.</t>
  </si>
  <si>
    <t>Ruano, Jose/D-4005-2013; Maestro, M./J-3410-2017; Caroli, Marcos/H-3570-2019; Araya-Maturana, Ramiro/N-8747-2015</t>
  </si>
  <si>
    <t>Almodovar, Iriux/0000-0002-0692-0196; Maestro, M. Carmen/0000-0002-5639-9714; Cardona-Villada, Wilson/0000-0003-2160-2791; Araya-Maturana, Ramiro/0000-0002-5082-9146; Rezende, Marcos/0000-0003-2040-9009</t>
  </si>
  <si>
    <t>0957-4166</t>
  </si>
  <si>
    <t>10.1016/j.tetasy.2012.11.017</t>
  </si>
  <si>
    <t>WOS:000314488700008</t>
  </si>
  <si>
    <t>García, M; Carfumán, K; Díaz, C; Garrido, C; Osorio-Román, I; Aguirre, MJ; Isaacs, M</t>
  </si>
  <si>
    <t>Garcia, Macarena; Carfuman, Karla; Diaz, Carlos; Garrido, Carlos; Osorio-Roman, Igor; Jesus Aguirre, M.; Isaacs, Mauricio</t>
  </si>
  <si>
    <t>Multimetallic porphyrins/polyoxotungstate modified electrodes by layer-by-layer method: Electrochemical, spectroscopic and morphological characterization</t>
  </si>
  <si>
    <t>This work describes the formation of modified electrodes layer-by-layer assembly of a mu-{meso-5,10,15,20-tetra(pyridyl)porphyrin}terrakis{bis(bipyridine)chloride ruthenium(II)} coordinated with Zn(II) and Mn(III) in its central cavity and an anionic polyoxotungstate [SiW12O40](4-). The bilayer formation was monitored using electrochemical and UV-vis techniques, following the oxidation process of the Ru-III/II couple and the absorbance of the Soret band of porphyrin complexes respectively. It was possible to form 10 stable bilayers onto ITO surface. SEM studies were carried out finding that the morphology of the film depends on the metal center in the porphyrin. The thickness of these films was estimated as 0.603 mu m for (Zn(II)TRP](4+)/[SiW12O40](4-) and 2.18 mu m for [Mn(III)TRP](5+)/[[SiW12O40](4-) modified electrodes respectively. Raman spectroscopy showed that new bands appeared for [Mn(III)TRP](5+)/[SIW12O40](4-) assembly confirming stronger interactions than only electrostatic forces. Kinetics parameters such as charge transfer coefficient, alpha, and heterogeneous electron transfer rate constant, k(s) were obtained for both electrodes. Using electrochemical and UV-vis data it was possible to estimate the energy levels involved in the charge transfer process through the films formed. Sensor properties of [Zn(II)TRP](4+)/(SiW12O40](4-) modified electrode toward chlorite oxidation was tested. The results show electrocatalytic activity, amperometric determination demonstrate a detection limit of 13.8 mu M. (C) 2012 Elsevier Ltd. All rights reserved.</t>
  </si>
  <si>
    <t>García, Macarena/GXG-8380-2022; Aguirre, Maria/A-3935-2013; Isaacs, Mauricio/N-3027-2013; Osorio, Igor/AEX-9230-2022; Diaz, Carlos/R-8646-2018</t>
  </si>
  <si>
    <t>Isaacs Casanova, Mauricio/0000-0003-0503-0949; Diaz, Carlos/0000-0002-7250-8829; Osorio-Roman, Igor/0000-0001-7502-8698; Garrido, Carlos/0000-0002-0522-8691; Aguirre, Maria/0000-0003-1134-4469</t>
  </si>
  <si>
    <t>10.1016/j.electacta.2012.07.039</t>
  </si>
  <si>
    <t>WOS:000309307200051</t>
  </si>
  <si>
    <t>Laroche, C; Labbé, R; Pétrélis, F; Fauve, S</t>
  </si>
  <si>
    <t>Laroche, C.; Labbe, R.; Petrelis, F.; Fauve, S.</t>
  </si>
  <si>
    <t>Chaotic motors</t>
  </si>
  <si>
    <t>AMERICAN JOURNAL OF PHYSICS</t>
  </si>
  <si>
    <t>We show that electric motors and dynamos can be used to illustrate most elementary instabilities or bifurcations discussed in courses on nonlinear oscillators and dynamical systems. These examples are easier to understand and display a richer behavior than the ones commonly used from mechanics, electronics, hydrodynamics, lasers, chemical reactions, and population dynamics. In particular, an electric motor driven by a dynamo can display stationary, Hopf, and codimension-two bifurcations by tuning the driving speed of the dynamo and the electric current in the stator of the electric motor. When the dynamo is driven at constant torque instead of constant rotation rate, chaotic reversals of the generated current and of the angular rotation of the motor are observed. Simple deterministic models are presented which capture the observed dynamical regimes. (C) 2012 American Association of Physics Teachers.</t>
  </si>
  <si>
    <t>0002-9505</t>
  </si>
  <si>
    <t>1943-2909</t>
  </si>
  <si>
    <t>10.1119/1.3664605</t>
  </si>
  <si>
    <t>WOS:000299386200003</t>
  </si>
  <si>
    <t>Enrione, J; Osorio, F; Pedreschi, F; Hill, S</t>
  </si>
  <si>
    <t>Enrione, Javier; Osorio, Fernando; Pedreschi, Franco; Hill, Sandra</t>
  </si>
  <si>
    <t>Prediction of the Glass Transition Temperature on Extruded Waxy Maize and Rice Starches in Presence of Glycerol</t>
  </si>
  <si>
    <t>CIGR International Conference of Agricultural Engineering/Brazilian-Society-of-Agricultural-Engineering Meeting</t>
  </si>
  <si>
    <t>AUG 31-SEP 04, 2008</t>
  </si>
  <si>
    <t>BRAZIL</t>
  </si>
  <si>
    <t>CIGR,Brazilian Soc Agr Engn</t>
  </si>
  <si>
    <t>Polymer science approach has shown to be useful to understand the structural complexity of food systems. This work looks at the effect of glycerol (5%, 10%, and 20% (dry weight basis)) on the glass transition temperature (Tg) of a starchy matrix determined by DSC and its prediction using Ten-Brinke-Karasz equation. Waxy maize starch (WMS) and rice starch (RS) systems were prepared by thermomechanical extrusion. A decrease in Tg, from similar to 170 to similar to 25 A degrees C, was detected for both starches (0% glycerol) when the moisture increased from 5% to 25% (wet weight basis (wb)). When glycerol was added, a further decrease in Tg was obtained. Tg was reduced from 120 to 60 A degrees C and 45 A degrees C for 10% and 20% glycerol, respectively, at a moisture content of 10% (wb). A direct comparison between starches with similar composition showed equal Tg (P &gt; 0.05). The modeling for the control samples (0% glycerol) gave a Delta Cp similar to aEuro parts per thousand 0.4 Jg(-1) K-1 for WMS and RS and similar to 1.9 Jg(-1) K-1 for water. These values can be explained by the well-known Tg dependence on degree of polymerization and molecular weight. When the glycerol concentration was increased, an increase was observed, Delta Cp similar to aEuro parts per thousand 0.6 Jg(-1) K--1,K- for both starches and similar to 2.8 Jg(-1) K-1 for water. This behavior would indicate an overestimation in the plasticizing effect of glycerol due to the possible occurrence of polyol-rich fractions in the extruded samples.</t>
  </si>
  <si>
    <t>pedreschi, franco/F-8844-2013; Hill, Sandra/AAQ-6540-2021; Enrione, Javier/I-9225-2014; osorio, fernando/AAY-7304-2021</t>
  </si>
  <si>
    <t>Hill, Sandra/0000-0001-8797-7364; Enrione, Javier/0000-0002-3916-6775; osorio, fernando/0000-0001-7206-0924</t>
  </si>
  <si>
    <t>10.1007/s11947-010-0345-1</t>
  </si>
  <si>
    <t>WOS:000284069700002</t>
  </si>
  <si>
    <t>Laroze, D; Martinez-Mardones, J; Pérez, LM; Rojas, RG</t>
  </si>
  <si>
    <t>Laroze, D.; Martinez-Mardones, J.; Perez, L. M.; Rojas, R. G.</t>
  </si>
  <si>
    <t>Stationary thermal convection in a viscoelastic ferrofluid</t>
  </si>
  <si>
    <t>We report theoretical and numerical results on convection for a magnetic fluid in a viscoelastic carrier liquid. We focus in the stationary convection for idealized boundary conditions. We obtain explicit expressions of convective thresholds in terms of the control parameters of the system. Close to bifurcation, the coefficients of the corresponding amplitude equation are determined analytically. Finally, the secondary instabilities are performed. (C) 2010 Elsevier B.V. All rights reserved.</t>
  </si>
  <si>
    <t>Laroze, David/Z-2852-2019; Rojas, René/C-4921-2009; Pérez, Laura/AAZ-1995-2020; Laroze, David/E-9134-2011; Perez, Laura/K-9357-2017</t>
  </si>
  <si>
    <t>Laroze, David/0000-0002-6487-8096; Rojas, Rene/0000-0002-0012-3479; Rojas, Rene/0000-0002-5292-0816; Perez, Laura/0000-0002-2915-309X</t>
  </si>
  <si>
    <t>10.1016/j.jmmm.2010.07.010</t>
  </si>
  <si>
    <t>WOS:000281061400064</t>
  </si>
  <si>
    <t>Domínguez, DM; Reina, M; Villarroel, L; Fajardo, V; González-Coloma, A</t>
  </si>
  <si>
    <t>Dominguez, Dulce M.; Reina, Matias; Villarroel, Luis; Fajardo, Victor; Gonzalez-Coloma, Azucena</t>
  </si>
  <si>
    <t>Bioactive Furanoeremophilanes from Senecio otites Kunze ex DC.</t>
  </si>
  <si>
    <t>ZEITSCHRIFT FUR NATURFORSCHUNG SECTION C-A JOURNAL OF BIOSCIENCES</t>
  </si>
  <si>
    <t>The furanoeremophilanes 6 beta-angeloyloxy-1,10-dehydrofuranoeremophilan-9-one (1), 6 beta-hydroxy-1,10-dehydrofuranoeremophilan-9-one (2) and 6 beta-propionyloxy-1,10-dehydrofuranoeremophilan-9-one (3) were isolated from Senecio otites, their structures elucidated by spectral analyses, and their insecticidal and phytotoxic properties evaluated. Compounds 1-3 proved to be effective aphid antifeedants against Myzus persicae and Rhopalosiphum padi and had postingestive negative effects on Spodoptera littoralis larvae. These compounds did not have any phytotoxic effects on Lactuca sativa.</t>
  </si>
  <si>
    <t>GONZALEZ-COLOMA, AZUCENA/0000-0001-5124-664X</t>
  </si>
  <si>
    <t>0939-5075</t>
  </si>
  <si>
    <t>1865-7125</t>
  </si>
  <si>
    <t>11-12</t>
  </si>
  <si>
    <t>WOS:000262677000009</t>
  </si>
  <si>
    <t>Recabarren, S; Sir-Petermann, T; Rfos, R; Maliqueo, M; Echiburù, B; Smith, R; Rojas-Garcìa, P; Recabarren, M; Rodolfo, RA</t>
  </si>
  <si>
    <t>Recabarren, Sergio; Sir-Petermann, Teresa; Rfos, Rafael; Maliqueo, Manuel; Echiburu, Barbara; Smith, Rosita; Rojas-Garcia, Pedro; Recabarren, Monica; Rodolfo, Rey A.</t>
  </si>
  <si>
    <t>Testicular function in sons of women with polycystic ovary syndrome (PCOS) from infancy to adulthood</t>
  </si>
  <si>
    <t>HORMONE RESEARCH</t>
  </si>
  <si>
    <t>Recabarren, Sergio/F-3475-2011; Echiburú, Bárbara/M-1659-2017</t>
  </si>
  <si>
    <t>0301-0163</t>
  </si>
  <si>
    <t>WOS:000259785600229</t>
  </si>
  <si>
    <t>Reyes, E; Pena, R; Cardenas, R; Clare, J; Wheeler, P; Blasco-Gimenez, R</t>
  </si>
  <si>
    <t>Reyes, E.; Pena, R.; Cardenas, R.; Clare, J.; Wheeler, P.; Blasco-Gimenez, Ramon</t>
  </si>
  <si>
    <t>A Topology for Multiple Generation System with Doubly fed Induction Machines and Indirect Matrix Converter</t>
  </si>
  <si>
    <t>2008 IEEE INTERNATIONAL SYMPOSIUM ON INDUSTRIAL ELECTRONICS, VOLS 1-5</t>
  </si>
  <si>
    <t>Proceedings of the IEEE International Symposium on Industrial Electronics</t>
  </si>
  <si>
    <t>IEEE International Symposium on Industrial Electronics</t>
  </si>
  <si>
    <t>JUN 30-JUL 02, 2008</t>
  </si>
  <si>
    <t>Cambridge, ENGLAND</t>
  </si>
  <si>
    <t>In this paper, a new topology for a grid connected generation system based on two double fed induction generators is presented The scheme uses an indirect matrix converter consisting on an input rectifier, a three-to-two matrix converter which provides a DC voltage, and two voltage fed output converters. The input converter is connected to the grid and each of the output converters is connected to the rotor of the corresponding machine. The rotor currents of each generator are vector controlled and unity power factor operation at the indirect matrix converter input is considered. The duty cycles for the input converter are chosen in order to obtain maximum DC link voltage. The duty cycles for each of the output converter can be arranged in order to minimize the commutation losses of the input converter and/or reduce the ripple of the input current. The speed of the generators is used to decide the switching pattern for the output converters. The entire system is modelled and results are presented to show the feasibility of the proposed scheme.</t>
  </si>
  <si>
    <t>Blasco-Gimenez, Ramon/M-7000-2019; pena, ruben/H-1806-2018; Cardenas, Roberto/C-6395-2011; Blasco-Gimenez, Ramon/C-5824-2011; Clare, Jon/M-2032-2018</t>
  </si>
  <si>
    <t>Cardenas, Roberto/0000-0003-3853-7703; Wheeler, Patrick/0000-0003-0307-581X; Blasco-Gimenez, Ramon/0000-0003-3427-1581; Clare, Jon/0000-0001-8243-4280</t>
  </si>
  <si>
    <t>2163-5137</t>
  </si>
  <si>
    <t>978-1-4244-1665-3</t>
  </si>
  <si>
    <t>WOS:000266702101099</t>
  </si>
  <si>
    <t>Alvarez, GA; Salinas, RA; Malthus, TJ</t>
  </si>
  <si>
    <t>Alvarez, G. A.; Salinas, R. A.; Malthus, T. J.</t>
  </si>
  <si>
    <t>Integrating CFD modelling, neural networks and remote sensing: controlled prediction of chlorophyll-a concentration in the Mejillones of South Bay</t>
  </si>
  <si>
    <t>IET COMPUTER VISION</t>
  </si>
  <si>
    <t>The geomorphologic characteristics of the Mejillones of South Bay (The Bay) in northern Chile influence the oceanic dynamics inside the Bay. The presence of the Gunther tropical undercurrent brings tropical water to the region, whereas the Humboldt polar current brings cool water to the same area. The combination of geomorphology and currents generates conditions responsible for producing a powerful upwelling phenomenon in the Bay. A novel approach that integrates both remotely sensed data and in situ information, including oceanic variables and bathymetry, is proposed, which when combined with a computational fluid dynamic (CFD) model predicts patterns of surface distributions of variables such as chlorophyll-a concentration and temperature. The proposed system uniquely generates a controlled map via the application of digital image processing and an artificial neural network.</t>
  </si>
  <si>
    <t>Salinas Domínguez, Rafael/HKN-4842-2023; Malthus, Tim/G-6629-2011</t>
  </si>
  <si>
    <t>Malthus, Tim/0000-0001-7161-8770</t>
  </si>
  <si>
    <t>1751-9632</t>
  </si>
  <si>
    <t>1751-9640</t>
  </si>
  <si>
    <t>10.1049/iet-cvi:20060168</t>
  </si>
  <si>
    <t>WOS:000249965800002</t>
  </si>
  <si>
    <t>Escalona, N; Ojeda, J; Palacios, JM; Yates, A; Fierro, JLG; Agudo, AL; Gil-Llambías, FJ</t>
  </si>
  <si>
    <t>Escalona, N.; Ojeda, J.; Palacios, J. M.; Yates, A.; Fierro, J. L. G.; Agudo, A. Lopez; Gil-Llambias, F. J.</t>
  </si>
  <si>
    <t>Promotion of Re/Al2O3 and Re/C catalysts by Ni sulfide in the HDS and HDN of gas oil:: Effects of Ni loading and support</t>
  </si>
  <si>
    <t>Two series of NiRe catalysts supported on gamma-Al2O3 and activated carbon having constant wt.% Re2O3 content (3.51 and 1.97, respectively) and various Ni/Re atomic ratios were prepared to investigate the promoting action of Ni on sulfided Re catalysts in the simultaneous hydro-desulfurization (HDS) and hydrodenitrogenation (HDN) of gas oil. The catalysts were characterized using textural analysis, X-ray diffraction, diffuse reflectance spectroscopy, energy-dispersive X-ray analysis and X-ray photoelectron spectroscopy. On both Ni(x)Re/Al2O3 and Ni(x)Re/C catalysts, the dependence of HDS and HDN activities showed initially an increase and subsequent decrease with increasing Ni content, with optimum Ni/Re atomic ratios of similar to 0.94 for Ni(x)Re/Al2O3 catalysts and similar to 1.25 for Ni(x)Re/C catalysts. The decline in activity was attributed to a reduction in Re dispersion and a low Ni sulfidation for the alumina-supported catalysts, and to a separate location of Re and Ni on the support surface, as well as to an incomplete Ni sulfidation for the carbon-supported catalysts. The synergetic effect in activity observed between Ni and Re was slightly higher for HDS than for HDN, especially at low reaction temperature (325 degrees C) and on carbon-supported catalysts. On the basis of these promotional effects on catalytic activities and HDN/HDS selectivity, and the characterization results, the nature of the promotion observed on NiRe supported catalysts was discussed. (c) 2007 Published by Elsevier B.V.</t>
  </si>
  <si>
    <t>Escalona, Nestor/F-3593-2016; Yates, Malcolm/H-5152-2015; Garcia Fierro, Jose Luis/C-4774-2014</t>
  </si>
  <si>
    <t>Yates, Malcolm/0000-0001-5128-1218; Garcia Fierro, Jose Luis/0000-0002-6880-3737; Ojeda, Juan/0000-0002-9484-5017; Escalona Burgos, Nestor/0000-0002-2628-4609</t>
  </si>
  <si>
    <t>10.1016/j.apcata.2006.12.007</t>
  </si>
  <si>
    <t>WOS:000245029100025</t>
  </si>
  <si>
    <t>Sepulveda, W; Campana, C; Carstens, E; Rodriguez, J</t>
  </si>
  <si>
    <t>Prenatal sonographic diagnosis of bilateral ureteroceles - The pseudoseptated fetal bladder</t>
  </si>
  <si>
    <t>Aureterocele is a rare urologic disorder characterized by cystic dilatation of the distal ureter. In about 80% of cases, this condition comprises the ureter draining the upper pole of a duplex collecting system. Because the ureteric orifice is located distal to the trigone and is often stenotic or obstructed by the closed bladder neck, the proximal ureter and its corresponding renal pelvis become dilated, leading to varying degrees of dysplasia of the upper pole moiety.(1,2) Ureteroceles vary in size from small, clinically asymptomatic lesions to large lesions, which can obstruct the ipsilateral and contralateral ureters and prolapse into the urethra, causing bladder outlet obstruction. In the pediatric population, ureteroceles are found in approximately 1 per 4000 infants, are 4 to 7 times more frequent in girls, affect predominantly the white population, have a slight left-sided preponderance, and are bilateral in 10% of cases.(1,2) Ureteroceles have been increasingly diagnosed in utero, by means of sonography.(3,4) However, the exact incidence in the fetus is difficult to determine, although an estimation of 1 per 5000 to 9000 live births has been quoted recendy.(4) On the basis of this information, bilateral fetal ureteroceles are therefore expected in 1 or 2 per every 100,000 fetuses. Not surprisingly, reports on the prenatal diagnosis and implications of bilateral ureteroceles are scarce.(5,6) In this report, the prenatal sonographic findings, natural history, and subsequent management of a case of bilateral fetal ureteroceles are described.</t>
  </si>
  <si>
    <t>10.7863/jum.2003.22.8.841</t>
  </si>
  <si>
    <t>WOS:000184351700014</t>
  </si>
  <si>
    <t>Campos-Vallette, MM; Clavijo, REC; Costamagna, J; Canales, J; Diaz, GF; Mendizabal, FE; Ramirez, JM; Saavedra, MS</t>
  </si>
  <si>
    <t>Vibrational and theoretical study of azabipiridyl macrocycle and its Ni(II), Cu(II) and Zn(II) complexes deposited onto a smooth copper surface</t>
  </si>
  <si>
    <t>The infrared spectra of the azabipiridyl macrocycle complexes of NI(II), Cu(II) and Zn(II) were registered between 4000 and 200 cm(-1). The spectral assignment allowed to identify the complex formation and structural differences in the coordination site of the complexes. The Ni complex is coplanar to the coordinating N atoms; the copper ion is slightly out of the coordination site plane and the Zn cation is decidedly out of that plane. The stability order of the complex formation Ni &gt; Cu &gt; Zn, is proposed. Specular reflectance IR spectra indicated that the ligand displays an aleatory orientation onto the smooth copper surface and the Ni and Cu complexes are oriented plane parallel to the surface. The Zn complex-surface interaction is the less energetic in the series. A theoretical study using the INDO/1 semiempirical method and a molecular model for the interacting adsorbate-substrate system support quite well the experimental results and allow an interpretation of the energetic process of the complex-surface interaction; the energy of the complex surface interaction follows the order Ni &gt; Cu &gt; Zn. (C) 2000 Elsevier Science B.V. All rights reserved.</t>
  </si>
  <si>
    <t>10.1016/S0924-2031(99)00073-9</t>
  </si>
  <si>
    <t>WOS:000086054800005</t>
  </si>
  <si>
    <t>Rios, E; Chartier, P; Gautier, JL</t>
  </si>
  <si>
    <t>Oxygen evolution electrocatalysis in alkaline medium at thin MnxCo3-xO4 (0 ≤ x ≤ 1) spinel films on glass/SnO2:F prepared by spray pyrolysis</t>
  </si>
  <si>
    <t>SOLID STATE SCIENCES</t>
  </si>
  <si>
    <t>Films of a series of manganese-cobalt mixed valency spinel oxides of theoretical formula MnxCo3-xO4, (x = 0; 0.25; 0.5; 0.75 and 1), have been prepared by spray pyrolysis at 150 degrees C on conductive glass in order to relate solid state and surface chemistry to electrocatalytical activity towards the oxygen evolution reaction (OER). X-ray diffraction (XRD) and IR spectroscopy characterized their bulk crystalline properties. Both techniques have confirmed that all oxides belong to the spinel family. Their surface properties were characterized by XPS yielding the Co3+/Co2+ surface ratio. The kinetics of the OER was investigated in 1 M KOH by means of steady state current-potential curves, obtained in the potentiostatic mode and by reaction order determination. The order of reaction ranging from 1.0 to 1.2, and the Tafel slopes ranging from 67 to 69 mV dec(-1) can be tentatively interpreted by a mechanism involving a Temkin type of electrosorption of OH intermediates associated with an electrochemical rate-determining step. Replacing progressively Co by Mn, the electrodes were increasingly electrocatalytically less active, surface Co3+ ions being the active sites, and making Co3O4 the most active in the series.</t>
  </si>
  <si>
    <t>1293-2558</t>
  </si>
  <si>
    <t>10.1016/S1293-2558(00)80081-3</t>
  </si>
  <si>
    <t>WOS:000082925100003</t>
  </si>
  <si>
    <t>Loyola, CZ; Zitolo, A; Troncoso, N; Carrasco, J; Choque, S; Abarca, G; Zagal, JH; Orellana, W; Tasca, F</t>
  </si>
  <si>
    <t>Loyola, Cesar Zuniga; Zitolo, Andrea; Troncoso, Nicolas; Carrasco, Juan; Choque, Sergio; Abarca, Gabriel; Zagal, Jose H.; Orellana, Walter; Tasca, Federico</t>
  </si>
  <si>
    <t>High content Fe(III) electrocatalyst for the oxygen reduction and evolution reactions. Spectroscopic, electrochemical, and theoretical insights</t>
  </si>
  <si>
    <t>X-ray photoelectron spectroscopy (XPS) and X-ray absorption spectroscopy (XAS), DFT simulations, and standard electrochemical methods were used to analyse the high Fe(III) content of the synthetized Fe phthalocyanine (FePc) axially coordinated to 4-amino-3-nitropyridine (NPy). XPS analysis reveals that NPy exerts a high electron-withdrawing power on the Fe centre causing a shift to a more positive value of E-Fe(III)/(II)(0') contrasted to FePc-CNT with a Delta E-0' = [E-FePc-NPy-CNT(III)/(II)(0') - E-FePc-CNT(III)/(II)(0')] = 56 mV, which evidence the possibility to fine-tune this value. XAS and XANES analyses indicate a decreased electron density in the metal centre causing lower interactions with O-2. Consecutively, the Fe2+/Fe3+ ratio changes from 0.95 to 0.51 for FePc-CNT and Fe-NPy-CNT, respectively. The electrocatalytic studies of the oxygen reduction reaction (ORR) in alkaline media, show better performances than the commonly used Pt 20% electrocatalyst in terms of overpotential (Delta E-0' = [E-onset(0') (Fe-NPy-CNT) - E-onset Pt(0')0] = 35 mV) and similar TOF rates at 0.9 V vs. RHE (similar to 1.00 e(-) site(-1) s(-1)). DFT calculations show that both FePc-Py-CNT and FePc-NPy-CNT catalysts have nearly equal interactions with O-2 (-0.37 eV and -0.32 eV, respectively). However, the O-2 bond distance in the FePc-NPy-CNT system is 11% greater compared to the FePc-Py-CNT system explaining the superior performance of the FePc-NPy-CNT catalyst for the oxygen reduction reaction (ORR). Additionally, the interaction with H2O is stronger in the -NPy-configuration, which is consistent with the experimental results.</t>
  </si>
  <si>
    <t>Tasca, Federico/J-4134-2015; zagal, jose/L-9648-2014; Abarca, Gabriel/O-3451-2019; Zúñiga-Loyola, César/AAN-5621-2021; Zitolo, Andrea/J-2190-2019; Orellana, Walter/F-2068-2014; Abarca Anjari, Gabriel/L-4006-2016</t>
  </si>
  <si>
    <t>Tasca, Federico/0000-0002-4111-4624; Choque, Sergio/0000-0002-0153-2573; Zitolo, Andrea/0000-0002-2187-6699; Abarca Anjari, Gabriel/0000-0001-8477-2275</t>
  </si>
  <si>
    <t>FEB 3</t>
  </si>
  <si>
    <t>10.1016/j.ijhydene.2024.12.385</t>
  </si>
  <si>
    <t>WOS:001399844000001</t>
  </si>
  <si>
    <t>Dávila, G; Quaas, A; Topp, E</t>
  </si>
  <si>
    <t>Davila, Gonzalo; Quaas, Alexander; Topp, Erwin</t>
  </si>
  <si>
    <t>On large solutions for fractional Hamilton-Jacobi equations</t>
  </si>
  <si>
    <t>We study the existence of large solutions for nonlocal Dirichlet problems posed on a bounded, smooth domain, associated with fully nonlinear elliptic equations of order 2 s, with s ? (1/2, 1), and a coercive gradient term with subcritical power 0 &lt; p &lt; 2 s. Due to the nonlocal nature of the diffusion, new blow-up phenomena arise within the range 0 &lt; p &lt; 2 s, involving a continuum family of solutions and/or solutions blowing-up to -8 on the boundary. This is in striking difference with the local case studied by Lasry-Lions for the subquadratic case 1 &lt; p &lt; 2.</t>
  </si>
  <si>
    <t>PII S0308210523000598</t>
  </si>
  <si>
    <t>10.1017/prm.2023.59</t>
  </si>
  <si>
    <t>WOS:001026511200001</t>
  </si>
  <si>
    <t>Duran-Mateluna, C; Ales, Z; Elloumi, S; Jorquera-Bravo, N</t>
  </si>
  <si>
    <t>Duran-Mateluna, Cristian; Ales, Zacharie; Elloumi, Sourour; Jorquera-Bravo, Natalia</t>
  </si>
  <si>
    <t>Robust MILP formulations for the two-stage weighted vertex p-center problem</t>
  </si>
  <si>
    <t>COMPUTERS &amp; OPERATIONS RESEARCH</t>
  </si>
  <si>
    <t>The weighted vertex p-center problem (PCP ) consists of locating p facilities among a set of available sites such that the maximum weighted distance (or travel time) from any demand node to its closest located facility is minimized. This paper studies the exact solution of the two-stage robust weighted vertex p-center problem (RPCP2). In this problem, the location of the facilities is fixed in the first stage while the demand node allocations are recourse decisions fixed once the uncertainty is revealed. The problem is modeled by box uncertainty sets on both the demands and the distances. We introduce five different robust reformulations based on MILP formulations of (PCP ) from the literature. We prove that considering a finite subset of scenarios is sufficient to obtain an optimal solution of (RPCP2). We leverage this result to introduce a column-and-constraint generation algorithm and a branch-and-cut algorithm to efficiently solve this problem optimally. We highlight how these algorithms can also be adapted to solve the single-stage problem (RPCP1) which is obtained when no recourse is considered. We present a numerical study to compare the performances of these formulations on randomly generated instances and on a case study from the literature.</t>
  </si>
  <si>
    <t>Duran-Mateluna, Cristian/0000-0001-6024-4750; Jorquera-Bravo, Natalia/0009-0007-1762-0598</t>
  </si>
  <si>
    <t>0305-0548</t>
  </si>
  <si>
    <t>1873-765X</t>
  </si>
  <si>
    <t>10.1016/j.cor.2023.106334</t>
  </si>
  <si>
    <t>WOS:001039982300001</t>
  </si>
  <si>
    <t>Canales, C; García-Herrera, C; Rivera, E; Macías, D; Celentano, D</t>
  </si>
  <si>
    <t>Canales, Claudio; Garcia-Herrera, Claudio; Rivera, Eugenio; Macias, Demetrio; Celentano, Diego</t>
  </si>
  <si>
    <t>Anisotropic Hyperelastic Material Characterization: Stability Criterion and Inverse Calibration with Evolutionary Strategies</t>
  </si>
  <si>
    <t>In this work, we propose a reliable and stable procedure to characterize anisotropic hyperelastic materials. For this purpose, a metaheuristic optimization method known as evolutionary strategies is used. The advantage of this technique with respect to traditional methods used for non-linear optimization, such as the Levenberg-Marquardt Method, is that this metaheuristic algorithm is oriented to the global optimization of a problem, is independent of gradients and allows to solve problems with constraints. These features are essential when characterizing hyperelastic materials that have non-linearities and are conditioned to regions of stability. To characterize the mechanical behavior of the arteries analyzed in this work, the anisotropic hyperelastic models of Holzapfel-Gasser-Ogden and Gasser-Holzapfel-Ogden are used. An important point of the analysis is that these models may present a non-physical behavior: this drawback is overcome by defining a new criterion of stabilization in conjunction with the evolutionary strategies. Finally, the finite element simulations are used in conjunction with the evolutionary strategies to characterize experimental data of the artery pressurization test, ensuring that the parameters obtained are stable and representative of the material response.</t>
  </si>
  <si>
    <t>García-Herrera, Claudio/ABE-8991-2020; Celentano, Diego/JQW-5027-2023; Rivera, Eugenio/LEN-3594-2024</t>
  </si>
  <si>
    <t>Celentano, Diego/0000-0002-7600-0619; Garcia-Herrera, Claudio/0000-0002-1283-8551; Canales Donoso, Claudio/0000-0001-5639-6401; Rivera Mancilla, Eugenio/0000-0001-8103-2706</t>
  </si>
  <si>
    <t>10.3390/math11040922</t>
  </si>
  <si>
    <t>WOS:000941574700001</t>
  </si>
  <si>
    <t>Novoa, C; Salazar, P; Cisternas, P; Gherardelli, C; Vera-Salazar, R; Zolezzi, JM; Inestrosa, NC</t>
  </si>
  <si>
    <t>Novoa, Catalina; Salazar, Paulina; Cisternas, Pedro; Gherardelli, Camila; Vera-Salazar, Roberto; Zolezzi, Juan M.; Inestrosa, Nibaldo C.</t>
  </si>
  <si>
    <t>Inflammation context in Alzheimer's disease, a relationship intricate to define</t>
  </si>
  <si>
    <t>Alzheimer's disease (AD), the most common form of dementia, is characterized by the accumulation of amyloid beta (A beta) and hyperphosphorylated tau protein aggregates. Importantly, A beta and tau species are able to activate astrocytes and microglia, which release several proinflammatory cytokines, such as tumor necrosis factor alpha (TNF-alpha) and interleukin 1 beta (IL-1 beta), together with reactive oxygen (ROS) and nitrogen species (RNS), triggering neuroinflammation. However, this inflammatory response has a dual function: it can play a protective role by increasing A beta degradation and clearance, but it can also contribute to A beta and tau overproduction and induce neurodegeneration and synaptic loss. Due to the significant role of inflammation in the pathogenesis of AD, several inflammatory mediators have been proposed as AD markers, such as TNF-alpha, IL-1 beta, Iba-1, GFAP, NF-kappa B, TLR2, and MHCII. Importantly, the use of anti-inflammatory drugs such as NSAIDs has emerged as a potential treatment against AD. Moreover, diseases related to systemic or local inflammation, including infections, cerebrovascular accidents, and obesity, have been proposed as risk factors for the development of AD. In the following review, we focus on key inflammatory processes associated with AD pathogenesis.</t>
  </si>
  <si>
    <t>CISTERNAS, PEDRO/0000-0001-7796-8982; VERA-SALAZAR, Roberto Fernando/0000-0002-2591-025X</t>
  </si>
  <si>
    <t>DEC 23</t>
  </si>
  <si>
    <t>10.1186/s40659-022-00404-3</t>
  </si>
  <si>
    <t>WOS:000903240900001</t>
  </si>
  <si>
    <t>Miranda, P; Parra, D; Raikov, G</t>
  </si>
  <si>
    <t>Miranda, Pablo; Parra, Daniel; Raikov, Georgi</t>
  </si>
  <si>
    <t>Spectral asymptotics at thresholds for a Dirac-type operator on Z2</t>
  </si>
  <si>
    <t>JOURNAL OF FUNCTIONAL ANALYSIS</t>
  </si>
  <si>
    <t>In this article, we provide the spectral analysis of a Dirac-type operator on Z(2) by describing the behavior of the spectral shift function associated with a sign-definite trace-class perturbation by a multiplication operator. We prove that it remains bounded outside a single threshold and obtain its main asymptotic term in the unbounded case. Interestingly, we show that the constant in the main asymptotic term encodes the interaction between a flat band and whole non-constant bands. The strategy used is the reduction of the spectral shift function to the eigenvalue counting function of some compact operator which can be studied as a toroidal pseudo-differential operator. (c) 2022 Elsevier Inc. All rights reserved.</t>
  </si>
  <si>
    <t>Miranda, Pablo/AAD-3559-2019; Parra, Daniel/ITV-0134-2023; Miranda, Pablo/KIH-3542-2024</t>
  </si>
  <si>
    <t>Raikov, Georgi/0000-0003-2341-580X; Parra, Daniel/0000-0001-6488-531X; Miranda, Pablo/0000-0003-0370-9288</t>
  </si>
  <si>
    <t>0022-1236</t>
  </si>
  <si>
    <t>1096-0783</t>
  </si>
  <si>
    <t>10.1016/j.jfa.2022.109743</t>
  </si>
  <si>
    <t>WOS:000908409500004</t>
  </si>
  <si>
    <t>Gutiérrez, G; Davis, S; Esparza, C</t>
  </si>
  <si>
    <t>Gutierrez, Gonzalo; Davis, Sergio; Esparza, Carlos</t>
  </si>
  <si>
    <t>Temperature in magnetic systems: Evolution towards thermal equilibrium by spin dynamics simulation</t>
  </si>
  <si>
    <t>PHYSICA A-STATISTICAL MECHANICS AND ITS APPLICATIONS</t>
  </si>
  <si>
    <t>The concept of temperature in magnetic systems is examined by studying how two spin systems in thermal contact reach equilibrium. Using the spin dynamics simulation method, we consider two planar arrays of classical spins governed by the Heisenberg Hamiltonian, interacting with each other through an edge. According to an expression for the temperature of the system based solely on spin configurational degrees of freedom, we are able to obtain the temperature evolution with respect to time. The spin temperature follows an exponential behavior, and can be modeled by the Newton cooling law, reaching a common final temperature which is in complete agreement with the theoretical thermodynamic prediction. The simulation results give new insight on the meaning of temperature for magnetic systems and provide an operational method to calculate it in computer simulation.</t>
  </si>
  <si>
    <t>0378-4371</t>
  </si>
  <si>
    <t>1873-2119</t>
  </si>
  <si>
    <t>10.1016/j.physa.2021.126729</t>
  </si>
  <si>
    <t>WOS:000806158000019</t>
  </si>
  <si>
    <t>Zhang, L; Boutaous, M; Xin, SH; Siginer, DA</t>
  </si>
  <si>
    <t>AMER SOC MECHANICAL ENGINEERS</t>
  </si>
  <si>
    <t>Zhang, Lan; Boutaous, M'hamed; Xin, Shihe; Siginer, Dennis A.</t>
  </si>
  <si>
    <t>HEAT TRANSFER DURING POLYMER SELECTIVE LASER SINTERING PROCESS: PARAMETRIC ANALYSIS</t>
  </si>
  <si>
    <t>PROCEEDINGS OF ASME 2022 INTERNATIONAL MECHANICAL ENGINEERING CONGRESS AND EXPOSITION, IMECE2022, VOL 8</t>
  </si>
  <si>
    <t>OCT 30-NOV 03, 2022</t>
  </si>
  <si>
    <t>Columbus, OH</t>
  </si>
  <si>
    <t>The laser transmission in the polymer powder bed includes three parts during the selective laser sintering (SLS) process: absorption, reflection, and scattering. Because of the granular nature of the polymer powder, the scattering phenomena causes the photons isotropic travel in the medium, which affects directly the photons' distribution in the powder bed. In this paper, we numerically simulate the laser heat source traveling in a powder polymer bed, as in the SLS process, by introducing the Mie theory with Monte-Carlo method, instead of the Bear-Lambert Law, to correctly represent the heating energy distribution in the material. The obtained energy distribution is then introduced in the energy equation to solve the heat transfer problem in such non homogeneous medium. All the material transformation are also introduced, as the melting process, the coalescence, air diffusion and porosity evolution, based on classical theories. Meanwhile, we carry out a parametric thermal analysis and discussed based on process parameters, like the laser power, laser moving length and the material preheating temperature. Their influence on the temperature evolution is quantified. These analysis results can be used as a guide for providing technical database to SLS process, helpful for various industries in automotive, aerospace and medical areas.</t>
  </si>
  <si>
    <t>978-0-7918-8670-0</t>
  </si>
  <si>
    <t>WOS:001215439200021</t>
  </si>
  <si>
    <t>Villarroel, M; Jara, P; Charrier, R</t>
  </si>
  <si>
    <t>Villarroel, Matias; Jara, Pamela; Charrier, Reynaldo</t>
  </si>
  <si>
    <t>Role of cohesive discordant bodies on fault-and-thrust belts deformation pattern: an approach based on analogue modelling</t>
  </si>
  <si>
    <t>ANDEAN GEOLOGY</t>
  </si>
  <si>
    <t>Lithological heterogeneities in a rock series deformed by the development of a fold-and-thrust belt (FTB) affects the pattern of the resulting structures. We present a series of analogue experiments to determine the effect caused on the deformation pattern of a FTB by the presence of cohesive bodies, like plutons or basement blocks that oppose greater resistance than the host rocks to contractional deformation. The influence of these bodies on the deformation pattern of the FTB was studied by incorporating discordant bodies with different cohesions within a stratified granular sequence with negligible cohesion. We describe two sets of experiments in which the inserted body presents low (Co1) and high (Co2) cohesion respectively. The experiments show a tendency of the structural pattern to curve around the inserted body and to migrate towards the deformation front or the foreland, even when the cohesive body is not exposed. In the first case (Co1) the thrusts cut across the cohesive body, while in the second one (Co2) the cohesive body is not faulted, but transferred towards the deformation front along a basal detachment. Comparison of these results with natural examples at different scales shows a high degree of coincidence in the structural patterns recognized in both cases. Two of the main characteristics of these patterns are the tendency of the thrust faults traces to avoid the cohesive body and adopt the geometry of its distal edge. In order to explain curvatures in natural structural patterns in fold-and-thrust belts, we suggest consider the presence of unexposed bodies with higher strength than their environment.</t>
  </si>
  <si>
    <t>Jara, Pamela/0000-0002-9717-9283; Villarroel Lastra, Matias/0009-0005-1524-351X</t>
  </si>
  <si>
    <t>0718-7106</t>
  </si>
  <si>
    <t>10.5027/andgeoV48n1-3280</t>
  </si>
  <si>
    <t>WOS:000619023700008</t>
  </si>
  <si>
    <t>Barles, G; Quaas, A; Rodríguez-Paredes, A</t>
  </si>
  <si>
    <t>Barles, Guy; Quaas, Alexander; Rodriguez-Paredes, Andrei</t>
  </si>
  <si>
    <t>Large-time behavior of unbounded solutions of viscous Hamilton-Jacobi equations in RN</t>
  </si>
  <si>
    <t>COMMUNICATIONS IN PARTIAL DIFFERENTIAL EQUATIONS</t>
  </si>
  <si>
    <t>We study the large-time behavior of bounded from below solutions of parabolic viscous Hamilton-Jacobi Equations in the whole space R-N in the case of superquadratic Hamiltonians. Existence and uniqueness of such solutions are shown in a very general framework, namely when the source term and the initial data are only bounded from below with an arbitrary growth at infinity. Our main result is that these solutions have an ergodic behavior when t -&gt; +infinity i.e., they behave like lambda*t + phi(x) where lambda* is the maximal ergodic constant and phi is a solution of the associated ergodic problem. The main originality of this result comes from the generality of the data: in particular, the initial data may have a completely different growth at infinity from those of the solution of the ergodic problem.</t>
  </si>
  <si>
    <t>Quaas, Alexander/JXN-7606-2024</t>
  </si>
  <si>
    <t>Quaas, Alexander/0000-0003-0602-7151</t>
  </si>
  <si>
    <t>0360-5302</t>
  </si>
  <si>
    <t>1532-4133</t>
  </si>
  <si>
    <t>NOV 18</t>
  </si>
  <si>
    <t>10.1080/03605302.2020.1846561</t>
  </si>
  <si>
    <t>WOS:000590640000001</t>
  </si>
  <si>
    <t>Segura, C; Vargas, V; Valenzuela-Fernández, RA; Danna, CS; Osorio-Román, IO</t>
  </si>
  <si>
    <t>Segura, Camilo; Vargas, Victor; Valenzuela-Fernandez, Rodrigo A.; Silva Danna, Caroline; Osorio-Roman, Igor O.</t>
  </si>
  <si>
    <t>Effect on the Optical Efficiency and Photostability of Luminescent Solar Concentrator Based on the Deposition of AgSiO2@NPs</t>
  </si>
  <si>
    <t>ACS APPLIED ENERGY MATERIALS</t>
  </si>
  <si>
    <t>Because of the growing demand for the use of photovoltaic cells to transform solar energy into electrical energy, radiation concentration systems such as luminescent solar concentrators (LSCs) have gained significant attention. This work presents an LSC system based on the effect of SiO2-capped silver nanoparticles (AgSiO2@NPs) on the optical efficiency of the LSC. For this purpose, AgSiO2@NPs were deposited on a polymethylmethacrylate (PMMA) substrate using the layer-by-layer technique, and the luminescent material tetraphenylporphyrin (TPP) and Coumarin 6 were deposited by the spin-coating technique on a PMMA substrate with AgSiO2@NPs. Then, the emission analysis of the two systems (PMMA/AgSiO2@NPs/Coumarin 6 and PMMA/AgSiO2@NPs/TPP) demonstrates that the nanoparticles enhanced fluorescence 20 and 8 times for TPP and Coumarin 6, respectively. Finally, the optical efficiency of the LSC was determined using a photodiode system. The results show an increase in optical efficiency because of two effects, the amplification of the luminescence and the dispersion caused by the nanoparticles, obtaining a maximum efficiency of 1.8 for our LSC system.</t>
  </si>
  <si>
    <t>Osorio, Igor/AEX-9230-2022; Valenzuela-Fernández, Rodrigo A./KPY-2758-2024; Silva Danna, Caroline/L-5560-2018</t>
  </si>
  <si>
    <t>Silva Danna, Caroline/0000-0001-8188-9419; Osorio-Roman, Igor/0000-0001-7502-8698; Segura, Camilo/0000-0003-1091-5397; Valenzuela-Fernandez, Rodrigo A./0000-0001-5071-7630</t>
  </si>
  <si>
    <t>2574-0962</t>
  </si>
  <si>
    <t>10.1021/acsaem.0c01094</t>
  </si>
  <si>
    <t>WOS:000563784400048</t>
  </si>
  <si>
    <t>Martínez-González, AE; Rodríguez-Jiménez, T; Piqueras, JA; Villarroel, PV; Torres-Ortega, J</t>
  </si>
  <si>
    <t>Martinez-Gonzalez, Agustin Ernesto; Rodriguez-Jimenez, Tiscar; Piqueras, Jose Antonio; Villarroel, Pablo; Torres-Ortega, Jorge</t>
  </si>
  <si>
    <t>Emotional and behavioural symptoms, risk behaviours and academic success in Chilean Mapuche and non-Mapuche adolescents</t>
  </si>
  <si>
    <t>ETHNICITY &amp; HEALTH</t>
  </si>
  <si>
    <t>Introduction: There is controversy over the real existence of differences in mental health and academic performance between the Mapuche ethnic minority male adolescents and the male adolescents not belonging to this ethnicity in Chile. Objective: In consequence, the aim of this study was to investigate the differences in emotional and behavioural symptoms, risky behaviours and academic success on the Chilean Mapuche and non-Mapuche adolescents. Design: The sample consisted of 233 adolescents of which 119 were Mapuche adolescents and 114 were non-Mapuche adolescents. Results: The results showed that the Mapuche adolescents do not have more anxiety problems and depression than the non-Mapuche adolescents. Furthermore, the Mapuche adolescents present less drug consumption and behavioural problems. Moreover, there were no differences in academic performance. Conclusions: This study provides social interest data of the adolescents' mental health, which can be useful for the country's socio-sanitary and political decisions. Future studies should investigate these and other variables related to the mental health of minorities in greater depth.</t>
  </si>
  <si>
    <t>TORRES-ORTEGA, JORGE/AAP-5339-2020; MARTINEZ-GONZALEZ, AGUSTIN/Z-1311-2019; MARTINEZ-GONZALEZ, AGUSTIN ERNESTO/L-8523-2014; Piqueras, Jose A/C-6011-2011</t>
  </si>
  <si>
    <t>MARTINEZ-GONZALEZ, AGUSTIN ERNESTO/0000-0002-9576-7348; Piqueras, Jose A/0000-0002-3604-5441</t>
  </si>
  <si>
    <t>1355-7858</t>
  </si>
  <si>
    <t>1465-3419</t>
  </si>
  <si>
    <t>APR 2</t>
  </si>
  <si>
    <t>10.1080/13557858.2018.1427702</t>
  </si>
  <si>
    <t>WOS:000526423600009</t>
  </si>
  <si>
    <t>Belwal, T; Bisht, A; Devkota, HP; Ullah, H; Khan, H; Pandey, A; Bhatt, ID; Echeverría, J</t>
  </si>
  <si>
    <t>Belwal, Tarun; Bisht, Aarti; Devkota, Hari Prasad; Ullah, Hammad; Khan, Haroon; Pandey, Aseesh; Bhatt, Indra Dutt; Echeverria, Javier</t>
  </si>
  <si>
    <t>Phytopharmacology and Clinical Updates of Berberis Species Against Diabetes and Other Metabolic Diseases</t>
  </si>
  <si>
    <t>The incidences of diabetic mellitus and other metabolic diseases such as hypertension and hyperlipidemia are increasing worldwide; however, the current treatment is not able to control the rapidly increasing trend in diabetes mortality and morbidity. Studies related to the effectiveness of extracts and pure compounds obtained from plants have shown promising responses in preclinical and clinical studies related to these metabolic diseases. Plants belonging to the genus Berberis (Family: Berberidaceae) are widely distributed with nearly 550 species worldwide. Extracts and compounds obtained from Berberis species, especially Berberine alkaloid, showed effectiveness in the management of diabetes and other metabolic diseases. Various pharmacological experiments have been performed to evaluate the effects of Berberis extracts, berberine, and its natural and chemically synthesized derivatives against various cell and animal disease models with promising results. Various clinical trials conducted so far also showed preventive effects of Berberis extracts and berberine against metabolic diseases. The present review focuses on i) research updates on traditional uses, ii) phytopharmacology and clinical studies on Berberis species, and iii) active metabolites in the prevention and treatment of diabetes and other metabolic diseases with a detailed mechanism of action. Furthermore, the review critically analyzes current research gaps in the therapeutic use of Berberis species and berberine and provides future recommendations.</t>
  </si>
  <si>
    <t>Belwal, Tarun/H-2530-2018; Ullah, Hammad/AAF-1802-2019; Echeverría, Javier/AAK-3323-2020; Khan, Prof. Dr. Haroon/AAY-1785-2020; Pandey, Aseesh/AAI-7127-2020; Bhatt, Indra/J-5754-2012; Devkota, Hari Prasad/H-9939-2019</t>
  </si>
  <si>
    <t>Bhatt, Indra/0000-0003-0063-9050; Khan, Prof. Dr. Haroon/0000-0002-1736-4404; Ullah, Hammad/0000-0001-9437-676X; Pandey, Aseesh/0000-0001-8063-2646; Devkota, Hari Prasad/0000-0002-0509-1621; Echeverria, Javier/0000-0002-1688-968X; Ullah, Hammad/0000-0003-0668-8806</t>
  </si>
  <si>
    <t>FEB 18</t>
  </si>
  <si>
    <t>10.3389/fphar.2020.00041</t>
  </si>
  <si>
    <t>WOS:000518932500001</t>
  </si>
  <si>
    <t>Gárate-Pérez, MF; Méndez, A; Bahamondes, C; Sanhueza, C; Guzmán, F; Reyes-Parada, M; Sotomayor-Zárate, R; Renard, GM</t>
  </si>
  <si>
    <t>Garate-Perez, Macarena F.; Mendez, Alejandra; Bahamondes, Carolina; Sanhueza, Claudia; Guzman, Fanny; Reyes-Parada, Miguel; Sotomayor-Zarate, Ramon; Renard, Georgina M.</t>
  </si>
  <si>
    <t>Vasopressin in the lateral septum decreases conditioned place preference to amphetamine and nucleus accumbens dopamine release</t>
  </si>
  <si>
    <t>ADDICTION BIOLOGY</t>
  </si>
  <si>
    <t>The lateral septum (LS) is a limbic nucleus interconnected with several brain areas involved in the regulation of mood and reward. Vasopressin (AVP) is a neuropeptide that has been related to the effects of drugs of abuse, but its role in the addictive process is poorly understood. LS expresses a high density of AVP 1A receptors (V-1A). The aim of this work was to examine whether the modulation of LS AVP system affects the behavioral and neurochemical responses to amphetamine (AMPH) in male rats. Our results show that AMPH-induced conditioned place preference (CPP) produces a decrease in LS AVP content. Besides, we demonstrate that the microinjection of AVP in the LS impairs the expression of AMPH-induced CPP and that this effect is mediated by the activation of the V-1A receptor in the LS. AVP microinjection in the LS elicited a decrease in neuronal activity in the nucleus accumbens (NAc) in animals subjected to AMPH conditioning. Finally, AVP microinjection in the LS decreased dopamine (DA) release in the NAc. Overall, our data demonstrate that intra-LS AVP diminishes the expression of AMPH conditioning behavior while decreasing neuronal activity and DA release in the NAc. Presumably, the effects of AVP in the LS produce an inhibition of GABAergic projections to the VTA, increasing local inhibitory tone in this nucleus, which in turn reduces the activity of DA projections to NAc. Thus, these results contribute to the knowledge about the role of AVP in LS in regulating the reward circuit and addictive like behaviors.</t>
  </si>
  <si>
    <t>Sotomayor-Zarate, Ramon/0000-0002-1239-5367; Renard, Georgina Maria/0000-0002-5439-7547</t>
  </si>
  <si>
    <t>1355-6215</t>
  </si>
  <si>
    <t>1369-1600</t>
  </si>
  <si>
    <t>e12851</t>
  </si>
  <si>
    <t>10.1111/adb.12851</t>
  </si>
  <si>
    <t>WOS:000494507100001</t>
  </si>
  <si>
    <t>Murali, G; Poka, L; Parthiban, K; Haridharan, MK; Siva, A</t>
  </si>
  <si>
    <t>Murali, G.; Poka, Laxminadh; Parthiban, K.; Haridharan, M. K.; Siva, A.</t>
  </si>
  <si>
    <t>Impact Response of Novel Fibre-Reinforced Grouted Aggregate Rubberized Concrete</t>
  </si>
  <si>
    <t>The consumption of waste tyre rubber in concrete is considered to be a critical factor addressing environmental issues and sustainability. Rubberized concrete is a novel building material that poses high energy absorption capacity compared to normal concrete and finds many applications in civilian infrastructures. The concept of impact strength of fibre-reinforced grouted aggregate rubberized concrete (FRGARC) has been pioneered in this study. In the fabrication of FRGARC, combination of steel fibres and treated rubber aggregates was placed in the formwork, and then, a flowable grout was injected to fill the voids. The rubber used in this experiment was pre-treated by immersing in water with 10% NaOH solution for a time period of 0.5 h. The variables examined in this investigation are crumbed rubber aggregate replacement ratios of 5%, 10%, 15%, 20%, 25% and 30% with three different water/binder ratios (0.45, 0.50 and 0.55). Hooked-end steel fibres were used at a constant dosage of 0.5% volume of concrete. The density reduction factor, compressive strength (CS), number of impact that induced initial crack and failure, initial crack and failure energy increasing factor of FRGARC were studied. Linear and power regression equations were developed to assess the density reduction factor and initial crack and failure energy increasing factor. FRGARC exhibits reduction in CS with increasing rubber content, and it significantly contributes to the enhancement of initial crack and failure impact energy absorption capacity.</t>
  </si>
  <si>
    <t>M K, HARIDHARAN/AAE-9936-2019; Avudaiappan, Siva/AAV-7579-2021; KATHIRVEL, PARTHIBAN/H-6095-2019; Gunasekaran, Murali/J-8425-2019</t>
  </si>
  <si>
    <t>AVUDAIAPPAN, SIVA/0000-0002-4289-4298; Kathirvel, Parthiban/0000-0003-4646-9827; G, Murali/0000-0002-1151-0853</t>
  </si>
  <si>
    <t>10.1007/s13369-019-03819-5</t>
  </si>
  <si>
    <t>WOS:000486026700021</t>
  </si>
  <si>
    <t>Montesino, R; Gutiérrez, N; Camacho, F; Farnós, O; Andrades, S; Gonzalez, A; Acosta, J; Cortez-San Martín, M; Sanchez, O; Ruiz, A; Toledo, JR</t>
  </si>
  <si>
    <t>Montesino, R.; Gutierrez, N.; Camacho, F.; Farnos, O.; Andrades, S.; Gonzalez, A.; Acosta, J.; Cortez-San Martin, M.; Sanchez, O.; Ruiz, A.; Toledo, J. R.</t>
  </si>
  <si>
    <t>Multi-antigenic recombinant subunit vaccine against Lawsonia intracellularis: The etiological agent of porcine proliferative enteropathy</t>
  </si>
  <si>
    <t>VACCINE</t>
  </si>
  <si>
    <t>Proliferative enteropathy, caused by Lawsonia intracellularis, represents a threat for swine industry. Current vaccines are effective but difficult to obtain and scaled up, because of demanding bacterial culture conditions. In this work, a subunit vaccine candidate against L intracellularis was developed and its efficacy was evaluated in vivo, alone or co-formulated with pig recombinant IFN-alpha. The vaccine formulation contains three chimeric antigens: two outer membrane proteins and a secreted one, which were engineered by adding T epitopes using bioinformatics tools. After simultaneously expressing the three antigens in E. coli, its immunogenicity was tested in mice and pigs. Antigens co-formulated with porcine IFN-alpha were also assayed in the last species. Immune response was assessed by ELISA and qPCR, and histopathological studies of intestinal epithelial tissue were performed after challenge. Mice and pigs showed an increased IgG response against chimeric antigens. Particularly, there were significant differences in the antibody response when porcine IFN-alpha was co-administrated with L intracellularis antigens. Besides, mRNAs from il12 and cd4 marker were detected during the first week after immunization of pigs, suggesting a Th1-type cellular immune response. The significant enhancement of oast gene expression indicates the effect exerted by porcine IFN-alpha. Post-mortem histopathological analysis post-challenge revealed damage only into epithelial cells of the gastrointestinal tract from animals of the negative control group. Injuries were related to atrophy of the intestinal villi, where a decrease of globet cells and a greater migration of lymphocytes were observed. Overall, our results demonstrated that the vaccine candidate elicited significant humoral and cellular immune responses. Besides, histopathological analysis suggested that vaccinated animals were protected against experimental L. intracellularis infection. This research constitutes a step forward to the generation of the first recombinant chimeric vaccine against L. intracellularis, representing a faster, easier and cost effective approach to counteract the porcine proliferative enteropathy. (C) 2019 Elsevier Ltd. All rights reserved.</t>
  </si>
  <si>
    <t>Camacho, Frank/AAX-1345-2020; Ruiz, Alvaro/AAD-5422-2019; Ruiz, Alvaro/G-8272-2018</t>
  </si>
  <si>
    <t>Farnos, Omar/0000-0003-1295-8323; Sanchez, Oliberto/0000-0002-9744-8674; Gonzalez Pose, Alain/0000-0002-4352-4184; Camacho, Frank/0000-0003-2247-7160; Acosta, Jannel/0000-0003-4066-1906; Toledo, Jorge/0000-0002-9879-7710; Ruiz, Alvaro/0000-0002-3606-0860</t>
  </si>
  <si>
    <t>0264-410X</t>
  </si>
  <si>
    <t>1873-2518</t>
  </si>
  <si>
    <t>10.1016/j.vaccine.2019.01.029</t>
  </si>
  <si>
    <t>WOS:000460712000012</t>
  </si>
  <si>
    <t>Cerda, FMC; Kestens, LAI; Petrov, RH</t>
  </si>
  <si>
    <t>Castro Cerda, Felipe Manuel; Kestens, Leo A. I.; Petrov, Roumen H.</t>
  </si>
  <si>
    <t>Flash Annealing in a Cold-Rolled Low Carbon Steel Alloyed with Cr, Mn, Mo, and Nb: Part II-Anisothermal Recrystallization and Transformation Textures</t>
  </si>
  <si>
    <t>STEEL RESEARCH INTERNATIONAL</t>
  </si>
  <si>
    <t>The aim of the present investigation is to study the microstructure and texture evolution in a cold-rolled low carbon steel subjected to continuous heating and subsequent quenching. Peak-annealing and quenching experiments are carried out at different temperatures at three heating rates (10, 400, and 1000 degrees C s(-1)). The texture evolution in ferrite and martensite is analyzed separately via Electron Backscattered Diffraction (EBSD) measurements. It is observed that the recrystallization is virtually completed at 771 degrees C in samples heated at 10 degrees C s(-1). Conversely, the recrystallization is suppressed in samples heated at rates &gt;= 400 degrees C s(-1). In samples heated at 10 degrees C s(-1), the ferrite texture evolves according to the well-known recrystallization behavior, showing a maximum in {113} components, whereas in samples heated at rates &gt;= 400 degrees C s(-1), the texture is similar to the one of the cold-rolled material. It is concluded that the texture evolution in martensite is strongly dependent on the evolution of recrystallization textures in ferrite. A particular grain substructure product of the interaction between the recrystallization of ferrite and massive austenite formation is observed after heating at rates &gt;= 400 degrees C s(-1). However, this substructure seems to have effect neither on the textures of ferrite nor on the work hardening behavior.</t>
  </si>
  <si>
    <t>Castro Cerda, Felipe Manuel/0000-0001-8126-5593; Petrov, Roumen/0000-0003-0551-9058</t>
  </si>
  <si>
    <t>1611-3683</t>
  </si>
  <si>
    <t>1869-344X</t>
  </si>
  <si>
    <t>10.1002/srin.201800277</t>
  </si>
  <si>
    <t>WOS:000454790200016</t>
  </si>
  <si>
    <t>Cerda, FMC; Vercruysse, F; Goulas, C; Schulz, B; Petrov, RH</t>
  </si>
  <si>
    <t>Castro Cerda, Felipe Manuel; Vercruysse, Florian; Goulas, Constantinos; Schulz, Bernd; Petrov, Roumen H.</t>
  </si>
  <si>
    <t>'Flash' Annealing in a Cold-Rolled Low Carbon Steel Alloyed With Cr, Mn, Mo, and Nb: Part I - Continuous Phase Transformations</t>
  </si>
  <si>
    <t>The aim of the present work is to study the microstructure evolution of a cold-rolled low carbon steel alloyed with Cr, Mn, Mo, and Nb during continuous heating. The formation of austenite and its further transformation is examined by means of peak annealing experiments at three different heating rates, followed by quenching. The effect of carbide-forming alloying elements in the kinetics of austenite formation and decomposition is discussed with the aim of DICTRA calculations. Electron Probe Micro Analysis allows the detection of small compositional fluctuations within the microstructure, which are responsible for local changes in the mechanism of austenite formation. It is experimentally demonstrated that the temperature dependence of the austenite fraction is relatively insensitive to the heating rate. It is suggested that carbide-forming alloying elements slow down the kinetics of austenite formation.</t>
  </si>
  <si>
    <t>Goulas, Constantinos/N-5450-2019; Petrov, Roumen/A-5066-2008; Schulz, Bernd/AAA-2480-2019; Castro Cerda, Felipe Manuel/Q-2714-2016</t>
  </si>
  <si>
    <t>Castro Cerda, Felipe Manuel/0000-0001-8126-5593; Petrov, Roumen/0000-0003-0551-9058; Goulas, Constantinos/0000-0003-4910-1761</t>
  </si>
  <si>
    <t>10.1002/srin.201800098</t>
  </si>
  <si>
    <t>WOS:000454790200003</t>
  </si>
  <si>
    <t>Nucleation of superfluid-light domains in a quenched dynamics (vol 7, 12766, 2018)</t>
  </si>
  <si>
    <t>Valdivia, Juan/A-3631-2008; Torres, Felipe/ABA-9751-2020; Kiwi, Miguel/D-3401-2013</t>
  </si>
  <si>
    <t>Valdivia, Juan Alejandro/0000-0003-3381-9904; Kiwi, Miguel/0000-0001-8580-1912</t>
  </si>
  <si>
    <t>OCT 17</t>
  </si>
  <si>
    <t>10.1038/s41598-018-32564-2</t>
  </si>
  <si>
    <t>WOS:000447512400001</t>
  </si>
  <si>
    <t>Nucleation of superfluid-light domains in a quenched dynamics</t>
  </si>
  <si>
    <t>Strong correlation effects emerge from light-matter interactions in coupled resonator arrays, such as the Mott-insulator to superfluid phase transition of atom-photon excitations. We demonstrate that the quenched dynamics of a finite-sized complex array of coupled resonators induces a first-order like phase transition. The latter is accompanied by domain nucleation that can be used to manipulate the photonic transport properties of the simulated superfluid phase; this in turn leads to an empirical scaling law. This universal behavior emerges from the light-matter interaction and the topology of the array. The validity of our results over a wide range of complex architectures might lead to a promising device for use in scaled quantum simulations.</t>
  </si>
  <si>
    <t>Kiwi, Miguel/D-3401-2013; Torres, Felipe/ABA-9751-2020; Rogan, José/B-8819-2008; Valdivia, Juan/A-3631-2008; Romero, Guillermo/C-8245-2009</t>
  </si>
  <si>
    <t>Torres, Felipe/0000-0002-0444-3250; Kiwi, Miguel/0000-0001-8580-1912; Valdivia, Juan Alejandro/0000-0003-3381-9904; Rogan, Jose/0000-0003-1080-2739; Romero, Guillermo/0000-0003-2917-7814</t>
  </si>
  <si>
    <t>10.1038/s41598-018-30789-9</t>
  </si>
  <si>
    <t>WOS:000442606800012</t>
  </si>
  <si>
    <t>Prabhakaran, T; Mangalaraja, RV; Denardin, JC; Jiménez, JA</t>
  </si>
  <si>
    <t>Prabhakaran, T.; Mangalaraja, R. V.; Denardin, Juliano C.; Jimenez, J. A.</t>
  </si>
  <si>
    <t>The effect of calcination temperature on the structural and magnetic properties of co-precipitated CoFe2O4 nanoparticles</t>
  </si>
  <si>
    <t>Cobalt ferrite (CoFe2O4) nanoparticles were co-precipitated from metal nitrates at the reaction temperatures of 40 and 85 degrees C for 1 h and were further calcinated at 500 and 800 degrees C for 2 h. The effect of calcination temperature on the structural, morphological, compositional and magnetic properties was investigated. Both, the reaction and calcination temperatures were significantly influenced the crystallite size and magnetic properties of cobalt ferrite nanoparticles and the crystallite size was increased with the calcination temperature. The synthesized nanoferrites were roughly in spherical morphology with the stoichiometric ratio of 1: 2 Co: Fe. Co-precipitated and calcinated cobalt ferrites showed the ferromagnetism at room temperature and 5 K (-268 degrees C) and the saturation magnetization was increased with the calcination temperature. At low temperature, CoFe2O4 nanoparticles calcinated at 800 degrees C showed the saturation magnetization of 84.36 and 92.70 emu/g for the reaction temperatures of 40 and 85 degrees C, respectively and the values were in accordance with the magnetization of bulk cobalt ferrites. (C) 2017 Elsevier B.V. All rights reserved.</t>
  </si>
  <si>
    <t>Denardin, Juliano/S-6407-2019; THANDAPANI, PRABHAKARAN/L-3282-2018; Viswanathan, Mangalaraja/AAM-6090-2020; Ramalinga Viswanathan, Mangalaraja/JOZ-3129-2023; Jimenez, Jose A./H-2644-2015</t>
  </si>
  <si>
    <t>Ramalinga Viswanathan, Mangalaraja/0000-0003-1016-9830; Denardin, Juliano/0000-0002-1373-6207; Jimenez, Jose A./0000-0003-4272-6873; Thandapani, Prabhakaran/0000-0003-0245-8827</t>
  </si>
  <si>
    <t>1873-4669</t>
  </si>
  <si>
    <t>10.1016/j.jallcom.2017.05.048</t>
  </si>
  <si>
    <t>WOS:000402924500022</t>
  </si>
  <si>
    <t>López, V; Oyanedel, JC; Bilbao, M; Torres, J; Oyarzún, D; Morales, M; Ascorra, P; Carrasco, C</t>
  </si>
  <si>
    <t>Lopez, Veronica; Oyanedel, Juan C.; Bilbao, Marian; Torres, Javier; Oyarzun, Denise; Morales, Macarena; Ascorra, Paula; Carrasco, Claudia</t>
  </si>
  <si>
    <t>School Achievement and Performance in Chilean High Schools: The Mediating Role of Subjective Wellbeing in School-Related Evaluations</t>
  </si>
  <si>
    <t>School achievement gaps and school failure are problematic issues in Latin America, and are mainly explained by the socio-economic status (SES) of the students. What schools can do to improve school achievement and reduce school failure is a critical issue, both for school management and teacher training. In this study, we present the association of individual and school-related socio-emotional variables with school achievement and performance, controlling for the effects of SES. A probabilistic sample of 4,964 students, drawn from 191 schools enrolled in year 10 in urban areas of Chile, answered questionnaires assessing subjective wellbeing, social wellbeing in school, school climate, school social wellbeing and students' perceptions of teachers' wellbeing. Using structural equation modeling, and controlling for SES, we modeled subjective wellbeing as a mediator of the relationship between school-related variables, such as school climate and perception of teacher's wellbeing, and (a) school achievement, and (b) school performance. School achievement was computed as a product of (a) the probability of passing the school year, and (b) the percentage of yearly attendance at school. Data on school achievement was drawn from administrative registries from the Chilean Ministry of Education. School performance was computed as the estimated grade point average (GPA) at the end of the school year, based on the students' previous 5-year GPAs, and was also obtained through administrative data of the last 5 years. Findings reveal the mediating role of subjective wellbeing in the relationship between school-related evaluations (students' social wellbeing at school, their perception of teachers' wellbeing and school climate) and school achievement. For school achievement, two variables were mediated (students' social wellbeing at school and school climate). However, for school performance, no significant mediations were found. We conclude that, on the one hand, after controlling for SES, students' individual subjective wellbeing is associated with their achievement and performance in school. We discuss the importance of improving school experiences that may protect and promote students' subjective experience and school achievement and performance, and reduce the probability of school failure and dropout.</t>
  </si>
  <si>
    <t>Carrasco, Claudia/AAF-6848-2021; Oyanedel, Juan/V-2833-2019; Torres-Vallejos, Javier/AAH-3587-2020; López, Verónica/IYS-2269-2023; Oyarzun Gomez, Denise/D-3402-2018; Lopez, Veronica/K-5472-2014; Bilbao, M. Angeles/K-8367-2014</t>
  </si>
  <si>
    <t>Torres-Vallejos, Javier/0000-0002-4229-7768; Morales, Macarena/0000-0002-1624-4873; Carrasco, Claudia/0000-0002-8768-2440; Oyarzun Gomez, Denise/0000-0003-2398-4666; Ascorra, Paula/0000-0001-9449-8273; Oyanedel, Juan/0000-0003-4023-6926; Lopez, Veronica/0000-0001-7405-3859; Bilbao, M. Angeles/0000-0002-5984-4908</t>
  </si>
  <si>
    <t>10.3389/fpsyg.2017.01189</t>
  </si>
  <si>
    <t>WOS:000406265400001</t>
  </si>
  <si>
    <t>Moris, S; Silva, N; Saitz, C; Jara, P; Chornik, B</t>
  </si>
  <si>
    <t>Moris, S.; Silva, N.; Saitz, C.; Jara, P.; Chornik, B.</t>
  </si>
  <si>
    <t>NANODECORATION OF SINGLE CRYSTALS OF 5,11,17,23-TETRA-TERT-BUTYL-25,27-BIS(CYANOMETHOXY)-26,28-DIHYDROXYCALIX[4]ARENE</t>
  </si>
  <si>
    <t>Single crystals of 1,3-bis(cyanomethoxy)calix[4]arene (1) were grown from Chloroform/Methanol mixture and these were nanodecorated with colloidal gold nanoparticles (AuNps). The single crystals were then characterized by single-crystal X-ray diffraction (XRD) and Scanning Electronic Microscopy (SEM). The nanodecorated crystals were characterized by UV-Visible Absorption Spectroscopy, Transmission Electronic Microscopy (TEM) and X-ray Photoelectron Spectroscopy (XPS). In this work, it is shown that the stabilization of the nanoparticles occurs through of the interactions of these with the nitrile group, maintaining their shape and size.</t>
  </si>
  <si>
    <t>Chornik, Boris/I-9192-2016; Moris, Silvana/HNR-8978-2023; Jara, Paul/ADD-5252-2022</t>
  </si>
  <si>
    <t>Moris, Silvana/0000-0002-0330-8751; Silva, Nataly/0000-0002-1830-5182</t>
  </si>
  <si>
    <t>10.4067/s0717-97072017000403772</t>
  </si>
  <si>
    <t>WOS:000431863100018</t>
  </si>
  <si>
    <t>Barrientos, J; Gómez, F; Cárdenas, M</t>
  </si>
  <si>
    <t>Barrientos, Jaime; Gomez, Fabiola; Cardenas, Manuel</t>
  </si>
  <si>
    <t>Subjective Wellbeing and Levels of Clinical Symptomatology in a Transwomen Sample and Men Who Have Sex With Men in Chile</t>
  </si>
  <si>
    <t>JOURNAL OF HOMOSEXUALITY</t>
  </si>
  <si>
    <t>This article examines the levels of subjective wellbeing (psychological and social wellbeing, subjective happiness, and satisfaction with life) and clinical symptomatology (anxiety, depression, somatization, hostility, and phobic anxiety) in a transwomen sample (n=112). The sample was recruited through a snowball procedure in Chile (Santiago, Valparaiso, and Arica). Data obtained are compared to those from a group of men who have sex with men (MSM; n=323). Results reveal statistically significant differences in the levels of happiness (t((157))=2.16; p=.03; d=.25), satisfaction with life (t((154))=3.90; p&lt;.001; d=.47), and purpose in life (scale of psychological wellbeing; t((151))=1.99; p .04; d=.24) reported by the two groups. The transwomen group shows the lowest scores in all dimensions. However, trans women report higher levels of social coherence (t((432))=-4.96; p&lt;.001; d=.53) on the social wellbeing scale, compared to the MSM group. Regarding their levels of clinical symptomatology, trans women report higher levels of anxiety (t((163))=-6.67; p&lt;.001; d=.78), depression (t((167))=-5.61; p&lt;.001; d=.65), somatization (t((161))=-5.10; p&lt;.001; d=.60), hostility (t((153))=-5.38; p&lt;.001; d=.62), and phobic anxiety (t((164))=-6.70; p&lt;.001; d=.80). Results are discussed on the basis of the context of each group.</t>
  </si>
  <si>
    <t>Gómez, Fabiola/W-3604-2018; Barrientos, Jaime/GMW-8081-2022</t>
  </si>
  <si>
    <t>Gomez, Fabiola/0000-0002-8390-9476; Barrientos, Jaime/0000-0001-8497-3552</t>
  </si>
  <si>
    <t>0091-8369</t>
  </si>
  <si>
    <t>1540-3602</t>
  </si>
  <si>
    <t>10.1080/00918369.2016.1223346</t>
  </si>
  <si>
    <t>WOS:000385933900005</t>
  </si>
  <si>
    <t>Pedreros, J; Pavez, C; Castro, M; Sepúlveda, A; Avaria, G; Watkins, F; Soto, L</t>
  </si>
  <si>
    <t>Pedreros, J.; Pavez, C.; Castro, M.; Sepulveda, A.; Avaria, G.; Watkins, F.; Soto, L.</t>
  </si>
  <si>
    <t>Multi-frame Digital Interferometry Using a Single Digital Record System</t>
  </si>
  <si>
    <t>In this work a multi-frame interferometric system based in digital image processing and digital interferometry is presented. Here, an experimental optical setup which integrates the virtues of the digital interferometry technique and the capacity to capture two interferograms, to two different times, in a single digital recording system is implemented. The digital reconstruction of the interferograms required the capture of three interferometric patterns of very thin parallel fringes (15-20 lines/mm), one of them with information of the phase object and the other two are interferometric patterns of reference. One of the referential pattern is captured in the same condition as the one with plasma and the other one slightly changing the frequency of the pattern fringes. The interferogram associated with each instant of time is separated by means of spatial filtering techniques. Thus, the technique allows obtain digital interferograms in fringes of infinite and finite width in two different times. The interferometric system was tested in a laserinduced spark plasma in air.</t>
  </si>
  <si>
    <t>Soto, Leopoldo/A-7084-2012; Castro, Mario/ABD-7776-2021; Pavez, Cristian/A-7441-2012; Avaria, Gonzalo/A-6855-2012</t>
  </si>
  <si>
    <t>Avaria, Gonzalo/0000-0002-1286-5162</t>
  </si>
  <si>
    <t>WOS:000390556300029</t>
  </si>
  <si>
    <t>Valdes, N; Soto, P; Cottet, L; Alarcon, P; Gonzalez, A; Castillo, A; Corsini, G; Tello, M</t>
  </si>
  <si>
    <t>Valdes, Natalia; Soto, Paola; Cottet, Luis; Alarcon, Paula; Gonzalez, Alex; Castillo, Antonio; Corsini, Gino; Tello, Mario</t>
  </si>
  <si>
    <t>Draft genome sequence of Janthinobacterium lividum strain MTR reveals its mechanism of capnophilic behavior</t>
  </si>
  <si>
    <t>STANDARDS IN GENOMIC SCIENCES</t>
  </si>
  <si>
    <t>Janthinobacterium lividum is a Gram-negative bacterium able to produce violacein, a pigment with antimicrobial and antitumor properties. Janthinobacterium lividum colonizes the skin of some amphibians and confers protection against fungal pathogens. The mechanisms underlying this association are not well understood. In order to identify the advantages for the bacterium to colonize amphibian skin we sequenced Janthinobacterium lividum strain MTR, a strain isolated from Cajon del Maipo, Chile. The strain has capnophilic behavior, with growth favored by high concentrations (5 %) of carbon dioxide. Its genome is 6,535,606 bp in size, with 5,362 coding sequences and a G + C content of 62.37 %. The presence of genes encoding for products that participate in the carbon fixation pathways (dark CAM pathways), and the entire set of genes encoding for the enzymes of the glyoxylate cycle may explain the capnophilic behavior and allow us to propose that the CO2 secreted by the skin of amphibians is the signal molecule that guides colonization by Janthinobacterium lividum.</t>
  </si>
  <si>
    <t>Valdes, Natalia/AAI-8151-2021; Castillo, Antonio/AAE-6832-2020; González, Alex/GYU-3220-2022; Tello, Mario/N-4198-2019</t>
  </si>
  <si>
    <t>Corsini, Gino/0000-0002-0418-8616; Castillo, Antonio/0000-0003-0639-6045; valdes parra, Natalia/0000-0002-6884-7799; Tello, Mario/0000-0003-4573-6460</t>
  </si>
  <si>
    <t>1944-3277</t>
  </si>
  <si>
    <t>NOV 24</t>
  </si>
  <si>
    <t>10.1186/s40793-015-0104-z</t>
  </si>
  <si>
    <t>WOS:000368003400001</t>
  </si>
  <si>
    <t>Adura, C; Guzman, F; Alvarez-Lueje, A; Kogan, MJ</t>
  </si>
  <si>
    <t>Adura, Carolina; Guzman, Fanny; Alvarez-Lueje, Alejandro; Kogan, Marcelo J.</t>
  </si>
  <si>
    <t>ION PAIR METHOD TO DETERMINE THE CTAB CONTENT IN GOLD NANORODS SAMPLES (vol 59, pg 2701, 2014)</t>
  </si>
  <si>
    <t>kogan, Marcelo/I-2868-2013</t>
  </si>
  <si>
    <t>WOS:000361545700026</t>
  </si>
  <si>
    <t>Garcia, AM; Alarcon, E; Muñoz, M; Scaiano, JC; Edwards, AM; Lissi, E</t>
  </si>
  <si>
    <t>Garcia, Angelica M.; Alarcon, Emilio; Munoz, Marcelo; Scaiano, Juan C.; Maria Edwards, Ana; Lissi, Eduardo</t>
  </si>
  <si>
    <t>Photophysical behaviour and photodynamic activity of zinc phthalocyanines associated to liposomes</t>
  </si>
  <si>
    <t>Phthalocyanines are macrocyclic compounds that can be employed as photosensitizers in the treatment of various infections and diseases, as well as in photodynamic therapy. Nevertheless, a disadvantage for the clinical application of these compounds is their strong tendency to form oligomers (especially dimers), a phenomenon that reduces their efficiency as photosensitizers. In the present contribution, we have studied the photophysical and photochemical properties of ZnPc and ZnF16Pc in an organic solvent (THF) and liposomal formulations (DMPC, DPPC and DSPC). Our results show that dye incorporation into liposomes decreases its aggregation degree, as revealed by absorption spectra, triplet quantum yield, and singlet oxygen quantum yield measurements. Additionally, we studied the photodynamic activity of both phthalocyanines in liposomal formulation on human cervical carcinoma (HeLa) cells. For ZnF16Pc the photophysical behavior and phototoxicity in vitro correlate with the aggregation degree. The dimers are not photoactive and the photochemistry of ZnF16Pc depends of the fraction present as monomer. On the other hand, ZnPc aggregation is minimal and its photophysical and photochemical properties are similar in the three liposomes studied. Nevertheless, its phototoxicity in vitro is liposome dependent.</t>
  </si>
  <si>
    <t>Alarcon, Emilio/A-7285-2011; GARCIA, ANGELICA/KNG-9393-2024; Munoz, Marcelo/ABR-8932-2022</t>
  </si>
  <si>
    <t>Edwards-Mujica, Ana M./0000-0002-4637-1013; Munoz, Marcelo/0000-0001-7748-4996; Scaiano, Juan/0000-0002-4838-7123</t>
  </si>
  <si>
    <t>10.1039/c0pp00289e</t>
  </si>
  <si>
    <t>WOS:000288964800008</t>
  </si>
  <si>
    <t>Herrera, C; Vallejos, GA; Loaiza, R; Zeledón, R; Urbina, A; Sepúlveda-Boza, S</t>
  </si>
  <si>
    <t>Herrera, Cristina; Vallejos, Gabriel A.; Loaiza, Randall; Zeledon, Rodrigo; Urbina, Andrea; Sepulveda-Boza, Silvia</t>
  </si>
  <si>
    <t>In vitro activity of thienyl-2-nitropropene compounds against Trypanosoma cruzi</t>
  </si>
  <si>
    <t>MEMORIAS DO INSTITUTO OSWALDO CRUZ</t>
  </si>
  <si>
    <t>The in vitro activity of four 2-nitropropene derivatives, 1-(3-benzothienyl)-2-nitropropene(N1), 1-(3-thienyl)-2-nitropropene (N2), 1-(5-bromo-2-thienyl)-2-nitropropene (N3) and 1-(4-bromo-2-thienyl)-2-nitropropene (N4), were tested against cultures of the parasite Trypanosoma cruzi. Cytotoxicity studies were performed using Vero cells. The blood trypomastigotes, amastigotes and epimastigotes showed differential degrees of sensitivity towards the four tested compounds; the highest activity against the epimastigotes and blood tripomastigotes was exhibited by N1, followed by N3, N4 and finally N2. In contrast, whereas the compounds N1, N3 and N4 exerted similar magnitudes of activity against amastigotes, N2 was found to be a much less potent compound. According to our results, the compound N1 had the highest level of activity (IC50: 0.6 mu M) against epimastigotes.</t>
  </si>
  <si>
    <t>Loaiza, Randall/JXN-5399-2024</t>
  </si>
  <si>
    <t>0074-0276</t>
  </si>
  <si>
    <t>1678-8060</t>
  </si>
  <si>
    <t>10.1590/S0074-02762009000700007</t>
  </si>
  <si>
    <t>WOS:000272928800007</t>
  </si>
  <si>
    <t>Atala, E; Vásquez, L; Speisky, H; Lissi, E; López-Alarcón, C</t>
  </si>
  <si>
    <t>Atala, E.; Vasquez, L.; Speisky, H.; Lissi, E.; Lopez-Alarcon, C.</t>
  </si>
  <si>
    <t>Ascorbic acid contribution to ORAC values in berry extracts: An evaluation by the ORAC-pyrogallol red methodology</t>
  </si>
  <si>
    <t>An oxygen radical absorbance capacity (ORAC) method based on pyrogallol red bleaching (ORAC-PGR) was used to evaluate the scavenging activity of berry extracts (blackberry, blueberry, and raspberry). Among berry extracts, only raspberry protected pyrogallol red through a clear induction time, related exclusively to ascorbic acid. The lag time allowed an estimation of the ascorbic acid concentration and its contribution to the total ORAC value, estimating that 66% of the ORAC-PGR value of raspberry is related to ascorbic acid. Also, from the induction time, an ascorbic acid concentration of 36 mg per 100 g of fresh weight was estimated for raspberry samples. The ORAC-PGR procedure could be considered as a fast and specific methodology for an estimation of ascorbic acid concentrations in complex samples. (C) 2008 Elsevier Ltd. All rights reserved.</t>
  </si>
  <si>
    <t>Vázquez, Luis/AAA-5979-2019; SPEISKY, HERNAN/E-6146-2013; Lopez, Camilo/J-5770-2013</t>
  </si>
  <si>
    <t>10.1016/j.foodchem.2008.07.063</t>
  </si>
  <si>
    <t>WOS:000260711100053</t>
  </si>
  <si>
    <t>Aloisio, R; Galante, A; Grillo, A; Liberati, S; Luzio, E; Méndez, F</t>
  </si>
  <si>
    <t>Deformed special relativity as an effective theory of measurements on quantum gravitational backgrounds</t>
  </si>
  <si>
    <t>In this article we elaborate on a recently proposed interpretation of deformed special relativity (DSR) as an effective measurement theory in the presence of non-negligible (albeit small) quantum gravitational fluctuations. We provide several heuristic arguments to explain how such a new theory can emerge and discuss the possible observational consequences of this framework. Given that our discussion considers leading order corrections to the standard dispersion relations, our results apply to a very wide class of possible modifications of special relativity.</t>
  </si>
  <si>
    <t>Aloisio, Roberto/I-9533-2012; Angelo, Galante/S-9389-2019; Liberati, Stefano/AAY-3319-2020</t>
  </si>
  <si>
    <t>Aloisio, Roberto/0000-0003-0161-5923; Galante, Angelo/0000-0002-3228-7785; Liberati, Stefano/0000-0002-7632-7443; Mendez, Fernando/0000-0002-9257-9552</t>
  </si>
  <si>
    <t>10.1103/PhysRevD.73.045020</t>
  </si>
  <si>
    <t>WOS:000235669800087</t>
  </si>
  <si>
    <t>Sepulveda, W; Elorza, C; Gutierrez, J; Vasquez, P; Castro, V</t>
  </si>
  <si>
    <t>Congenital megalourethra - Outcome after prenatal diagnosis in a series of 4 cases</t>
  </si>
  <si>
    <t>Objective. The purpose of this series is to describe the prenatal sonographic findings and pregnancy outcome in 4 cases of congenital megalourethra. Methods. Three cases of fusiform-type megalourethra and 1 case of scaphoid-type megalourethtra were diagnosed prenatally by sonography between 20 and 24 weeks' gestation. The key findings for diagnosis included sonographic features of lower urinary tract obstruction in association with dilatation and elongation of the penile urethra in all 4 cases. Severe oligohydramnios was detected at the time of diagnosis in only 1 case. Prenatal chromosome analysis was available in 3 cases and revealed a normal 46,XY karyotype. Information on pregnancy outcome was available in all cases. Results. The parents opted for elective termination of pregnancy in 1 case when decreased amniotic fluid volume and echogenic kidneys were documented at the follow-up scan. Among the 3 ongoing pregnancies, there were 2 premature cesarean deliveries at 28 and 31 weeks and 1 vaginal delivery at term. All neonates had severe lung hypoplasia and died in the early neonatal period. Conclusions. Congenital megalourethra is associated with poor perinatal outcome. Because this condition can be diagnosed prenatally in the context of lower urinary tract obstruction, detailed examination of the external genitalia in these cases should be mandatory.</t>
  </si>
  <si>
    <t>10.7863/jum.2005.24.9.1303</t>
  </si>
  <si>
    <t>WOS:000231523100017</t>
  </si>
  <si>
    <t>Valdés, JE; Vargas, P; Arista, NR</t>
  </si>
  <si>
    <t>Differences in the energy loss of protons and positive muons in solids</t>
  </si>
  <si>
    <t>We evaluate the magnitude of the difference in the electronic energy loss of positive muons and protons in solids in the low-energy range using both the dielectric formalism and the non-linear transport cross-section (TCS) method. The effects of mass increase at low energies, showing stopping differences between 5% and 1% for velocities in the range 0.2 &lt; &lt; 1 a.u. We find that nuclear stopping effects must also be taken into account for a consistent analysis in the low-energy range. (C) 2001 Elsevier Science B.V. All rights reserved.</t>
  </si>
  <si>
    <t>Valdes, Jorge/IYJ-2578-2023; Vargas, Patricio/AAL-2633-2020</t>
  </si>
  <si>
    <t>vargas, patricio/0000-0001-9235-9747; Valdes Leyton, Jorge Eduardo/0000-0001-5465-7567</t>
  </si>
  <si>
    <t>10.1016/S0168-583X(00)00510-3</t>
  </si>
  <si>
    <t>WOS:000167260800002</t>
  </si>
  <si>
    <t>García-Huidobro, M; Manásevich, R; Yarur, CS</t>
  </si>
  <si>
    <t>Existence of positive singular solutions for a class of quasilinear elliptic equations</t>
  </si>
  <si>
    <t>We establish existence of singular positive radial solutions to -div(A(\del u\)del u) = f(u) either to a Dirichlet problem in a punctured ball centered at the origin, or in R-N\{0}. (C) 2000 Elsevier Science B.V. All rights reserved. MSC: primary 34K10; 35J65; secondary 35B45; 34D05.</t>
  </si>
  <si>
    <t>García-Huidobro, Marta/JJE-8451-2023; Manasevich, Raúl/J-5529-2016</t>
  </si>
  <si>
    <t>10.1016/S0377-0427(99)00265-4</t>
  </si>
  <si>
    <t>WOS:000084633300027</t>
  </si>
  <si>
    <t>Moya, SA; Pastene, R; Le Bozec, H; Fernandez, M; Pardey, AJ; Baricelli, P; Lopez, YR</t>
  </si>
  <si>
    <t>Electrochemical properties of rhenium carbonyl complexes containing terpyridine ligand derivatives</t>
  </si>
  <si>
    <t>Correlations between the oxidation potentials and the stretching frequencies of the carbonyl groups in the fac-tricarbonylbromo(polypyridyl)rhenium complexes with respect to the BrRe(CO)(5) precursor are discussed.</t>
  </si>
  <si>
    <t>WOS:000084664300004</t>
  </si>
  <si>
    <t>Khosropour, H; Keramat, M; Primpray, V; Karuwan, C; Tasca, F; Laiwattanapaisal, W</t>
  </si>
  <si>
    <t>Khosropour, Hossein; Keramat, Mansoureh; Primpray, Vitsarut; Karuwan, Chanpen; Tasca, Federico; Laiwattanapaisal, Wanida</t>
  </si>
  <si>
    <t>An electrochemical aptamer-based biosensor for rapid and ultrasensitive detection of carbaryl by red blood cell-like MOFs</t>
  </si>
  <si>
    <t>ALEXANDRIA ENGINEERING JOURNAL</t>
  </si>
  <si>
    <t>Carbaryl (CBA) is a broad-spectrum carbamate insecticide widely used to control pests on crops, trees, and ornamental plants. CBA residues in foods can accumulate in the human body and damage human health, making it challenging to develop a sensitive and reliable detection method. Herein, a spherical, red blood cell-like metal-organic frameworks (rbMOFs) has been proposed to overcome the limitations of the detection method, particularly in terms of sensitivity and selectivity. The spherical, rbMOFs with an appropriate ratio of reduced graphene oxide (rGO) as a new group of nanocomposites was used for detection of CBA by electrochemical aptasensor by using screen-printed red blood cell-like MOFs-reduced graphene oxide electrodes (SP-rbMOFs/ rGO-E). The differential pulse voltammetry (DPV) showed that the linear range for CBA was 1.0 pmol L-1-0.1 mu mol L-1 with limits of detection of 0.4 pmol L-1. The proposed electrochemical aptasensor exhibited good repeatability (RSD%=2.96), reproducibility (RSD%=3.14), and stability (92 %). In the CAB examination of tap water, apple juice, and potato juice, the suggested aptasensor demonstrates excellent selectivity, repeatability, stability, high efficiency, and acceptable recovery. Owing to its simplicity and portability, the method has the potential for on-site detection of CBA in various food samples.</t>
  </si>
  <si>
    <t>Laiwattanapaisal, Wanida/ABV-6465-2022; khosropour, hossein/KYP-1901-2024</t>
  </si>
  <si>
    <t>1110-0168</t>
  </si>
  <si>
    <t>2090-2670</t>
  </si>
  <si>
    <t>10.1016/j.aej.2025.03.058</t>
  </si>
  <si>
    <t>WOS:001459574600001</t>
  </si>
  <si>
    <t>Bohle, SL; Chambel, MJ; Griep, Y; Medina, FM; Quijada, HZ</t>
  </si>
  <si>
    <t>Bohle, Sergio Lopez; Chambel, Maria Jose; Griep, Yannick; Medina, Felipe Munoz; Quijada, Hugo Zuniga</t>
  </si>
  <si>
    <t>Are Both I-Deals? The Mediating Role of I-Task and I-Incentive in the Relationship between Supervisor Support and Employees' Silence and Voice</t>
  </si>
  <si>
    <t>Informed by Social Exchange Theory, this study has developed a mediation model that explains the role of I-deals in the relationship between perceived supervisor support and employees' discretionary behaviors (i.e., voice and silence). Using a sample of 140 Chile employees, results from our structural equation modeling, indicated that the relationship between supervisor support and employees' voice (positive) and silence (negative) was mediated by task I-deals. However, we found that the relationship between supervisor support and employees' voice (negative) was mediated by task I-incentive while this type of I-deals did not mediate the relationship between supervisor support and employees' silence. This research expands the I-deals literature by focusing on the provision of I-deals to their subordinates and by analyzing the outcomes of incentive I-deals and task I-deals to employees' discretionary behaviors. Supervisors and HR departments might utilize task I-deals to help facilitate desirable employee outcomes, namely more voice and less silence.</t>
  </si>
  <si>
    <t>Bohle, Sergio/P-7698-2014; Medina, Felipe/AAN-4304-2021; Griep, Yannick/P-6621-2018</t>
  </si>
  <si>
    <t>Zuniga, Hugo/0000-0002-9499-8136; Lopez Bohle, Sergio/0000-0002-6202-4089; Munoz Medina, Felipe/0000-0002-0425-2067</t>
  </si>
  <si>
    <t>10.1177/21582440241256816</t>
  </si>
  <si>
    <t>WOS:001249702300001</t>
  </si>
  <si>
    <t>San Martin, M; Poch, P; Carmona, R; Rodríguez, P; Rodríguez, A; Serafini, D; Garrido, R; Mena, M; Valdes, J; Masip, Y</t>
  </si>
  <si>
    <t>San Martin, Marco; Poch, Paola; Carmona, Roberto; Rodriguez, Pablo; Rodriguez, Angel; Serafini, Daniel; Garrido, Rene; Mena, Marcelo; Valdes, Javier; Masip, Yunesky</t>
  </si>
  <si>
    <t>Parameterization proposal to determine the feasibility of geographic areas for the green hydrogen industry under socio-environmental and technical constraints in Chile</t>
  </si>
  <si>
    <t>Chile, abundant in solar and wind energy resources, presents significant potential for the production of green hydrogen, a promising renewable energy vector. However, realizing this potential requires an understanding of the most suitable locations for the installation of green hydrogen industries. This study proposes a quantitative methodology that identifies and ranks potential public lands for industrial use, based on a range of technical parameters (such as solar and wind availability) and socio-environmental considerations (including land use restrictions and population density). The results reveal optimal locations that can facilitate informed, sustainable decision-making for large-scale green hydrogen implementation in Chile. While this methodology does not replace project specific technical or environmental impact studies, it provides a flexible, general classification to guide initial site selection. Notably, this approach can be applied to other regions worldwide with abundant solar and wind resources, such as Australia and Northern Africa,</t>
  </si>
  <si>
    <t>Macía, Yunesky/D-5888-2016; Rodriguez, Pablo/KFJ-9680-2024; Rodríguez Soto, Angel/JZD-8317-2024; Mena-Carrasco, Marcelo/L-9730-2016; San Martin, Marco/B-9330-2019; Garrido, Rene/I-6852-2018</t>
  </si>
  <si>
    <t>San Martin, Marco/0000-0003-2565-3174; Mena, Marcelo/0000-0002-8847-7588; Masip Macia, Yunesky/0000-0003-4455-1819; Valdes Lucas, Javier/0000-0002-1497-0695; Rodriguez, Pablo/0009-0007-8365-8201; Garrido, Rene/0000-0003-1259-0995</t>
  </si>
  <si>
    <t>10.1016/j.ijhydene.2023.10.013</t>
  </si>
  <si>
    <t>WOS:001135540600001</t>
  </si>
  <si>
    <t>Sandivari, C; Egge, J; Barraza, B; Gordillo, L; Mujica, N</t>
  </si>
  <si>
    <t>Sandivari, Camila; Egge, Jacob; Barraza, Belen; Gordillo, Leonardo; Mujica, Nicolas</t>
  </si>
  <si>
    <t>Juggling soliton: A new kind of wave-particle entity</t>
  </si>
  <si>
    <t>We present an experimental study of a new kind of dual drop-wave entity existing on a localized structure in a water Faraday-wave system. A nonpropagating hydrodynamic soliton can juggle a single drop of similar to 2-3.5 mm diameter for about 102-104 rebounds. By analyzing the drop trajectories, several regimes are observed: periodic bouncing, period doubling, period tripling, a sawtooth state, and chaotic/erratic trajectories. We present evidence that the most stable cases result from detuning of the drop self-oscillations and synchronization with the soliton's sloshing motion. This synchronization ensures stability and thus longer lifetimes. We analyzed the lifetime of the drop, concluding that the periodic behavior, which appears for the lowest-amplitude solitons, is the most stable state. Further analysis shows that lifetimes follow a Weibull distribution.</t>
  </si>
  <si>
    <t>; GORDILLO, Leonardo/I-8215-2014; Mujica, Nicolas/J-3646-2014</t>
  </si>
  <si>
    <t>Barraza, Belen/0000-0002-1969-0553; GORDILLO, Leonardo/0000-0002-9516-1346; Egge, Jacob/0000-0003-2852-3447; Mujica, Nicolas/0000-0003-4724-6246</t>
  </si>
  <si>
    <t>10.1103/PhysRevFluids.8.024401</t>
  </si>
  <si>
    <t>WOS:000932024300002</t>
  </si>
  <si>
    <t>Dattwyler, RH; Constela, CDV; Aguilera, DG; Constela, CC; Peterson, VA</t>
  </si>
  <si>
    <t>Dattwyler, Rodrigo Hidalgo; Constela, Carlos Daniel Vergara; Aguilera, Diego Gutierrez; Constela, Cristian Capetillo; Peterson, Voltaire Alvarado</t>
  </si>
  <si>
    <t>Your House, Your Debt. Chilean Housing Policy Between Financialization, Subsidiarity and Social Integration</t>
  </si>
  <si>
    <t>REVISTA INVI</t>
  </si>
  <si>
    <t>Chilean real estate financialization is explored from the perspective of the subsidiary State, the programmatic development of housing policies and the leading role that indebtedness has assumed as a mechanism and as a possibility of social distinction. For these purposes, a general review is made of the general transformations of capitalism, in order to position the financial. Within this framework, housing has played a key role both as an asset and as a form capable of absorbing surpluses. Based on this, general statistics are analyzed at the banking and subsidiary level on housing and focusing on the documentary analysis of the texts that provide legal support and programmatic direction to them and to the current National Urban Development Policy. From this point, the subsidy instrument is discussed, together with the relationships it articulates with indebtedness, and the current paradigm of social integration is criticized. The conclusion presents a reading of Chilean neoliberalism, which, at least in its spatial and housing facets, depends on mechanisms of institutional viability for its survival.</t>
  </si>
  <si>
    <t>Alvarado Peterson, Voltaire/0000-0001-5912-4006</t>
  </si>
  <si>
    <t>0718-1299</t>
  </si>
  <si>
    <t>0718-8358</t>
  </si>
  <si>
    <t>10.5354/0718-8358.2022.63809</t>
  </si>
  <si>
    <t>WOS:000835611600002</t>
  </si>
  <si>
    <t>Vallejos-Vidal, E; Reyes-López, FE; Sandino, AM; Imarai, M</t>
  </si>
  <si>
    <t>Vallejos-Vidal, Eva; Reyes-Lopez, Felipe E.; Sandino, Ana Maria; Imarai, Monica</t>
  </si>
  <si>
    <t>Sleeping With the Enemy? The Current Knowledge of Piscine Orthoreovirus (PRV) Immune Response Elicited to Counteract Infection</t>
  </si>
  <si>
    <t>Piscine orthoreovirus (PRV) is a virus in the genus Orthoreovirus of the Reoviridae family, first described in 2010 associated with Heart and Skeletal Muscle Inflammation (HSMI) in Atlantic salmon (Salmo salar). Three phases of PRV infection have been described, the early entry and dissemination, the acute dissemination phase, and the persistence phase. Depending on the PRV genotype and the host, infection can last for life. Mechanisms of immune response to PRV infection have been just beginning to be studied and the knowledge in this matter is here revised. PRV induces a classical antiviral immune response in experimental infection of salmonid erythrocytes, including transcriptional upregulation of ifn-alpha, rig-i, mx, and pkr. In addition, transcript upregulation of tcra, tcrb, cd2, il-2, cd4-1, ifn-gamma, il-12, and il-18 has been observed in Atlantic salmon infected with PRV, indicating that PRV elicited a Th1 type response probably as a host defense strategy. The high expression levels of cd8a, cd8b, and granzyme-A in PRV-infected fish suggest a positive modulatory effect on the CTL-mediated immune response. This is consistent with PRV-dependent upregulation of the genes involved in antigen presentation, including MHC class I, transporters, and proteasome components. We also review the potential immune mechanisms associated with the persistence phenotype of PRV-infected fish and its consequence for the development of a secondary infection. In this scenario, the application of a vaccination strategy is an urgent and challenging task due to the emergence of this viral infection that threatens salmon farming.</t>
  </si>
  <si>
    <t>Reyes-López, Felipe/S-1760-2018; Vallejos-Vidal, Eva/R-9606-2019</t>
  </si>
  <si>
    <t>Vallejos-Vidal, Eva/0000-0002-3091-2700; Reyes-Lopez, Felipe E./0000-0002-5001-457X</t>
  </si>
  <si>
    <t>APR 6</t>
  </si>
  <si>
    <t>10.3389/fimmu.2022.768621</t>
  </si>
  <si>
    <t>WOS:000808395600001</t>
  </si>
  <si>
    <t>Alavia, W; Lovera, JA; Graber, TA; Azúa, D; Soto, I</t>
  </si>
  <si>
    <t>Alavia, Wilson; Lovera, Jorge A.; Graber, Teofilo A.; Azua, Daniela; Soto, Ismael</t>
  </si>
  <si>
    <t>Modeling of the density, viscosity and electrical conductivity of aqueous solutions saturated in boric acid in presence of lithium sulfate or sodium sulfate at 293.15 to 313.15 K</t>
  </si>
  <si>
    <t>The modeling of the density, viscosity and electrical conductivity of aqueous solutions saturated with boric acid, in the presence of sodium sulfate or lithium sulfate, are presented. The salt concentrations range studied were from (0 to 3.3242) mol kg(-1) for sodium sulfate and from (0 to 2.9336) mol kg(-1) for lithium sulfate at temperatures from (293.15 to 313.15) K and at 1 atm pressure. A model for the density was derived using the Pitzer model. The Eyring's absolute rate theory and the Pitzer model were combined to represent the viscosity. The Casteel-Amis equation was modified to describe the electrical conductivity with temperature and boric acid effects where necessary. The results showed that the models successfully represented the properties studied and are robust for estimation purposes within and beyond the experimental range studied. Also, it was found that short range interactions of boric acid, sulfate, sodium and lithium ions with water molecules are relevant to determine the volumetric and transport properties of these solutions and that the electrical conductivity is determined by charged species (Na+, SO42- NaSO4-, HSO4- and Li+, SO42-, LiSO4-) and the solution viscosity; that is mainly influenced by these salts concentrations, boric acid solubility behavior with these salts and temperature. This is valuable information to improve the processes of boric acid production. (C) 2020 Elsevier B.V. All rights reserved.</t>
  </si>
  <si>
    <t>Alavia, Wilson/AGY-3117-2022</t>
  </si>
  <si>
    <t>Alavia, Wilson/0000-0001-5674-8489; Soto, Ismael/0000-0002-5501-5651</t>
  </si>
  <si>
    <t>10.1016/j.fluid.2020.112864</t>
  </si>
  <si>
    <t>WOS:000615976000001</t>
  </si>
  <si>
    <t>Castillo-Sepúlveda, S; Corona, RM; Landeros, P; Altbir, D</t>
  </si>
  <si>
    <t>Castillo-Sepulveda, S.; Corona, R. M.; Landeros, P.; Altbir, D.</t>
  </si>
  <si>
    <t>Domain walls in curved thin surfaces</t>
  </si>
  <si>
    <t>In this paper, by means of analytical calculations and a simple model, we studied the effect of curvature in magnetic thin stripes. Three different domain walls were observed, depending on the slab geometry. A phase diagram that shows the geometric parameters at which each domain wall is preferred was obtained. The presented methodology can also be used to obtain the magnetization behavior in other curved structures with proper aspect ratio relations.</t>
  </si>
  <si>
    <t>Altbir, Dora/R-6781-2018; Landeros, Pedro/B-4603-2012</t>
  </si>
  <si>
    <t>Landeros, Pedro/0000-0002-0927-1419; Castillo, Sebastian/0000-0001-7730-8773; Corona, Rosa/0000-0001-6054-5019</t>
  </si>
  <si>
    <t>10.1016/j.jmmm.2019.166322</t>
  </si>
  <si>
    <t>WOS:000512907600017</t>
  </si>
  <si>
    <t>Gálvez, CP; Doña, AM; Obando, ES; Muñoz, EA</t>
  </si>
  <si>
    <t>Poblete Galvez, Carolina; Moreno Dona, Alberto; Sandoval Obando, Eduardo; Aedo Munoz, Esteban</t>
  </si>
  <si>
    <t>Kuifi kimun aukantun kimeltuwun meu. The teaching of the Mapuche game from the internal logic of its culture</t>
  </si>
  <si>
    <t>This article deals with the specific theme of the Mapuche ancestral game and its teaching in the current context of the cultural revitalization of these indigenous people in Chilean society. We investigate the sociocultural impact of this learning in the context of kimeltuwlin as a contribution for the transmission of Mapuche knowledge in educational spaces and times within its community. The qualitative phenomenological study highlighted the narratives co-constructed in two Mapuche communities and schools from the Araucania region, Chile. The results revealed the value of the game, its use, and the methodological orientations.</t>
  </si>
  <si>
    <t>Moreno-Doña, Alberto/ABG-2494-2020; Aedo-Muñoz, Esteban/R-5623-2019; Sandoval-Obando, Eduardo/N-9195-2019; Sandoval, Eduardo/E-3513-2015</t>
  </si>
  <si>
    <t>Sandoval, Eduardo/0000-0001-7471-6536</t>
  </si>
  <si>
    <t>WOS:000519562000029</t>
  </si>
  <si>
    <t>Cañón-Mancisidor, W; Zapata-Lizama, M; Hermosilla-Ibáñez, P; Cruz, C; Venegas-Yazigi, D; Espallargas, GM</t>
  </si>
  <si>
    <t>Canon-Mancisidor, Walter; Zapata-Lizama, Matias; Hermosilla-Ibanez, Patricio; Cruz, Carlos; Venegas-Yazigi, Diego; Minguez Espallargas, Guillermo</t>
  </si>
  <si>
    <t>Hybrid organic-inorganic mononuclear lanthanoid single ion magnets</t>
  </si>
  <si>
    <t>CHEMICAL COMMUNICATIONS</t>
  </si>
  <si>
    <t>The first family of hybrid mononuclear organic-inorganic lanthanoid complexes is reported, based on [PW11O39](7-) and 1,10-phenanthroline ligands. This hybrid approach causes a dramatic improvement of the relaxation time (x1000) with a decrease of the optimal field while maintaining the U-eff of the inorganic analogues.</t>
  </si>
  <si>
    <t>Espallargas, Guillermo/D-3164-2013; Cruz, Carlos/KIG-8993-2024; Venegas-Yazigi, Diego/C-5022-2009; Canon-Mancisidor, Walter/K-8764-2014; Hermosilla-Ibanez, Patricio/Y-7454-2018</t>
  </si>
  <si>
    <t>Venegas-Yazigi, Diego/0000-0001-7816-2841; Cruz Herrera, Carlos/0000-0002-2644-4297; Canon-Mancisidor, Walter/0000-0003-1703-8729; Hermosilla-Ibanez, Patricio/0000-0002-2272-9690</t>
  </si>
  <si>
    <t>1359-7345</t>
  </si>
  <si>
    <t>1364-548X</t>
  </si>
  <si>
    <t>DEC 25</t>
  </si>
  <si>
    <t>10.1039/c9cc07868a</t>
  </si>
  <si>
    <t>WOS:000502103100025</t>
  </si>
  <si>
    <t>Bravo, M; Cominetti, R; Pavez-Signé, M</t>
  </si>
  <si>
    <t>Bravo, Mario; Cominetti, Roberto; Pavez-Signe, Matias</t>
  </si>
  <si>
    <t>Rates of convergence for inexact Krasnosel'skii-Mann iterations in Banach spaces</t>
  </si>
  <si>
    <t>MATHEMATICAL PROGRAMMING</t>
  </si>
  <si>
    <t>We study the convergence of an inexact version of the classical Krasnosel'skii-Mann iteration for computing fixed points of nonexpansive maps. Our main result establishes a new metric bound for the fixed-point residuals, from which we derive their rate of convergence as well as the convergence of the iterates towards a fixed point. The results are applied to three variants of the basic iteration: infeasible iterations with approximate projections, the Ishikawa iteration, and diagonal Krasnosels'kii-Mann schemes. The results are also extended to continuous time in order to study the asymptotics of nonautonomous evolution equations governed by nonexpansive operators.</t>
  </si>
  <si>
    <t>Cominetti, Roberto/AAN-6845-2020; Cominetti, Roberto/I-1401-2013</t>
  </si>
  <si>
    <t>Bravo, Mario/0000-0002-4312-9600; Cominetti, Roberto/0000-0001-9442-344X; pavez-signe, matias/0000-0001-9418-5058</t>
  </si>
  <si>
    <t>0025-5610</t>
  </si>
  <si>
    <t>1436-4646</t>
  </si>
  <si>
    <t>10.1007/s10107-018-1240-1</t>
  </si>
  <si>
    <t>WOS:000465626900008</t>
  </si>
  <si>
    <t>Cañon-Mancisidor, W; Miralles, SG; Baldoví, JJ; Espallargas, GM; Gaita-Ariño, A; Coronado, E</t>
  </si>
  <si>
    <t>Canon-Mancisidor, Walter; Miralles, Sara G.; Baldovi, Jose J.; Minguez Espallargas, Guillermo; Gaita-Arino, Alejandro; Coronado, Eugenio</t>
  </si>
  <si>
    <t>Sublimable Single Ion Magnets Based on Lanthanoid Quinolinate Complexes: The Role of Intermolecular Interactions on Their Thermal Stability</t>
  </si>
  <si>
    <t>We report the design, preparation, and characterization of two families of thermally robust coordination complexes based on lanthanoid quinolinate compounds: [Ln(5,7-Br(2)q)(4)](-) and [Ln(5,7-ClIq)(4)](-), where q = 8-hydroquinolinate anion and Ln = Dy-III , Tb-III , Er-III , and Ho-III. The sodium salt of [Dy(5,7-Br(2)q)(4)]decomposes upon sublimation, whereas the sodium salt of [Dy(5,7ClIq)(4)]-, which displays subtly different crystalline interactions, is sublimable under gentle conditions. The resulting film presents low roughness with high coverage, and the molecular integrity of the coordination complex is verified through AFM, MALDI-TOF, FT-IR, and microanalysis. Crucially, the single -molecule magnet behavior exhibited by [Dy(5,7-ClIq)(4)](-) in bulk remains detectable by ac magnetometry in the sublimated film.</t>
  </si>
  <si>
    <t>Miralles, Sara/J-3566-2013; Espallargas, Guillermo/D-3164-2013; Gaita-Ariño, Alejandro/D-2110-2014; Coronado, Eugenio/E-8960-2014; Baldoví, José/J-4889-2015; Canon-Mancisidor, Walter/K-8764-2014</t>
  </si>
  <si>
    <t>Baldovi, Jose J./0000-0002-2277-3974; Canon-Mancisidor, Walter/0000-0003-1703-8729</t>
  </si>
  <si>
    <t>10.1021/acs.inorgchem.8b02080</t>
  </si>
  <si>
    <t>WOS:000451244700020</t>
  </si>
  <si>
    <t>Mejía-López, J; Velásquez, EA; Mazo-Zuluaga, J; Altbir, D</t>
  </si>
  <si>
    <t>Mejia-Lopez, J.; Velasquez, E. A.; Mazo-Zuluaga, J.; Altbir, D.</t>
  </si>
  <si>
    <t>Thermal gradients for the stabilization of a single domain wall in magnetic nanowires</t>
  </si>
  <si>
    <t>By means of Monte Carlo simulations we studied field driven nucleation and propagation of transverse domain walls (DWs) in magnetic nanowires subjected to temperature gradients. Simulations identified the existence of critical thermal gradients that allow the existence of reversal processes driven by a single DW. Critical thermal gradients depend on external parameters such as temperature, magnetic field and wire length, and can be experimentally obtained through the measurement of the mean velocity of the magnetization reversal as a function of the temperature gradient. Our results show that temperature gradients provide a high degree of control over DW propagation, which is of great importance for technological applications.</t>
  </si>
  <si>
    <t>Mazo-Zuluaga, Johan/AAL-7141-2021; Altbir, Dora/R-6781-2018; Mejia-Lopez, Jose/T-6773-2017</t>
  </si>
  <si>
    <t>Mazo Zuluaga, Johan/0000-0002-3512-6530; Altbir, Dora/0000-0002-2945-4909; Mejia-Lopez, Jose/0000-0003-0301-3408; Velasquez, Ever/0000-0002-5058-8530</t>
  </si>
  <si>
    <t>10.1088/1361-6528/aac8c4</t>
  </si>
  <si>
    <t>WOS:000435378700001</t>
  </si>
  <si>
    <t>Saavedra, JM; Thorgeirsson, S; Chang, M; Kristjánsdóttir, H; García-Hermoso, A</t>
  </si>
  <si>
    <t>Saavedra, Jose M.; Thorgeirsson, Sveinn; Chang, Milan; Kristjansdottir, Hafrun; Garcia-Hermoso, Antonio</t>
  </si>
  <si>
    <t>Discriminatory Power of Women's Handball Game-Related Statistics at the Olympic Games (2004-2016)</t>
  </si>
  <si>
    <t>Sports performance analysis has been a growing field of study in the last decade. However, the number of studies in handball is small. The aims of this present study were (i) to compare handball game-related statistics by the match outcome (winning and losing teams) and (ii) to identify characteristics that discriminated performance in elite women's handball. The game-related statistics of the 236 matches played in the last four Olympic Games (Athens, Greece, 2004; Beijing, China, 2008; London, United Kingdom, 2012; and Rio de Janeiro, Brazil, 2016) were analysed. Differences between match outcomes (winning or losing teams) were determined using the chi-squared statistic, also calculating the effect sizes of the differences. A discriminant analysis was then performed applying the sample-splitting method according to match outcomes. The results showed the differences between winning and losing teams were red cards and assists. Also, the discriminant analysis selected five variables (shots, goalkeeper-blocked shots, technical fouls, steals, and goalkeeper-blocked fast-break shots) that classified correctly 83% of matches. The selected variables included offensive and defensive predictors. Coaches and players can use these results as a reference against which to assess their performance and plan training.</t>
  </si>
  <si>
    <t>Saavedra, Jose/C-2490-2011; García-Hermoso, Antonio/ADU-2591-2022; Þorgeirsson, Sveinn/AAP-7485-2020; Chang, Milan/AAJ-7767-2020; Garcia-Hermoso, Antonio/P-1857-2017</t>
  </si>
  <si>
    <t>Garcia-Hermoso, Antonio/0000-0002-1397-7182; Chang, Milan/0000-0002-3556-3810</t>
  </si>
  <si>
    <t>10.1515/hukin-2017-0172</t>
  </si>
  <si>
    <t>WOS:000435204200022</t>
  </si>
  <si>
    <t>Silva, N; Moris, S; Díaz, M; Yutronic, N; Lang, E; Chornik, B; Kogan, MJ; Jara, P</t>
  </si>
  <si>
    <t>Silva, Nataly; Moris, Silvana; Diaz, Maximiliano; Yutronic, Nicolas; Lang, Erika; Chornik, Boris; Kogan, Marcelo J.; Jara, Paul</t>
  </si>
  <si>
    <t>Evidence of the Disassembly of α-Cyclodextrin-octylamine Inclusion Compounds Conjugated to Gold Nanoparticles via Thermal and Photothermal Effects</t>
  </si>
  <si>
    <t>Cyclodextrin (CD) molecules form inclusion compounds (ICs), generating dimers that are capable of encapsulating molecules derived from long-chain hydrocarbons. The aim of this study is to evaluate the structural changes experienced by ICs in solution with increasing temperatures. For this, a nuclear magnetic resonance (H-1-NMR) titration was performed to determinate the stoichiometric alpha-cyclodextrin (alpha-CD):octylamine (OA) 2:1 and binding constant (k = 2.16 M-2) of ICs. Solution samples of alpha-CD-OA ICs conjugated with gold nanoparticles (AuNPs) were prepared, and H-1-NMR spectra at different temperatures were recorded. Comparatively, H-1-NMR spectra of the sample irradiated with a laser with tunable wavelengths, with plasmons of conjugated AuNPs, were recorded. In this work, we present evidence of the disassembly of ICs conjugated with AuNPs. Thermal studies demonstrated that, at 114 degrees C, there are reversible rearrangements of the host and guests in the ICs in a solid state. Migration movements of the guest molecules from the CD cavity were monitored via temperature-dependent H-1-NMR, and were verified comparing the chemical shifts of octylamine dissolved in deuterated dimethylsulfoxide (DMSO-d(6)) with the OA molecule included in alpha-CD dissolved in the same solvent. It was observed that, at 117 degrees C, OA exited the alpha-CD cavity. CD IC dimer disassembly was also observed when the sample was irradiated with green laser light.</t>
  </si>
  <si>
    <t>Chornik, Boris/I-9192-2016; Jara, Paul/ADD-5252-2022; Moris, Silvana/HNR-8978-2023; kogan, Marcelo/I-2868-2013</t>
  </si>
  <si>
    <t>10.3390/molecules21111444</t>
  </si>
  <si>
    <t>WOS:000389918200026</t>
  </si>
  <si>
    <t>Gargallo, L; Becerra, N; Encinas, MV; Ortega, F; Rubio, RG; Leiva, A; Radic, D</t>
  </si>
  <si>
    <t>Gargallo, Ligia; Becerra, Natalia; Victoria Encinas, Maria; Ortega, Francisco; Gonzalez Rubio, Ramon; Leiva, Angel; Radic, Deodato</t>
  </si>
  <si>
    <t>Amphiphilic 2-ethyl hexyl methacrylate-b-N,N′-dimethylacrylamide diblock copolymer monolayer behaviour at the air-water interface</t>
  </si>
  <si>
    <t>The surface activities of two amphiphilic diblock copolymers containing 2-ethyl hexyl methacrylate-b-N,N-dimethylacrylamide (EHMA-b-DMA) possessing hydrophobic segments of different chain lengths were studied. Toward this end, surface pressure-area (-A) isotherms, static and dynamic elasticities and the exponent of the excluded volume of polymers forming monolayers at the air-water interface were measured. The degree of hydrophobicity of the diblock copolymers was estimated by determining their surface energy values from contact angle measurements. The morphology of the monolayer at different surface pressures was studied by Brewster angle microscopy. Both copolymers were observed to form stable and elastic monolayers, and their collapse was observed to occur at similar surface pressures. Langmuir-Blodgett films were successfully deposited onto mica and silicon wafers and analysed by atomic force microscopy. (c) 2014 Society of Chemical Industry</t>
  </si>
  <si>
    <t>Encinas, Maria/L-9686-2014; Ortega, Francisco/A-2590-2009; Rubio, Ramon G./N-3541-2014</t>
  </si>
  <si>
    <t>Ortega, Francisco/0000-0002-4730-9270; Leiva-Campusano, Angel Rodrigo/0000-0003-3744-1945; Rubio, Ramon G./0000-0002-5456-3728</t>
  </si>
  <si>
    <t>1097-0126</t>
  </si>
  <si>
    <t>10.1002/pi.4845</t>
  </si>
  <si>
    <t>WOS:000354031600005</t>
  </si>
  <si>
    <t>Masood, S; Soto, I; Hussain, A; Jaffar, MA</t>
  </si>
  <si>
    <t>Gelbukh, A; Espinoza, FC; GaliciaHaro, SN</t>
  </si>
  <si>
    <t>Masood, Sohail; Soto, Ismael; Hussain, Ayyaz; Jaffar, M. Arfan</t>
  </si>
  <si>
    <t>Statistical Features Based Noise Type Identification</t>
  </si>
  <si>
    <t>NATURE-INSPIRED COMPUTATION AND MACHINE LEARNING, PT II</t>
  </si>
  <si>
    <t>Lecture Notes in Artificial Intelligence</t>
  </si>
  <si>
    <t>13th Mexican International Conference on Artificial Intelligence (MICAI)</t>
  </si>
  <si>
    <t>NOV 16-22, 2014</t>
  </si>
  <si>
    <t>Tuxtla Gutierrez, MEXICO</t>
  </si>
  <si>
    <t>Mexican Soc Artificial Intelligence,Govt Chiapas,Ist Tecnologico Tuxtla Gutierrez,Univ Autonoma Chiapas,Centro Investigac Computac Ist Politecnico Nacl,Univ Autonoma Estado Hidalgo,Univ Nacl Autonoma Mexico</t>
  </si>
  <si>
    <t>In this paper, a new technique for automatically identifying the type of noise in digital images has been proposed. Our statistical features based noise Type identification scheme uses machine learning to distinguish different types of noises. Local features of 3x3 window are used to train the machine learning based classifier. Two types of noise (salt &amp; peppers and random-valued) is catered for in this paper. Experiments show that the proposed technique gives promising results and can be enhanced to be a generic noise identification system for every type of noise.</t>
  </si>
  <si>
    <t>Jaffar, Arfan/GQB-2768-2022; Bhatti, Sohail/GPK-8682-2022</t>
  </si>
  <si>
    <t>Bhatti, Sohail Masood/0000-0002-8210-2785</t>
  </si>
  <si>
    <t>978-3-319-13650-9; 978-3-319-13649-3</t>
  </si>
  <si>
    <t>WOS:000354938000021</t>
  </si>
  <si>
    <t>Cortés, CE; Jara-Moroni, P; Moreno, E; Pineda, C</t>
  </si>
  <si>
    <t>Cortes, Cristian E.; Jara-Moroni, Pedro; Moreno, Eduardo; Pineda, Cristobal</t>
  </si>
  <si>
    <t>Stochastic transit equilibrium</t>
  </si>
  <si>
    <t>TRANSPORTATION RESEARCH PART B-METHODOLOGICAL</t>
  </si>
  <si>
    <t>We present a transit equilibrium model in which boarding decisions are stochastic. The model incorporates congestion, reflected in higher waiting times at bus stops and increasing in-vehicle travel time. The stochastic behavior of passengers is introduced through a probability for passengers to choose boarding a specific bus of a certain service. The modeling approach generates a stochastic common-lines problem, in which every line has a chance to be chosen by each passenger. The formulation is a generalization of deterministic transit assignment models where passengers are assumed to travel according to shortest hyperpaths. We prove existence of equilibrium in the simplified case of parallel lines (stochastic common-lines problem) and provide a formulation for a more general network problem (stochastic transit equilibrium). The resulting waiting time and network load expressions are validated through simulation. An algorithm to solve the general stochastic transit equilibrium is proposed and applied to a sample network; the algorithm works well and generates consistent results when considering the stochastic nature of the decisions, which motivates the implementation of the methodology on a real-size network case as the next step of this research. (C) 2013 Elsevier Ltd. All rights reserved.</t>
  </si>
  <si>
    <t>Moreno, Eduardo/B-2541-2008; Cortes, Cristian/A-1491-2010; Jara-Moroni, Pedro/C-2269-2013</t>
  </si>
  <si>
    <t>Cortes, Cristian E./0000-0001-7041-4602; Pineda, Cristobal/0000-0003-4295-6943; Moreno, Eduardo/0000-0002-3404-8294; Jara-Moroni, Pedro/0000-0001-5760-388X</t>
  </si>
  <si>
    <t>0191-2615</t>
  </si>
  <si>
    <t>10.1016/j.trb.2013.02.001</t>
  </si>
  <si>
    <t>WOS:000318323000003</t>
  </si>
  <si>
    <t>Broos, K; De Borggraeve, W; Vandenbulcke, A; Vandeputte, N; De Ceunynck, K; Chandia, NP; Matsuhiro, BY; Vanhoorelbeke, K; Deckmyn, H</t>
  </si>
  <si>
    <t>Broos, K.; De Borggraeve, W.; Vandenbulcke, A.; Vandeputte, N.; De Ceunynck, K.; Chandia, N. P.; Matsuhiro, B. Y.; Vanhoorelbeke, K.; Deckmyn, H.</t>
  </si>
  <si>
    <t>The antithrombotic effect of the fucoidan of Lessonia vadosa: a strong inhibitor of the platelet glycoprotein IB receptor - von Willebrand factor interaction</t>
  </si>
  <si>
    <t>JOURNAL OF THROMBOSIS AND HAEMOSTASIS</t>
  </si>
  <si>
    <t>De Borggraeve, Wim/C-5179-2008; Deckmyn, Hans/N-8932-2019</t>
  </si>
  <si>
    <t>Deckmyn, Hans/0000-0003-3952-5501; De Borggraeve, Wim/0000-0001-7813-6192</t>
  </si>
  <si>
    <t>1538-7933</t>
  </si>
  <si>
    <t>1538-7836</t>
  </si>
  <si>
    <t>O-TU-090</t>
  </si>
  <si>
    <t>WOS:000208992800121</t>
  </si>
  <si>
    <t>Sepulveda, W; Wong, AE; Sandoval, R; Aiello, H; Otaño, L</t>
  </si>
  <si>
    <t>Sepulveda, Waldo; Wong, Amy E.; Sandoval, Rodrigo; Aiello, Horacio; Otano, Lucas</t>
  </si>
  <si>
    <t>Monoamniotic twin pregnancy discordant for lethal open cranial defect: management dilemmas</t>
  </si>
  <si>
    <t>PRENATAL DIAGNOSIS</t>
  </si>
  <si>
    <t>Objective To report the sonographic findings, prenatal courses, and management options in four cases of monoamniotic twin pregnancy complicated by a discordant, lethal open cranial vault defect. Methods Cases were collected from two Latin American fetal medicine referral centers after the sonographic detection of a monoamniotic twin pregnancy in which one fetus was structurally normal and the other had a lethal open cranial vault defect. Three abnormal fetuses had acrania-anencephaly sequence and one had a large occipital encephalocele. The diagnosis was confirmed at referral, at which time umbilical cord entanglement was also diagnosed with color Doppler ultrasound in all cases. Results Two cases were managed with selective termination, one of which required referral to a fetal surgery center abroad because this option was illegal in Chile. The other case underwent radiofrequency ablation of the fetal intra-abdominal umbilical vessels after the corresponding ethics and legal committees approved the procedure. In both cases, the non-anomalous twin was born after 35 weeks and had no perinatal complications. Expectant management was performed in the other two cases, resulting in the death of the normal twin at 25 weeks. Conclusions Monoamniotic twin pregnancy discordant for severe cranial vault defect is a serious condition with a high risk of fetal demise of the structurally normal fetus. Our experience, although limited, suggests that aggressive management with selective termination of the abnormal twin and transection of its umbilical cord in these cases may prevent the demise of the structurally normal co-twin. Copyright (C) 2011 John Wiley &amp; Sons, Ltd.</t>
  </si>
  <si>
    <t>Otaño, Lucas/ABC-6947-2020</t>
  </si>
  <si>
    <t>Otano, Lucas/0000-0003-0172-1304</t>
  </si>
  <si>
    <t>0197-3851</t>
  </si>
  <si>
    <t>10.1002/pd.2751</t>
  </si>
  <si>
    <t>WOS:000291066100011</t>
  </si>
  <si>
    <t>Cárdenas, R; Peña, R; Wheeler, P; Clare, J</t>
  </si>
  <si>
    <t>Cardenas, Roberto; Pena, Ruben; Wheeler, Patrick; Clare, Jon</t>
  </si>
  <si>
    <t>Experimental Validation of a Space-Vector-Modulation Algorithm for Four-Leg Matrix Converters</t>
  </si>
  <si>
    <t>IEEE TRANSACTIONS ON INDUSTRIAL ELECTRONICS</t>
  </si>
  <si>
    <t>Most variable-speed ac generation systems use back-to-back converters to supply electrical energy, with fixed electrical frequency and voltage, to a stand-alone load or grid. Matrix converters (MCs) are a good alternative to back-to-back converters because they have several advantages in terms of size and weight. Therefore, MCs can be advantageously used in any variable-speed generation system where high efficiency, reliability, small size, and low weight are considered important factors. Nevertheless, to interface an MC-based generation system to an unbalanced 3 phi stand-alone load, a four-leg MC is required to provide a path for the zero-sequence load current. Space-vector-modulation (SVM) algorithms for the operation of four-leg MCs have been proposed in the literature. However, these modulation methods have high computational burdens, and they are difficult to implement, even in fast DSP-based control platforms. Therefore, only simulation results have been reported in these publications. In this paper, an SVM algorithm is optimized and experimentally tested. Moreover, the harmonics produced in the input current when a four-leg MC is feeding an unbalanced or nonlinear load are also mathematically analyzed in this paper, with experimental verification being provided.</t>
  </si>
  <si>
    <t>Cardenas, Roberto/0000-0003-3853-7703; Clare, Jon/0000-0001-8243-4280; Wheeler, Patrick/0000-0003-0307-581X</t>
  </si>
  <si>
    <t>0278-0046</t>
  </si>
  <si>
    <t>1557-9948</t>
  </si>
  <si>
    <t>10.1109/TIE.2010.2068531</t>
  </si>
  <si>
    <t>WOS:000288334300021</t>
  </si>
  <si>
    <t>Faini, F; Torres, R; Rodilla, JM; Labbé, C; Delporte, C; Jaña, F</t>
  </si>
  <si>
    <t>Faini, Francesca; Torres, Rene; Rodilla, Jesus M.; Labbe, Cecilia; Delporte, Carla; Jana, Fabian</t>
  </si>
  <si>
    <t>Chemistry and Bioactivity of Haplopappus remyanus (bailahuen), a Chilean Medicinal Plant</t>
  </si>
  <si>
    <t>Chromatography on the resinous extract of aerial parts of Haplopappus remyanus led to the isolation of 18-acetoxy-labda-7,13E-dien-15-oic acid along with the monoterpene derivatives 9-hydroxy-alpha-terpineol, 9-benzoyloxy-alpha-terpineol, 7-hydroxy-9-benzoyloxy-alpha-terpineol and 9-benzoyloxy-(1-formyl)-alpha-terpineol. Structures for the new compounds are proposed on spectroscopic evidence. The presence of quercetin and five other known flavonoids identified in this study could account for the reported high antioxidant activity and the moderate topic anti-inflammatory effect on induced ear oedema. MTT assay with CCRF-CEM tumor cells showed 50% of the cytotoxic activity displayed by doxorubicin under the same conditions. Quantitative differences in chemical composition were detected in comparison with previous studies of the species that could be attributed to environmental factors.</t>
  </si>
  <si>
    <t>Rodilla, Jesus/H-8529-2019; Jana, Fabian/D-9364-2017</t>
  </si>
  <si>
    <t>Jana, Fabian/0000-0001-7786-4569; Lopez Rodilla, Jesus Miguel/0000-0001-6114-3572</t>
  </si>
  <si>
    <t>U134</t>
  </si>
  <si>
    <t>10.1590/S0103-50532011001200015</t>
  </si>
  <si>
    <t>WOS:000299000600014</t>
  </si>
  <si>
    <t>Iturriaga, L; Massa, E; Sánchez, J; Ubilla, P</t>
  </si>
  <si>
    <t>Iturriaga, Leonelo; Massa, Eugenio; Sanchez, Justino; Ubilla, Pedro</t>
  </si>
  <si>
    <t>Positive solutions of the p-Laplacian involving a superlinear nonlinearity with zeros</t>
  </si>
  <si>
    <t>Using a combination of several methods, such as variational methods. the sub and supersolutions method, comparison principles and a priori estimates. we study existence, multiplicity, and the behavior with respect to lambda of positive solutions of p-Laplace equations of the form -Delta(p)u = lambda h(x, u), where the nonlinear term has p-superlinear growth at infinity, is nonnegative, and satisfies h(x, a(x)) = 0 for a suitable positive function a. In order to manage the asymptotic behavior of the solutions we extend a result due to Redheffer and we establish a new Liouville-type theorem for the p-Laplacian operator, where the nonlinearity involved is superlinear, nonnegative, and has positive zeros. (C) 2009 Elsevier Inc. All rights reserved.</t>
  </si>
  <si>
    <t>Iturriaga, Leonelo/F-6339-2012; Sánchez, Justino/AAB-8477-2022; massa, eugenio/A-9370-2008</t>
  </si>
  <si>
    <t>Iturriaga, Leonelo/0000-0001-7621-7976; massa, eugenio/0000-0002-2284-1228; Sanchez, Justino/0000-0002-9607-5204</t>
  </si>
  <si>
    <t>10.1016/j.jde.2009.08.008</t>
  </si>
  <si>
    <t>WOS:000272692300005</t>
  </si>
  <si>
    <t>Douraghy, A; Rannou, FR; Silverman, RW; Chatziioannou, AF</t>
  </si>
  <si>
    <t>Douraghy, Ali; Rannou, Fernando R.; Silverman, Robert W.; Chatziioannou, Arion F.</t>
  </si>
  <si>
    <t>FPGA Electronics for OPET: A Dual-Modality Optical and Positron Emission Tomograph</t>
  </si>
  <si>
    <t>IEEE TRANSACTIONS ON NUCLEAR SCIENCE</t>
  </si>
  <si>
    <t>The development of a prototype dual-modality optical and PET (OPET) small animal imaging tomograph is underway in the Crump Institute for Molecular Imaging at the University of California Los Angeles. OPET consists of a single ring of six detector modules with a diameter of 3.5 cm. Each detector has an. 8 x 8 array of optically isolated 1360 scintillators which are coupled to multichannel photomultiplier tubes and open on the front end. The system operates in either PET or optical mode and reconstructs the data sets as 3D tomograms. The detectors are capable of detecting both annihilation events (511 keV) from PET tracers as well as Single Photon Events (SPEs) (2-3 eV) from bioluminescence. Detector channels are readout using a custom multiplex readout scheme and then filtered in analog circuitry using either a gamma-ray or SPE specific filter. Shaped pulses are sent to a Digital Signal Processing (DSP) unit. for event processing. The DSP unit has 100 MHz Analog-to-Digital Converters on the front-end which send digitized samples to Field Programmable Gate Arrays which are programmed via user configurable algorithms to process PET - coincidence events or bioluminescence SPEs. Information determined using DSP includes: event timing, energy determination-discrimination, position determination-lookup, and coincidence processing. Coincidence or SPE events are recorded to an external disk and minimal post processing is required prior to image reconstruction. Initial imaging results from a phantom filled with (18)FDG solution and an optical pattern placed on the front end of a detector module in the vicinity of a SPE source are shown.</t>
  </si>
  <si>
    <t>0018-9499</t>
  </si>
  <si>
    <t>1558-1578</t>
  </si>
  <si>
    <t>10.1109/TNS.2008.2002257</t>
  </si>
  <si>
    <t>WOS:000262015700014</t>
  </si>
  <si>
    <t>Sepúlveda, Y; Rangel, CM; González, E; Páez, MA; Skeldon, P; Thompson, GE</t>
  </si>
  <si>
    <t>Fedrizzi, L; Terryn, H; Simoes, A</t>
  </si>
  <si>
    <t>Sepulveda, Y.; Rangel, C. M.; Gonzalez, E.; Paez, M. A.; Skeldon, P.; Thompson, G. E.</t>
  </si>
  <si>
    <t>Sol-gel coatings for pitting corrosion resistance of AA 2024-T3 aluminium alloy</t>
  </si>
  <si>
    <t>INNOVATIVE PRE-TREATMENT TECHNIQUES TO PREVENT CORROSION OF METALLIC SURFACES</t>
  </si>
  <si>
    <t>European Federation of Corrosion Publications</t>
  </si>
  <si>
    <t>Pappas, Georgios/F-7194-2014; Paez, Maritza/M-2010-2014; Rangel, Carmen M./D-5477-2011</t>
  </si>
  <si>
    <t>Rangel, Carmen M./0000-0001-7996-8142; paez, maritza/0000-0001-5881-884X</t>
  </si>
  <si>
    <t>1354-5116</t>
  </si>
  <si>
    <t>978-1-84569-368-8</t>
  </si>
  <si>
    <t>10.1201/9781439824139</t>
  </si>
  <si>
    <t>WOS:000285745700004</t>
  </si>
  <si>
    <t>Acuña-Castillo, C; Scorza, C; Reyes-Parada, M; Cassels, BK; Huidobro-Toro, JP</t>
  </si>
  <si>
    <t>ALEPH-2, a suspected anxiolytic and putative hallucinogenic phenylisopropylamine derivative, is a 5-HT2a and 5-HT2c receptor agonist</t>
  </si>
  <si>
    <t>LIFE SCIENCES</t>
  </si>
  <si>
    <t>To assess the pharmacodynamic profile of ALEPH-2, a phenylisopropylamine derivative with alleged anxiolytic and hallucinogenic properties,Xenopus laevis oocytes were microinjected with either of the rat cRNA for the 5-HT2A or the 5-HT2C receptor. Concentration-response curves were obtained following the exposure of the oocytes to varying concentrations of either ALEPH-2 or 5-hydroxy-tryptamine (5-HT) for 10 s. ALEPH-2 is a partial agonist on the 5-HT,,receptor with a similar potency to 5-HT. In contrast, ALEPH-2 is a full 5-HT2C receptor agonist and is about 15-fold less potent than 5-HT. Pre-application of 1 muM ritanserin antagonized the responses induced by 5-HT and ALEPH-2 to the same extent; however, the 5-HT2A receptor is more sensitive to ritanserin blockade than the 5-HT2C receptor. (C) 2000 Elsevier Science Inc. All rights reserved.</t>
  </si>
  <si>
    <t>Cassels, Bruce/H-6937-2013; Acuña-Castillo, Claudio/AAI-7090-2021</t>
  </si>
  <si>
    <t>Acuna-Castillo, Claudio/0000-0003-3607-6077</t>
  </si>
  <si>
    <t>0024-3205</t>
  </si>
  <si>
    <t>NOV 17</t>
  </si>
  <si>
    <t>10.1016/S0024-3205(00)00906-1</t>
  </si>
  <si>
    <t>WOS:000165476700012</t>
  </si>
  <si>
    <t>Marco, JF; Gancedo, JR; Gracia, M; Gautier, JL; Ríos, E; Berry, FJ</t>
  </si>
  <si>
    <t>Characterization of the nickel cobaltite, NiCo2O4 prepared by several methods:: An XRD, XANES, EXAFS, and XPS study</t>
  </si>
  <si>
    <t>JOURNAL OF SOLID STATE CHEMISTRY</t>
  </si>
  <si>
    <t>The bulk structural properties of the nickel cobaltite, NiCo2O4, prepared by the thermal decomposition of carbonates, sol-gel methods, and the decomposition of hydroxides, have been examined by X-ray powder diffraction (XRD) and X-ray absorption spectroscopy (EXAFS and XANES). The results indicate, as expected, that Ni occupies the octahedral sites of the spinel structure while Co occupies both tetrahedral and octahedral sites. The XANES and EXAFS data are compatible with the existence of Ni2+ and Ni3+. The structural data indicate that Co is present as Co2+ and Co3+. The bulk cation distribution appears to be dependent on the synthesis procedure. The results of the surface examination by X-ray photoelectron spectroscopy (XPS) show that the surface composition is different from the nominal bulk composition and also varies with the preparative method. All the XP spectra indicate the presence of Ni2+ and Ni3+, their relative concentrations being noticeably dependent upon the synthesis method used. In contrast, the Co XP spectra recorded from all samples are very similar and indicate the presence of both Co2+ and Co3+. (C) 2000 Academic Press.</t>
  </si>
  <si>
    <t>Marco, JF/N-3176-2014</t>
  </si>
  <si>
    <t>Marco, JF/0000-0002-5147-1449</t>
  </si>
  <si>
    <t>0022-4596</t>
  </si>
  <si>
    <t>1095-726X</t>
  </si>
  <si>
    <t>10.1006/jssc.2000.8749</t>
  </si>
  <si>
    <t>WOS:000088600600011</t>
  </si>
  <si>
    <t>REYES, J; SALIMHANNA, M; LISSI, EA; VIDELA, LA; HOLMGREN, J</t>
  </si>
  <si>
    <t>ENHANCED URINARY SPONTANEOUS LUMINESCENCE IN DUCHENNE MUSCULAR-DYSTROPHY</t>
  </si>
  <si>
    <t>Urinary spontaneous visible luminescence is enhanced in children with Duchenne Muscular Dystrophy (DMD). This result is indicative of systemic oxidative stress in DMD patients. It is proposed that measurement of the urinary luminescence could be employed to follow the progress of the disease, as well as the response of the patients to antioxidant therapy.</t>
  </si>
  <si>
    <t>10.1016/0891-5849(94)90203-8</t>
  </si>
  <si>
    <t>WOS:A1994NL95100022</t>
  </si>
  <si>
    <t>Fu, J; Wang, K; Li, FN; Chen, DM; Zhou, YF; Lu, Q; Wang, HX</t>
  </si>
  <si>
    <t>Fu, Jiao; Wang, Kang; Li, Fengnan; Chen, Daming; Zhou, Yifei; Lu, Qin; Wang, Hongxing</t>
  </si>
  <si>
    <t>Room-temperature bonding of lithium niobate on single crystal diamond wafer</t>
  </si>
  <si>
    <t>VACUUM</t>
  </si>
  <si>
    <t>Lithium niobate (LiNbO3) is a novel inorganic material, widely applicated in optical waveguides, mobile, piezoelectric sensors and optical modulators. Whereas, the properties of LiNbO3 will be degraded dramatically at high-power due to its low thermal conductivity. This paper focuses on the room temperature direct bonding of LiNbO3 to a single crystal diamond (SCD) wafer using a nano-adhesive Mo/Au interlayers. The bonding quality was evaluated by scanning acoustic microscopy, transmission electron microscopy, and tensile testing. The results showed a void-free bonded interface at atomic level, with a tensile strength of approximately 18 MPa. This method could enhance the high-power applications of LiNbO3 devices.</t>
  </si>
  <si>
    <t>chen, daming/KIC-9013-2024</t>
  </si>
  <si>
    <t>Li, Fengnan/0000-0001-5796-6488; chen, daming/0000-0001-9008-5412</t>
  </si>
  <si>
    <t>0042-207X</t>
  </si>
  <si>
    <t>1879-2715</t>
  </si>
  <si>
    <t>10.1016/j.vacuum.2024.113985</t>
  </si>
  <si>
    <t>WOS:001398268100001</t>
  </si>
  <si>
    <t>Saavedra, E; Valdez, LA; Díaz, P; Bajales, N; Escrig, J</t>
  </si>
  <si>
    <t>Saavedra, Eduardo; Valdez, Lucy A.; Diaz, Pablo; Bajales, Noelia; Escrig, Juan</t>
  </si>
  <si>
    <t>Engineering magnetic chirality in FeGe nanocylinders: Exploring topological states for spintronic applications</t>
  </si>
  <si>
    <t>Iron germanide (FeGe) emerges as a promising magnetic alloy for spintronics and high-density data storage, owing to its distinctive magnetic properties and compatibility with existing fabrication techniques. This compatibility enables the synthesis of customized FeGe nanocylinders characterized by chirality, where their magnetization asymmetrically twists. Within specific size parameters, these nanocylinders can accommodate skyrmions-swirling magnetic structures with significant implications for information storage and processing technologies. This study investigates the response of FeGe nanocylinders to external magnetic fields, focusing on how their magnetic properties vary with dimensions (diameter and length). Specifically, we analyze the impact of length on the pseudo-static properties of short FeGe nanocylinders and examine the average topological charge and remanence states across different aspect ratios. Our investigation underscores the relationship between chirality and diverse magnetization states in four types of nanocylinders with varying aspect ratios. This comprehensive analysis elucidates the connection between nanocylinder magnetic states and the average topological charge-a critical factor in advancing ultra-low-energy data storage and logic devices.</t>
  </si>
  <si>
    <t>Bajales, Noelia/AGE-1802-2022; Saavedra, Eduardo/IQS-4264-2023; Escrig, Juan/N-4304-2015</t>
  </si>
  <si>
    <t>Saavedra Diaz, Eduardo Andres/0000-0002-2842-2526; Bajales, Noelia/0000-0002-2507-9224; Diaz, Pablo/0000-0002-8624-1707; Escrig, Juan/0000-0002-3958-8185</t>
  </si>
  <si>
    <t>10.1063/5.0227594</t>
  </si>
  <si>
    <t>WOS:001386148900004</t>
  </si>
  <si>
    <t>Arias-Esquivel, Y; Cárdenas, R; Diaz, M; Tarisciotti, L</t>
  </si>
  <si>
    <t>Arias-Esquivel, Yeiner; Cardenas, Roberto; Diaz, Matias; Tarisciotti, Luca</t>
  </si>
  <si>
    <t>Continuous Control Set Model Predictive Control of a Hybrid Modular Multilevel Converter for Wind Energy Applications</t>
  </si>
  <si>
    <t>This article discusses a continuous control set model predictive control system of a hybrid modular multilevel converter, controlling a direct drive permanent magnet synchronous generator, for variable-speed wind energy applications. The hybrid converter enables operation at a reduced dc-link voltage without the need for circulating currents, even during low-frequency operation in the ac port. To further reduce cluster currents, the capacitor voltages are allowed to oscillate inside predefined voltage limits. The control system is based on a single-step predictive control algorithm, whose outputs are the dc-link and common-mode voltages required to balance the converter energy. Furthermore, it is demonstrated in this work that the reference for the common-mode voltage, obtained using an algorithm based on the Moore-Penrose pseudoinverse matrix, is a third harmonic waveform, which can be used to balance the capacitor voltages, as well as to increase the modulation index. The proposed control system is validated using a hardware-in-the-loop platform and an experimental system consisting of a 5-kW back-to-back hybrid modular multilevel converter, controlled using dSPACE MicroLabBox platforms.</t>
  </si>
  <si>
    <t>Tarisciotti, Luca/V-6093-2019; Arias-Esquivel, Yeiner/IVU-6694-2023; Cardenas, Roberto/C-6395-2011; Diaz, Matias/R-7570-2018</t>
  </si>
  <si>
    <t>Arias-Esquivel, Yeiner/0000-0002-5340-3933; Tarisciotti, Luca/0000-0002-0860-5261; Cardenas, Roberto/0000-0003-3853-7703; Diaz, Matias/0000-0003-4489-9532</t>
  </si>
  <si>
    <t>10.1109/TIE.2024.3370982</t>
  </si>
  <si>
    <t>WOS:001189530900001</t>
  </si>
  <si>
    <t>Moreno-Serna, V; Ubilla, M; Montoille, L; Saavedra, M; Corrales, T; Munoz, L; Zapata, PA</t>
  </si>
  <si>
    <t>Moreno-Serna, Viviana; Ubilla, Matias; Montoille, Lissette; Saavedra, Marcela; Corrales, Teresa; Munoz, Lisa; Zapata, Paula A.</t>
  </si>
  <si>
    <t>Influence of Modified SiO2 Nanoparticles on the Photostability of Recycled HDPE</t>
  </si>
  <si>
    <t>JOURNAL OF POLYMERS AND THE ENVIRONMENT</t>
  </si>
  <si>
    <t>Silica nanoparticles (SiO2) were synthesized and organically modified with hexadecyltrimethoxysilane (Mod-SiO2) to enhance their interaction with polymer. Composites from recycled high-density polyethylene (HDPE) were obtained by a melt blending method in the presence of SiO2. The properties and photostability of the new materials were studied, as well as evaluating the effect of the content and modification of nanoparticles. Before irradiation, the microhardness of HDPE/SiO2 and HDPE/Mod-SiO2 increased ca. 65% after incorporating 5 wt% of SiO2 and Mod-SiO2 into HDPE, independent of the nanoparticle modification. After irradiation, the microhardness increased for HDPE and HDPE/SiO2, which could be related to the increased degree of crystallinity of the polymers after photodegradation. In addition, nanocomposites with modified nanoparticles (HDPE/Mod-SiO2) presented higher storage modulus (E ') and loss modulus (E '') than neat HDPE and HDPE/SiO2. In general, the HDPE/SiO2 and HDPE/Mod-SiO2 nanocomposites showed lower degradation, evidenced by lower values of carbonyl index (CI) and chemiluminescence emission (CL), and higher M-nu values when compared with the neat HDPE after irradiation, especially when 3 wt% of SiO2 was incorporated into HDPE. Also, the good dispersion of modified SiO2 within recycled HDPE could improve its mechanical properties and provide stability to photodegradation.</t>
  </si>
  <si>
    <t>Moreno Serna, Viviana/LZI-3166-2025</t>
  </si>
  <si>
    <t>Moreno Serna, Viviana/0000-0001-9042-1738; Zapata, Paula Andrea/0000-0003-3361-6226</t>
  </si>
  <si>
    <t>1566-2543</t>
  </si>
  <si>
    <t>1572-8919</t>
  </si>
  <si>
    <t>10.1007/s10924-023-03126-z</t>
  </si>
  <si>
    <t>WOS:001103688800001</t>
  </si>
  <si>
    <t>Bikku, T; Fritz, RA; Colón, YJ; Herrera, F</t>
  </si>
  <si>
    <t>Bikku, Thulasi; Fritz, Ruben A.; Colon, Yamil J.; Herrera, Felipe</t>
  </si>
  <si>
    <t>Machine Learning Identification of Organic Compounds Using Visible Light</t>
  </si>
  <si>
    <t>Identifying chemical compounds is essential in several areas of science and engineering. Laser-based techniques are promising for autonomous compound detection because the optical response of materials encodes enough electronic and vibrational information for remote chemical identification. This has been exploited using the fingerprint region of infrared absorption spectra, which involves a dense set of absorption peaks that are unique to individual molecules, thus facilitating chemical identification. However, optical identification using visible light has not been realized. Using decades of experimental refractive index data in the scientific literature of pure organic compounds and polymers over a broad range of frequencies from the ultraviolet to the far-infrared, we develop a machine learning classifier that can accurately identify organic species based on a single-wavelength dispersive measurement in the visible spectral region, away from absorption resonances. The optical classifier proposed here could be applied to autonomous material identification protocols and applications.</t>
  </si>
  <si>
    <t>Bikku, Thulasi/S-3327-2019; Herrera, Felipe/KHD-8453-2024</t>
  </si>
  <si>
    <t>10.1021/acs.jpca.2c07955</t>
  </si>
  <si>
    <t>MAR 2023</t>
  </si>
  <si>
    <t>WOS:000945181800001</t>
  </si>
  <si>
    <t>Mascaró-Muñoz, A; Ahumada-García, R; Zabala-Blanco, D; Azurdia-Meza, CA; Soto, I; Játiva, PP</t>
  </si>
  <si>
    <t>Orjuela-Canon, AD</t>
  </si>
  <si>
    <t>Mascaro-Munoz, Agustin; Ahumada-Garcia, Roberto; Zabala-Blanco, David; Azurdia-Meza, Cesar A.; Soto, Ismael; Jativa, Pablo Palacios</t>
  </si>
  <si>
    <t>Extreme Learning Machines as Equalizers on Optical OFDM Systems</t>
  </si>
  <si>
    <t>2023 IEEE COLOMBIAN CONFERENCE ON APPLICATIONS OF COMPUTATIONAL INTELLIGENCE, COLCACI</t>
  </si>
  <si>
    <t>IEEE Colombian Conference on Applications in Computational Intelligence</t>
  </si>
  <si>
    <t>IEEE Colombian Conference on Applications of Computational Intelligence (ColCACI)</t>
  </si>
  <si>
    <t>JUL 26-28, 2023</t>
  </si>
  <si>
    <t>Bogota, DC</t>
  </si>
  <si>
    <t>IEEE,IEEE Computat Intelligence Soc Colombian Chapter,IEEE Colombia,IEEE Colombia Sect</t>
  </si>
  <si>
    <t>Optical Fiber Radio (RoF) systems based on OFDM meet the needs of high transmission and reception speeds, as well as offering greater reliability in the system. These systems are exposed to various disturbances, such as the thermal and shot noise of the photodetector, the amplified emission of optical links, and the relative phase intensity in the optical oscillator. To partially address these drawbacks, techniques such as multicarrier modulation (OFDM), pilot-assisted equalization (PAE), and typical filters have been used. Recently, Extreme Learning Machines (ELM) have been employed instead of classic digital signal processing in RoF-OFDM systems to tackle physical limitations. ELMs are learning algorithms that have low latency rates and the ability to process large volumes of data. This article presents a review and comparison of the main research studies that have utilized ELM. It should be noted that ELM-C achieved the shortest equalization time in most cases compared to other algorithms.</t>
  </si>
  <si>
    <t>Palacios Játiva, Pablo/AAE-8235-2019; Meza, Cesar/D-6948-2014; Ahumada García, Roberto Carlos/KBB-2316-2024</t>
  </si>
  <si>
    <t>Ahumada-Garcia, Roberto/0000-0003-1107-4606; Palacios, Pablo/0000-0002-3958-503X</t>
  </si>
  <si>
    <t>2769-3651</t>
  </si>
  <si>
    <t>979-8-3503-1659-9</t>
  </si>
  <si>
    <t>10.1109/COLCACI59285.2023.10226069</t>
  </si>
  <si>
    <t>WOS:001062453300015</t>
  </si>
  <si>
    <t>Contreras, D; Piña, R; Carvallo, C; Godoy, F; Ugarte, G; Zeise, M; Rozas, C; Morales, B</t>
  </si>
  <si>
    <t>Contreras, Darwin; Pina, Ricardo; Carvallo, Claudia; Godoy, Felipe; Ugarte, Gonzalo; Zeise, Marc; Rozas, Carlos; Morales, Bernardo</t>
  </si>
  <si>
    <t>Methylphenidate Restores Behavioral and Neuroplasticity Impairments in the Prenatal Nicotine Exposure Mouse Model of ADHD: Evidence for Involvement of AMPA Receptor Subunit Composition and Synaptic Spine Morphology in the Hippocampus</t>
  </si>
  <si>
    <t>In ADHD treatment, methylphenidate (MPH) is the most frequently used medication. The present work provides evidence that MPH restored behavioral impairments and neuroplasticity due to changes in AMPAR subunit composition and distribution, as well as maturation of dendritic spines, in a prenatal nicotine exposure (PNE) ADHD mouse model. PNE animals and controls were given a single oral dose of MPH (1 mg/kg), and their behavior was tested for attention, hyperactivity, and working memory. Long-term potentiation (LTP) was induced and analyzed at the CA3/CA1 synapse in hippocampal slices taken from the same animals tested behaviorally, measuring fEPSPs and whole-cell patch-clamp EPSCs. By applying crosslinking and Western blots, we estimated the LTP effects on AMPAR subunit composition and distribution. The density and types of dendritic spines were quantified by using the Golgi staining method. MPH completely restored the behavioral impairments of PNE mice. Reduced LTP and AMPA-receptor-mediated EPSCs were also restored. EPSC amplitudes were tightly correlated with numbers of GluA1/GluA1 AMPA receptors at the cell surface. Finally, we found a lower density of dendritic spines in hippocampal pyramidal neurons in PNE mice, with a higher fraction of thin-type immature spines and a lower fraction of mushroom mature spines; the latter effect was also reversed by MPH.</t>
  </si>
  <si>
    <t>Piña, ricardo/AAU-1694-2020; Morales Castañeda, Bernardo/GPP-1642-2022</t>
  </si>
  <si>
    <t>Pina, Ricardo/0000-0002-2316-8952; Godoy, Felipe/0000-0001-9302-1166; Contreras Pacheco, Darwin/0000-0003-4220-5699; Carvallo, Claudia/0009-0002-7111-2045; Rozas, Carlos/0000-0002-6422-9600; Zeise, Marc/0000-0001-7683-4878</t>
  </si>
  <si>
    <t>10.3390/ijms23137099</t>
  </si>
  <si>
    <t>WOS:000822144900001</t>
  </si>
  <si>
    <t>Passos, BG; de Albuquerque, RDDG; Muñoz-Acevedo, A; Echeverria, J; Llaure-Mora, AM; Ganoza-Yupanqui, ML; Rocha, L</t>
  </si>
  <si>
    <t>Passos, Bruno Goulart; de Albuquerque, Ricardo Diego Duarte Galhardo; Munoz-Acevedo, Amner; Echeverria, Javier; Llaure-Mora, Alejandrina M.; Ganoza-Yupanqui, Mayar L.; Rocha, Leandro</t>
  </si>
  <si>
    <t>Essential oils from Ocotea species: Chemical variety, biological activities and geographic availability</t>
  </si>
  <si>
    <t>FITOTERAPIA</t>
  </si>
  <si>
    <t>This review describes the chemical composition and biological properties of essential oils from plants of the Ocotea genus, from different origin. This taxon belongs to the Laureaceae family, which in turn, is best known for medicinal use, often related to the essential oils. The text includes studies about Ocotea species distributed mainly on the South American continent, but also reporting species located in North America and Africa. Brazil, Colombia, Costa Rica and Ecuador are countries with highest number of species mentioned in the review. Also, the major components of each essential oil, its chemical structures, as well as the description and extent of biological activities related to essential oils are detailed in this review. Finally, the text discusses the chemical and biological aspects of these studies in a comparatively way, also informing additional data such as yield, biome of origin and pharmacobotanical location.</t>
  </si>
  <si>
    <t>Echeverría, Javier/E-9989-2011; DG Albuquerque, Ricardo Diego/HTT-3838-2023; Ganoza-Yupanqui, Mayar Luis/W-8934-2018; Rocha, Leandro/GPP-7144-2022</t>
  </si>
  <si>
    <t>Munoz-Acevedo, Amner/0000-0003-2145-1495; Ganoza-Yupanqui, Mayar Luis/0000-0002-6114-1451; Echeverria, Javier/0000-0002-1688-968X; Rocha, Leandro/0000-0003-0484-1918; Llaure-Mora, Alejandrina Maria/0000-0003-4359-0314; Albuquerque, Ricardo/0000-0002-8442-3849</t>
  </si>
  <si>
    <t>0367-326X</t>
  </si>
  <si>
    <t>1873-6971</t>
  </si>
  <si>
    <t>10.1016/j.fitote.2021.105065</t>
  </si>
  <si>
    <t>WOS:000743466900010</t>
  </si>
  <si>
    <t>Huiliñir, C; Acosta, L; Yanez, D; Montalvo, S; Esposito, G; Retamales, G; Levicán, G; Guerrero, L</t>
  </si>
  <si>
    <t>Huilinir, C.; Acosta, L.; Yanez, D.; Montalvo, S.; Esposito, G.; Retamales, G.; Levican, G.; Guerrero, L.</t>
  </si>
  <si>
    <t>Elemental sulfur-based autotrophic denitrification in stoichiometric S0/N ratio: Calibration and validation of a kinetic model</t>
  </si>
  <si>
    <t>The inclusion of S-0 hydrolysis in a kinetic model of autotrophic denitrification has been recently proposed; however the model has not been calibrated or validated yet. Thus, a new methodology was developed and applied to calibrate and validate this kinetic model for the first time. An inoculum adapted from a poultry wastewater treatment plant at stoichiometric S-0/NO3- ratio was used. The model was calibrated with batch data (initial nitrate concentrations of 50 and 6.25 mg NO3--N/L) at an S-0/N ratio = 2.29 mg S/mg N and validated with seven different batch data. The sensitivity analysis showed that the most sensitive parameters are related to S0 hydrolysis. The kinetic model was successfully calibrated with the new methodology and validated, with Theil inequality coefficient values lower than 0.21. Thus, the proposed model and methodology were proved to be well suited for the simulation of elemental sulfur-based autotrophic denitrification in batch systems.</t>
  </si>
  <si>
    <t>Esposito, Germana/ABF-6241-2020; Levican, Gloria/R-5191-2019; Huilinir, Cesar/IYS-6899-2023; Esposito, Giovanni/B-5829-2013</t>
  </si>
  <si>
    <t>Yanez Sevilla, Diana/0000-0003-2840-5731; Huilinir, Cesar/0000-0002-3487-684X; Esposito, Giovanni/0000-0001-7960-5253</t>
  </si>
  <si>
    <t>10.1016/j.biortech.2020.123229</t>
  </si>
  <si>
    <t>WOS:000528857700059</t>
  </si>
  <si>
    <t>Vergês, V; Chávez, A; González, C; Pacheco, P; Gómez, R</t>
  </si>
  <si>
    <t>Verges H, Valeska; Chavez P, Ana; Gonzalez H, Carolina; Pacheco L, Paola; Gomez V, Rocio</t>
  </si>
  <si>
    <t>Beliefs, perceptions and experiences in sexuality of Chilean adolescents with HIV acquired by vertical transmission</t>
  </si>
  <si>
    <t>REVISTA CHILENA DE INFECTOLOGIA</t>
  </si>
  <si>
    <t>Background: Since the incorporation of antiretroviral therapy (ART) HIV has become a chronic condition, improving survival and allowing children with the virus to come in better conditions to adolescence, where they are faced with a series of changes, among them, to sexual awakening. Aim: To explore the main beliefs, perceptions and experiences in sexuality of a group of adolescents with HIV infection acquired through vertical transmission. Methods: A qualitative research was carried out with exploratory and descriptive scope. Semi-structured interviews were applied to 28 adolescents, under control in hospitals in Santiago and Valparaiso, with HIV infection. The analysis was carried out according to the Grounded Theory. Results: There was a lack of sexual education and a vision that focuses on risks, such as sexually transmissible infections or teenage pregnancy. There are fears about the possibility of rejection by others and of transmitting the virus to the couple or the children and they are invaded by feelings of shame and anger. Conclusion: It is important to train health professionals who work with this group, because they are identified as a reliable source of information and education.</t>
  </si>
  <si>
    <t>chávez, ana/JSK-3565-2023</t>
  </si>
  <si>
    <t>0716-1018</t>
  </si>
  <si>
    <t>0717-6341</t>
  </si>
  <si>
    <t>WOS:000477862200009</t>
  </si>
  <si>
    <t>Marin, M; Gil-Costa, V; Inostrosa-Psijas, A; Bonacic, C</t>
  </si>
  <si>
    <t>Marin, Mauricio; Gil-Costa, Veronica; Inostrosa-Psijas, Alonso; Bonacic, Carolina</t>
  </si>
  <si>
    <t>Hybrid capacity planning methodology for web search engines</t>
  </si>
  <si>
    <t>SIMULATION MODELLING PRACTICE AND THEORY</t>
  </si>
  <si>
    <t>Capacity planning studies are suitable for supporting decision making in management and operation of Web search engines deployed on large clusters of processors. Among many possibilities, they enable ensuring that a sufficient amount of computational resources are timely provisioned to efficiently deal with the ever changing streams of user queries. In this paper, we present a simulation based methodology devised to perform capacity planning in large scale Web search engines. It combines classical operational analysis formulae with discrete event simulation to significantly reduce the number of deployments that are evaluated to find an optimal assignment for a target workload. We experimentally evaluate our proposal for demanding cases such as service nodes with temporary failures. The results show that the proposed methodology is able to produce good quality results in practical running times.</t>
  </si>
  <si>
    <t>Marin, Mauricio/GLR-7700-2022; Gil-Costa, Veronica/GPT-4785-2022; Inostrosa-Psijas, Alonso/AAC-7718-2019; Inostrosa-Psijas, Alonso/A-5827-2018</t>
  </si>
  <si>
    <t>Inostrosa-Psijas, Alonso/0000-0002-2922-0870; Gil-Costa, Veronica/0000-0003-4637-9725; Marin, Mauricio/0000-0003-0662-7149</t>
  </si>
  <si>
    <t>1569-190X</t>
  </si>
  <si>
    <t>1878-1462</t>
  </si>
  <si>
    <t>10.1016/j.simpat.2018.09.016</t>
  </si>
  <si>
    <t>WOS:000462032200009</t>
  </si>
  <si>
    <t>Córdova, FM; Durán, CA; Pincheira, M; Palominos, F; Galindo, R</t>
  </si>
  <si>
    <t>HerreraViedma, E; Shi, Y; Berg, D; Tien, J; Cabrerizo, FJ; Li, J</t>
  </si>
  <si>
    <t>Cordova, Felisa M.; Duran, Claudia A.; Pincheira, Mauricio; Palominos, Fredi; Galindo, Raquel</t>
  </si>
  <si>
    <t>Knowledge Management of Intangible Actives in Service Companies</t>
  </si>
  <si>
    <t>7TH INTERNATIONAL CONFERENCE ON INFORMATION TECHNOLOGY AND QUANTITATIVE MANAGEMENT (ITQM 2019): INFORMATION TECHNOLOGY AND QUANTITATIVE MANAGEMENT BASED ON ARTIFICIAL INTELLIGENCE</t>
  </si>
  <si>
    <t>7th International Conference on Information Technology and Quantitative Management (ITQM) - Information Technology and Quantitative Management Based on Artificial Intelligence</t>
  </si>
  <si>
    <t>NOV 03-06, 2019</t>
  </si>
  <si>
    <t>Granada, SPAIN</t>
  </si>
  <si>
    <t>Chinese Acad Sci,Univ Granada,LifeWatch ERIC,Univ Nebraska Omaha,Chinese Acad Sci, Res Ctr Fictitious Econ &amp; Data Sci,Chinese Acad Sci, Key Lab Big Data Mining &amp; Knowledge Management,Univ Chinese Acad Sci, Sch Econ &amp; Management,Chinese Acad Sci, Inst Sci &amp; Dev,SW Minzu Univ,Chinese Acad Management, Business Intelligence Soc,Tainfu Int Inst Big Data Strategy &amp; Technol,Int Acad Informat Technol &amp; Quantitat Management</t>
  </si>
  <si>
    <t>This paper proposes the design and implementation of a new Knowledge Management Model KM,MA based on Knowledge-Management-Measurement-Action, which seeks to integrate three areas usually treated separately: knowledge management, measurement of intellectual capital and strategic actions. The life insurance industry as an example of companies that are intensive in the use of intangible assets is selected for the study. For the development of this research, first, the design of the KM,MA model is realized, by means of the selection of base models and the characteristics of the life insurance industry and its environment. Then, a diagnostic method for the organization is designed considering strategic, learning and culture aspects, which allows deciding on the continuity of the implementation of the model, according to its internal and external situation with respect to the model KM,MA. An integrative model for the management activities of knowledge and measurement of intellectual capital, oriented to strategy in a business context is developed. The model is implemented by defining the activities and descriptors supporting documents for their implementation. Once this research has been carried out and the objectives according to the proposed methodology are fulfilled, the conclusions are offered, detailing the contributions in the area of strategic knowledge management. (C) 2020 The Authors. Published by Elsevier B.V.</t>
  </si>
  <si>
    <t>Duran, Claudia/S-1175-2019; Córdova, Felisa/AAK-4280-2020; Palominos, Fredi/U-4690-2019</t>
  </si>
  <si>
    <t>CORDOVA, FELISA/0000-0002-5557-8569; Duran, Claudia/0000-0002-0903-4333</t>
  </si>
  <si>
    <t>10.1016/j.procs.2019.12.028</t>
  </si>
  <si>
    <t>WOS:000514081500076</t>
  </si>
  <si>
    <t>Escobar, MJ; Reyes, C; Herzog, R; Araya, J; Otero, M; Ibaceta, C; Palacios, AG</t>
  </si>
  <si>
    <t>Escobar, Maria-Jose; Reyes, Cesar; Herzog, Ruben; Araya, Joaquin; Otero, Monica; Ibaceta, Cristobal; Palacios, Adrian G.</t>
  </si>
  <si>
    <t>Characterization of Retinal Functionality at Different Eccentricities in a Diurnal Rodent</t>
  </si>
  <si>
    <t>FRONTIERS IN CELLULAR NEUROSCIENCE</t>
  </si>
  <si>
    <t>Although the properties of the neurons of the visual system that process central and peripheral regions of the visual field have been widely researched in the visual cortex and the LGN, they have scarcely been documented for the retina. The retina is the first step in integrating optical signals, and despite considerable efforts to functionally characterize the different types of retinal ganglion cells (RGCs), a clear account of the particular functionality of cells with central vs. peripheral fields is still wanting. Here, we use electrophysiological recordings, gathered from retinas of the diurnal rodent Octodon degus, to show that RGCs with peripheral receptive fields (RF) are larger, faster, and have shorter transient responses. This translates into higher sensitivity at high temporal frequencies and a full frequency bandwidth when compared to RGCs with more central RE. We also observed that imbalances between ON and OFF cell populations are preserved with eccentricity. Finally, the high diversity of functional types of RGCs highlights the complexity of the computational strategies implemented in the early stages of visual processing, which could inspire the development of bio-inspired artificial systems.</t>
  </si>
  <si>
    <t>Escobar, Maria/O-7483-2019; Otero, Mónica/ISV-0265-2023; Palacios, Adrian/E-9846-2015</t>
  </si>
  <si>
    <t>Herzog, Ruben/0000-0002-3498-5819; Palacios, Adrian/0000-0003-1532-7527; Otero, Monica/0000-0001-7254-9244; A. Arriagada, Joaquin Alberto/0000-0002-4698-6149; Escobar, Maria Jose/0000-0003-1563-624X; Ibaceta-Gonzalez, Cristobal/0009-0009-6921-8263</t>
  </si>
  <si>
    <t>1662-5102</t>
  </si>
  <si>
    <t>DEC 3</t>
  </si>
  <si>
    <t>10.3389/fncel.2018.00444</t>
  </si>
  <si>
    <t>WOS:000452124600001</t>
  </si>
  <si>
    <t>García, M; Gili, F; Echeverría, J; Belmonte, E; Figueroa, V</t>
  </si>
  <si>
    <t>Garcia, Magdalena; Gili, Francisca; Echeverria, Javier; Belmonte, Eliana; Figueroa, Valentina</t>
  </si>
  <si>
    <t>K'OA, ANDEAN ENTITY OF A PLANT AND OTHER BODIES-AN INTERPRETATIVE POSSIBILITY FOR FUNERARY OFFERINGS IN THE ARCHAEOLOGY OF ARICA</t>
  </si>
  <si>
    <t>CHUNGARA-REVISTA DE ANTROPOLOGIA CHILENA</t>
  </si>
  <si>
    <t>We present a reflection on a set of amulets made of k'oa (Diplostephium cinereum Cuatrec.) stems found as funerary offerings in the prehispanic cemeteries of Arica. We analyze them from a transdisciplinary perspective with an emphasis on Aymara ethnography and the ontology behind their terminology and cultural use. This approach has allowed us to verify that the term k'oa refers to different bodies or elements treated independently in the literature, including a group of smoker plants from the puna; the smoke emanating when burning them; the Pan-Andean myth of the winged feline; and even Illapa and San Santiago. We postulate the existence of a connection between all of them where k'oa is proposed as a complex and polyvalent entity, with a ceremonial and sacred connotation, of great chronological depth, associated with rains, fertility and transformation. Finally, the presence on the coast of Arica of these prehispanic artifacts made with materials from the puna on the coast of Arica is interpreted as an expression of the cultural and ideological integration of the ecological and social zones that existed in the South Central Andes before the arrival of the Inka.</t>
  </si>
  <si>
    <t>Belmonte, Eliana/0000-0001-9098-9243</t>
  </si>
  <si>
    <t>0717-7356</t>
  </si>
  <si>
    <t>10.4067/S0717-73562018005001901</t>
  </si>
  <si>
    <t>WOS:000455909800003</t>
  </si>
  <si>
    <t>Canales, AT; Galvez, AT; Ubilla, MB; Villa, SC</t>
  </si>
  <si>
    <t>Torres Canales, Adrian; Torres Galvez, Alvaro; Bustamante Ubilla, Miguel; Contreras Villa, Sergio</t>
  </si>
  <si>
    <t>Critical contextual aspects of a highly complex hospital</t>
  </si>
  <si>
    <t>ACTA BIOETHICA</t>
  </si>
  <si>
    <t>This article presents the partial results of a SWOT analysis at the National Chest Institute, in order to generate information on critical issues affecting the strategic management of a public hospital of high complexity, and open an ethical reflection on such processes. For their determination were used: focus groups, interviews, proposed by the management team of the Hospital and discussions on the contextual level. The Individual and group interviews lasted about an hour and twenty minutes and were performed at hospital units. The conceptualization of the data was made from Grounded Theory. The study shows, according to the perception of the interviewees, their contextual issues such as rules, stakeholders and cultural country, whose ethical tension with the organization, affect the work of the National Chest Institute as a high complexity public hospital.</t>
  </si>
  <si>
    <t>1726-569X</t>
  </si>
  <si>
    <t>WOS:000408069000003</t>
  </si>
  <si>
    <t>Téllez-T, LA; Camelo-Prieto, D; Tordecilla-Sanders, A; Correa-Bautista, JE; Ramírez-Vélez, R; Garcia-Hermoso, A; Gonzalez-Ruiz, K</t>
  </si>
  <si>
    <t>Andres Tellez-T, Luis; Camelo-Prieto, Diana; Tordecilla-Sanders, Alejandra; Correa-Bautista, Jorge E.; Ramirez-Velez, Robinson; Garcia-Hermoso, Antonio; Gonzalez-Ruiz, Katherine</t>
  </si>
  <si>
    <t>Effect of Moderate Versus High Intensity Interval Exercise Training on Heart Rate Variability Parameters in Inactive Latin-American Adults: A Randomized Clinical Trial</t>
  </si>
  <si>
    <t>MAY 30-JUN 03, 2017</t>
  </si>
  <si>
    <t>Denver, CO</t>
  </si>
  <si>
    <t>Correa-Bautista, Jorge/N-2741-2015; González-Ruíz, Katherine/CAA-4624-2022; García-Hermoso, Antonio/ADU-2591-2022; Ramírez-Vélez, Robinson/D-5311-2016; Garcia-Hermoso, Antonio/P-1857-2017; Tordecilla-Sanders, Alejandra/O-6276-2017</t>
  </si>
  <si>
    <t>Garcia-Hermoso, Antonio/0000-0002-1397-7182; Tordecilla-Sanders, Alejandra/0000-0002-7461-8124</t>
  </si>
  <si>
    <t>10.1249/01.mss.0000519471.14596.4d</t>
  </si>
  <si>
    <t>WOS:000415216000264</t>
  </si>
  <si>
    <t>Refaa, Z; Boutaous, M; Xin, SH; Siginer, DA</t>
  </si>
  <si>
    <t>Refaa, Zakariaa; Boutaous, M'hamed; Xin, Shihe; Siginer, Dennis A.</t>
  </si>
  <si>
    <t>Thermophysical analysis and modeling of the crystallization and melting behavior of PLA with talc</t>
  </si>
  <si>
    <t>JOURNAL OF THERMAL ANALYSIS AND CALORIMETRY</t>
  </si>
  <si>
    <t>The crystallization kinetics and the melting behavior of PLA and PLA with talc are investigated by dynamic scanning calorimeter and optical microscopy. The polymorphic aspect of PLA was highlighted by analyzing the melting process throughout heating after isothermal crystallization. The melting process of PLA with 5 mass% talc (PLAT5) shows the same thermal transitions as for PLA alone. The thermodynamic melting temperature of PLA and PLAT5 is determined to be 167.7 A degrees C. The effects of the temperature and the cooling rate on the crystallization kinetics of PLA are analyzed. Finally, a simple and efficient protocol is defined to model the isothermal and the non-isothermal crystallization taking into account the polymorphism of PLA. Good agreement is found between the predictions of the proposed model and the experimental results under isothermal and non-isothermal conditions.</t>
  </si>
  <si>
    <t>REFAA, Zakariaa/AAA-1763-2020</t>
  </si>
  <si>
    <t>REFAA, Zakariaa/0000-0002-5757-5521; Boutaous, M'hamed/0000-0002-3633-0736</t>
  </si>
  <si>
    <t>1388-6150</t>
  </si>
  <si>
    <t>1588-2926</t>
  </si>
  <si>
    <t>10.1007/s10973-016-5961-1</t>
  </si>
  <si>
    <t>WOS:000399242400006</t>
  </si>
  <si>
    <t>García-Hermoso, A; Saavedra, JM; Arellano, R; Navarro, F</t>
  </si>
  <si>
    <t>Garcia-Hermoso, Antonio; Saavedra, Jose M.; Arellano, Raul; Navarro, Fernando</t>
  </si>
  <si>
    <t>Relationship between swim start wall contact time and final performance in backstroke events in international swimming championships</t>
  </si>
  <si>
    <t>The purpose of this study was to investigate the association between race-start wall contact time and final performance for each sex as a function of classification and anti-slip start-device use (with or without) in backstroke events of international competitions. Twenty-one international competitions covering a 10-year period (2006-2015) were analysed, retrospectively. The data corresponded to the competition histories of 1723 swimmers. For the contact-time data of each event (50-m, 100-m and 200-m), two-way ANOVAs (sex x classification and sex x start device use) were performed. The Bonferroni post-hoc test was used to compare means, and Pearson's simple correlation coefficient to determine possible correlations between wall contact times and final performance. The results showed the men to have shorter wall contact times than the women in the 50-m and 100-m events, and that, for the women medallists, their wall contact times were positively correlated with final performance in all events except the 200-m swim without the start device.</t>
  </si>
  <si>
    <t>García-Hermoso, Antonio/ADU-2591-2022; Saavedra, Jose/C-2490-2011; Garcia-Hermoso, Antonio/P-1857-2017; Arellano, Raul/C-3947-2009</t>
  </si>
  <si>
    <t>Garcia-Hermoso, Antonio/0000-0002-1397-7182; Arellano, Raul/0000-0002-6773-2359</t>
  </si>
  <si>
    <t>10.1080/24748668.2017.1331573</t>
  </si>
  <si>
    <t>WOS:000405313800005</t>
  </si>
  <si>
    <t>Chandra, Y; Flores, EIS; Scarpa, F; Adhikari, S</t>
  </si>
  <si>
    <t>Chandra, Y.; Flores, E. I. Saavedra; Scarpa, F.; Adhikari, S.</t>
  </si>
  <si>
    <t>Buckling of hybrid nanocomposites with embedded graphene and carbon nanotubes</t>
  </si>
  <si>
    <t>With the aid of atomistic multiscale modelling and analytical approaches, buckling strength has been determined for carbon nanofibres/epoxy composite systems. Various nanofibres configurations considered are single walled carbon nano tube (SWCNT) and single layer graphene sheet (SLGS) and SLGS/SWCNT hybrid systems. Computationally, both eigen-value and non-linear large deformation-based methods have been employed to calculate the buckling strength. The non-linear computational model generated here takes into account of complex features such as debonding between polymer and filler (delamination under compression), nonlinearity in the polymer, strain-based damage criteria for the matrix, contact between fillers and interlocking of distorted filler surfaces with polymer. The effect of bridging nanofibres with an interlinking compound on the buckling strength of nano-composites has also been presented here. Computed enhancement in buckling strength of the polymer system due to nano reinforcement is found to be in the range of experimental and molecular dynamics based results available in open literature. The findings of this work indicate that carbon based nanofillers enhance the buckling strength of host polymers through various local failure mechanisms. (C) 2016 Elsevier B.V. All rights reserved.</t>
  </si>
  <si>
    <t>Flores, Erick/I-7646-2012; Adhikari, Sondipon/A-9642-2009; Scarpa, Fabrizio/B-9465-2008</t>
  </si>
  <si>
    <t>Adhikari, Sondipon/0000-0003-4181-3457; Chandra, Yatish/0000-0002-3126-1276; Scarpa, Fabrizio/0000-0002-5470-4834</t>
  </si>
  <si>
    <t>10.1016/j.physe.2016.01.021</t>
  </si>
  <si>
    <t>WOS:000380221400060</t>
  </si>
  <si>
    <t>Vergara, PM; Soto, GE; Moreira-Arce, D; Rodewald, AD; Meneses, LO; Pérez-Hernández, CG</t>
  </si>
  <si>
    <t>Vergara, Pablo M.; Soto, Gerardo E.; Moreira-Arce, Dario; Rodewald, Amanda D.; Meneses, Luis O.; Perez-Hernandez, Christian G.</t>
  </si>
  <si>
    <t>Foraging Behaviour in Magellanic Woodpeckers Is Consistent with a Multi-Scale Assessment of Tree Quality</t>
  </si>
  <si>
    <t>Theoretical models predict that animals should make foraging decisions after assessing the quality of available habitat, but most models fail to consider the spatio-temporal scales at which animals perceive habitat availability. We tested three foraging strategies that explain how Magellanic woodpeckers (Campephilus magellanicus) assess the relative quality of trees: 1) Woodpeckers with local knowledge select trees based on the available trees in the immediate vicinity. 2) Woodpeckers lacking local knowledge select trees based on their availability at previously visited locations. 3) Woodpeckers using information from long-term memory select trees based on knowledge about trees available within the entire landscape. We observed foraging woodpeckers and used a Brownian Bridge Movement Model to identify trees available to woodpeckers along foraging routes. Woodpeckers selected trees with a later decay stage than available trees. Selection models indicated that preferences of Magellanic woodpeckers were based on clusters of trees near the most recently visited trees, thus suggesting that woodpeckers use visual cues from neighboring trees. In a second analysis, Cox's proportional hazards models showed that woodpeckers used information consolidated across broader spatial scales to adjust tree residence times. Specifically, woodpeckers spent more time at trees with larger diameters and in a more advanced stage of decay than trees available along their routes. These results suggest that Magellanic woodpeckers make foraging decisions based on the relative quality of trees that they perceive and memorize information at different spatio-temporal scales.</t>
  </si>
  <si>
    <t>Moreira-Arce, Dario/ABG-2898-2021; Soto, Gerardo/JAX-4165-2023; Vergara, Pablo/F-2519-2010; Rodewald, Amanda/I-6308-2016</t>
  </si>
  <si>
    <t>Rodewald, Amanda/0000-0002-6719-6306; Vergara, Pablo/0000-0002-0024-1678; Moreira Arce, Dario/0000-0002-1188-496X; Soto, Gerardo/0000-0002-9706-6588</t>
  </si>
  <si>
    <t>e0159096</t>
  </si>
  <si>
    <t>10.1371/journal.pone.0159096</t>
  </si>
  <si>
    <t>WOS:000379579500074</t>
  </si>
  <si>
    <t>Application of linear stability via Lyapunov exponents in high dimensional electrical power systems</t>
  </si>
  <si>
    <t>Applications of linear stability via Lyapunov exponents in high dimensional test systems are presented. The stochastic disturbance model is given by a bounded Markov diffusion process, as it appears in the description of load or generation uncertainties of power systems, for example. For such systems, the Lyapunov exponents describe necessary and sufficient conditions for almost sure asymptotic stability. The present article reports results obtained by applying the proposed methodology to four-machine ten-bus, ten-machine thirty-nine-bus, and sixteen-machine sixty-eight-bus international test systems. (C) 2014 Elsevier Ltd. All rights reserved.</t>
  </si>
  <si>
    <t>10.1016/j.ijepes.2014.09.012</t>
  </si>
  <si>
    <t>WOS:000344444200115</t>
  </si>
  <si>
    <t>Stability indices for randomly perturbed power systems</t>
  </si>
  <si>
    <t>APPLIED MATHEMATICS AND COMPUTATION</t>
  </si>
  <si>
    <t>This paper considers the stability of moments of stochastic systems, such as stability of the mean or mean-square stability. The exponential growth behavior of moments is compared to almost sure exponential growth via Lyapunov exponents. We develop a series of indices that are useful to describe system performance under random perturbations. The theory is applied to two examples, including an electric power system. (C) 2014 The Authors. Published by Elsevier Inc. All rights reserved.</t>
  </si>
  <si>
    <t>0096-3003</t>
  </si>
  <si>
    <t>1873-5649</t>
  </si>
  <si>
    <t>10.1016/j.amc.2014.01.024</t>
  </si>
  <si>
    <t>WOS:000332525000035</t>
  </si>
  <si>
    <t>Atala, E; Aspée, A; Speisky, H; Lissi, E; López-Alarcón, C</t>
  </si>
  <si>
    <t>Atala, E.; Aspee, A.; Speisky, H.; Lissi, E.; Lopez-Alarcon, C.</t>
  </si>
  <si>
    <t>Antioxidant capacity of phenolic compounds in acidic medium: A pyrogallol red-based ORAC (oxygen radical absorbance capacity) assay</t>
  </si>
  <si>
    <t>JOURNAL OF FOOD COMPOSITION AND ANALYSIS</t>
  </si>
  <si>
    <t>A novel ORAC (oxygen radical absorbance capacity) assay to assess antioxidant capacity of phenolic compounds in near-gastric conditions (pH 2.0) is presented. AAPH (2,2'-azo-bis(2-amidinopropane) dihydrochloride) was used as peroxyl radicals source, and fluorescein, pyranine and pyrogallol red were employed as target molecules. Only pyrogallol red (PGR) showed a behavior compatible with an ORAC assay under acidic conditions (ORAC-PGR(a)). Excepting Trolox and ascorbic acid, phenolic compounds protected PGR, giving kinetic profiles without the presence of an induction time. ORAC-PGR(a) values, which reflect the reactivity of the antioxidants toward peroxyl radicals, ranged from 0.2 (caffeic acid) to 29.1 (myricetin) gallic acid equivalents. The ORAC-PGR(a) method showed analytical parameters in agreement with other ORAC-like assays and was applied to wines, teas, commercial juices and herb infusions, peach juice being the sample with the highest ORAC-PGR(a) value (7.1 mM gallic acid equivalents). In addition, ascorbic acid concentration in complex mixtures can be determined from kinetic profiles. (C) 2013 Elsevier Inc. All rights reserved.</t>
  </si>
  <si>
    <t>0889-1575</t>
  </si>
  <si>
    <t>1096-0481</t>
  </si>
  <si>
    <t>10.1016/j.jfca.2013.09.007</t>
  </si>
  <si>
    <t>WOS:000328594300002</t>
  </si>
  <si>
    <t>Ponce, I; Silva, JF; Oñate, R; Rezende, MC; Paez, MA; Zagal, JH; Pavez, J; Mendizabal, F; Miranda-Rojas, S; Muñoz-Castro, A; Arratia-Pérez, R</t>
  </si>
  <si>
    <t>Ponce, Ingrid; Francisco Silva, J.; Onate, Ruben; Caroli Rezende, Marcos; Paez, Maritza A.; Zagal, Jose H.; Pavez, Jorge; Mendizabal, Fernando; Miranda-Rojas, Sebastin; Munoz-Castro, Alvaro; Arratia-Perez, Ramiro</t>
  </si>
  <si>
    <t>Enhancement of the Catalytic Activity of Fe Phthalocyanine for the Reduction of O2 Anchored to Au(111) via Conjugated Self-Assembled Mono layers of Aromatic Thiols As Compared to Cu Phthalocyanine</t>
  </si>
  <si>
    <t>We have prepared self-assembled monolayers (SAMs) of 4-aminothiophenol (4-ATP) and 1-(4-mercaptophenyl)-2,6-diphenyl-4-(4-pyridyl)pyridinium tetrafluoroborate (MDPP) functionalized with iron phthalocyanine (Fe Pc) and copper phthalocyanine (Cu Pc) adsorbed on gold (111) electrodes. The catalytic activity of these SAMs/MPc was examined for the reduction of O-2 in aqueous solutions and compared to that of bare gold and with gold coated directly with preadsorbed MPc molecules. Scanning tunneling microscopy (STM) studies confirm the functionalization of the 4-ATP by MPc. STM images reveal that iron phthalocyanine molecules are chemically anchored to 4-aminothiophenol organic monolayers, probably having an umbrella type orientation with regards to the surface. The electrocatalytic studies carried out with Au/4-ATP/FePc and Au/MDPP/FePc electrodes show that the O-2 reduction takes place by the transfer of 4-electron to give water in contrast to a 2-electron transfer process observed for the bare gold. The modified electrode obtained by simple adsorption of FePc directly to the Au(111) surface still promotes the 4-electron reduction process, but it shows a lower activity than the electrodes involving SAMs with FePc molecules positioned at the outmost portion of the self-assembled monolayers. The activity of the electrodes increases as follow: Au &lt; Au/FePc &lt; Au/4-ATP/FePc &lt; Au/MDPP/FePc with the highest activity when FePc molecules are more separated from the Au surface. In contrast, the less active CuPc shows almost the same activity in all three configurations. Theoretical calculations suggest the importance of the back-bonding into the adduct formation, showing the relevance of the supporting gold surface on the electron-transfer process mediated by anchoring ligands.</t>
  </si>
  <si>
    <t>Ponce, Ingrid/L-9679-2014; Arratia-Perez, Ramiro/AAG-2648-2019; Mendizabal, Fernando/M-3408-2014; zagal, jose/L-9648-2014; Paez, Maritza/M-2010-2014; Munoz-Castro, Alvaro/O-5207-2014; PAVEZ, JORGE/K-6904-2014</t>
  </si>
  <si>
    <t>Ponce Hormazabal, Ingrid/0000-0002-3896-9576; Rezende, Marcos/0000-0003-2040-9009; paez, maritza/0000-0001-5881-884X; Munoz-Castro, Alvaro/0000-0001-5949-9449; Mendizabal, Fernando/0000-0002-6912-8630; PAVEZ, JORGE/0000-0002-5100-6707</t>
  </si>
  <si>
    <t>10.1021/jp301093q</t>
  </si>
  <si>
    <t>WOS:000306725200017</t>
  </si>
  <si>
    <t>Faúndez, M; Rojas, M; Bohle, P; Reyes, C; Letelier, ME; Aliaga, ME; Speisky, H; Lissi, E; López-Alarcón, C</t>
  </si>
  <si>
    <t>Faundez, M.; Rojas, M.; Bohle, P.; Reyes, C.; Letelier, M. E.; Aliaga, M. E.; Speisky, H.; Lissi, E.; Lopez-Alarcon, C.</t>
  </si>
  <si>
    <t>Pyrogallol red oxidation induced by superoxide radicals: Application to evaluate redox cycling of nitro compounds</t>
  </si>
  <si>
    <t>The bleaching of the pyrogallol red (PGR) dye mediated by superoxide anion radicals (O-2(center dot-)) generated from the xanthine/xanthine oxidase system (X/XO) was studied by UV-visible spectrophotometry. The absorption band (at 540 nm) of PGR quickly decreased in the presence of X/XO, implying an efficient reaction of O-2(center dot-) with PGR. The process was unaffected by catalase (CAT), but completely abolished by superoxide dismutase (SOD). A mechanism of the reaction involving the consumption of one PGR molecule by two O-2(center dot-) to generate one molecule of H2O2 is proposed. PGR was used as a probe to estimate the rate of O-2(center dot-) generation in redox cycling reactions of a series of nitro compounds mediated by rat liver microsomes. The consumption of PGR induced by the redox cycling of nitrofurantoin was totally eliminated by the addition of SOD but unaffected by CAT. The initial rate of consumption of PGR mediated by the redox cycling of others nitro derivatives follows the order: furazolidindione &gt; nitrofurantoin &gt; nifurtimox &gt; benznidazole &gt; chloramphenicol. We concluded that PGR can be used as a probe to estimate the release of from enzymatic systems or from the redox cycling of nitro compounds. (C) 2011 Elsevier Inc. All rights reserved.</t>
  </si>
  <si>
    <t>SPEISKY, HERNAN/E-6146-2013; Lopez, Camilo/J-5770-2013; Rojas, Matias/LTF-6048-2024</t>
  </si>
  <si>
    <t>Aliaga, Margarita E./0000-0002-4143-0301; Faundez, Mario/0000-0002-5507-3579; Lopez, Camilo/0000-0002-0174-8972</t>
  </si>
  <si>
    <t>10.1016/j.ab.2011.08.048</t>
  </si>
  <si>
    <t>WOS:000296119400031</t>
  </si>
  <si>
    <t>Calfumán, K; Aguirre, MJ; Cañete-Rosales, P; Bollo, S; Llusar, R; Isaacs, M</t>
  </si>
  <si>
    <t>Calfuman, Karla; Jesus Aguirre, Maria; Canete-Rosales, Paulina; Bollo, Soledad; Llusar, Rosa; Isaacs, Mauricio</t>
  </si>
  <si>
    <t>Electrocatalytic reduction of nitrite on tetraruthenated metalloporphyrins/Nafion glassy carbon modified electrode</t>
  </si>
  <si>
    <t>This paper describes the electrochemical reduction of nitrite ion in neutral aqueous solution mediated by tetraruthenated metalloporphyrins (Co(II), Ni(II) and Zn(II)) electrostatically assembled onto a Nafion film previously adsorbed on glassy carbon or ITO electrodes. Scanning electron microscope (SEM-EDX) and transmission electron microscopy (TEM) results have shown that on ITO electrodes the macrocycles forms multiple layers with a disordered stacking orientation over the Nafion film occupying hydrophobic and hydrophilic sites in the polyelectrolyte. Atomic force microscopy (AFM) results demonstrated that the Nation film is 35 nm thick and tetraruthenated metalloporphyrins layers 190 nm thick presenting a thin but compacted morphology. Scanning electrochemical microscopy (SECM) images shows that the Co(II) tetraruthenated porphyrins/Nf/GC modified electrode is more electrochemically active than their Ni and Zn analogues. These modified electrodes are able to reduce nitrite at -660 mV showing enhanced reduction current and a decrease in the required overpotential compared to bare glassy carbon electrode. Controlled potential electrolysis experiments verify the production of ammonia, hydrazine and hydroxylamine at potentials where reduction of solvent is plausible demonstrating some selectivity toward the nitrite ion. Rotating disc electrode voltammetry shows that the factor that governs the kinetics of nitrite reduction is the charge propagation in the film. (C) 2011 Elsevier Ltd. All rights reserved.</t>
  </si>
  <si>
    <t>Isaacs, Mauricio/N-3027-2013; Sierra-Rosales, Paulina/K-4733-2019; Bollo, Soledad/B-5257-2011; Aguirre, Maria/A-3935-2013; Llusar, Rosa/J-8241-2014</t>
  </si>
  <si>
    <t>Aguirre, Maria/0000-0003-1134-4469; Llusar, Rosa/0000-0002-3539-7269; Bollo, Soledad/0000-0003-0868-4294; Isaacs Casanova, Mauricio/0000-0003-0503-0949; Sierra-Rosales, Paulina/0000-0001-7077-785X</t>
  </si>
  <si>
    <t>10.1016/j.electacta.2011.07.057</t>
  </si>
  <si>
    <t>WOS:000295601600052</t>
  </si>
  <si>
    <t>Capponi, MF; Nussbaum, M; Marshall, G; Lagos, ME</t>
  </si>
  <si>
    <t>Francisca Capponi, Maria; Nussbaum, Miguel; Marshall, Guillermo; Ester Lagos, Maria</t>
  </si>
  <si>
    <t>Pattern Discovery for the Design of Face-to-Face Computer-Supported Collaborative Learning Activities</t>
  </si>
  <si>
    <t>EDUCATIONAL TECHNOLOGY &amp; SOCIETY</t>
  </si>
  <si>
    <t>This paper presents a methodology of discovering social action patterns in collaborative learning activities for use in improving activity design, and in particular for restructuring existing designs involving face-to-face social actions to enhance their social dynamics and thus better ensure the achievement of a specified aim. An activity in this context is defined as a sequence of actions that an actor may perform to accomplish a task objective. The proposed methodology validates a design experimentally by comparing the actions it specifies with those that are observed in an actual activity. Analyzing the data collected through such observation is central to determining which actions would improve the social dynamics of the original design. The criteria for adopting a discovered pattern will depend on the activity's aims and the kind of actions observed. The proposed methodology is illustrated using data gathered during physics classes in two schools. The findings suggest that when formulating technologically mediated activities inside a classroom, designers should seek to incorporate face-to-face actions that support the dynamics of the activity and assist in achieving the social objectives of the tasks performed. The inclusion of such actions in design upgrades can also help prevent the occurrence of actions that interfere with the activity.</t>
  </si>
  <si>
    <t>Nussbaum, Miguel/D-1341-2013; Marshall, Guillermo/F-2302-2011</t>
  </si>
  <si>
    <t>1176-3647</t>
  </si>
  <si>
    <t>1436-4522</t>
  </si>
  <si>
    <t>WOS:000280549000004</t>
  </si>
  <si>
    <t>Aballay, A; Buono-Core, GE; Godoy, F; Klahn, AH; Ibañez, A; Garland, MT</t>
  </si>
  <si>
    <t>Aballay, Alvaro; Buono-Core, Gonzalo E.; Godoy, Fernando; Hugo Klahn, A.; Ibanez, Andres; Teresa Garland, Maria</t>
  </si>
  <si>
    <t>Reactions of cationic complex [(η5-C5Me5)Re(CO)3I]+ with primary amines leading to cyclic carbamoyl complexes</t>
  </si>
  <si>
    <t>JOURNAL OF ORGANOMETALLIC CHEMISTRY</t>
  </si>
  <si>
    <t>The reaction of cationic complex [((5)-C5Me5)Re(CO)(3)I](+) with aliphatic and aromatic primary amines unexpectedly produced the chelated carbamoyl species trans-((5):(1)-C5Me4CH2NRC(=O))Re(CO)(2)(I) (1, R = Me; 2, R = Pr; 3, R = Ph; 4, R = p-tolyl). The (1)-coordination of carbamoyl moiety linkages to a methylene group of tetramethylcyclopentadienyl ligand was confirmed by X-ray crystallography of complex 3. All the complexes were isolated as pure samples and fully characterized by IR, H-1 and C-13 NMR spectroscopies, mass spectrometry and elemental analysis. (C) 2009 Elsevier B.V. All rights reserved.</t>
  </si>
  <si>
    <t>Klahn, Hugo/0000-0003-3979-2693</t>
  </si>
  <si>
    <t>0022-328X</t>
  </si>
  <si>
    <t>1872-8561</t>
  </si>
  <si>
    <t>10.1016/j.jorganchem.2009.07.035</t>
  </si>
  <si>
    <t>WOS:000270369400010</t>
  </si>
  <si>
    <t>Ríos, M; Hermoso, M; Sánchez, TM; Croxatto, HB; Villalón, MJ</t>
  </si>
  <si>
    <t>Rios, Mariana; Hermoso, Marcela; Sanchez, Trinidad M.; Croxatto, Horacio B.; Villalon, Manuel J.</t>
  </si>
  <si>
    <t>Effect of oestradiol and progesterone on the instant and directional velocity of microsphere movements in the rat oviduct:: gap junctions mediate the kinetic effect of oestradiol</t>
  </si>
  <si>
    <t>REPRODUCTION FERTILITY AND DEVELOPMENT</t>
  </si>
  <si>
    <t>The oviducal transport of eggs to the uterus normally takes 72 - 96 h in the rat, but this is reduced to less than 20 h after a single injection of oestradiol ( E2). This accelerated transport is associated with an increased frequency of pendular movements in the isthmic segment of the oviduct, with increased levels of the gap junction ( GJ) component Connexin ( Cx) 43, and is antagonised by progesterone ( P). In the present study, we investigated the effect of these hormones on the instant and directional velocity of pendular movements and the role of the GJ and its Cx43 component in the kinetic response of the oviduct to E2 and P. Using microspheres as egg surrogates, microsphere instant velocity ( MIV) was measured following treatment with E2, P or P+ E2, which accelerate or delay egg transport. Microspheres were delivered into the oviduct of rats on Day 1 of pregnancy and their movement within the isthmic segment was recorded. Oestrogen increased MIV with faster movement towards the uterus. After P or P+ E2, MIV was similar to that in the control group. Two GJ uncouplers, namely 18 alpha- and 18 beta- glycyrrhetinic acid, blocked the effect of E2 on MIV. Connexin 43 mRNA levels increased over that seen in control with all treatments. In conclusion, the effects of E2 on MIV resulted in faster movements that produced accelerated egg transport towards the uterus. Gap junctions are probably involved as smooth muscle synchronisers in this kinetic effect of E2, but the opposing effects of E2 and P are not exerted at the level of Cx43 transcription.</t>
  </si>
  <si>
    <t>Hermoso, Marcela/AAF-6893-2021</t>
  </si>
  <si>
    <t>SANCHEZ DUENAS, MARIA TRINIDAD/0000-0001-5564-9155</t>
  </si>
  <si>
    <t>1031-3613</t>
  </si>
  <si>
    <t>1448-5990</t>
  </si>
  <si>
    <t>10.1071/RD06146</t>
  </si>
  <si>
    <t>WOS:000247738900005</t>
  </si>
  <si>
    <t>Belonoshko, AB; Gutierrez, G; Ahuja, R; Johansson, B</t>
  </si>
  <si>
    <t>Molecular dynamics simulation of the structure of yttria Y2O3 phases using pairwise interactions -: art. no. 184103</t>
  </si>
  <si>
    <t>We have studied the structure of yttria (Y2O3) by means of ab initio and molecular dynamics methods. The suggested simple model for the interatomic interaction is shown to produce reasonable results at moderate pressures for a wide range of temperatures. The calculated x-ray structure factor is in good agreement with experimental data obtained by the x-ray levitation technique at the temperature of 2526 K. The quality of the agreement decreases with increasing temperature. We demonstrate that it is not necessary to assume nonstoichiometry of liquid yttria, as was done in a recent publication, to obtain agreement with experiment. The structure of liquid yttria can be considered as a mixture of 4- and 6-coordinated Y atoms. We also show the possibility of a light amorphous yttria phase, which possibly can be obtained by quenching from a vapor instead of conventional amorphous yttria quenched from a liquid.</t>
  </si>
  <si>
    <t>Belonoshko, Anatoly/AAC-4815-2021; Gutierrez, Gonzalo/A-4973-2008</t>
  </si>
  <si>
    <t>Belonoshko, Anatoly/0000-0001-7531-3210; Gutierrez, Gonzalo/0000-0003-0676-0089; Ahuja, Rajeev/0000-0003-1231-9994</t>
  </si>
  <si>
    <t>10.1103/PhysRevB.64.184103</t>
  </si>
  <si>
    <t>WOS:000172239400031</t>
  </si>
  <si>
    <t>Acuña, C; Reyes, M; Canals, F; Beltrán, D; Cassels, BK; Huidobro-Toro, JP</t>
  </si>
  <si>
    <t>Pharmacodynamics of ALEPH-2, in serotonergic models:: novel properties of a modified phenylethylamine</t>
  </si>
  <si>
    <t>JOURNAL OF PHYSIOLOGY-LONDON</t>
  </si>
  <si>
    <t>0022-3751</t>
  </si>
  <si>
    <t>112P</t>
  </si>
  <si>
    <t>113P</t>
  </si>
  <si>
    <t>WOS:000085937100169</t>
  </si>
  <si>
    <t>Soto-Moyano, R; Fernandez, V; Sanhueza, M; Belmar, J; Kusch, C; Perez, H; Ruiz, S; Hernandez, A</t>
  </si>
  <si>
    <t>Effects of mild protein prenatal malnutrition and subsequent postnatal nutritional rehabilitation on noradrenaline release and neuronal density in the rat occipital cortex</t>
  </si>
  <si>
    <t>DEVELOPMENTAL BRAIN RESEARCH</t>
  </si>
  <si>
    <t>There is evidence that severe malnutrition started during gestation and continued through lactation affects adversely the morphologic development of the neocortex leading to increased neuronal cell packing density and decreased dendritic branching. Nevertheless, the effect of purely mild protein prenatal malnutrition on neocortical development remains rather unexplored. This study evaluates the effects of mild protein prenatal malnutrition (8% casein diet, calorically compensated by carbohydrates) and subsequent postnatal nutritional rehabilitation (25% casein diet) on: (i) the potassium-induced release of [H-3]-noradrenaline (NA) in occipital cortex slices obtained from 1- and 22-day-old pups; and (ii) the packing density of neurons in lateral, dorso-lateral and dorsal regions of the occipital cortex of 22-day-old pups by using the optical dissector method. The experiments were performed in rats normally fed during gestation and lactation (G(+)L(+)), malnourished during gestation but rehabilitated during lactation (G(-)L(+)) and malnourished during gestation and lactation (G(-)L(-)). At day 1 of age, no significant differences in body and brain weights were observed between prenatally well-nourished and malnourished pups. Nevertheless, at this early age, pups born from mothers submitted to the 8% casein diet had significantly higher cortical net percent NA release than pups born from mothers receiving the 25% casein diet. At weaning (22 days of age) G(-)L(+) rats had, compared to the G(+)L(+) group, similar body weight, brain weight and [H-3]-NA release values, but significantly higher neuron density scores in the lateral region of the occipital cortex. In contrast, at 22 days of age, G(-)L(-) rats exhibited, compared to G(+)L(+) animals, significant deficits in body and brain weights as well as significant increases in cortical net percent NA release together with enhanced packing density of neurons in the lateral, dorso-lateral and dorsal regions of the occipital cortex. Moreover, in G(-)L(-) animals was not found the laterodorsal histogenetic gradient of neuronal cell packing density observed in G(+)L(+) rats. Results suggest that mild prenatal malnutrition per se is able to induce deleterious effects on cortical neuronal density, in spite of nutritional rehabilitation during lactation, through a mechanism involving central NA hyperactivity during gestation. Prosecution of malnutrition after birth magnifies both neurochemical and morphometric disorders. (C) 1999 Published by Elsevier Science B.V. All rights reserved.</t>
  </si>
  <si>
    <t>0165-3806</t>
  </si>
  <si>
    <t>10.1016/S0165-3806(99)00074-7</t>
  </si>
  <si>
    <t>WOS:000081993400006</t>
  </si>
  <si>
    <t>Soto-Moyano, R; Alarcón, S; Belmar, J; Kusch, C; Pérez, H; Ruiz, S; Hernández, A</t>
  </si>
  <si>
    <t>Prenatal protein restriction alters synaptic mechanisms of callosal connections in the rat visual cortex</t>
  </si>
  <si>
    <t>INTERNATIONAL JOURNAL OF DEVELOPMENTAL NEUROSCIENCE</t>
  </si>
  <si>
    <t>Mild prenatal protein malnutrition, induced by reduction of the casein content of the maternal diet from 25 to 8%, calorically compensated by the addition of excess carbohydrates, leads to so-called hidden malnutrition in the rat. This form of malnutrition results in normal body and brain weights of pups at birth, but in significant alterations of their central nervous system neurochemical profiles. Since severe forms of prenatal malnutrition induce morpho-functional deficits on callosal interhemispheric communication together with brain neurochemical disturbances, we evaluated, in rats born from mothers submitted to an 8% casein diet, the potassium-induced release of [H-3]-noradrenaline in visual cortex slices, as well as functional properties of callosal-cortical synapses by determining cerebral cortical excitability to callosal inputs and fatigability and temporal summation of transcallosal evoked responses. Rats born from mothers submitted to a 25% casein diet served as controls. At birth prenatally malnourished pups had significantly higher cortical percent net noradrenaline release (14.79+/-1.11) than controls (9.14+/-1.26). At 45-50 days of age, rehabilitated previously malnourished rats showed, when compared to controls: (i) significantly reduced percent net noradrenaline release in the visual cortex (4.50+/-0.52 vs 11.31+/-1.14); (ii) decreased cortical excitability to callosal inputs as revealed by significantly increased chronaxie (607.2+/-82.8 mu s vs 351.3+/-47.7 mu s); (iii) enhanced fatigability of transcallosal evoked responses as revealed by significantly decreased stimulus frequency required to fatigate the responses (4.9+/-0.8 Hz vs 9.2+/-1.3 Hz); and (iv) decreased ability of callosal-cortical synapses to perform temporal summation, as revealed by significantly reduced percent response increment to double-shock (54.2+/-6.2 vs 83.0 +/- 11.0, for a 3.2-ms interstimulus time interval). These changes, resulting from mild prenatal protein restriction, are discussed in relationship to developmental processes leading to the formation of synaptic contacts between callosal axons and their appropriate cortical target during perinatal age. (C) 1998 ISDN. Published by Elsevier Science Ltd.</t>
  </si>
  <si>
    <t>0736-5748</t>
  </si>
  <si>
    <t>10.1016/S0736-5748(98)00010-0</t>
  </si>
  <si>
    <t>WOS:000075503100001</t>
  </si>
  <si>
    <t>COSTAMAGNA, J; CANALES, J; VARGAS, J; FERRAUDI, G</t>
  </si>
  <si>
    <t>ELECTROCHEMICAL REDUCTION OF CARBON-DIOXIDE BY HEXA-AZAMACROCYCLIC COMPLEXES</t>
  </si>
  <si>
    <t>2nd International Symposium on Macrocyclic Ligands for the Design of New Materials</t>
  </si>
  <si>
    <t>AUG 29-SEP 01, 1994</t>
  </si>
  <si>
    <t>Int Union Pure &amp; Appl Chem, Coordinating Comm Chem &amp; Adv Mat Programme,European Latin Amer Res Grp Natl Univ S, Argentina,Univ Surrey</t>
  </si>
  <si>
    <t>Diethenodypyrido-hexa-aza-tetradecine complexes act as a tetradentate ligand, and its complexes of Co(II), Ni(II) and Cu(II), are essentially planar. This work shows electrochemical, radiolytic and spectroscopic studies of electron transfer processes and solution equilibria. The presence of carbon dioxide notoriously change the optical properties in solution. Some pulse radiolysis studies for the reduction process of these complexes in carbon dioxide medium are also shown. In addition, electrochemical studies were performed in carbon dioxide atmosphere in order to obtain preliminary information about electrocatalytical reductions.</t>
  </si>
  <si>
    <t>1365-3075</t>
  </si>
  <si>
    <t>10.1351/pac199567071045</t>
  </si>
  <si>
    <t>WOS:A1995RK77300004</t>
  </si>
  <si>
    <t>RESTOVIC, A; POILLERAT, G; CHARTIER, P; GAUTIER, JL</t>
  </si>
  <si>
    <t>OXYGEN EVOLUTION REACTION ON COPPER MANGANITES - EFFECT OF PREPARATION METHOD AND ELECTRODE MANUFACTURING ON SUPERFICIAL SITES DENSITY</t>
  </si>
  <si>
    <t>International Symposium on Progress in Electrocatalysis: Theory and Practice</t>
  </si>
  <si>
    <t>SEP 13-15, 1993</t>
  </si>
  <si>
    <t>FERRARA, ITALY</t>
  </si>
  <si>
    <t>The importance of transition metal oxides in electrocatalysis is well known. The electrocatalytical results can be attributed to both cationic composition of the oxide and electrode manufacturing. In order to study separately the surface area effects and the intrinsic catalytic nature, Cu1+xMn2-xO4(1.4 greater than or equal to 1 + x greater than or equal to 1) spinel oxides were synthesized by two different ways: spray pyrolysis and, thermal decomposition of metallic salts. The oxides obtained were characterized by means of X-ray diffraction (XRD), electrical conductivity and pzc (pH of zero charge) measurements. Five types of electrodes were obtained from the electrocatalytic candidate material. Their electrochemically accessible surface area (easa) was determined using Zn2+ adsorption and kinetic measurements of a simple redox couple; results of which were in good agreement. The electrocatalytical activity of electrode materials was evaluated studying the oer (oxygen evolution reaction) in 1M KOH. The activity was found to be dependent of the surface area effects and (Mn3+ + Mn4+) ions stoichiometry (octahedrally co-ordinated with oxygen atoms in spinel structure). The possibility that information about the structure of the bulk oxide can be extrapolated to the surface is emphasized.</t>
  </si>
  <si>
    <t>10.1016/0013-4686(94)85138-7</t>
  </si>
  <si>
    <t>WOS:A1994PC03400017</t>
  </si>
  <si>
    <t>VALDES, JE; ARISTA, NR</t>
  </si>
  <si>
    <t>ENERGY-LOSS EFFECTS IN MULTIPLE-SCATTERING ANGULAR-DISTRIBUTIONS OF IONS IN MATTER</t>
  </si>
  <si>
    <t>The standard theory of multiple scattering of ions traversing matter assumes that the energy loss of a particle, during transit through a medium, is very small compared with its initial energy. Here we consider the effect of finite-energy losses on the multiple-scattering angular distributions, by taking into account the variation of the energy-dependent scattering cross section as a function of the depth penetrated into the material. The theory is generalized to account for a continuous slowing down of the beam particles. We study in particular, for the case of slow ions, the increased spread of the angular distributions due to the energy-loss effect.</t>
  </si>
  <si>
    <t>Valdes, Jorge/IYJ-2578-2023</t>
  </si>
  <si>
    <t>Valdes Leyton, Jorge Eduardo/0000-0001-5465-7567</t>
  </si>
  <si>
    <t>10.1103/PhysRevA.49.2690</t>
  </si>
  <si>
    <t>WOS:A1994NG48500063</t>
  </si>
  <si>
    <t>PORTER, LC; FACKLER, JP; COSTAMAGNA, J; SCHMIDT, R</t>
  </si>
  <si>
    <t>STRUCTURE OF BIS(THIOUREA)GOLD(I) BROMIDE, [AU(SC(NH2)2)2]BR</t>
  </si>
  <si>
    <t>[Au(CH4N2S)2]Br, M(r) = 429.20, monoclinic, C2/c, a = 8.703 (2), b = 16.025 (8), c = 6.799 (2) angstrom, beta = 100. 83 (2)-degrees, V = 931.3 (6) angstrom3, Z = 4, D(x) = 3.060 Mg m-3, lambda(Mo Kalpha) = 0.71073 angstrom, mu = 20.394 mm -1, F(000) = 776, T = 298 K, R = 0.0632 and wR = 0.0929, obtained for 48 variable parameters and 609 averaged reflections with F &gt; 0sigma(F). The asymmetric unit consists of one half of a centrosymmetric bis(thiourea)gold(I) molecule with thiourea ligands coordinating in a monodentate fashion through the S atom [Au(l)-S(1) = 2.291 (4) angstrom]. The thiourea groups are essentially planar but are twisted by an angle of 21.0-degrees about the S-C atoms. The Au atoms in adjacent molecules are separated by a distance of 3.400 angstrom and the Br- counterions are located in the cavities formed by the terminal amine groups of the thiourea ligands.</t>
  </si>
  <si>
    <t>10.1107/S0108270192001860</t>
  </si>
  <si>
    <t>WOS:A1992JW26100005</t>
  </si>
  <si>
    <t>Marques, A; Ferrari, G; Gouveia, ER; Nascimento, MM; Peralta, M</t>
  </si>
  <si>
    <t>Marques, Adilson; Ferrari, Gerson; Gouveia, Elvio R.; Nascimento, Marcelo Maio; Peralta, Miguel</t>
  </si>
  <si>
    <t>Healthy Lifestyle And All-cause Mortality Risk In Adults And Older Adults</t>
  </si>
  <si>
    <t>MEDICINE &amp; SCIENCE IN SPORTS &amp; EXERCISE</t>
  </si>
  <si>
    <t>MAY 28-31, 2024</t>
  </si>
  <si>
    <t>Gouveia, Elvio/F-9156-2015; Marques, Adilson/K-4529-2014; Ferrari, Gerson/HHM-6173-2022; Peralta, Miguel/H-1666-2017</t>
  </si>
  <si>
    <t>Peralta, Miguel/0000-0001-6072-6012</t>
  </si>
  <si>
    <t>WOS:001315123200229</t>
  </si>
  <si>
    <t>Rahman, S; Palencia, JLD; Reyes, EG</t>
  </si>
  <si>
    <t>Rahman, S.; Palencia, Jose Luis Diaz; Reyes, Enrique G.</t>
  </si>
  <si>
    <t>Symmetry and asymptotic solutions for a magnetohydrodynamics Darcy-Forchheimer flow with a p-Laplacian operator</t>
  </si>
  <si>
    <t>PHYSICS OF FLUIDS</t>
  </si>
  <si>
    <t>Fluid flows under a p-Laplacian operator formulation have been considered recently in connection with the modeling of non-Newtonian fluid processes. To a certain extent, the main reason behind the interest in p-Laplacian operators is the possibility of determining experimental values for the constant p appearing in them. The goal of the present study is to introduce the analysis of solutions of a one-dimensional porous media flow arising in magnetohydrodynamics with generalized initial data under a Lebesgue integrability condition. We present a weak formulation of this problem, and we consider boundedness and uniqueness properties of solutions and also its asymptotic relation with the standard parabolic p-Laplacian equation. Then, we explore solutions arising from classical symmetries (including an explicit kink solution in the p = 3 case) along with asymptotic stationary and non-stationary solutions. The search for stationary solutions is based on a Hamiltonian approach. Finally, non-stationary solutions are obtained by using an exponential scaling resulting in a Hamilton-Jacobi type of equation.</t>
  </si>
  <si>
    <t>Reyes, Enrique/AAD-1308-2019; Díaz, José/ACC-2892-2022</t>
  </si>
  <si>
    <t>Reyes, Enrique G./0000-0001-8460-444X; Diaz Palencia, Jose Luis/0000-0002-4677-0970</t>
  </si>
  <si>
    <t>1070-6631</t>
  </si>
  <si>
    <t>1089-7666</t>
  </si>
  <si>
    <t>10.1063/5.0180570</t>
  </si>
  <si>
    <t>WOS:001153963000005</t>
  </si>
  <si>
    <t>Muñoz-Reyes, JA; Torrico-Bazoberry, D; Polo, P; Figueroa, O; Guzmán-Lavín, E; Fajardo, G; Valenzuela, N; Belinchón, M; Rodríguez-Sickert, C; Pita, M</t>
  </si>
  <si>
    <t>Antonio Munoz-Reyes, Jose; Torrico-Bazoberry, Daniel; Polo, Pablo; Figueroa, Oriana; Guzman-Lavin, Eugenio; Fajardo, Gabriela; Valenzuela, Nohelia; Belinchon, Montserrat; Rodriguez-Sickert, Carlos; Pita, Miguel</t>
  </si>
  <si>
    <t>Evidence of the active participation of women in the intergroup conflict based on the use of aggression and cooperation</t>
  </si>
  <si>
    <t>Intergroup conflict has been a persistent aspect of human societies since the emergence of our species. Various researchers have proposed that competition between groups has acted as a key selective force throughout human evolutionary history. Such intergroup competition for limited resources exacerbated the expression of intergroup aggression and intragroup cooperation. Furthermore, it would have a sexual dimorphism, with men demonstrating increased sensitivity to conflict threats-in order to maximize reproductive opportunities-, while women generally reject from active engagement in intergroup conflict. In the present study, we conducted behavioral experiments under controlled laboratory conditions to measure cooperation and aggression from using virtual games, specifically the Public Good Games and the Point Subtraction Aggression Paradigm, in a sample of 541 participants. We created control and experimental intergroup competition scenarios, where aggression and cooperation were necessary to increase monetary rewards. Our results shows that men modulate aggression and cooperation in the presence of intergroup conflict. In addition, our data also reveals that women cooperate more than men and display heightened levels of cooperation and aggression when confronted with intergroup conflict. These findings prompt a reevaluation of current functional theoretical models concerning the role of women in intergroup conflict and suggest that the dynamics of human aggression and cooperation may be more nuanced than previously believed.</t>
  </si>
  <si>
    <t>Pita, Miguel/AAA-6505-2019; Fajardo, Gabriela/IRZ-8714-2023; Figueroa, Oriana/IRZ-9301-2023; Sickert, Carlos/J-5538-2014; Guzman L, Eugenio/ISA-7550-2023; Polo, Pablo/E-6878-2016; Munoz Reyes, Jose Antonio/D-2822-2012</t>
  </si>
  <si>
    <t>Fajardo, Gabriela/0000-0001-6436-6720; Figueroa, Oriana/0000-0003-0571-9826; Valenzuela-Martinez, Nohelia T./0000-0002-7091-6992; Guzman L, Eugenio Jose/0000-0002-4364-0011; Munoz Reyes, Jose Antonio/0000-0001-6275-8456</t>
  </si>
  <si>
    <t>OCT 18</t>
  </si>
  <si>
    <t>10.1038/s41598-023-45012-7</t>
  </si>
  <si>
    <t>WOS:001094254900083</t>
  </si>
  <si>
    <t>My Home Quarantine on an App: A Qualitative Visual Analysis of Changes in Family Routines During the COVID-19 Pandemic in Chile (vol 46, pg 221, 2023)</t>
  </si>
  <si>
    <t>10.1007/s11133-023-09538-6</t>
  </si>
  <si>
    <t>WOS:001008633100001</t>
  </si>
  <si>
    <t>Herman, P; Jara, P; Charrier, R</t>
  </si>
  <si>
    <t>Herman, Pablo; Jara, Pamela; Charrier, Reynaldo</t>
  </si>
  <si>
    <t>Tectonic inversion of the Abanico basin eastern border and the structuring of the Aconcagua thrust-fold belt, southern Central Andes at 32°-33°S</t>
  </si>
  <si>
    <t>JOURNAL OF SOUTH AMERICAN EARTH SCIENCES</t>
  </si>
  <si>
    <t>Previous geologic studies and structural interpretations of the Meso-Cenozoic units in the Andean Principal Cordillera, between 32 degrees - 33 degrees S, have faced many difficulties due to the strong variability in volcanic deposits' thickness, the structural complexity that affects the involved units, and the scarcity of geochronological data that prevents defining a clear boundary between them. Structural-lithologic work carried out between 32 degrees 45' -33 degrees S allowed us to recognize and define 4 different lithologic units along the Aconcagua-Juncal river valleys: one marine sedimentary unit assigned to the Cretaceous Mendoza Group and Late Jurassic exposures from the Rio Damas/Tordillo Formation, and 3 volcano-sedimentary units mainly associated with Cenozoic volcanism represented by the Farellones, Abanico, and Cristo Redentor formations. The stratigraphic-structural model proposed in this work also allows for defining 3 structural domains throughout the study area: a western domain close to the Pocuro Fault Zone, a central domain, and an eastern domain close to the Alto del Juncal Fault Zone, next to the Chile-Argentina international border. The western and central domains show folds with larger wavelengths than the eastern domain, while the eastern domain shows intense deformation related to the emplacement and evolution of the Aconcagua fold and thrust belt. This deformation results from tectonic events which mainly occurred between the Upper Oligocene and Miocene. In the study region, these events caused a minimum shortening of similar to 30 km in the Principal Cordillera. Based on the collected information, the Alto del Juncal Fault is also interpreted as the eastern Abanico basin bounding fault in which the Aconcagua fold-thrust belt is rooted.</t>
  </si>
  <si>
    <t>Jara, Pamela/0000-0002-9717-9283</t>
  </si>
  <si>
    <t>0895-9811</t>
  </si>
  <si>
    <t>1873-0647</t>
  </si>
  <si>
    <t>10.1016/j.jsames.2023.104425</t>
  </si>
  <si>
    <t>WOS:001011562600001</t>
  </si>
  <si>
    <t>Ríos-Silva, M; Pérez, M; Luraschi, R; Vargas, E; Silva-Andrade, C; Valdés, J; Sandoval, JM; Vásquez, C; Arenas, F</t>
  </si>
  <si>
    <t>Rios-Silva, Mirtha; Perez, Myriam; Luraschi, Roberto; Vargas, Esteban; Silva-Andrade, Claudia; Valdes, Jorge; Sandoval, Juan Marcelo; Vasquez, Claudio; Arenas, Felipe</t>
  </si>
  <si>
    <t>Anaerobiosis favors biosynthesis of single and multi-element nanostructures</t>
  </si>
  <si>
    <t>Herein we report the use of an environmental multimetal(loid)-resistant strain, MF05, to biosynthesize single- or multi-element nanostructures under anaerobic conditions. Inorganic nanostructure synthesis typically requires methodologies and conditions that are harsh and environmentally hazardous. Thus, green/eco-friendly procedures are desirable, where the use of microorganisms and their extracts as bionanofactories is a reliable strategy. First, MF05 was entirely sequenced and identified as an Escherichia coli-related strain with some genetic differences from the traditional BW25113. Secondly, we compared the CdS nanostructure biosynthesis by whole-cell in a design defined minimal culture medium containing sulfite as the only sulfur source to obtain sulfide reduction from a low-cost chalcogen reactant. Under anaerobic conditions, this process was greatly favored, and irregular CdS (ex. 370 nm; em. 520-530 nm) was obtained. When other chalcogenites were tested (selenite and tellurite), only spherical Se-0 and elongated Te-0 nanostructures were observed by TEM and analyzed by SEM-EDX. In addition, enzymatic-mediated chalcogenite (sulfite, selenite, and tellurite) reduction was assessed by using MF05 crude extracts in anaerobiosis; similar results for nanostructures were obtained; however Se-0 and Te-0 formation were more regular in shape and cleaner (with less background). Finally, the in vitro nanostructure biosynthesis was assessed with salts of Ag, Au, Cd, and Li alone or in combination with chalcogenites. Several single or binary nanostructures were detected. Our results showed that MF05 is a versatile anaerobic bionanofactory for different types of inorganic NS. synthesis.</t>
  </si>
  <si>
    <t>Luraschi, Roberto/AAI-7965-2021</t>
  </si>
  <si>
    <t>Luraschi, Roberto/0000-0001-5611-4320; Sandoval Calquin, Juan Marcelo/0000-0002-3043-231X; Arenas, Felipe/0000-0001-5604-5919; Perez Gonzalez, Myriam/0000-0002-3918-5749</t>
  </si>
  <si>
    <t>e0273392</t>
  </si>
  <si>
    <t>10.1371/journal.pone.0273392</t>
  </si>
  <si>
    <t>WOS:000908422200021</t>
  </si>
  <si>
    <t>Alaniz, AJ; Astudillo-Hinojosa, K; Soto, AF; Vergara, PM; Carvajal, MA; Moreira-Arce, D</t>
  </si>
  <si>
    <t>Alaniz, Alberto J.; Astudillo-Hinojosa, Karina; Soto, Ana Francisca; Vergara, Pablo M.; Carvajal, Mario A.; Moreira-Arce, Dario</t>
  </si>
  <si>
    <t>Rapid behavioral recovery based on environmental enrichment of a white-throated toucan (Ramphastos tucanus: Ramphastidae) affected by collision trauma</t>
  </si>
  <si>
    <t>JOURNAL OF VETERINARY BEHAVIOR-CLINICAL APPLICATIONS AND RESEARCH</t>
  </si>
  <si>
    <t>Captive animals that have experienced traumatic events require a high range of care prior to reintro-ducing them into their natural habitat; and this care should ensure their welfare in captivity. This re-port shows the ethological evolution of beneficial effects attributed to environmental enrichment. Specif-ically, the report focuses on the recovery of a white-throated toucan (Ramphastos tucanus: Ramphastidae) affected by a collision trauma resulting in a skull fracture, which received treatment and care in the Taricaya wildlife rescue center (Madre Selva, Peru). An environmental enrichment protocol was imple-mented for 30 days, recording all activities during this period. We performed generalized linear models to identify significant trends in the observed activities. We showed that inactive time and self-mutilation significantly decreased, while walking, eating, and washing activities increased during the study period. Temporal improvement in toucan welfare may be associated with higher energy (walking), better nutri-tion (eating), and decreased stress, as shown by reduced self-mutilation. Our report provides evidence on the favorable outcome of environmental enrichment in a toucan, raising its importance as a management tool for veterinary practitioners in wildlife rescue centers. (c) 2022 Elsevier Inc. All rights reserved.</t>
  </si>
  <si>
    <t>Carvajal, Mario/GYU-2659-2022; Moreira-Arce, Dario/ABG-2898-2021; Alaniz, Alberto/J-3104-2019; Vergara, Pablo/F-2519-2010</t>
  </si>
  <si>
    <t>1558-7878</t>
  </si>
  <si>
    <t>1878-7517</t>
  </si>
  <si>
    <t>10.1016/j.jveb.2022.07.014</t>
  </si>
  <si>
    <t>SEP 2022</t>
  </si>
  <si>
    <t>WOS:000880111700001</t>
  </si>
  <si>
    <t>Pinheiro, AC; Quintiliano-Scarpelli, D; Flores, JA; Alvarez, C; Suárez-Reyes, M; Palacios, JL; Quevedo, TP; de Oliveira, MRM</t>
  </si>
  <si>
    <t>Pinheiro, Anna Christina; Quintiliano-Scarpelli, Daiana; Flores, Jacqueline Araneda; Alvarez, Claudio; Suarez-Reyes, Monica; Palacios, Jose Luis; Quevedo, Tito Pizarro; de Oliveira, Maria Rita Marques</t>
  </si>
  <si>
    <t>Food Availability in Different Food Environments Surrounding Schools in a Vulnerable Urban Area of Santiago, Chile: Exploring Socioeconomic Determinants</t>
  </si>
  <si>
    <t>The analysis of the food environment is used to identify areas with gaps in the availability of healthy foods and can be used as a public policy assessment tool. In recent decades, Chile has implemented several strategies and regulations to improve food environments, with encouraging results. Little is known about the scope of these measures in socially vulnerable environments. This study is part of a project that seeks to build an integrated intervention model for healthy school environments in a vulnerable area of Santiago, Chile. The objective of this study was to evaluate the availability of healthy and unhealthy foods around schools and the relationship between it and socioeconomic determinants of the school community in the Chilean context. A cross-sectional study to measure the food environment of informal markets (street food), formal markets (stores), and institutions (schools) was conducted in and around 12 schools (100 m surrounding schools) in a vulnerable urban area of Santiago, Chile. A lack of healthy foods was observed, which was related to some socio-economic determinants and the multidimensional poverty was the most relevant. The diagnosis of food environments around schools can represent an important target for governments to implement policies focused at improving the availability of healthy foods.</t>
  </si>
  <si>
    <t>FERNANDES, ANNA/AAS-5661-2021; Suárez- Reyes, Mónica/GYE-3153-2022; Pizarro, Tito/AAY-2260-2021; Dourado, Daiana/AAO-6746-2021; de Oliveira, Maria/AAV-4670-2021; Araneda, Jacqueline/GVS-8452-2022; Alvarez, Claudio Andres/GNM-7745-2022</t>
  </si>
  <si>
    <t>Suarez-Reyes, Monica/0000-0002-5663-4673; QUINTILIANO SCARPELLI DOURADO, DAIANA/0000-0003-4317-4601; Palacios, Jose L./0000-0003-2693-1121; PINHEIRO FERNANDES, ANNA CHRISTINA/0000-0002-5188-2619; pizarro, tito/0000-0002-2514-0072</t>
  </si>
  <si>
    <t>10.3390/foods11070901</t>
  </si>
  <si>
    <t>WOS:000782081000001</t>
  </si>
  <si>
    <t>Pizarro, GD; Alavia, W; González, K; Díaz, H; Marambio, OG; Martin-Trasanco, R; Sánchez, J; Oyarzún, DP; Neira-Carrillo, A</t>
  </si>
  <si>
    <t>Pizarro, Guadalupe del C.; Alavia, Wilson; Gonzalez, Karen; Diaz, Hector; Marambio, Oscar G.; Martin-Trasanco, Rudy; Sanchez, Julio; Oyarzun, Diego P.; Neira-Carrillo, Andronico</t>
  </si>
  <si>
    <t>Design and Study of a Photo-Switchable Polymeric System in the Presence of ZnS Nanoparticles under the Influence of UV Light Irradiation</t>
  </si>
  <si>
    <t>Recent progress in the field of photosensitive materials has prompted a need to develop efficient methods to synthesize materials with basic intermolecular architectural designs and novel properties. Accordingly, in this work we design and study a photoactive polymer as a photo-switchable polymeric system in the presence and absence of ZnS nanoparticles (average size &lt; 10 nm) at 5 wt.%. The influence of UV light irradiation on its properties were also studied. The photoactive block copolymer was obtained from styrene (S) and methyl methacrylate (MMA) as monomers and 1-(2-hydroxyethyl)-3,3-dimethylindoline-6-nitrobenzopyran (SP) was grafted to the block copolymer backbone as a photochromic agent. Furthermore, the incorporation of ZnS (NPs) as photo-optical switch component into the system enhances the purple colored photo-emission, with the open form of the spiropyran derivative (merocyanine, MC). The ZnS stabilize the isomeric equilibrium in the MC interconversion of the photochromic agent. The photo-switchable properties of the PS-b-PMMA-SP in the presence of ZnS (NPs) were examined using UV-VIS spectroscopy, Photoluminescence (PL) spectroscopy, optical fluorescence and scanning electronic microscopy (SEM-EDX.). The observed changes in the absorbance, fluorescence and morphology of the system were associated to the reversible interconversion of the two states of the photochromic agent which regulates the radiative deactivation of the luminescent ZnS NPs component. After UV irradiation the photoactive polymer becomes purple in color. Therefore, these basic studies can lead to the development of innovative functional and nanostructured materials with photosensitive character as photosensitive molecular switches.</t>
  </si>
  <si>
    <t>Alavia, Wilson/AGY-3117-2022; Martin-Trasancos, Rudy/L-2791-2017; PIZARRO, GUADALUPE/V-3353-2017; Sanchez, Julio/AEO-4360-2022; Oyarzun, Diego/MTF-4062-2025</t>
  </si>
  <si>
    <t>Alavia, Wilson/0000-0001-5674-8489; Neira-Carrillo, Andronico/0000-0003-0060-7518; Sanchez, Julio/0000-0003-4245-0096</t>
  </si>
  <si>
    <t>10.3390/polym14050945</t>
  </si>
  <si>
    <t>WOS:000775321900001</t>
  </si>
  <si>
    <t>Alvarez, R; Giménez, B; Mackie, A; Torcello-Gómez, A; Quintriqueo, A; Oyarzun-Ampuero, F; Robert, P</t>
  </si>
  <si>
    <t>Alvarez, Rudy; Gimenez, Begona; Mackie, Alan; Torcello-Gomez, Amelia; Quintriqueo, Alejandra; Oyarzun-Ampuero, Felipe; Robert, Paz</t>
  </si>
  <si>
    <t>Influence of the particle size of encapsulated chia oil on the oil release and bioaccessibility during in vitro gastrointestinal digestion</t>
  </si>
  <si>
    <t>FOOD &amp; FUNCTION</t>
  </si>
  <si>
    <t>Among vegetable oils, chia oil has been gaining interest in recent years due to its high linolenic acid content (ALA, 18:3 omega 3). The aim of this work was to study the influence of the particle size of encapsulated purified chia oil (PCO) on the encapsulation efficiency and PCO release during in vitro digestion. PCO micro- and nano-sized particles with sodium alginate (SA) as an encapsulating agent (ME-PCO-SA and NE-PCO-SA) were designed by micro and nano spray-drying, respectively, applying a central composite plus star point experimental design. NE-PCO-SA showed a smaller particle size and higher encapsulation efficiency of PCO than ME-PCO-SA (0.16 mu m vs. 3.5 mu m; 98.1% vs. 92.0%). Emulsions (NE-PCO and ME-PCO) and particles (NE-PCO-SA and ME-PCO-SA) were subjected to in vitro static gastrointestinal digestion. ME-PCO and NE-PCO showed sustained oil release throughout the three phases of digestion (oral, gastric and intestinal phases), whereas the PCO release from ME-PCO-SA and NE-PCO-SA occurred mainly in the intestinal phase, showing the suitability of sodium alginate as an intestine-site release polymer. Nano-sized particles showed a significantly higher PCO release after in vitro digestion (NE-PCO-SA, 78.4%) than micro-sized particles (ME-PCO-SA, 69.8%), and also higher bioaccessibility of individual free fatty acids, such as C18:3 omega-3 (NE-PCO-SA, 23.6%; ME-PCO-SA, 7.9%), due to their greater surface area. However, when ME-PCO-SA and NE-PCO-SA were incorporated into yogurt, the PCO release from both particle systems after the digestion of the matrix was similar (NE-PCO-SA, 58.8%; ME-PCO-SA-Y, 61.8%), possibly because the calcium ions contained in the yogurt induced partial ionic gelation of SA, impairing the PCO release. Sodium alginate spray-dried micro and nanoparticles showed great potential for vehiculation of omega-3 rich oils in the design of functional foods.</t>
  </si>
  <si>
    <t>Robert, Paz/G-8198-2014; Mackie, Alan/N-7780-2018; Quintriqueo, Alejandra/KHY-0240-2024; Mackie, Alan/B-3753-2015</t>
  </si>
  <si>
    <t>Gimenez, Begona/0000-0002-9553-6291; Alvarez Vega, Rudy Carolina/0000-0002-7490-6409; Robert, Paz/0000-0002-3276-2451; Oyarzun-Ampuero, Felipe/0000-0002-4951-0701; Quintriqueo-Cid, Alejandra/0000-0002-2225-1906; Mackie, Alan/0000-0002-5681-0593</t>
  </si>
  <si>
    <t>2042-6496</t>
  </si>
  <si>
    <t>2042-650X</t>
  </si>
  <si>
    <t>10.1039/d1fo03688b</t>
  </si>
  <si>
    <t>WOS:000744899300001</t>
  </si>
  <si>
    <t>Lu, Q; Li, XY; Chen, HF; Jia, YF; Liu, TF; Liu, XT; Wang, SQ; Fu, J; Chen, DM; Zhang, JC; Hao, Y</t>
  </si>
  <si>
    <t>Lu, Qin; Li, Xiaoyang; Chen, Haifeng; Jia, Yifan; Liu, Tengfei; Liu, Xiangtai; Wang, Shaoqing; Fu, Jiao; Chen, Daming; Zhang, Jincheng; Hao, Yue</t>
  </si>
  <si>
    <t>Study on Black Phosphorus Characteristics Using a Two-Step Thinning Method</t>
  </si>
  <si>
    <t>A mild two-step method of black phosphorus (BP) flake thinning was demonstrated in this article. Slight ultraviolet-ozone (UVO) radiation followed by an argon plasma treatment was employed to oxidize mechanically exfoliated BP flakes and remove the surface remains of previous ozone treatment. The annealing process introduced aims to reduce impurities and defects. Low damage and efficient electronic devices were fabricated in terms of controlling the thickness of BP flakes through this method. These results lead to an important step toward the fabrication of high-performance devices based on two-dimensioned materials.</t>
  </si>
  <si>
    <t>陈, 海丰/IUQ-4329-2023; Li, Xiaoyang/AAE-5323-2020; 刘, 祥泰/HIR-8380-2022; Jia, Yifan/IZE-4978-2023; chen, daming/KIC-9013-2024; Zhang, Zhao/B-5136-2010</t>
  </si>
  <si>
    <t>chen, daming/0000-0001-9008-5412; Jia, Yifan/0000-0003-2417-5203</t>
  </si>
  <si>
    <t>10.3390/ma15020615</t>
  </si>
  <si>
    <t>WOS:000747037600001</t>
  </si>
  <si>
    <t>Gutiérrez, CC; González-Bustamante, B; Calderón-Orellana, M; Traverso, DB</t>
  </si>
  <si>
    <t>Cuevas Gutierrez, Carolina; Gonzalez-Bustamante, Bastian; Calderon-Orellana, Magdalena; Barria Traverso, Diego</t>
  </si>
  <si>
    <t>Motivation for Public Service in Chilean Civil Servants</t>
  </si>
  <si>
    <t>REVISTA DEL CLAD REFORMA Y DEMOCRACIA</t>
  </si>
  <si>
    <t>In the last thirty years the debate in the field of public administration in Latin America has focused on how to introduce reforms in the public sector inspired by the New Public Management. Indeed, most public administrations have focused almost exclusively on introducing such type of reforms, ignoring a number of alternatives that have emerged in the academic debate. One of these alternatives is the public service motivation approach that analyzes how certain intrinsic factors, directly associated with the notion of public service, motivate the behavior of civil servants. This article aims to foster a Latin American debate on how to design and implement human resource policies based on the theory of public service motivation. Based on a non-probabilistic sample with 172 responses, this work identifies a number of public service motivation factors among Chilean civil servants. The findings show that attraction to public policies, commitment to the general interest, and compassion are as powerful factors as love for money. At the same time, the results show that self-sacrifice does not motivate Chilean civil servants. Based on these findings, a discussion on public service motivation as a useful approach for redesigning human resources policies is presented.</t>
  </si>
  <si>
    <t>González-Bustamante, Bastián/HLQ-1514-2023; Calderon-Orellana, Magdalena/GRF-2302-2022</t>
  </si>
  <si>
    <t>Calderon-Orellana, Magdalena/0000-0003-0672-5873; Barria Traverso, Diego/0000-0001-8906-9220</t>
  </si>
  <si>
    <t>1315-2378</t>
  </si>
  <si>
    <t>WOS:000849857500004</t>
  </si>
  <si>
    <t>Piña, S; Candia-Onfray, C; Hassan, N; Jara-Ulloa, P; Contreras, D; Salazar, R</t>
  </si>
  <si>
    <t>Pina, Samuel; Candia-Onfray, Christian; Hassan, Natalia; Jara-Ulloa, Paola; Contreras, David; Salazar, Ricardo</t>
  </si>
  <si>
    <t>Glassy Carbon Electrode Modified with C/Au Nanostructured Materials for Simultaneous Determination of Hydroquinone and Catechol in Water Matrices</t>
  </si>
  <si>
    <t>CHEMOSENSORS</t>
  </si>
  <si>
    <t>The simultaneous determination of hydroquinone and catechol was conducted in aqueous and real samples by means of differential pulse voltammetry (DPV) using a glassy carbon electrode modified with Gold Nanoparticles (AuNP) and functionalized multiwalled carbon nanotubes by drop coating. A good response was obtained in the simultaneous determination of both isomers through standard addition to samples prepared with analytical grade water and multivariate calibration by partial least squares (PLS) in winery wastewater fortified with HQ and CT from 4.0 to 150.00 mu M. A sensitivity of 0.154 mu A mu M-1 and 0.107 mu A mu M-1, and detection limits of 4.3 and 3.9 mu M were found for hydroquinone and catechol, respectively. We verified the reliability of the developed method by simultaneously screening analytes in spiked tap water and industrial wastewater, achieving recoveries over 80%. In addition, this paper demonstrates the applicability of chemometric tools for the simultaneous quantification of both isomers in real matrices, obtaining prediction errors of lower than 10% in fortified wastewater.</t>
  </si>
  <si>
    <t>Salazar, Ricardo/L-7870-2013; Candia-Onfray, Christian/AHB-7261-2022; Contreras, David/C-6830-2012; Hassan, Natalia/V-8190-2017</t>
  </si>
  <si>
    <t>Hassan, Natalia/0000-0001-5001-5102; Contreras, David/0000-0003-1346-5918; Onfray, Christian/0000-0001-5485-9169; Pina Hodges, Samuel/0000-0001-5789-8032; Salazar-Gonzalez, Ricardo/0000-0003-2180-6022</t>
  </si>
  <si>
    <t>2227-9040</t>
  </si>
  <si>
    <t>10.3390/chemosensors9050088</t>
  </si>
  <si>
    <t>WOS:000653570100001</t>
  </si>
  <si>
    <t>González-Díaz, RR; Acevedo-Duque, A; Salazar-Sepúlveda, G; Castillo, D</t>
  </si>
  <si>
    <t>Gonzalez-Diaz, Romel Ramon; Acevedo-Duque, Angel; Salazar-Sepulveda, Guido; Castillo, Dante</t>
  </si>
  <si>
    <t>Contributions of Subjective Well-Being and Good Living to the Contemporary Development of the Notion of Sustainable Human Development</t>
  </si>
  <si>
    <t>The article analyzes the contributions of the notions of Good Living attributable to epistemologies, traditions, and subjective well-being at work, given the current changes in the working context, to enrich the concept of human development. The article is developed with an analytical-descriptive and synthetic approach, reconstructing the concept of Good Living through a theoretical-economic, ontological, and epistemological comparison and its dimensional axes. Methodologically, a systematic review of human development literature is used in Latin America through the Web of Science (WOS), comparing the UNDP Technical Notes (HDI) with the various approaches to Good Living published between 2010 and 2020. These documents were subjected to semantic contrast, with reference to the various dimensions and positions of human development as a generator of subjective well-being for the configuration of public labor policies. The main findings refer to the disagreement points evidenced in the two-axes dimensions of the Good Living measurement systems (mobility and safety, and cultural satisfaction within territories), an important factor being the sumak kawsay, the concept of Good Living. Sumak is fullness, the sublime, excellent, magnificent, beautiful, superior. Kawsay is life, being. However, it is dynamic, changing, and is not a passive question, and is thus not considered by the different evolutionary changes of the HDI.</t>
  </si>
  <si>
    <t>Salazar-Sepúlveda, Guido/CAH-3395-2022; Acevedo-Duque, Ángel/ABF-9101-2020</t>
  </si>
  <si>
    <t>Acevedo-Duque, Angel/0000-0002-8774-3282; Salazar, Guido/0000-0002-4979-6869; GONZALEZ, ROMEL/0000-0002-7529-8847; Castillo, Dante/0000-0002-5648-0627</t>
  </si>
  <si>
    <t>10.3390/su13063298</t>
  </si>
  <si>
    <t>WOS:000645708500001</t>
  </si>
  <si>
    <t>Miarka, B; de Carvalho, GN; Pérez, DIV; Aedo-Muñoz, E; Brito, CJ</t>
  </si>
  <si>
    <t>Miarka, Bianca; de Carvalho, Gustavo Nascimento; Valenzuela Perez, Diego Ignacio; Aedo-Munoz, Esteban; Brito, Ciro Jose</t>
  </si>
  <si>
    <t>Comparisons of Pacing Strategy and Technical-Tactical Behaviors in Female Mixed Martial Arts Rounds</t>
  </si>
  <si>
    <t>Aedo-Muñoz, Esteban/R-5623-2019; Miarka, Bianca/V-7395-2017; Brito, Ciro/AAC-9104-2019</t>
  </si>
  <si>
    <t>brito, ciro/0000-0002-9678-1977; Aedo-Munoz, Esteban/0000-0003-1544-2824</t>
  </si>
  <si>
    <t>JAN 29</t>
  </si>
  <si>
    <t>10.3389/fpsyg.2020.548546</t>
  </si>
  <si>
    <t>WOS:000617297700001</t>
  </si>
  <si>
    <t>Rojas, V; López, S; Cáceres, G; Schrebler, RG; Grez, P; Henríquez, R; Ballesteros, L; Navarrete, E; Herrera, F; Muñoz, EC</t>
  </si>
  <si>
    <t>Rojas, Victor; Lopez, Silvana; Caceres, Gustavo; Schrebler, Ricardo G.; Grez, Paula; Henriquez, Rodrigo; Ballesteros, Luis; Navarrete, Emilio; Herrera, Francisco; Munoz, Eduardo C.</t>
  </si>
  <si>
    <t>Photo-assisted charge/discharge of a secondary cell of α-Fe2O3/Prussian blue-based electrodes</t>
  </si>
  <si>
    <t>In this work, an assembly of FTO/alpha-Fe2O3/PB|M+ electrolyte|PB/alpha-Fe2O3/FTO (M+ = Li+, Na+, K+) secondary photocell was done to improve the charge capacity in the presence of illumination. Our previous results with these electrodes demonstrated the possibility of transferring photogenerated carriers from hematite to Prussian blue. This cell was characterized by incident photon-to-current efficiency (IPCE) and galvanostatic charge/discharge measurements under illumination and compared in darkness. A higher IPCE when potassium ions are employed in the cell was founded, which suggests an easy insertion/desertion of these ions inside/outside of the hexacyanometallate framework, related to the more compact water coordination sphere for this ion. The voltage cell increased when the system was charged under illumination, indicating an increase in the oxidation/reduction of iron centers in the hexacyanometallate structure due to the increase of photogenerated carriers in hematite. The cell's specific capacity reaches around 12% of the theoretical capacity, with a voltage close to the theoretical (1.5 V) and about 95% of coulombic efficiency when the cell was charged and discharged at longer times (8 h).</t>
  </si>
  <si>
    <t>Ballesteros, Luis/B-4648-2016; Henríquez, Rodrigo/E-2155-2014</t>
  </si>
  <si>
    <t>Ballesteros, Luis Ernesto/0000-0002-8981-5104; Caceres Inzunza, Gustavo Alejandro/0000-0002-4483-2672; Lopez Estay, Silvana Makarena/0000-0002-5665-1166; Rojas, Victor/0000-0002-5009-0046; Herrera, Francisco/0000-0001-7783-2970</t>
  </si>
  <si>
    <t>10.1007/s10008-020-04888-5</t>
  </si>
  <si>
    <t>WOS:000605896100003</t>
  </si>
  <si>
    <t>Castillo-Vallejos, M; Jara-Rosales, S; Godoy-Guzmán, C</t>
  </si>
  <si>
    <t>Castillo-Vallejos, Maria; Jara-Rosales, Sergio; Godoy-Guzman, Carlos</t>
  </si>
  <si>
    <t>Seed Heads of Dandelion Flowers in Histological Sections</t>
  </si>
  <si>
    <t>INTERNATIONAL JOURNAL OF SURGICAL PATHOLOGY</t>
  </si>
  <si>
    <t>1066-8969</t>
  </si>
  <si>
    <t>1940-2465</t>
  </si>
  <si>
    <t>10.1177/1066896920939660</t>
  </si>
  <si>
    <t>JUL 2020</t>
  </si>
  <si>
    <t>WOS:000546413200001</t>
  </si>
  <si>
    <t>Gidi, L; Honores, J; Arce, R; Arévalo, MC; Aguirre, MJ; Ramírez, C</t>
  </si>
  <si>
    <t>Gidi, Leyla; Honores, Jessica; Arce, Roxana; Arevalo, M. C.; Aguirre, M. J.; Ramirez, Cabo</t>
  </si>
  <si>
    <t>Enhanced Electrocatalysis of the Oxygen Reduction Reaction Using Cobalt and Iron Porphyrin/Ionic Liquid Systems</t>
  </si>
  <si>
    <t>ENERGY TECHNOLOGY</t>
  </si>
  <si>
    <t>Oxygen reduction reaction mediated by electrodes composed of graphite powder, octylpyridinium hexafluorophosphate as a binder, and cobalt and iron metal octaethylporphyrins is studied. Morphological and composition changes of the electrodic surfaces are observed employing the ionic liquid (IL) as a binder by scanning electron microscopy along with X-ray microanalysis. Cyclic voltammetry and electrochemical impedance spectroscopy studies indicate that both the ILs and porphyrins are capable of generating an electrocatalytic effect in terms of current and/or potential toward this reaction, as well as increasing the conductive ability of the systems, presenting a synergistic effect between the ILs and the porphyrins. Scan rate studies determine that with the mixing of Co-Fe porphyrins, an oxygen reduction close to four electrons, either directly or through the production of a hydrogen peroxide intermediate, is generated.</t>
  </si>
  <si>
    <t>Arce, Roxana/V-8140-2019; Arévalo, M./AAY-1729-2020; Aguirre, Maria/A-3935-2013</t>
  </si>
  <si>
    <t>ARCE, ROXANA/0000-0002-1387-9232; Arevalo, M. Carmen/0000-0003-4629-1643; Honores Sotelo, Jessica/0000-0003-1172-4728; Ramirez, Galo/0000-0002-6217-4730</t>
  </si>
  <si>
    <t>2194-4288</t>
  </si>
  <si>
    <t>2194-4296</t>
  </si>
  <si>
    <t>10.1002/ente.201900698</t>
  </si>
  <si>
    <t>SEP 2019</t>
  </si>
  <si>
    <t>WOS:000486871800001</t>
  </si>
  <si>
    <t>Calfumán, K; Honores, J; Isaacs, M; Quezada, D; Valdebenito, J; Urzúa, M</t>
  </si>
  <si>
    <t>Calfuman, Karla; Honores, Jessica; Isaacs, Mauricio; Quezada, Diego; Valdebenito, Javier; Urzua, Marcela</t>
  </si>
  <si>
    <t>Quick and Easy Modification of Glassy Carbon Electrodes with Ionic Liquid and Tetraruthenated Porphyrins for the Electrochemical Determination of Atrazine in Water</t>
  </si>
  <si>
    <t>Atrazine is a pesticide used to control broadleaf weeds, however its wide distribution and its high persistence in the soil and in surface waters has resulted in a public and environmental health problem. Present results shows the design, construction and characterization of glassy carbon electrodes modified with tetrarutenated metalloporphyrin (M=Ni (II) and Zn (II)) and 1-butyl-3-methylimidazolium bis (trifluoromethylsulfonyl) imide, BMIMNTF2. The modification was reproducible and sensitive for the electrochemical detection of atrazine in neutral media. The detection limit was 230 nM when using GC/BMIMNTF2/ZnTRP and 540 nM with GC/BMIMNTF2/NiTRP, meaning that his methodology can be a feasible and inexpensive way to detect atrazine in trace levels.</t>
  </si>
  <si>
    <t>Isaacs, Mauricio/N-3027-2013; Urzúa, Marcela/E-1429-2014</t>
  </si>
  <si>
    <t>Quezada, Diego/0009-0003-0231-5866; Honores Sotelo, Jessica/0000-0003-1172-4728; Urzua Acevedo, Marcela Del Pilar/0000-0002-2371-620X; Isaacs Casanova, Mauricio/0000-0003-0503-0949</t>
  </si>
  <si>
    <t>10.1002/elan.201800771</t>
  </si>
  <si>
    <t>WOS:000465095800013</t>
  </si>
  <si>
    <t>Navia, P; Osorio, R</t>
  </si>
  <si>
    <t>Navia, Patricio; Osorio, Rodrigo</t>
  </si>
  <si>
    <t>Attitudes toward democracy and authoritarianism before, during and after military rule. The case of Chile, 1972-2013</t>
  </si>
  <si>
    <t>CONTEMPORARY POLITICS</t>
  </si>
  <si>
    <t>Studies on attitudes toward democracy in post-authoritarian settings tend to overlook support for democracy before the authoritarian experience. Since authoritarian experiences are alleged to affect attitudes towards democracy and authoritarianism, we use the case of Chile to assess the determinants in support for democracy between 1972 and 2013. Estimating marginal effects and predicted probabilities for probit models on polls conducted before and after military rule (1973-1990), we find weak support for authoritarianism before 1973 and stable support for democracy before, during and after military rule. We also review public opinion polls for the authoritarian period to show stable support for democracy. Since democracy was restored, views on the military regime have worsened. The authoritarian experience did not change the determinants of attitudes toward democracy. Those in the middle class and leftists supported democracy more strongly before, during and after military rule.</t>
  </si>
  <si>
    <t>Navia, Patricio/B-1052-2009</t>
  </si>
  <si>
    <t>Navia, Patricio/0000-0001-9398-8393; Osorio, Rodrigo/0000-0002-7365-5054</t>
  </si>
  <si>
    <t>1356-9775</t>
  </si>
  <si>
    <t>1469-3631</t>
  </si>
  <si>
    <t>10.1080/13569775.2018.1504426</t>
  </si>
  <si>
    <t>WOS:000461573500004</t>
  </si>
  <si>
    <t>Lagos, C; Carrasco, R; Soto, I; Fuertes, G; Alfaro, M; Vargas, M</t>
  </si>
  <si>
    <t>Lagos, Carolina; Carrasco, Raul; Soto, Ismael; Fuertes, Guillermo; Alfaro, Miguel; Vargas, Manuel</t>
  </si>
  <si>
    <t>Predictive Analysis of Energy Consumption in Minining for Making Decisions</t>
  </si>
  <si>
    <t>This research is centered on how predictive analysis can support decision making on energetic consumption in the great copper mining in Chile. In this article it is analyzed the data base of energetic consumption in the Grinding A0, A1 and A2, in Codelco, Chuquicamata, in the period 2007-2014. This study uses the Box-Jenkins method for predicting energetic consumption in the Grinding. Before this analysis, it is achieved to predict the behavior of the time series of energetic consumption under stationary conditions, through polynomial delay equations, Seasonal Auto Regressive Integrated Moving Average (SARIMA). As a result, it is obtained that most of the consumptions lines in the Grinding A0, A1, and A2, present some type of trend and stationary. The SARIMA model was able to adapt to the behavior of the variables of the energetic consumption of the copper productive process. It is possible to predict the energetic consumption as critical information in the decision making in the Grinding A0, A1 and A2.</t>
  </si>
  <si>
    <t>vargas, manuel/AAG-4780-2020; Fuertes, Guillermo/Q-2341-2016; Carrasco, Raul/G-5440-2015</t>
  </si>
  <si>
    <t>Soto, Ismael/0000-0002-5501-5651; Carrasco, Raul/0000-0002-5023-9349; Vargas Guzman, Manuel Eduardo/0000-0003-4161-6621</t>
  </si>
  <si>
    <t>WOS:000437157500041</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</si>
</sst>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2" width="8.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ht="12.75" customHeight="1">
      <c r="A2" s="1" t="s">
        <v>72</v>
      </c>
      <c r="B2" s="1" t="s">
        <v>73</v>
      </c>
      <c r="C2" s="1" t="s">
        <v>74</v>
      </c>
      <c r="D2" s="1" t="s">
        <v>74</v>
      </c>
      <c r="E2" s="1" t="s">
        <v>74</v>
      </c>
      <c r="F2" s="1" t="s">
        <v>75</v>
      </c>
      <c r="G2" s="1" t="s">
        <v>74</v>
      </c>
      <c r="H2" s="1" t="s">
        <v>74</v>
      </c>
      <c r="I2" s="1" t="s">
        <v>76</v>
      </c>
      <c r="J2" s="1" t="s">
        <v>77</v>
      </c>
      <c r="K2" s="1" t="s">
        <v>74</v>
      </c>
      <c r="L2" s="1" t="s">
        <v>74</v>
      </c>
      <c r="M2" s="1" t="s">
        <v>74</v>
      </c>
      <c r="N2" s="1" t="s">
        <v>74</v>
      </c>
      <c r="O2" s="1" t="s">
        <v>74</v>
      </c>
      <c r="P2" s="1" t="s">
        <v>74</v>
      </c>
      <c r="Q2" s="1" t="s">
        <v>74</v>
      </c>
      <c r="R2" s="1" t="s">
        <v>74</v>
      </c>
      <c r="S2" s="1" t="s">
        <v>74</v>
      </c>
      <c r="T2" s="1" t="s">
        <v>74</v>
      </c>
      <c r="U2" s="1" t="s">
        <v>74</v>
      </c>
      <c r="V2" s="1" t="s">
        <v>78</v>
      </c>
      <c r="W2" s="1" t="s">
        <v>74</v>
      </c>
      <c r="X2" s="1" t="s">
        <v>74</v>
      </c>
      <c r="Y2" s="1" t="s">
        <v>74</v>
      </c>
      <c r="Z2" s="1" t="s">
        <v>74</v>
      </c>
      <c r="AA2" s="1" t="s">
        <v>79</v>
      </c>
      <c r="AB2" s="1" t="s">
        <v>80</v>
      </c>
      <c r="AC2" s="1" t="s">
        <v>74</v>
      </c>
      <c r="AD2" s="1" t="s">
        <v>74</v>
      </c>
      <c r="AE2" s="1" t="s">
        <v>74</v>
      </c>
      <c r="AF2" s="1" t="s">
        <v>74</v>
      </c>
      <c r="AG2" s="1" t="s">
        <v>74</v>
      </c>
      <c r="AH2" s="1" t="s">
        <v>74</v>
      </c>
      <c r="AI2" s="1" t="s">
        <v>74</v>
      </c>
      <c r="AJ2" s="1" t="s">
        <v>74</v>
      </c>
      <c r="AK2" s="1" t="s">
        <v>74</v>
      </c>
      <c r="AL2" s="1" t="s">
        <v>74</v>
      </c>
      <c r="AM2" s="1" t="s">
        <v>74</v>
      </c>
      <c r="AN2" s="1" t="s">
        <v>74</v>
      </c>
      <c r="AO2" s="1" t="s">
        <v>81</v>
      </c>
      <c r="AP2" s="1" t="s">
        <v>74</v>
      </c>
      <c r="AQ2" s="1" t="s">
        <v>74</v>
      </c>
      <c r="AR2" s="1" t="s">
        <v>74</v>
      </c>
      <c r="AS2" s="1" t="s">
        <v>74</v>
      </c>
      <c r="AT2" s="1" t="s">
        <v>82</v>
      </c>
      <c r="AU2" s="1">
        <v>2014.0</v>
      </c>
      <c r="AV2" s="1">
        <v>9.0</v>
      </c>
      <c r="AW2" s="1">
        <v>10.0</v>
      </c>
      <c r="AX2" s="1" t="s">
        <v>74</v>
      </c>
      <c r="AY2" s="1" t="s">
        <v>74</v>
      </c>
      <c r="AZ2" s="1" t="s">
        <v>74</v>
      </c>
      <c r="BA2" s="1" t="s">
        <v>74</v>
      </c>
      <c r="BB2" s="1" t="s">
        <v>74</v>
      </c>
      <c r="BC2" s="1" t="s">
        <v>74</v>
      </c>
      <c r="BD2" s="1" t="s">
        <v>83</v>
      </c>
      <c r="BE2" s="1" t="s">
        <v>84</v>
      </c>
      <c r="BF2" s="2" t="str">
        <f>HYPERLINK("http://dx.doi.org/10.1371/journal.pone.0108281","http://dx.doi.org/10.1371/journal.pone.0108281")</f>
        <v>http://dx.doi.org/10.1371/journal.pone.0108281</v>
      </c>
      <c r="BG2" s="1" t="s">
        <v>74</v>
      </c>
      <c r="BH2" s="1" t="s">
        <v>74</v>
      </c>
      <c r="BI2" s="1" t="s">
        <v>74</v>
      </c>
      <c r="BJ2" s="1" t="s">
        <v>74</v>
      </c>
      <c r="BK2" s="1" t="s">
        <v>74</v>
      </c>
      <c r="BL2" s="1" t="s">
        <v>74</v>
      </c>
      <c r="BM2" s="1" t="s">
        <v>74</v>
      </c>
      <c r="BN2" s="1">
        <v>2.5313519E7</v>
      </c>
      <c r="BO2" s="1" t="s">
        <v>74</v>
      </c>
      <c r="BP2" s="1" t="s">
        <v>74</v>
      </c>
      <c r="BQ2" s="1" t="s">
        <v>74</v>
      </c>
      <c r="BR2" s="1" t="s">
        <v>74</v>
      </c>
      <c r="BS2" s="1" t="s">
        <v>85</v>
      </c>
      <c r="BT2" s="1" t="str">
        <f>HYPERLINK("https%3A%2F%2Fwww.webofscience.com%2Fwos%2Fwoscc%2Ffull-record%2FWOS:000343662500010","View Full Record in Web of Science")</f>
        <v>View Full Record in Web of Science</v>
      </c>
    </row>
    <row r="3" ht="12.75" customHeight="1">
      <c r="A3" s="1" t="s">
        <v>86</v>
      </c>
      <c r="B3" s="1" t="s">
        <v>87</v>
      </c>
      <c r="C3" s="1" t="s">
        <v>74</v>
      </c>
      <c r="D3" s="1" t="s">
        <v>88</v>
      </c>
      <c r="E3" s="1" t="s">
        <v>74</v>
      </c>
      <c r="F3" s="1" t="s">
        <v>89</v>
      </c>
      <c r="G3" s="1" t="s">
        <v>74</v>
      </c>
      <c r="H3" s="1" t="s">
        <v>74</v>
      </c>
      <c r="I3" s="1" t="s">
        <v>90</v>
      </c>
      <c r="J3" s="1" t="s">
        <v>91</v>
      </c>
      <c r="K3" s="1" t="s">
        <v>92</v>
      </c>
      <c r="L3" s="1" t="s">
        <v>74</v>
      </c>
      <c r="M3" s="1" t="s">
        <v>74</v>
      </c>
      <c r="N3" s="1" t="s">
        <v>74</v>
      </c>
      <c r="O3" s="1" t="s">
        <v>93</v>
      </c>
      <c r="P3" s="1" t="s">
        <v>94</v>
      </c>
      <c r="Q3" s="1" t="s">
        <v>95</v>
      </c>
      <c r="R3" s="1" t="s">
        <v>96</v>
      </c>
      <c r="S3" s="1" t="s">
        <v>97</v>
      </c>
      <c r="T3" s="1" t="s">
        <v>74</v>
      </c>
      <c r="U3" s="1" t="s">
        <v>74</v>
      </c>
      <c r="V3" s="1" t="s">
        <v>98</v>
      </c>
      <c r="W3" s="1" t="s">
        <v>74</v>
      </c>
      <c r="X3" s="1" t="s">
        <v>74</v>
      </c>
      <c r="Y3" s="1" t="s">
        <v>74</v>
      </c>
      <c r="Z3" s="1" t="s">
        <v>74</v>
      </c>
      <c r="AA3" s="1" t="s">
        <v>99</v>
      </c>
      <c r="AB3" s="1" t="s">
        <v>100</v>
      </c>
      <c r="AC3" s="1" t="s">
        <v>74</v>
      </c>
      <c r="AD3" s="1" t="s">
        <v>74</v>
      </c>
      <c r="AE3" s="1" t="s">
        <v>74</v>
      </c>
      <c r="AF3" s="1" t="s">
        <v>74</v>
      </c>
      <c r="AG3" s="1" t="s">
        <v>74</v>
      </c>
      <c r="AH3" s="1" t="s">
        <v>74</v>
      </c>
      <c r="AI3" s="1" t="s">
        <v>74</v>
      </c>
      <c r="AJ3" s="1" t="s">
        <v>74</v>
      </c>
      <c r="AK3" s="1" t="s">
        <v>74</v>
      </c>
      <c r="AL3" s="1" t="s">
        <v>74</v>
      </c>
      <c r="AM3" s="1" t="s">
        <v>74</v>
      </c>
      <c r="AN3" s="1" t="s">
        <v>74</v>
      </c>
      <c r="AO3" s="1" t="s">
        <v>101</v>
      </c>
      <c r="AP3" s="1" t="s">
        <v>74</v>
      </c>
      <c r="AQ3" s="1" t="s">
        <v>74</v>
      </c>
      <c r="AR3" s="1" t="s">
        <v>74</v>
      </c>
      <c r="AS3" s="1" t="s">
        <v>74</v>
      </c>
      <c r="AT3" s="1" t="s">
        <v>74</v>
      </c>
      <c r="AU3" s="1">
        <v>2013.0</v>
      </c>
      <c r="AV3" s="1">
        <v>443.0</v>
      </c>
      <c r="AW3" s="1" t="s">
        <v>74</v>
      </c>
      <c r="AX3" s="1" t="s">
        <v>74</v>
      </c>
      <c r="AY3" s="1" t="s">
        <v>74</v>
      </c>
      <c r="AZ3" s="1" t="s">
        <v>74</v>
      </c>
      <c r="BA3" s="1" t="s">
        <v>74</v>
      </c>
      <c r="BB3" s="1" t="s">
        <v>74</v>
      </c>
      <c r="BC3" s="1" t="s">
        <v>74</v>
      </c>
      <c r="BD3" s="1">
        <v>12056.0</v>
      </c>
      <c r="BE3" s="1" t="s">
        <v>102</v>
      </c>
      <c r="BF3" s="2" t="str">
        <f>HYPERLINK("http://dx.doi.org/10.1088/1742-6596/443/1/012056","http://dx.doi.org/10.1088/1742-6596/443/1/012056")</f>
        <v>http://dx.doi.org/10.1088/1742-6596/443/1/012056</v>
      </c>
      <c r="BG3" s="1" t="s">
        <v>74</v>
      </c>
      <c r="BH3" s="1" t="s">
        <v>74</v>
      </c>
      <c r="BI3" s="1" t="s">
        <v>74</v>
      </c>
      <c r="BJ3" s="1" t="s">
        <v>74</v>
      </c>
      <c r="BK3" s="1" t="s">
        <v>74</v>
      </c>
      <c r="BL3" s="1" t="s">
        <v>74</v>
      </c>
      <c r="BM3" s="1" t="s">
        <v>74</v>
      </c>
      <c r="BN3" s="1" t="s">
        <v>74</v>
      </c>
      <c r="BO3" s="1" t="s">
        <v>74</v>
      </c>
      <c r="BP3" s="1" t="s">
        <v>74</v>
      </c>
      <c r="BQ3" s="1" t="s">
        <v>74</v>
      </c>
      <c r="BR3" s="1" t="s">
        <v>74</v>
      </c>
      <c r="BS3" s="1" t="s">
        <v>103</v>
      </c>
      <c r="BT3" s="1" t="str">
        <f>HYPERLINK("https%3A%2F%2Fwww.webofscience.com%2Fwos%2Fwoscc%2Ffull-record%2FWOS:000321739400056","View Full Record in Web of Science")</f>
        <v>View Full Record in Web of Science</v>
      </c>
    </row>
    <row r="4" ht="12.75" customHeight="1">
      <c r="A4" s="1" t="s">
        <v>72</v>
      </c>
      <c r="B4" s="1" t="s">
        <v>104</v>
      </c>
      <c r="C4" s="1" t="s">
        <v>74</v>
      </c>
      <c r="D4" s="1" t="s">
        <v>74</v>
      </c>
      <c r="E4" s="1" t="s">
        <v>74</v>
      </c>
      <c r="F4" s="1" t="s">
        <v>105</v>
      </c>
      <c r="G4" s="1" t="s">
        <v>74</v>
      </c>
      <c r="H4" s="1" t="s">
        <v>74</v>
      </c>
      <c r="I4" s="1" t="s">
        <v>106</v>
      </c>
      <c r="J4" s="1" t="s">
        <v>107</v>
      </c>
      <c r="K4" s="1" t="s">
        <v>74</v>
      </c>
      <c r="L4" s="1" t="s">
        <v>74</v>
      </c>
      <c r="M4" s="1" t="s">
        <v>74</v>
      </c>
      <c r="N4" s="1" t="s">
        <v>74</v>
      </c>
      <c r="O4" s="1" t="s">
        <v>74</v>
      </c>
      <c r="P4" s="1" t="s">
        <v>74</v>
      </c>
      <c r="Q4" s="1" t="s">
        <v>74</v>
      </c>
      <c r="R4" s="1" t="s">
        <v>74</v>
      </c>
      <c r="S4" s="1" t="s">
        <v>74</v>
      </c>
      <c r="T4" s="1" t="s">
        <v>74</v>
      </c>
      <c r="U4" s="1" t="s">
        <v>74</v>
      </c>
      <c r="V4" s="1" t="s">
        <v>74</v>
      </c>
      <c r="W4" s="1" t="s">
        <v>74</v>
      </c>
      <c r="X4" s="1" t="s">
        <v>74</v>
      </c>
      <c r="Y4" s="1" t="s">
        <v>74</v>
      </c>
      <c r="Z4" s="1" t="s">
        <v>74</v>
      </c>
      <c r="AA4" s="1" t="s">
        <v>108</v>
      </c>
      <c r="AB4" s="1" t="s">
        <v>109</v>
      </c>
      <c r="AC4" s="1" t="s">
        <v>74</v>
      </c>
      <c r="AD4" s="1" t="s">
        <v>74</v>
      </c>
      <c r="AE4" s="1" t="s">
        <v>74</v>
      </c>
      <c r="AF4" s="1" t="s">
        <v>74</v>
      </c>
      <c r="AG4" s="1" t="s">
        <v>74</v>
      </c>
      <c r="AH4" s="1" t="s">
        <v>74</v>
      </c>
      <c r="AI4" s="1" t="s">
        <v>74</v>
      </c>
      <c r="AJ4" s="1" t="s">
        <v>74</v>
      </c>
      <c r="AK4" s="1" t="s">
        <v>74</v>
      </c>
      <c r="AL4" s="1" t="s">
        <v>74</v>
      </c>
      <c r="AM4" s="1" t="s">
        <v>74</v>
      </c>
      <c r="AN4" s="1" t="s">
        <v>74</v>
      </c>
      <c r="AO4" s="1" t="s">
        <v>110</v>
      </c>
      <c r="AP4" s="1" t="s">
        <v>74</v>
      </c>
      <c r="AQ4" s="1" t="s">
        <v>74</v>
      </c>
      <c r="AR4" s="1" t="s">
        <v>74</v>
      </c>
      <c r="AS4" s="1" t="s">
        <v>74</v>
      </c>
      <c r="AT4" s="1" t="s">
        <v>111</v>
      </c>
      <c r="AU4" s="1">
        <v>2012.0</v>
      </c>
      <c r="AV4" s="1">
        <v>135.0</v>
      </c>
      <c r="AW4" s="1">
        <v>3.0</v>
      </c>
      <c r="AX4" s="1" t="s">
        <v>74</v>
      </c>
      <c r="AY4" s="1" t="s">
        <v>74</v>
      </c>
      <c r="AZ4" s="1" t="s">
        <v>74</v>
      </c>
      <c r="BA4" s="1" t="s">
        <v>74</v>
      </c>
      <c r="BB4" s="1">
        <v>1784.0</v>
      </c>
      <c r="BC4" s="1">
        <v>1784.0</v>
      </c>
      <c r="BD4" s="1" t="s">
        <v>74</v>
      </c>
      <c r="BE4" s="1" t="s">
        <v>112</v>
      </c>
      <c r="BF4" s="2" t="str">
        <f>HYPERLINK("http://dx.doi.org/10.1016/j.foodchem.2012.06.081","http://dx.doi.org/10.1016/j.foodchem.2012.06.081")</f>
        <v>http://dx.doi.org/10.1016/j.foodchem.2012.06.081</v>
      </c>
      <c r="BG4" s="1" t="s">
        <v>74</v>
      </c>
      <c r="BH4" s="1" t="s">
        <v>74</v>
      </c>
      <c r="BI4" s="1" t="s">
        <v>74</v>
      </c>
      <c r="BJ4" s="1" t="s">
        <v>74</v>
      </c>
      <c r="BK4" s="1" t="s">
        <v>74</v>
      </c>
      <c r="BL4" s="1" t="s">
        <v>74</v>
      </c>
      <c r="BM4" s="1" t="s">
        <v>74</v>
      </c>
      <c r="BN4" s="1" t="s">
        <v>74</v>
      </c>
      <c r="BO4" s="1" t="s">
        <v>74</v>
      </c>
      <c r="BP4" s="1" t="s">
        <v>74</v>
      </c>
      <c r="BQ4" s="1" t="s">
        <v>74</v>
      </c>
      <c r="BR4" s="1" t="s">
        <v>74</v>
      </c>
      <c r="BS4" s="1" t="s">
        <v>113</v>
      </c>
      <c r="BT4" s="1" t="str">
        <f>HYPERLINK("https%3A%2F%2Fwww.webofscience.com%2Fwos%2Fwoscc%2Ffull-record%2FWOS:000310396700127","View Full Record in Web of Science")</f>
        <v>View Full Record in Web of Science</v>
      </c>
    </row>
    <row r="5" ht="12.75" customHeight="1">
      <c r="A5" s="1" t="s">
        <v>72</v>
      </c>
      <c r="B5" s="1" t="s">
        <v>114</v>
      </c>
      <c r="C5" s="1" t="s">
        <v>74</v>
      </c>
      <c r="D5" s="1" t="s">
        <v>74</v>
      </c>
      <c r="E5" s="1" t="s">
        <v>74</v>
      </c>
      <c r="F5" s="1" t="s">
        <v>115</v>
      </c>
      <c r="G5" s="1" t="s">
        <v>74</v>
      </c>
      <c r="H5" s="1" t="s">
        <v>74</v>
      </c>
      <c r="I5" s="1" t="s">
        <v>116</v>
      </c>
      <c r="J5" s="1" t="s">
        <v>117</v>
      </c>
      <c r="K5" s="1" t="s">
        <v>74</v>
      </c>
      <c r="L5" s="1" t="s">
        <v>74</v>
      </c>
      <c r="M5" s="1" t="s">
        <v>74</v>
      </c>
      <c r="N5" s="1" t="s">
        <v>74</v>
      </c>
      <c r="O5" s="1" t="s">
        <v>74</v>
      </c>
      <c r="P5" s="1" t="s">
        <v>74</v>
      </c>
      <c r="Q5" s="1" t="s">
        <v>74</v>
      </c>
      <c r="R5" s="1" t="s">
        <v>74</v>
      </c>
      <c r="S5" s="1" t="s">
        <v>74</v>
      </c>
      <c r="T5" s="1" t="s">
        <v>74</v>
      </c>
      <c r="U5" s="1" t="s">
        <v>74</v>
      </c>
      <c r="V5" s="1" t="s">
        <v>118</v>
      </c>
      <c r="W5" s="1" t="s">
        <v>74</v>
      </c>
      <c r="X5" s="1" t="s">
        <v>74</v>
      </c>
      <c r="Y5" s="1" t="s">
        <v>74</v>
      </c>
      <c r="Z5" s="1" t="s">
        <v>74</v>
      </c>
      <c r="AA5" s="1" t="s">
        <v>119</v>
      </c>
      <c r="AB5" s="1" t="s">
        <v>120</v>
      </c>
      <c r="AC5" s="1" t="s">
        <v>74</v>
      </c>
      <c r="AD5" s="1" t="s">
        <v>74</v>
      </c>
      <c r="AE5" s="1" t="s">
        <v>74</v>
      </c>
      <c r="AF5" s="1" t="s">
        <v>74</v>
      </c>
      <c r="AG5" s="1" t="s">
        <v>74</v>
      </c>
      <c r="AH5" s="1" t="s">
        <v>74</v>
      </c>
      <c r="AI5" s="1" t="s">
        <v>74</v>
      </c>
      <c r="AJ5" s="1" t="s">
        <v>74</v>
      </c>
      <c r="AK5" s="1" t="s">
        <v>74</v>
      </c>
      <c r="AL5" s="1" t="s">
        <v>74</v>
      </c>
      <c r="AM5" s="1" t="s">
        <v>74</v>
      </c>
      <c r="AN5" s="1" t="s">
        <v>74</v>
      </c>
      <c r="AO5" s="1" t="s">
        <v>121</v>
      </c>
      <c r="AP5" s="1" t="s">
        <v>122</v>
      </c>
      <c r="AQ5" s="1" t="s">
        <v>74</v>
      </c>
      <c r="AR5" s="1" t="s">
        <v>74</v>
      </c>
      <c r="AS5" s="1" t="s">
        <v>74</v>
      </c>
      <c r="AT5" s="1" t="s">
        <v>123</v>
      </c>
      <c r="AU5" s="1">
        <v>2009.0</v>
      </c>
      <c r="AV5" s="1">
        <v>17.0</v>
      </c>
      <c r="AW5" s="1">
        <v>6.0</v>
      </c>
      <c r="AX5" s="1" t="s">
        <v>74</v>
      </c>
      <c r="AY5" s="1" t="s">
        <v>74</v>
      </c>
      <c r="AZ5" s="1" t="s">
        <v>74</v>
      </c>
      <c r="BA5" s="1" t="s">
        <v>74</v>
      </c>
      <c r="BB5" s="1">
        <v>2452.0</v>
      </c>
      <c r="BC5" s="1">
        <v>2460.0</v>
      </c>
      <c r="BD5" s="1" t="s">
        <v>74</v>
      </c>
      <c r="BE5" s="1" t="s">
        <v>124</v>
      </c>
      <c r="BF5" s="2" t="str">
        <f>HYPERLINK("http://dx.doi.org/10.1016/j.bmc.2009.01.074","http://dx.doi.org/10.1016/j.bmc.2009.01.074")</f>
        <v>http://dx.doi.org/10.1016/j.bmc.2009.01.074</v>
      </c>
      <c r="BG5" s="1" t="s">
        <v>74</v>
      </c>
      <c r="BH5" s="1" t="s">
        <v>74</v>
      </c>
      <c r="BI5" s="1" t="s">
        <v>74</v>
      </c>
      <c r="BJ5" s="1" t="s">
        <v>74</v>
      </c>
      <c r="BK5" s="1" t="s">
        <v>74</v>
      </c>
      <c r="BL5" s="1" t="s">
        <v>74</v>
      </c>
      <c r="BM5" s="1" t="s">
        <v>74</v>
      </c>
      <c r="BN5" s="1">
        <v>1.9243954E7</v>
      </c>
      <c r="BO5" s="1" t="s">
        <v>74</v>
      </c>
      <c r="BP5" s="1" t="s">
        <v>74</v>
      </c>
      <c r="BQ5" s="1" t="s">
        <v>74</v>
      </c>
      <c r="BR5" s="1" t="s">
        <v>74</v>
      </c>
      <c r="BS5" s="1" t="s">
        <v>125</v>
      </c>
      <c r="BT5" s="1" t="str">
        <f>HYPERLINK("https%3A%2F%2Fwww.webofscience.com%2Fwos%2Fwoscc%2Ffull-record%2FWOS:000264236700040","View Full Record in Web of Science")</f>
        <v>View Full Record in Web of Science</v>
      </c>
    </row>
    <row r="6" ht="12.75" customHeight="1">
      <c r="A6" s="1" t="s">
        <v>86</v>
      </c>
      <c r="B6" s="1" t="s">
        <v>126</v>
      </c>
      <c r="C6" s="1" t="s">
        <v>74</v>
      </c>
      <c r="D6" s="1" t="s">
        <v>127</v>
      </c>
      <c r="E6" s="1" t="s">
        <v>74</v>
      </c>
      <c r="F6" s="1" t="s">
        <v>128</v>
      </c>
      <c r="G6" s="1" t="s">
        <v>74</v>
      </c>
      <c r="H6" s="1" t="s">
        <v>74</v>
      </c>
      <c r="I6" s="1" t="s">
        <v>129</v>
      </c>
      <c r="J6" s="1" t="s">
        <v>130</v>
      </c>
      <c r="K6" s="1" t="s">
        <v>131</v>
      </c>
      <c r="L6" s="1" t="s">
        <v>74</v>
      </c>
      <c r="M6" s="1" t="s">
        <v>74</v>
      </c>
      <c r="N6" s="1" t="s">
        <v>74</v>
      </c>
      <c r="O6" s="1" t="s">
        <v>132</v>
      </c>
      <c r="P6" s="1" t="s">
        <v>133</v>
      </c>
      <c r="Q6" s="1" t="s">
        <v>134</v>
      </c>
      <c r="R6" s="1" t="s">
        <v>135</v>
      </c>
      <c r="S6" s="1" t="s">
        <v>74</v>
      </c>
      <c r="T6" s="1" t="s">
        <v>74</v>
      </c>
      <c r="U6" s="1" t="s">
        <v>74</v>
      </c>
      <c r="V6" s="1" t="s">
        <v>136</v>
      </c>
      <c r="W6" s="1" t="s">
        <v>74</v>
      </c>
      <c r="X6" s="1" t="s">
        <v>74</v>
      </c>
      <c r="Y6" s="1" t="s">
        <v>74</v>
      </c>
      <c r="Z6" s="1" t="s">
        <v>74</v>
      </c>
      <c r="AA6" s="1" t="s">
        <v>137</v>
      </c>
      <c r="AB6" s="1" t="s">
        <v>138</v>
      </c>
      <c r="AC6" s="1" t="s">
        <v>74</v>
      </c>
      <c r="AD6" s="1" t="s">
        <v>74</v>
      </c>
      <c r="AE6" s="1" t="s">
        <v>74</v>
      </c>
      <c r="AF6" s="1" t="s">
        <v>74</v>
      </c>
      <c r="AG6" s="1" t="s">
        <v>74</v>
      </c>
      <c r="AH6" s="1" t="s">
        <v>74</v>
      </c>
      <c r="AI6" s="1" t="s">
        <v>74</v>
      </c>
      <c r="AJ6" s="1" t="s">
        <v>74</v>
      </c>
      <c r="AK6" s="1" t="s">
        <v>74</v>
      </c>
      <c r="AL6" s="1" t="s">
        <v>74</v>
      </c>
      <c r="AM6" s="1" t="s">
        <v>74</v>
      </c>
      <c r="AN6" s="1" t="s">
        <v>74</v>
      </c>
      <c r="AO6" s="1" t="s">
        <v>139</v>
      </c>
      <c r="AP6" s="1" t="s">
        <v>74</v>
      </c>
      <c r="AQ6" s="1" t="s">
        <v>140</v>
      </c>
      <c r="AR6" s="1" t="s">
        <v>74</v>
      </c>
      <c r="AS6" s="1" t="s">
        <v>74</v>
      </c>
      <c r="AT6" s="1" t="s">
        <v>74</v>
      </c>
      <c r="AU6" s="1">
        <v>2009.0</v>
      </c>
      <c r="AV6" s="1" t="s">
        <v>141</v>
      </c>
      <c r="AW6" s="1" t="s">
        <v>74</v>
      </c>
      <c r="AX6" s="1" t="s">
        <v>74</v>
      </c>
      <c r="AY6" s="1" t="s">
        <v>74</v>
      </c>
      <c r="AZ6" s="1" t="s">
        <v>74</v>
      </c>
      <c r="BA6" s="1" t="s">
        <v>74</v>
      </c>
      <c r="BB6" s="1">
        <v>187.0</v>
      </c>
      <c r="BC6" s="1" t="s">
        <v>142</v>
      </c>
      <c r="BD6" s="1" t="s">
        <v>74</v>
      </c>
      <c r="BE6" s="1" t="s">
        <v>143</v>
      </c>
      <c r="BF6" s="2" t="str">
        <f>HYPERLINK("http://dx.doi.org/10.4028/www.scientific.net/AMR.71-73.187","http://dx.doi.org/10.4028/www.scientific.net/AMR.71-73.187")</f>
        <v>http://dx.doi.org/10.4028/www.scientific.net/AMR.71-73.187</v>
      </c>
      <c r="BG6" s="1" t="s">
        <v>74</v>
      </c>
      <c r="BH6" s="1" t="s">
        <v>74</v>
      </c>
      <c r="BI6" s="1" t="s">
        <v>74</v>
      </c>
      <c r="BJ6" s="1" t="s">
        <v>74</v>
      </c>
      <c r="BK6" s="1" t="s">
        <v>74</v>
      </c>
      <c r="BL6" s="1" t="s">
        <v>74</v>
      </c>
      <c r="BM6" s="1" t="s">
        <v>74</v>
      </c>
      <c r="BN6" s="1" t="s">
        <v>74</v>
      </c>
      <c r="BO6" s="1" t="s">
        <v>74</v>
      </c>
      <c r="BP6" s="1" t="s">
        <v>74</v>
      </c>
      <c r="BQ6" s="1" t="s">
        <v>74</v>
      </c>
      <c r="BR6" s="1" t="s">
        <v>74</v>
      </c>
      <c r="BS6" s="1" t="s">
        <v>144</v>
      </c>
      <c r="BT6" s="1" t="str">
        <f>HYPERLINK("https%3A%2F%2Fwww.webofscience.com%2Fwos%2Fwoscc%2Ffull-record%2FWOS:000273541600040","View Full Record in Web of Science")</f>
        <v>View Full Record in Web of Science</v>
      </c>
    </row>
    <row r="7" ht="12.75" customHeight="1">
      <c r="A7" s="1" t="s">
        <v>72</v>
      </c>
      <c r="B7" s="1" t="s">
        <v>145</v>
      </c>
      <c r="C7" s="1" t="s">
        <v>74</v>
      </c>
      <c r="D7" s="1" t="s">
        <v>74</v>
      </c>
      <c r="E7" s="1" t="s">
        <v>74</v>
      </c>
      <c r="F7" s="1" t="s">
        <v>146</v>
      </c>
      <c r="G7" s="1" t="s">
        <v>74</v>
      </c>
      <c r="H7" s="1" t="s">
        <v>74</v>
      </c>
      <c r="I7" s="1" t="s">
        <v>147</v>
      </c>
      <c r="J7" s="1" t="s">
        <v>148</v>
      </c>
      <c r="K7" s="1" t="s">
        <v>74</v>
      </c>
      <c r="L7" s="1" t="s">
        <v>74</v>
      </c>
      <c r="M7" s="1" t="s">
        <v>74</v>
      </c>
      <c r="N7" s="1" t="s">
        <v>74</v>
      </c>
      <c r="O7" s="1" t="s">
        <v>74</v>
      </c>
      <c r="P7" s="1" t="s">
        <v>74</v>
      </c>
      <c r="Q7" s="1" t="s">
        <v>74</v>
      </c>
      <c r="R7" s="1" t="s">
        <v>74</v>
      </c>
      <c r="S7" s="1" t="s">
        <v>74</v>
      </c>
      <c r="T7" s="1" t="s">
        <v>74</v>
      </c>
      <c r="U7" s="1" t="s">
        <v>74</v>
      </c>
      <c r="V7" s="1" t="s">
        <v>149</v>
      </c>
      <c r="W7" s="1" t="s">
        <v>74</v>
      </c>
      <c r="X7" s="1" t="s">
        <v>74</v>
      </c>
      <c r="Y7" s="1" t="s">
        <v>74</v>
      </c>
      <c r="Z7" s="1" t="s">
        <v>74</v>
      </c>
      <c r="AA7" s="1" t="s">
        <v>150</v>
      </c>
      <c r="AB7" s="1" t="s">
        <v>74</v>
      </c>
      <c r="AC7" s="1" t="s">
        <v>74</v>
      </c>
      <c r="AD7" s="1" t="s">
        <v>74</v>
      </c>
      <c r="AE7" s="1" t="s">
        <v>74</v>
      </c>
      <c r="AF7" s="1" t="s">
        <v>74</v>
      </c>
      <c r="AG7" s="1" t="s">
        <v>74</v>
      </c>
      <c r="AH7" s="1" t="s">
        <v>74</v>
      </c>
      <c r="AI7" s="1" t="s">
        <v>74</v>
      </c>
      <c r="AJ7" s="1" t="s">
        <v>74</v>
      </c>
      <c r="AK7" s="1" t="s">
        <v>74</v>
      </c>
      <c r="AL7" s="1" t="s">
        <v>74</v>
      </c>
      <c r="AM7" s="1" t="s">
        <v>74</v>
      </c>
      <c r="AN7" s="1" t="s">
        <v>74</v>
      </c>
      <c r="AO7" s="1" t="s">
        <v>151</v>
      </c>
      <c r="AP7" s="1" t="s">
        <v>152</v>
      </c>
      <c r="AQ7" s="1" t="s">
        <v>74</v>
      </c>
      <c r="AR7" s="1" t="s">
        <v>74</v>
      </c>
      <c r="AS7" s="1" t="s">
        <v>74</v>
      </c>
      <c r="AT7" s="1" t="s">
        <v>153</v>
      </c>
      <c r="AU7" s="1">
        <v>2007.0</v>
      </c>
      <c r="AV7" s="1">
        <v>364.0</v>
      </c>
      <c r="AW7" s="1">
        <v>2.0</v>
      </c>
      <c r="AX7" s="1" t="s">
        <v>74</v>
      </c>
      <c r="AY7" s="1" t="s">
        <v>74</v>
      </c>
      <c r="AZ7" s="1" t="s">
        <v>74</v>
      </c>
      <c r="BA7" s="1" t="s">
        <v>74</v>
      </c>
      <c r="BB7" s="1">
        <v>138.0</v>
      </c>
      <c r="BC7" s="1">
        <v>144.0</v>
      </c>
      <c r="BD7" s="1" t="s">
        <v>74</v>
      </c>
      <c r="BE7" s="1" t="s">
        <v>154</v>
      </c>
      <c r="BF7" s="2" t="str">
        <f>HYPERLINK("http://dx.doi.org/10.1016/j.ab.2007.03.004","http://dx.doi.org/10.1016/j.ab.2007.03.004")</f>
        <v>http://dx.doi.org/10.1016/j.ab.2007.03.004</v>
      </c>
      <c r="BG7" s="1" t="s">
        <v>74</v>
      </c>
      <c r="BH7" s="1" t="s">
        <v>74</v>
      </c>
      <c r="BI7" s="1" t="s">
        <v>74</v>
      </c>
      <c r="BJ7" s="1" t="s">
        <v>74</v>
      </c>
      <c r="BK7" s="1" t="s">
        <v>74</v>
      </c>
      <c r="BL7" s="1" t="s">
        <v>74</v>
      </c>
      <c r="BM7" s="1" t="s">
        <v>74</v>
      </c>
      <c r="BN7" s="1">
        <v>1.7407759E7</v>
      </c>
      <c r="BO7" s="1" t="s">
        <v>74</v>
      </c>
      <c r="BP7" s="1" t="s">
        <v>74</v>
      </c>
      <c r="BQ7" s="1" t="s">
        <v>74</v>
      </c>
      <c r="BR7" s="1" t="s">
        <v>74</v>
      </c>
      <c r="BS7" s="1" t="s">
        <v>155</v>
      </c>
      <c r="BT7" s="1" t="str">
        <f>HYPERLINK("https%3A%2F%2Fwww.webofscience.com%2Fwos%2Fwoscc%2Ffull-record%2FWOS:000245960400006","View Full Record in Web of Science")</f>
        <v>View Full Record in Web of Science</v>
      </c>
    </row>
    <row r="8" ht="12.75" customHeight="1">
      <c r="A8" s="1" t="s">
        <v>72</v>
      </c>
      <c r="B8" s="1" t="s">
        <v>156</v>
      </c>
      <c r="C8" s="1" t="s">
        <v>74</v>
      </c>
      <c r="D8" s="1" t="s">
        <v>74</v>
      </c>
      <c r="E8" s="1" t="s">
        <v>74</v>
      </c>
      <c r="F8" s="1" t="s">
        <v>156</v>
      </c>
      <c r="G8" s="1" t="s">
        <v>74</v>
      </c>
      <c r="H8" s="1" t="s">
        <v>74</v>
      </c>
      <c r="I8" s="1" t="s">
        <v>157</v>
      </c>
      <c r="J8" s="1" t="s">
        <v>158</v>
      </c>
      <c r="K8" s="1" t="s">
        <v>74</v>
      </c>
      <c r="L8" s="1" t="s">
        <v>74</v>
      </c>
      <c r="M8" s="1" t="s">
        <v>74</v>
      </c>
      <c r="N8" s="1" t="s">
        <v>74</v>
      </c>
      <c r="O8" s="1" t="s">
        <v>74</v>
      </c>
      <c r="P8" s="1" t="s">
        <v>74</v>
      </c>
      <c r="Q8" s="1" t="s">
        <v>74</v>
      </c>
      <c r="R8" s="1" t="s">
        <v>74</v>
      </c>
      <c r="S8" s="1" t="s">
        <v>74</v>
      </c>
      <c r="T8" s="1" t="s">
        <v>74</v>
      </c>
      <c r="U8" s="1" t="s">
        <v>74</v>
      </c>
      <c r="V8" s="1" t="s">
        <v>159</v>
      </c>
      <c r="W8" s="1" t="s">
        <v>74</v>
      </c>
      <c r="X8" s="1" t="s">
        <v>74</v>
      </c>
      <c r="Y8" s="1" t="s">
        <v>74</v>
      </c>
      <c r="Z8" s="1" t="s">
        <v>74</v>
      </c>
      <c r="AA8" s="1" t="s">
        <v>160</v>
      </c>
      <c r="AB8" s="1" t="s">
        <v>161</v>
      </c>
      <c r="AC8" s="1" t="s">
        <v>74</v>
      </c>
      <c r="AD8" s="1" t="s">
        <v>74</v>
      </c>
      <c r="AE8" s="1" t="s">
        <v>74</v>
      </c>
      <c r="AF8" s="1" t="s">
        <v>74</v>
      </c>
      <c r="AG8" s="1" t="s">
        <v>74</v>
      </c>
      <c r="AH8" s="1" t="s">
        <v>74</v>
      </c>
      <c r="AI8" s="1" t="s">
        <v>74</v>
      </c>
      <c r="AJ8" s="1" t="s">
        <v>74</v>
      </c>
      <c r="AK8" s="1" t="s">
        <v>74</v>
      </c>
      <c r="AL8" s="1" t="s">
        <v>74</v>
      </c>
      <c r="AM8" s="1" t="s">
        <v>74</v>
      </c>
      <c r="AN8" s="1" t="s">
        <v>74</v>
      </c>
      <c r="AO8" s="1" t="s">
        <v>162</v>
      </c>
      <c r="AP8" s="1" t="s">
        <v>163</v>
      </c>
      <c r="AQ8" s="1" t="s">
        <v>74</v>
      </c>
      <c r="AR8" s="1" t="s">
        <v>74</v>
      </c>
      <c r="AS8" s="1" t="s">
        <v>74</v>
      </c>
      <c r="AT8" s="1" t="s">
        <v>164</v>
      </c>
      <c r="AU8" s="1">
        <v>2003.0</v>
      </c>
      <c r="AV8" s="1">
        <v>18.0</v>
      </c>
      <c r="AW8" s="1">
        <v>4.0</v>
      </c>
      <c r="AX8" s="1" t="s">
        <v>74</v>
      </c>
      <c r="AY8" s="1" t="s">
        <v>74</v>
      </c>
      <c r="AZ8" s="1" t="s">
        <v>74</v>
      </c>
      <c r="BA8" s="1" t="s">
        <v>74</v>
      </c>
      <c r="BB8" s="1">
        <v>339.0</v>
      </c>
      <c r="BC8" s="1">
        <v>347.0</v>
      </c>
      <c r="BD8" s="1" t="s">
        <v>74</v>
      </c>
      <c r="BE8" s="1" t="s">
        <v>165</v>
      </c>
      <c r="BF8" s="2" t="str">
        <f>HYPERLINK("http://dx.doi.org/10.1080/1475636031000118437","http://dx.doi.org/10.1080/1475636031000118437")</f>
        <v>http://dx.doi.org/10.1080/1475636031000118437</v>
      </c>
      <c r="BG8" s="1" t="s">
        <v>74</v>
      </c>
      <c r="BH8" s="1" t="s">
        <v>74</v>
      </c>
      <c r="BI8" s="1" t="s">
        <v>74</v>
      </c>
      <c r="BJ8" s="1" t="s">
        <v>74</v>
      </c>
      <c r="BK8" s="1" t="s">
        <v>74</v>
      </c>
      <c r="BL8" s="1" t="s">
        <v>74</v>
      </c>
      <c r="BM8" s="1" t="s">
        <v>74</v>
      </c>
      <c r="BN8" s="1">
        <v>1.4567549E7</v>
      </c>
      <c r="BO8" s="1" t="s">
        <v>74</v>
      </c>
      <c r="BP8" s="1" t="s">
        <v>74</v>
      </c>
      <c r="BQ8" s="1" t="s">
        <v>74</v>
      </c>
      <c r="BR8" s="1" t="s">
        <v>74</v>
      </c>
      <c r="BS8" s="1" t="s">
        <v>166</v>
      </c>
      <c r="BT8" s="1" t="str">
        <f>HYPERLINK("https%3A%2F%2Fwww.webofscience.com%2Fwos%2Fwoscc%2Ffull-record%2FWOS:000184179800008","View Full Record in Web of Science")</f>
        <v>View Full Record in Web of Science</v>
      </c>
    </row>
    <row r="9" ht="12.75" customHeight="1">
      <c r="A9" s="1" t="s">
        <v>72</v>
      </c>
      <c r="B9" s="1" t="s">
        <v>167</v>
      </c>
      <c r="C9" s="1" t="s">
        <v>74</v>
      </c>
      <c r="D9" s="1" t="s">
        <v>74</v>
      </c>
      <c r="E9" s="1" t="s">
        <v>74</v>
      </c>
      <c r="F9" s="1" t="s">
        <v>167</v>
      </c>
      <c r="G9" s="1" t="s">
        <v>74</v>
      </c>
      <c r="H9" s="1" t="s">
        <v>74</v>
      </c>
      <c r="I9" s="1" t="s">
        <v>168</v>
      </c>
      <c r="J9" s="1" t="s">
        <v>169</v>
      </c>
      <c r="K9" s="1" t="s">
        <v>74</v>
      </c>
      <c r="L9" s="1" t="s">
        <v>74</v>
      </c>
      <c r="M9" s="1" t="s">
        <v>74</v>
      </c>
      <c r="N9" s="1" t="s">
        <v>74</v>
      </c>
      <c r="O9" s="1" t="s">
        <v>74</v>
      </c>
      <c r="P9" s="1" t="s">
        <v>74</v>
      </c>
      <c r="Q9" s="1" t="s">
        <v>74</v>
      </c>
      <c r="R9" s="1" t="s">
        <v>74</v>
      </c>
      <c r="S9" s="1" t="s">
        <v>74</v>
      </c>
      <c r="T9" s="1" t="s">
        <v>74</v>
      </c>
      <c r="U9" s="1" t="s">
        <v>74</v>
      </c>
      <c r="V9" s="1" t="s">
        <v>170</v>
      </c>
      <c r="W9" s="1" t="s">
        <v>74</v>
      </c>
      <c r="X9" s="1" t="s">
        <v>74</v>
      </c>
      <c r="Y9" s="1" t="s">
        <v>74</v>
      </c>
      <c r="Z9" s="1" t="s">
        <v>74</v>
      </c>
      <c r="AA9" s="1" t="s">
        <v>171</v>
      </c>
      <c r="AB9" s="1" t="s">
        <v>172</v>
      </c>
      <c r="AC9" s="1" t="s">
        <v>74</v>
      </c>
      <c r="AD9" s="1" t="s">
        <v>74</v>
      </c>
      <c r="AE9" s="1" t="s">
        <v>74</v>
      </c>
      <c r="AF9" s="1" t="s">
        <v>74</v>
      </c>
      <c r="AG9" s="1" t="s">
        <v>74</v>
      </c>
      <c r="AH9" s="1" t="s">
        <v>74</v>
      </c>
      <c r="AI9" s="1" t="s">
        <v>74</v>
      </c>
      <c r="AJ9" s="1" t="s">
        <v>74</v>
      </c>
      <c r="AK9" s="1" t="s">
        <v>74</v>
      </c>
      <c r="AL9" s="1" t="s">
        <v>74</v>
      </c>
      <c r="AM9" s="1" t="s">
        <v>74</v>
      </c>
      <c r="AN9" s="1" t="s">
        <v>74</v>
      </c>
      <c r="AO9" s="1" t="s">
        <v>173</v>
      </c>
      <c r="AP9" s="1" t="s">
        <v>174</v>
      </c>
      <c r="AQ9" s="1" t="s">
        <v>74</v>
      </c>
      <c r="AR9" s="1" t="s">
        <v>74</v>
      </c>
      <c r="AS9" s="1" t="s">
        <v>74</v>
      </c>
      <c r="AT9" s="1" t="s">
        <v>175</v>
      </c>
      <c r="AU9" s="1">
        <v>2001.0</v>
      </c>
      <c r="AV9" s="1">
        <v>520.0</v>
      </c>
      <c r="AW9" s="1" t="s">
        <v>176</v>
      </c>
      <c r="AX9" s="1" t="s">
        <v>74</v>
      </c>
      <c r="AY9" s="1" t="s">
        <v>74</v>
      </c>
      <c r="AZ9" s="1" t="s">
        <v>74</v>
      </c>
      <c r="BA9" s="1" t="s">
        <v>74</v>
      </c>
      <c r="BB9" s="1">
        <v>421.0</v>
      </c>
      <c r="BC9" s="1">
        <v>426.0</v>
      </c>
      <c r="BD9" s="1" t="s">
        <v>74</v>
      </c>
      <c r="BE9" s="1" t="s">
        <v>177</v>
      </c>
      <c r="BF9" s="2" t="str">
        <f>HYPERLINK("http://dx.doi.org/10.1016/S0370-2693(01)01141-8","http://dx.doi.org/10.1016/S0370-2693(01)01141-8")</f>
        <v>http://dx.doi.org/10.1016/S0370-2693(01)01141-8</v>
      </c>
      <c r="BG9" s="1" t="s">
        <v>74</v>
      </c>
      <c r="BH9" s="1" t="s">
        <v>74</v>
      </c>
      <c r="BI9" s="1" t="s">
        <v>74</v>
      </c>
      <c r="BJ9" s="1" t="s">
        <v>74</v>
      </c>
      <c r="BK9" s="1" t="s">
        <v>74</v>
      </c>
      <c r="BL9" s="1" t="s">
        <v>74</v>
      </c>
      <c r="BM9" s="1" t="s">
        <v>74</v>
      </c>
      <c r="BN9" s="1" t="s">
        <v>74</v>
      </c>
      <c r="BO9" s="1" t="s">
        <v>74</v>
      </c>
      <c r="BP9" s="1" t="s">
        <v>74</v>
      </c>
      <c r="BQ9" s="1" t="s">
        <v>74</v>
      </c>
      <c r="BR9" s="1" t="s">
        <v>74</v>
      </c>
      <c r="BS9" s="1" t="s">
        <v>178</v>
      </c>
      <c r="BT9" s="1" t="str">
        <f>HYPERLINK("https%3A%2F%2Fwww.webofscience.com%2Fwos%2Fwoscc%2Ffull-record%2FWOS:000172156600034","View Full Record in Web of Science")</f>
        <v>View Full Record in Web of Science</v>
      </c>
    </row>
    <row r="10" ht="12.75" customHeight="1">
      <c r="A10" s="1" t="s">
        <v>72</v>
      </c>
      <c r="B10" s="1" t="s">
        <v>179</v>
      </c>
      <c r="C10" s="1" t="s">
        <v>74</v>
      </c>
      <c r="D10" s="1" t="s">
        <v>74</v>
      </c>
      <c r="E10" s="1" t="s">
        <v>74</v>
      </c>
      <c r="F10" s="1" t="s">
        <v>180</v>
      </c>
      <c r="G10" s="1" t="s">
        <v>74</v>
      </c>
      <c r="H10" s="1" t="s">
        <v>74</v>
      </c>
      <c r="I10" s="1" t="s">
        <v>181</v>
      </c>
      <c r="J10" s="1" t="s">
        <v>182</v>
      </c>
      <c r="K10" s="1" t="s">
        <v>74</v>
      </c>
      <c r="L10" s="1" t="s">
        <v>74</v>
      </c>
      <c r="M10" s="1" t="s">
        <v>74</v>
      </c>
      <c r="N10" s="1" t="s">
        <v>74</v>
      </c>
      <c r="O10" s="1" t="s">
        <v>74</v>
      </c>
      <c r="P10" s="1" t="s">
        <v>74</v>
      </c>
      <c r="Q10" s="1" t="s">
        <v>74</v>
      </c>
      <c r="R10" s="1" t="s">
        <v>74</v>
      </c>
      <c r="S10" s="1" t="s">
        <v>74</v>
      </c>
      <c r="T10" s="1" t="s">
        <v>74</v>
      </c>
      <c r="U10" s="1" t="s">
        <v>74</v>
      </c>
      <c r="V10" s="1" t="s">
        <v>183</v>
      </c>
      <c r="W10" s="1" t="s">
        <v>74</v>
      </c>
      <c r="X10" s="1" t="s">
        <v>74</v>
      </c>
      <c r="Y10" s="1" t="s">
        <v>74</v>
      </c>
      <c r="Z10" s="1" t="s">
        <v>74</v>
      </c>
      <c r="AA10" s="1" t="s">
        <v>184</v>
      </c>
      <c r="AB10" s="1" t="s">
        <v>185</v>
      </c>
      <c r="AC10" s="1" t="s">
        <v>74</v>
      </c>
      <c r="AD10" s="1" t="s">
        <v>74</v>
      </c>
      <c r="AE10" s="1" t="s">
        <v>74</v>
      </c>
      <c r="AF10" s="1" t="s">
        <v>74</v>
      </c>
      <c r="AG10" s="1" t="s">
        <v>74</v>
      </c>
      <c r="AH10" s="1" t="s">
        <v>74</v>
      </c>
      <c r="AI10" s="1" t="s">
        <v>74</v>
      </c>
      <c r="AJ10" s="1" t="s">
        <v>74</v>
      </c>
      <c r="AK10" s="1" t="s">
        <v>74</v>
      </c>
      <c r="AL10" s="1" t="s">
        <v>74</v>
      </c>
      <c r="AM10" s="1" t="s">
        <v>74</v>
      </c>
      <c r="AN10" s="1" t="s">
        <v>74</v>
      </c>
      <c r="AO10" s="1" t="s">
        <v>186</v>
      </c>
      <c r="AP10" s="1" t="s">
        <v>187</v>
      </c>
      <c r="AQ10" s="1" t="s">
        <v>74</v>
      </c>
      <c r="AR10" s="1" t="s">
        <v>74</v>
      </c>
      <c r="AS10" s="1" t="s">
        <v>74</v>
      </c>
      <c r="AT10" s="1" t="s">
        <v>188</v>
      </c>
      <c r="AU10" s="1">
        <v>2023.0</v>
      </c>
      <c r="AV10" s="1" t="s">
        <v>74</v>
      </c>
      <c r="AW10" s="1" t="s">
        <v>74</v>
      </c>
      <c r="AX10" s="1" t="s">
        <v>74</v>
      </c>
      <c r="AY10" s="1" t="s">
        <v>74</v>
      </c>
      <c r="AZ10" s="1" t="s">
        <v>74</v>
      </c>
      <c r="BA10" s="1" t="s">
        <v>74</v>
      </c>
      <c r="BB10" s="1" t="s">
        <v>74</v>
      </c>
      <c r="BC10" s="1" t="s">
        <v>74</v>
      </c>
      <c r="BD10" s="1" t="s">
        <v>74</v>
      </c>
      <c r="BE10" s="1" t="s">
        <v>189</v>
      </c>
      <c r="BF10" s="2" t="str">
        <f>HYPERLINK("http://dx.doi.org/10.1108/JEIM-04-2023-0199","http://dx.doi.org/10.1108/JEIM-04-2023-0199")</f>
        <v>http://dx.doi.org/10.1108/JEIM-04-2023-0199</v>
      </c>
      <c r="BG10" s="1" t="s">
        <v>74</v>
      </c>
      <c r="BH10" s="1" t="s">
        <v>190</v>
      </c>
      <c r="BI10" s="1" t="s">
        <v>74</v>
      </c>
      <c r="BJ10" s="1" t="s">
        <v>74</v>
      </c>
      <c r="BK10" s="1" t="s">
        <v>74</v>
      </c>
      <c r="BL10" s="1" t="s">
        <v>74</v>
      </c>
      <c r="BM10" s="1" t="s">
        <v>74</v>
      </c>
      <c r="BN10" s="1" t="s">
        <v>74</v>
      </c>
      <c r="BO10" s="1" t="s">
        <v>74</v>
      </c>
      <c r="BP10" s="1" t="s">
        <v>74</v>
      </c>
      <c r="BQ10" s="1" t="s">
        <v>74</v>
      </c>
      <c r="BR10" s="1" t="s">
        <v>74</v>
      </c>
      <c r="BS10" s="1" t="s">
        <v>191</v>
      </c>
      <c r="BT10" s="1" t="str">
        <f>HYPERLINK("https%3A%2F%2Fwww.webofscience.com%2Fwos%2Fwoscc%2Ffull-record%2FWOS:001121991300001","View Full Record in Web of Science")</f>
        <v>View Full Record in Web of Science</v>
      </c>
    </row>
    <row r="11" ht="12.75" customHeight="1">
      <c r="A11" s="1" t="s">
        <v>72</v>
      </c>
      <c r="B11" s="1" t="s">
        <v>192</v>
      </c>
      <c r="C11" s="1" t="s">
        <v>74</v>
      </c>
      <c r="D11" s="1" t="s">
        <v>74</v>
      </c>
      <c r="E11" s="1" t="s">
        <v>74</v>
      </c>
      <c r="F11" s="1" t="s">
        <v>193</v>
      </c>
      <c r="G11" s="1" t="s">
        <v>74</v>
      </c>
      <c r="H11" s="1" t="s">
        <v>74</v>
      </c>
      <c r="I11" s="1" t="s">
        <v>194</v>
      </c>
      <c r="J11" s="1" t="s">
        <v>195</v>
      </c>
      <c r="K11" s="1" t="s">
        <v>74</v>
      </c>
      <c r="L11" s="1" t="s">
        <v>74</v>
      </c>
      <c r="M11" s="1" t="s">
        <v>74</v>
      </c>
      <c r="N11" s="1" t="s">
        <v>74</v>
      </c>
      <c r="O11" s="1" t="s">
        <v>74</v>
      </c>
      <c r="P11" s="1" t="s">
        <v>74</v>
      </c>
      <c r="Q11" s="1" t="s">
        <v>74</v>
      </c>
      <c r="R11" s="1" t="s">
        <v>74</v>
      </c>
      <c r="S11" s="1" t="s">
        <v>74</v>
      </c>
      <c r="T11" s="1" t="s">
        <v>74</v>
      </c>
      <c r="U11" s="1" t="s">
        <v>74</v>
      </c>
      <c r="V11" s="1" t="s">
        <v>196</v>
      </c>
      <c r="W11" s="1" t="s">
        <v>74</v>
      </c>
      <c r="X11" s="1" t="s">
        <v>74</v>
      </c>
      <c r="Y11" s="1" t="s">
        <v>74</v>
      </c>
      <c r="Z11" s="1" t="s">
        <v>74</v>
      </c>
      <c r="AA11" s="1" t="s">
        <v>197</v>
      </c>
      <c r="AB11" s="1" t="s">
        <v>198</v>
      </c>
      <c r="AC11" s="1" t="s">
        <v>74</v>
      </c>
      <c r="AD11" s="1" t="s">
        <v>74</v>
      </c>
      <c r="AE11" s="1" t="s">
        <v>74</v>
      </c>
      <c r="AF11" s="1" t="s">
        <v>74</v>
      </c>
      <c r="AG11" s="1" t="s">
        <v>74</v>
      </c>
      <c r="AH11" s="1" t="s">
        <v>74</v>
      </c>
      <c r="AI11" s="1" t="s">
        <v>74</v>
      </c>
      <c r="AJ11" s="1" t="s">
        <v>74</v>
      </c>
      <c r="AK11" s="1" t="s">
        <v>74</v>
      </c>
      <c r="AL11" s="1" t="s">
        <v>74</v>
      </c>
      <c r="AM11" s="1" t="s">
        <v>74</v>
      </c>
      <c r="AN11" s="1" t="s">
        <v>74</v>
      </c>
      <c r="AO11" s="1" t="s">
        <v>199</v>
      </c>
      <c r="AP11" s="1" t="s">
        <v>200</v>
      </c>
      <c r="AQ11" s="1" t="s">
        <v>74</v>
      </c>
      <c r="AR11" s="1" t="s">
        <v>74</v>
      </c>
      <c r="AS11" s="1" t="s">
        <v>74</v>
      </c>
      <c r="AT11" s="1" t="s">
        <v>201</v>
      </c>
      <c r="AU11" s="1">
        <v>2023.0</v>
      </c>
      <c r="AV11" s="1">
        <v>78.0</v>
      </c>
      <c r="AW11" s="1">
        <v>5.0</v>
      </c>
      <c r="AX11" s="1" t="s">
        <v>74</v>
      </c>
      <c r="AY11" s="1" t="s">
        <v>74</v>
      </c>
      <c r="AZ11" s="1" t="s">
        <v>74</v>
      </c>
      <c r="BA11" s="1" t="s">
        <v>74</v>
      </c>
      <c r="BB11" s="1" t="s">
        <v>74</v>
      </c>
      <c r="BC11" s="1" t="s">
        <v>74</v>
      </c>
      <c r="BD11" s="1">
        <v>167.0</v>
      </c>
      <c r="BE11" s="1" t="s">
        <v>202</v>
      </c>
      <c r="BF11" s="2" t="str">
        <f>HYPERLINK("http://dx.doi.org/10.1007/s00025-023-01942-2","http://dx.doi.org/10.1007/s00025-023-01942-2")</f>
        <v>http://dx.doi.org/10.1007/s00025-023-01942-2</v>
      </c>
      <c r="BG11" s="1" t="s">
        <v>74</v>
      </c>
      <c r="BH11" s="1" t="s">
        <v>74</v>
      </c>
      <c r="BI11" s="1" t="s">
        <v>74</v>
      </c>
      <c r="BJ11" s="1" t="s">
        <v>74</v>
      </c>
      <c r="BK11" s="1" t="s">
        <v>74</v>
      </c>
      <c r="BL11" s="1" t="s">
        <v>74</v>
      </c>
      <c r="BM11" s="1" t="s">
        <v>74</v>
      </c>
      <c r="BN11" s="1" t="s">
        <v>74</v>
      </c>
      <c r="BO11" s="1" t="s">
        <v>74</v>
      </c>
      <c r="BP11" s="1" t="s">
        <v>74</v>
      </c>
      <c r="BQ11" s="1" t="s">
        <v>74</v>
      </c>
      <c r="BR11" s="1" t="s">
        <v>74</v>
      </c>
      <c r="BS11" s="1" t="s">
        <v>203</v>
      </c>
      <c r="BT11" s="1" t="str">
        <f>HYPERLINK("https%3A%2F%2Fwww.webofscience.com%2Fwos%2Fwoscc%2Ffull-record%2FWOS:001018450300003","View Full Record in Web of Science")</f>
        <v>View Full Record in Web of Science</v>
      </c>
    </row>
    <row r="12" ht="12.75" customHeight="1">
      <c r="A12" s="1" t="s">
        <v>72</v>
      </c>
      <c r="B12" s="1" t="s">
        <v>204</v>
      </c>
      <c r="C12" s="1" t="s">
        <v>74</v>
      </c>
      <c r="D12" s="1" t="s">
        <v>74</v>
      </c>
      <c r="E12" s="1" t="s">
        <v>74</v>
      </c>
      <c r="F12" s="1" t="s">
        <v>205</v>
      </c>
      <c r="G12" s="1" t="s">
        <v>74</v>
      </c>
      <c r="H12" s="1" t="s">
        <v>74</v>
      </c>
      <c r="I12" s="1" t="s">
        <v>206</v>
      </c>
      <c r="J12" s="1" t="s">
        <v>207</v>
      </c>
      <c r="K12" s="1" t="s">
        <v>74</v>
      </c>
      <c r="L12" s="1" t="s">
        <v>74</v>
      </c>
      <c r="M12" s="1" t="s">
        <v>74</v>
      </c>
      <c r="N12" s="1" t="s">
        <v>74</v>
      </c>
      <c r="O12" s="1" t="s">
        <v>74</v>
      </c>
      <c r="P12" s="1" t="s">
        <v>74</v>
      </c>
      <c r="Q12" s="1" t="s">
        <v>74</v>
      </c>
      <c r="R12" s="1" t="s">
        <v>74</v>
      </c>
      <c r="S12" s="1" t="s">
        <v>74</v>
      </c>
      <c r="T12" s="1" t="s">
        <v>74</v>
      </c>
      <c r="U12" s="1" t="s">
        <v>74</v>
      </c>
      <c r="V12" s="1" t="s">
        <v>208</v>
      </c>
      <c r="W12" s="1" t="s">
        <v>74</v>
      </c>
      <c r="X12" s="1" t="s">
        <v>74</v>
      </c>
      <c r="Y12" s="1" t="s">
        <v>74</v>
      </c>
      <c r="Z12" s="1" t="s">
        <v>74</v>
      </c>
      <c r="AA12" s="1" t="s">
        <v>209</v>
      </c>
      <c r="AB12" s="1" t="s">
        <v>210</v>
      </c>
      <c r="AC12" s="1" t="s">
        <v>74</v>
      </c>
      <c r="AD12" s="1" t="s">
        <v>74</v>
      </c>
      <c r="AE12" s="1" t="s">
        <v>74</v>
      </c>
      <c r="AF12" s="1" t="s">
        <v>74</v>
      </c>
      <c r="AG12" s="1" t="s">
        <v>74</v>
      </c>
      <c r="AH12" s="1" t="s">
        <v>74</v>
      </c>
      <c r="AI12" s="1" t="s">
        <v>74</v>
      </c>
      <c r="AJ12" s="1" t="s">
        <v>74</v>
      </c>
      <c r="AK12" s="1" t="s">
        <v>74</v>
      </c>
      <c r="AL12" s="1" t="s">
        <v>74</v>
      </c>
      <c r="AM12" s="1" t="s">
        <v>74</v>
      </c>
      <c r="AN12" s="1" t="s">
        <v>74</v>
      </c>
      <c r="AO12" s="1" t="s">
        <v>211</v>
      </c>
      <c r="AP12" s="1" t="s">
        <v>74</v>
      </c>
      <c r="AQ12" s="1" t="s">
        <v>74</v>
      </c>
      <c r="AR12" s="1" t="s">
        <v>74</v>
      </c>
      <c r="AS12" s="1" t="s">
        <v>74</v>
      </c>
      <c r="AT12" s="1" t="s">
        <v>212</v>
      </c>
      <c r="AU12" s="1">
        <v>2023.0</v>
      </c>
      <c r="AV12" s="1">
        <v>25.0</v>
      </c>
      <c r="AW12" s="1">
        <v>9.0</v>
      </c>
      <c r="AX12" s="1" t="s">
        <v>74</v>
      </c>
      <c r="AY12" s="1" t="s">
        <v>74</v>
      </c>
      <c r="AZ12" s="1" t="s">
        <v>74</v>
      </c>
      <c r="BA12" s="1" t="s">
        <v>74</v>
      </c>
      <c r="BB12" s="1" t="s">
        <v>74</v>
      </c>
      <c r="BC12" s="1" t="s">
        <v>74</v>
      </c>
      <c r="BD12" s="1">
        <v>93031.0</v>
      </c>
      <c r="BE12" s="1" t="s">
        <v>213</v>
      </c>
      <c r="BF12" s="2" t="str">
        <f>HYPERLINK("http://dx.doi.org/10.1088/1367-2630/acf2bd","http://dx.doi.org/10.1088/1367-2630/acf2bd")</f>
        <v>http://dx.doi.org/10.1088/1367-2630/acf2bd</v>
      </c>
      <c r="BG12" s="1" t="s">
        <v>74</v>
      </c>
      <c r="BH12" s="1" t="s">
        <v>74</v>
      </c>
      <c r="BI12" s="1" t="s">
        <v>74</v>
      </c>
      <c r="BJ12" s="1" t="s">
        <v>74</v>
      </c>
      <c r="BK12" s="1" t="s">
        <v>74</v>
      </c>
      <c r="BL12" s="1" t="s">
        <v>74</v>
      </c>
      <c r="BM12" s="1" t="s">
        <v>74</v>
      </c>
      <c r="BN12" s="1" t="s">
        <v>74</v>
      </c>
      <c r="BO12" s="1" t="s">
        <v>74</v>
      </c>
      <c r="BP12" s="1" t="s">
        <v>74</v>
      </c>
      <c r="BQ12" s="1" t="s">
        <v>74</v>
      </c>
      <c r="BR12" s="1" t="s">
        <v>74</v>
      </c>
      <c r="BS12" s="1" t="s">
        <v>214</v>
      </c>
      <c r="BT12" s="1" t="str">
        <f>HYPERLINK("https%3A%2F%2Fwww.webofscience.com%2Fwos%2Fwoscc%2Ffull-record%2FWOS:001119219700001","View Full Record in Web of Science")</f>
        <v>View Full Record in Web of Science</v>
      </c>
    </row>
    <row r="13" ht="12.75" customHeight="1">
      <c r="A13" s="1" t="s">
        <v>72</v>
      </c>
      <c r="B13" s="1" t="s">
        <v>215</v>
      </c>
      <c r="C13" s="1" t="s">
        <v>74</v>
      </c>
      <c r="D13" s="1" t="s">
        <v>74</v>
      </c>
      <c r="E13" s="1" t="s">
        <v>74</v>
      </c>
      <c r="F13" s="1" t="s">
        <v>216</v>
      </c>
      <c r="G13" s="1" t="s">
        <v>74</v>
      </c>
      <c r="H13" s="1" t="s">
        <v>74</v>
      </c>
      <c r="I13" s="1" t="s">
        <v>217</v>
      </c>
      <c r="J13" s="1" t="s">
        <v>218</v>
      </c>
      <c r="K13" s="1" t="s">
        <v>74</v>
      </c>
      <c r="L13" s="1" t="s">
        <v>74</v>
      </c>
      <c r="M13" s="1" t="s">
        <v>74</v>
      </c>
      <c r="N13" s="1" t="s">
        <v>74</v>
      </c>
      <c r="O13" s="1" t="s">
        <v>74</v>
      </c>
      <c r="P13" s="1" t="s">
        <v>74</v>
      </c>
      <c r="Q13" s="1" t="s">
        <v>74</v>
      </c>
      <c r="R13" s="1" t="s">
        <v>74</v>
      </c>
      <c r="S13" s="1" t="s">
        <v>74</v>
      </c>
      <c r="T13" s="1" t="s">
        <v>74</v>
      </c>
      <c r="U13" s="1" t="s">
        <v>74</v>
      </c>
      <c r="V13" s="1" t="s">
        <v>219</v>
      </c>
      <c r="W13" s="1" t="s">
        <v>74</v>
      </c>
      <c r="X13" s="1" t="s">
        <v>74</v>
      </c>
      <c r="Y13" s="1" t="s">
        <v>74</v>
      </c>
      <c r="Z13" s="1" t="s">
        <v>74</v>
      </c>
      <c r="AA13" s="1" t="s">
        <v>74</v>
      </c>
      <c r="AB13" s="1" t="s">
        <v>220</v>
      </c>
      <c r="AC13" s="1" t="s">
        <v>74</v>
      </c>
      <c r="AD13" s="1" t="s">
        <v>74</v>
      </c>
      <c r="AE13" s="1" t="s">
        <v>74</v>
      </c>
      <c r="AF13" s="1" t="s">
        <v>74</v>
      </c>
      <c r="AG13" s="1" t="s">
        <v>74</v>
      </c>
      <c r="AH13" s="1" t="s">
        <v>74</v>
      </c>
      <c r="AI13" s="1" t="s">
        <v>74</v>
      </c>
      <c r="AJ13" s="1" t="s">
        <v>74</v>
      </c>
      <c r="AK13" s="1" t="s">
        <v>74</v>
      </c>
      <c r="AL13" s="1" t="s">
        <v>74</v>
      </c>
      <c r="AM13" s="1" t="s">
        <v>74</v>
      </c>
      <c r="AN13" s="1" t="s">
        <v>74</v>
      </c>
      <c r="AO13" s="1" t="s">
        <v>221</v>
      </c>
      <c r="AP13" s="1" t="s">
        <v>222</v>
      </c>
      <c r="AQ13" s="1" t="s">
        <v>74</v>
      </c>
      <c r="AR13" s="1" t="s">
        <v>74</v>
      </c>
      <c r="AS13" s="1" t="s">
        <v>74</v>
      </c>
      <c r="AT13" s="1" t="s">
        <v>111</v>
      </c>
      <c r="AU13" s="1">
        <v>2023.0</v>
      </c>
      <c r="AV13" s="1">
        <v>635.0</v>
      </c>
      <c r="AW13" s="1" t="s">
        <v>74</v>
      </c>
      <c r="AX13" s="1" t="s">
        <v>74</v>
      </c>
      <c r="AY13" s="1" t="s">
        <v>74</v>
      </c>
      <c r="AZ13" s="1" t="s">
        <v>74</v>
      </c>
      <c r="BA13" s="1" t="s">
        <v>74</v>
      </c>
      <c r="BB13" s="1">
        <v>1.0</v>
      </c>
      <c r="BC13" s="1">
        <v>22.0</v>
      </c>
      <c r="BD13" s="1" t="s">
        <v>74</v>
      </c>
      <c r="BE13" s="1" t="s">
        <v>223</v>
      </c>
      <c r="BF13" s="2" t="str">
        <f>HYPERLINK("http://dx.doi.org/10.1016/j.jalgebra.2023.07.020","http://dx.doi.org/10.1016/j.jalgebra.2023.07.020")</f>
        <v>http://dx.doi.org/10.1016/j.jalgebra.2023.07.020</v>
      </c>
      <c r="BG13" s="1" t="s">
        <v>74</v>
      </c>
      <c r="BH13" s="1" t="s">
        <v>224</v>
      </c>
      <c r="BI13" s="1" t="s">
        <v>74</v>
      </c>
      <c r="BJ13" s="1" t="s">
        <v>74</v>
      </c>
      <c r="BK13" s="1" t="s">
        <v>74</v>
      </c>
      <c r="BL13" s="1" t="s">
        <v>74</v>
      </c>
      <c r="BM13" s="1" t="s">
        <v>74</v>
      </c>
      <c r="BN13" s="1" t="s">
        <v>74</v>
      </c>
      <c r="BO13" s="1" t="s">
        <v>74</v>
      </c>
      <c r="BP13" s="1" t="s">
        <v>74</v>
      </c>
      <c r="BQ13" s="1" t="s">
        <v>74</v>
      </c>
      <c r="BR13" s="1" t="s">
        <v>74</v>
      </c>
      <c r="BS13" s="1" t="s">
        <v>225</v>
      </c>
      <c r="BT13" s="1" t="str">
        <f>HYPERLINK("https%3A%2F%2Fwww.webofscience.com%2Fwos%2Fwoscc%2Ffull-record%2FWOS:001062630000001","View Full Record in Web of Science")</f>
        <v>View Full Record in Web of Science</v>
      </c>
    </row>
    <row r="14" ht="12.75" customHeight="1">
      <c r="A14" s="1" t="s">
        <v>72</v>
      </c>
      <c r="B14" s="1" t="s">
        <v>226</v>
      </c>
      <c r="C14" s="1" t="s">
        <v>74</v>
      </c>
      <c r="D14" s="1" t="s">
        <v>74</v>
      </c>
      <c r="E14" s="1" t="s">
        <v>74</v>
      </c>
      <c r="F14" s="1" t="s">
        <v>227</v>
      </c>
      <c r="G14" s="1" t="s">
        <v>74</v>
      </c>
      <c r="H14" s="1" t="s">
        <v>74</v>
      </c>
      <c r="I14" s="1" t="s">
        <v>228</v>
      </c>
      <c r="J14" s="1" t="s">
        <v>229</v>
      </c>
      <c r="K14" s="1" t="s">
        <v>74</v>
      </c>
      <c r="L14" s="1" t="s">
        <v>74</v>
      </c>
      <c r="M14" s="1" t="s">
        <v>74</v>
      </c>
      <c r="N14" s="1" t="s">
        <v>74</v>
      </c>
      <c r="O14" s="1" t="s">
        <v>74</v>
      </c>
      <c r="P14" s="1" t="s">
        <v>74</v>
      </c>
      <c r="Q14" s="1" t="s">
        <v>74</v>
      </c>
      <c r="R14" s="1" t="s">
        <v>74</v>
      </c>
      <c r="S14" s="1" t="s">
        <v>74</v>
      </c>
      <c r="T14" s="1" t="s">
        <v>74</v>
      </c>
      <c r="U14" s="1" t="s">
        <v>74</v>
      </c>
      <c r="V14" s="1" t="s">
        <v>230</v>
      </c>
      <c r="W14" s="1" t="s">
        <v>74</v>
      </c>
      <c r="X14" s="1" t="s">
        <v>74</v>
      </c>
      <c r="Y14" s="1" t="s">
        <v>74</v>
      </c>
      <c r="Z14" s="1" t="s">
        <v>74</v>
      </c>
      <c r="AA14" s="1" t="s">
        <v>231</v>
      </c>
      <c r="AB14" s="1" t="s">
        <v>232</v>
      </c>
      <c r="AC14" s="1" t="s">
        <v>74</v>
      </c>
      <c r="AD14" s="1" t="s">
        <v>74</v>
      </c>
      <c r="AE14" s="1" t="s">
        <v>74</v>
      </c>
      <c r="AF14" s="1" t="s">
        <v>74</v>
      </c>
      <c r="AG14" s="1" t="s">
        <v>74</v>
      </c>
      <c r="AH14" s="1" t="s">
        <v>74</v>
      </c>
      <c r="AI14" s="1" t="s">
        <v>74</v>
      </c>
      <c r="AJ14" s="1" t="s">
        <v>74</v>
      </c>
      <c r="AK14" s="1" t="s">
        <v>74</v>
      </c>
      <c r="AL14" s="1" t="s">
        <v>74</v>
      </c>
      <c r="AM14" s="1" t="s">
        <v>74</v>
      </c>
      <c r="AN14" s="1" t="s">
        <v>74</v>
      </c>
      <c r="AO14" s="1" t="s">
        <v>233</v>
      </c>
      <c r="AP14" s="1" t="s">
        <v>234</v>
      </c>
      <c r="AQ14" s="1" t="s">
        <v>74</v>
      </c>
      <c r="AR14" s="1" t="s">
        <v>74</v>
      </c>
      <c r="AS14" s="1" t="s">
        <v>74</v>
      </c>
      <c r="AT14" s="1" t="s">
        <v>235</v>
      </c>
      <c r="AU14" s="1">
        <v>2023.0</v>
      </c>
      <c r="AV14" s="1">
        <v>41.0</v>
      </c>
      <c r="AW14" s="1">
        <v>2.0</v>
      </c>
      <c r="AX14" s="1" t="s">
        <v>74</v>
      </c>
      <c r="AY14" s="1" t="s">
        <v>74</v>
      </c>
      <c r="AZ14" s="1" t="s">
        <v>74</v>
      </c>
      <c r="BA14" s="1" t="s">
        <v>74</v>
      </c>
      <c r="BB14" s="1">
        <v>600.0</v>
      </c>
      <c r="BC14" s="1">
        <v>606.0</v>
      </c>
      <c r="BD14" s="1" t="s">
        <v>74</v>
      </c>
      <c r="BE14" s="1" t="s">
        <v>74</v>
      </c>
      <c r="BF14" s="1" t="s">
        <v>74</v>
      </c>
      <c r="BG14" s="1" t="s">
        <v>74</v>
      </c>
      <c r="BH14" s="1" t="s">
        <v>74</v>
      </c>
      <c r="BI14" s="1" t="s">
        <v>74</v>
      </c>
      <c r="BJ14" s="1" t="s">
        <v>74</v>
      </c>
      <c r="BK14" s="1" t="s">
        <v>74</v>
      </c>
      <c r="BL14" s="1" t="s">
        <v>74</v>
      </c>
      <c r="BM14" s="1" t="s">
        <v>74</v>
      </c>
      <c r="BN14" s="1" t="s">
        <v>74</v>
      </c>
      <c r="BO14" s="1" t="s">
        <v>74</v>
      </c>
      <c r="BP14" s="1" t="s">
        <v>74</v>
      </c>
      <c r="BQ14" s="1" t="s">
        <v>74</v>
      </c>
      <c r="BR14" s="1" t="s">
        <v>74</v>
      </c>
      <c r="BS14" s="1" t="s">
        <v>236</v>
      </c>
      <c r="BT14" s="1" t="str">
        <f>HYPERLINK("https%3A%2F%2Fwww.webofscience.com%2Fwos%2Fwoscc%2Ffull-record%2FWOS:001001066200040","View Full Record in Web of Science")</f>
        <v>View Full Record in Web of Science</v>
      </c>
    </row>
    <row r="15" ht="12.75" customHeight="1">
      <c r="A15" s="1" t="s">
        <v>72</v>
      </c>
      <c r="B15" s="1" t="s">
        <v>237</v>
      </c>
      <c r="C15" s="1" t="s">
        <v>74</v>
      </c>
      <c r="D15" s="1" t="s">
        <v>74</v>
      </c>
      <c r="E15" s="1" t="s">
        <v>74</v>
      </c>
      <c r="F15" s="1" t="s">
        <v>238</v>
      </c>
      <c r="G15" s="1" t="s">
        <v>74</v>
      </c>
      <c r="H15" s="1" t="s">
        <v>74</v>
      </c>
      <c r="I15" s="1" t="s">
        <v>239</v>
      </c>
      <c r="J15" s="1" t="s">
        <v>77</v>
      </c>
      <c r="K15" s="1" t="s">
        <v>74</v>
      </c>
      <c r="L15" s="1" t="s">
        <v>74</v>
      </c>
      <c r="M15" s="1" t="s">
        <v>74</v>
      </c>
      <c r="N15" s="1" t="s">
        <v>74</v>
      </c>
      <c r="O15" s="1" t="s">
        <v>74</v>
      </c>
      <c r="P15" s="1" t="s">
        <v>74</v>
      </c>
      <c r="Q15" s="1" t="s">
        <v>74</v>
      </c>
      <c r="R15" s="1" t="s">
        <v>74</v>
      </c>
      <c r="S15" s="1" t="s">
        <v>74</v>
      </c>
      <c r="T15" s="1" t="s">
        <v>74</v>
      </c>
      <c r="U15" s="1" t="s">
        <v>74</v>
      </c>
      <c r="V15" s="1" t="s">
        <v>240</v>
      </c>
      <c r="W15" s="1" t="s">
        <v>74</v>
      </c>
      <c r="X15" s="1" t="s">
        <v>74</v>
      </c>
      <c r="Y15" s="1" t="s">
        <v>74</v>
      </c>
      <c r="Z15" s="1" t="s">
        <v>74</v>
      </c>
      <c r="AA15" s="1" t="s">
        <v>241</v>
      </c>
      <c r="AB15" s="1" t="s">
        <v>242</v>
      </c>
      <c r="AC15" s="1" t="s">
        <v>74</v>
      </c>
      <c r="AD15" s="1" t="s">
        <v>74</v>
      </c>
      <c r="AE15" s="1" t="s">
        <v>74</v>
      </c>
      <c r="AF15" s="1" t="s">
        <v>74</v>
      </c>
      <c r="AG15" s="1" t="s">
        <v>74</v>
      </c>
      <c r="AH15" s="1" t="s">
        <v>74</v>
      </c>
      <c r="AI15" s="1" t="s">
        <v>74</v>
      </c>
      <c r="AJ15" s="1" t="s">
        <v>74</v>
      </c>
      <c r="AK15" s="1" t="s">
        <v>74</v>
      </c>
      <c r="AL15" s="1" t="s">
        <v>74</v>
      </c>
      <c r="AM15" s="1" t="s">
        <v>74</v>
      </c>
      <c r="AN15" s="1" t="s">
        <v>74</v>
      </c>
      <c r="AO15" s="1" t="s">
        <v>81</v>
      </c>
      <c r="AP15" s="1" t="s">
        <v>74</v>
      </c>
      <c r="AQ15" s="1" t="s">
        <v>74</v>
      </c>
      <c r="AR15" s="1" t="s">
        <v>74</v>
      </c>
      <c r="AS15" s="1" t="s">
        <v>74</v>
      </c>
      <c r="AT15" s="1" t="s">
        <v>243</v>
      </c>
      <c r="AU15" s="1">
        <v>2023.0</v>
      </c>
      <c r="AV15" s="1">
        <v>18.0</v>
      </c>
      <c r="AW15" s="1">
        <v>2.0</v>
      </c>
      <c r="AX15" s="1" t="s">
        <v>74</v>
      </c>
      <c r="AY15" s="1" t="s">
        <v>74</v>
      </c>
      <c r="AZ15" s="1" t="s">
        <v>74</v>
      </c>
      <c r="BA15" s="1" t="s">
        <v>74</v>
      </c>
      <c r="BB15" s="1" t="s">
        <v>74</v>
      </c>
      <c r="BC15" s="1" t="s">
        <v>74</v>
      </c>
      <c r="BD15" s="1" t="s">
        <v>244</v>
      </c>
      <c r="BE15" s="1" t="s">
        <v>245</v>
      </c>
      <c r="BF15" s="2" t="str">
        <f>HYPERLINK("http://dx.doi.org/10.1371/journal.pone.0281807","http://dx.doi.org/10.1371/journal.pone.0281807")</f>
        <v>http://dx.doi.org/10.1371/journal.pone.0281807</v>
      </c>
      <c r="BG15" s="1" t="s">
        <v>74</v>
      </c>
      <c r="BH15" s="1" t="s">
        <v>74</v>
      </c>
      <c r="BI15" s="1" t="s">
        <v>74</v>
      </c>
      <c r="BJ15" s="1" t="s">
        <v>74</v>
      </c>
      <c r="BK15" s="1" t="s">
        <v>74</v>
      </c>
      <c r="BL15" s="1" t="s">
        <v>74</v>
      </c>
      <c r="BM15" s="1" t="s">
        <v>74</v>
      </c>
      <c r="BN15" s="1">
        <v>3.6795712E7</v>
      </c>
      <c r="BO15" s="1" t="s">
        <v>74</v>
      </c>
      <c r="BP15" s="1" t="s">
        <v>74</v>
      </c>
      <c r="BQ15" s="1" t="s">
        <v>74</v>
      </c>
      <c r="BR15" s="1" t="s">
        <v>74</v>
      </c>
      <c r="BS15" s="1" t="s">
        <v>246</v>
      </c>
      <c r="BT15" s="1" t="str">
        <f>HYPERLINK("https%3A%2F%2Fwww.webofscience.com%2Fwos%2Fwoscc%2Ffull-record%2FWOS:001047063700077","View Full Record in Web of Science")</f>
        <v>View Full Record in Web of Science</v>
      </c>
    </row>
    <row r="16" ht="12.75" customHeight="1">
      <c r="A16" s="1" t="s">
        <v>86</v>
      </c>
      <c r="B16" s="1" t="s">
        <v>247</v>
      </c>
      <c r="C16" s="1" t="s">
        <v>74</v>
      </c>
      <c r="D16" s="1" t="s">
        <v>74</v>
      </c>
      <c r="E16" s="1" t="s">
        <v>248</v>
      </c>
      <c r="F16" s="1" t="s">
        <v>249</v>
      </c>
      <c r="G16" s="1" t="s">
        <v>74</v>
      </c>
      <c r="H16" s="1" t="s">
        <v>74</v>
      </c>
      <c r="I16" s="1" t="s">
        <v>250</v>
      </c>
      <c r="J16" s="1" t="s">
        <v>251</v>
      </c>
      <c r="K16" s="1" t="s">
        <v>252</v>
      </c>
      <c r="L16" s="1" t="s">
        <v>74</v>
      </c>
      <c r="M16" s="1" t="s">
        <v>74</v>
      </c>
      <c r="N16" s="1" t="s">
        <v>74</v>
      </c>
      <c r="O16" s="1" t="s">
        <v>253</v>
      </c>
      <c r="P16" s="1" t="s">
        <v>254</v>
      </c>
      <c r="Q16" s="1" t="s">
        <v>255</v>
      </c>
      <c r="R16" s="1" t="s">
        <v>256</v>
      </c>
      <c r="S16" s="1" t="s">
        <v>74</v>
      </c>
      <c r="T16" s="1" t="s">
        <v>74</v>
      </c>
      <c r="U16" s="1" t="s">
        <v>74</v>
      </c>
      <c r="V16" s="1" t="s">
        <v>257</v>
      </c>
      <c r="W16" s="1" t="s">
        <v>74</v>
      </c>
      <c r="X16" s="1" t="s">
        <v>74</v>
      </c>
      <c r="Y16" s="1" t="s">
        <v>74</v>
      </c>
      <c r="Z16" s="1" t="s">
        <v>74</v>
      </c>
      <c r="AA16" s="1" t="s">
        <v>258</v>
      </c>
      <c r="AB16" s="1" t="s">
        <v>259</v>
      </c>
      <c r="AC16" s="1" t="s">
        <v>74</v>
      </c>
      <c r="AD16" s="1" t="s">
        <v>74</v>
      </c>
      <c r="AE16" s="1" t="s">
        <v>74</v>
      </c>
      <c r="AF16" s="1" t="s">
        <v>74</v>
      </c>
      <c r="AG16" s="1" t="s">
        <v>74</v>
      </c>
      <c r="AH16" s="1" t="s">
        <v>74</v>
      </c>
      <c r="AI16" s="1" t="s">
        <v>74</v>
      </c>
      <c r="AJ16" s="1" t="s">
        <v>74</v>
      </c>
      <c r="AK16" s="1" t="s">
        <v>74</v>
      </c>
      <c r="AL16" s="1" t="s">
        <v>74</v>
      </c>
      <c r="AM16" s="1" t="s">
        <v>74</v>
      </c>
      <c r="AN16" s="1" t="s">
        <v>74</v>
      </c>
      <c r="AO16" s="1" t="s">
        <v>260</v>
      </c>
      <c r="AP16" s="1" t="s">
        <v>261</v>
      </c>
      <c r="AQ16" s="1" t="s">
        <v>262</v>
      </c>
      <c r="AR16" s="1" t="s">
        <v>74</v>
      </c>
      <c r="AS16" s="1" t="s">
        <v>74</v>
      </c>
      <c r="AT16" s="1" t="s">
        <v>74</v>
      </c>
      <c r="AU16" s="1">
        <v>2023.0</v>
      </c>
      <c r="AV16" s="1" t="s">
        <v>74</v>
      </c>
      <c r="AW16" s="1" t="s">
        <v>74</v>
      </c>
      <c r="AX16" s="1" t="s">
        <v>74</v>
      </c>
      <c r="AY16" s="1" t="s">
        <v>74</v>
      </c>
      <c r="AZ16" s="1" t="s">
        <v>74</v>
      </c>
      <c r="BA16" s="1" t="s">
        <v>74</v>
      </c>
      <c r="BB16" s="1" t="s">
        <v>74</v>
      </c>
      <c r="BC16" s="1" t="s">
        <v>74</v>
      </c>
      <c r="BD16" s="1" t="s">
        <v>74</v>
      </c>
      <c r="BE16" s="1" t="s">
        <v>263</v>
      </c>
      <c r="BF16" s="2" t="str">
        <f>HYPERLINK("http://dx.doi.org/10.1109/EMBC40787.2023.10340262","http://dx.doi.org/10.1109/EMBC40787.2023.10340262")</f>
        <v>http://dx.doi.org/10.1109/EMBC40787.2023.10340262</v>
      </c>
      <c r="BG16" s="1" t="s">
        <v>74</v>
      </c>
      <c r="BH16" s="1" t="s">
        <v>74</v>
      </c>
      <c r="BI16" s="1" t="s">
        <v>74</v>
      </c>
      <c r="BJ16" s="1" t="s">
        <v>74</v>
      </c>
      <c r="BK16" s="1" t="s">
        <v>74</v>
      </c>
      <c r="BL16" s="1" t="s">
        <v>74</v>
      </c>
      <c r="BM16" s="1" t="s">
        <v>74</v>
      </c>
      <c r="BN16" s="1">
        <v>3.8082705E7</v>
      </c>
      <c r="BO16" s="1" t="s">
        <v>74</v>
      </c>
      <c r="BP16" s="1" t="s">
        <v>74</v>
      </c>
      <c r="BQ16" s="1" t="s">
        <v>74</v>
      </c>
      <c r="BR16" s="1" t="s">
        <v>74</v>
      </c>
      <c r="BS16" s="1" t="s">
        <v>264</v>
      </c>
      <c r="BT16" s="1" t="str">
        <f>HYPERLINK("https%3A%2F%2Fwww.webofscience.com%2Fwos%2Fwoscc%2Ffull-record%2FWOS:001133788301085","View Full Record in Web of Science")</f>
        <v>View Full Record in Web of Science</v>
      </c>
    </row>
    <row r="17" ht="12.75" customHeight="1">
      <c r="A17" s="1" t="s">
        <v>72</v>
      </c>
      <c r="B17" s="1" t="s">
        <v>265</v>
      </c>
      <c r="C17" s="1" t="s">
        <v>74</v>
      </c>
      <c r="D17" s="1" t="s">
        <v>74</v>
      </c>
      <c r="E17" s="1" t="s">
        <v>74</v>
      </c>
      <c r="F17" s="1" t="s">
        <v>266</v>
      </c>
      <c r="G17" s="1" t="s">
        <v>74</v>
      </c>
      <c r="H17" s="1" t="s">
        <v>74</v>
      </c>
      <c r="I17" s="1" t="s">
        <v>267</v>
      </c>
      <c r="J17" s="1" t="s">
        <v>268</v>
      </c>
      <c r="K17" s="1" t="s">
        <v>74</v>
      </c>
      <c r="L17" s="1" t="s">
        <v>74</v>
      </c>
      <c r="M17" s="1" t="s">
        <v>74</v>
      </c>
      <c r="N17" s="1" t="s">
        <v>74</v>
      </c>
      <c r="O17" s="1" t="s">
        <v>74</v>
      </c>
      <c r="P17" s="1" t="s">
        <v>74</v>
      </c>
      <c r="Q17" s="1" t="s">
        <v>74</v>
      </c>
      <c r="R17" s="1" t="s">
        <v>74</v>
      </c>
      <c r="S17" s="1" t="s">
        <v>74</v>
      </c>
      <c r="T17" s="1" t="s">
        <v>74</v>
      </c>
      <c r="U17" s="1" t="s">
        <v>74</v>
      </c>
      <c r="V17" s="1" t="s">
        <v>269</v>
      </c>
      <c r="W17" s="1" t="s">
        <v>74</v>
      </c>
      <c r="X17" s="1" t="s">
        <v>74</v>
      </c>
      <c r="Y17" s="1" t="s">
        <v>74</v>
      </c>
      <c r="Z17" s="1" t="s">
        <v>74</v>
      </c>
      <c r="AA17" s="1" t="s">
        <v>270</v>
      </c>
      <c r="AB17" s="1" t="s">
        <v>74</v>
      </c>
      <c r="AC17" s="1" t="s">
        <v>74</v>
      </c>
      <c r="AD17" s="1" t="s">
        <v>74</v>
      </c>
      <c r="AE17" s="1" t="s">
        <v>74</v>
      </c>
      <c r="AF17" s="1" t="s">
        <v>74</v>
      </c>
      <c r="AG17" s="1" t="s">
        <v>74</v>
      </c>
      <c r="AH17" s="1" t="s">
        <v>74</v>
      </c>
      <c r="AI17" s="1" t="s">
        <v>74</v>
      </c>
      <c r="AJ17" s="1" t="s">
        <v>74</v>
      </c>
      <c r="AK17" s="1" t="s">
        <v>74</v>
      </c>
      <c r="AL17" s="1" t="s">
        <v>74</v>
      </c>
      <c r="AM17" s="1" t="s">
        <v>74</v>
      </c>
      <c r="AN17" s="1" t="s">
        <v>74</v>
      </c>
      <c r="AO17" s="1" t="s">
        <v>271</v>
      </c>
      <c r="AP17" s="1" t="s">
        <v>272</v>
      </c>
      <c r="AQ17" s="1" t="s">
        <v>74</v>
      </c>
      <c r="AR17" s="1" t="s">
        <v>74</v>
      </c>
      <c r="AS17" s="1" t="s">
        <v>74</v>
      </c>
      <c r="AT17" s="1" t="s">
        <v>273</v>
      </c>
      <c r="AU17" s="1">
        <v>2022.0</v>
      </c>
      <c r="AV17" s="1" t="s">
        <v>74</v>
      </c>
      <c r="AW17" s="1">
        <v>26.0</v>
      </c>
      <c r="AX17" s="1" t="s">
        <v>74</v>
      </c>
      <c r="AY17" s="1" t="s">
        <v>74</v>
      </c>
      <c r="AZ17" s="1" t="s">
        <v>74</v>
      </c>
      <c r="BA17" s="1" t="s">
        <v>74</v>
      </c>
      <c r="BB17" s="1" t="s">
        <v>74</v>
      </c>
      <c r="BC17" s="1" t="s">
        <v>74</v>
      </c>
      <c r="BD17" s="1" t="s">
        <v>74</v>
      </c>
      <c r="BE17" s="1" t="s">
        <v>274</v>
      </c>
      <c r="BF17" s="2" t="str">
        <f>HYPERLINK("http://dx.doi.org/10.32457/RIEM26.1855","http://dx.doi.org/10.32457/RIEM26.1855")</f>
        <v>http://dx.doi.org/10.32457/RIEM26.1855</v>
      </c>
      <c r="BG17" s="1" t="s">
        <v>74</v>
      </c>
      <c r="BH17" s="1" t="s">
        <v>74</v>
      </c>
      <c r="BI17" s="1" t="s">
        <v>74</v>
      </c>
      <c r="BJ17" s="1" t="s">
        <v>74</v>
      </c>
      <c r="BK17" s="1" t="s">
        <v>74</v>
      </c>
      <c r="BL17" s="1" t="s">
        <v>74</v>
      </c>
      <c r="BM17" s="1" t="s">
        <v>74</v>
      </c>
      <c r="BN17" s="1" t="s">
        <v>74</v>
      </c>
      <c r="BO17" s="1" t="s">
        <v>74</v>
      </c>
      <c r="BP17" s="1" t="s">
        <v>74</v>
      </c>
      <c r="BQ17" s="1" t="s">
        <v>74</v>
      </c>
      <c r="BR17" s="1" t="s">
        <v>74</v>
      </c>
      <c r="BS17" s="1" t="s">
        <v>275</v>
      </c>
      <c r="BT17" s="1" t="str">
        <f>HYPERLINK("https%3A%2F%2Fwww.webofscience.com%2Fwos%2Fwoscc%2Ffull-record%2FWOS:000926149500003","View Full Record in Web of Science")</f>
        <v>View Full Record in Web of Science</v>
      </c>
    </row>
    <row r="18" ht="12.75" customHeight="1">
      <c r="A18" s="1" t="s">
        <v>72</v>
      </c>
      <c r="B18" s="1" t="s">
        <v>276</v>
      </c>
      <c r="C18" s="1" t="s">
        <v>74</v>
      </c>
      <c r="D18" s="1" t="s">
        <v>74</v>
      </c>
      <c r="E18" s="1" t="s">
        <v>74</v>
      </c>
      <c r="F18" s="1" t="s">
        <v>277</v>
      </c>
      <c r="G18" s="1" t="s">
        <v>74</v>
      </c>
      <c r="H18" s="1" t="s">
        <v>74</v>
      </c>
      <c r="I18" s="1" t="s">
        <v>278</v>
      </c>
      <c r="J18" s="1" t="s">
        <v>279</v>
      </c>
      <c r="K18" s="1" t="s">
        <v>74</v>
      </c>
      <c r="L18" s="1" t="s">
        <v>74</v>
      </c>
      <c r="M18" s="1" t="s">
        <v>74</v>
      </c>
      <c r="N18" s="1" t="s">
        <v>74</v>
      </c>
      <c r="O18" s="1" t="s">
        <v>74</v>
      </c>
      <c r="P18" s="1" t="s">
        <v>74</v>
      </c>
      <c r="Q18" s="1" t="s">
        <v>74</v>
      </c>
      <c r="R18" s="1" t="s">
        <v>74</v>
      </c>
      <c r="S18" s="1" t="s">
        <v>74</v>
      </c>
      <c r="T18" s="1" t="s">
        <v>74</v>
      </c>
      <c r="U18" s="1" t="s">
        <v>74</v>
      </c>
      <c r="V18" s="1" t="s">
        <v>280</v>
      </c>
      <c r="W18" s="1" t="s">
        <v>74</v>
      </c>
      <c r="X18" s="1" t="s">
        <v>74</v>
      </c>
      <c r="Y18" s="1" t="s">
        <v>74</v>
      </c>
      <c r="Z18" s="1" t="s">
        <v>74</v>
      </c>
      <c r="AA18" s="1" t="s">
        <v>74</v>
      </c>
      <c r="AB18" s="1" t="s">
        <v>281</v>
      </c>
      <c r="AC18" s="1" t="s">
        <v>74</v>
      </c>
      <c r="AD18" s="1" t="s">
        <v>74</v>
      </c>
      <c r="AE18" s="1" t="s">
        <v>74</v>
      </c>
      <c r="AF18" s="1" t="s">
        <v>74</v>
      </c>
      <c r="AG18" s="1" t="s">
        <v>74</v>
      </c>
      <c r="AH18" s="1" t="s">
        <v>74</v>
      </c>
      <c r="AI18" s="1" t="s">
        <v>74</v>
      </c>
      <c r="AJ18" s="1" t="s">
        <v>74</v>
      </c>
      <c r="AK18" s="1" t="s">
        <v>74</v>
      </c>
      <c r="AL18" s="1" t="s">
        <v>74</v>
      </c>
      <c r="AM18" s="1" t="s">
        <v>74</v>
      </c>
      <c r="AN18" s="1" t="s">
        <v>74</v>
      </c>
      <c r="AO18" s="1" t="s">
        <v>282</v>
      </c>
      <c r="AP18" s="1" t="s">
        <v>74</v>
      </c>
      <c r="AQ18" s="1" t="s">
        <v>74</v>
      </c>
      <c r="AR18" s="1" t="s">
        <v>74</v>
      </c>
      <c r="AS18" s="1" t="s">
        <v>74</v>
      </c>
      <c r="AT18" s="1" t="s">
        <v>283</v>
      </c>
      <c r="AU18" s="1">
        <v>2022.0</v>
      </c>
      <c r="AV18" s="1">
        <v>7.0</v>
      </c>
      <c r="AW18" s="1">
        <v>2.0</v>
      </c>
      <c r="AX18" s="1" t="s">
        <v>74</v>
      </c>
      <c r="AY18" s="1" t="s">
        <v>74</v>
      </c>
      <c r="AZ18" s="1" t="s">
        <v>74</v>
      </c>
      <c r="BA18" s="1" t="s">
        <v>74</v>
      </c>
      <c r="BB18" s="1" t="s">
        <v>74</v>
      </c>
      <c r="BC18" s="1" t="s">
        <v>74</v>
      </c>
      <c r="BD18" s="1">
        <v>23301.0</v>
      </c>
      <c r="BE18" s="1" t="s">
        <v>284</v>
      </c>
      <c r="BF18" s="2" t="str">
        <f>HYPERLINK("http://dx.doi.org/10.1103/PhysRevFluids.7.023301","http://dx.doi.org/10.1103/PhysRevFluids.7.023301")</f>
        <v>http://dx.doi.org/10.1103/PhysRevFluids.7.023301</v>
      </c>
      <c r="BG18" s="1" t="s">
        <v>74</v>
      </c>
      <c r="BH18" s="1" t="s">
        <v>74</v>
      </c>
      <c r="BI18" s="1" t="s">
        <v>74</v>
      </c>
      <c r="BJ18" s="1" t="s">
        <v>74</v>
      </c>
      <c r="BK18" s="1" t="s">
        <v>74</v>
      </c>
      <c r="BL18" s="1" t="s">
        <v>74</v>
      </c>
      <c r="BM18" s="1" t="s">
        <v>74</v>
      </c>
      <c r="BN18" s="1" t="s">
        <v>74</v>
      </c>
      <c r="BO18" s="1" t="s">
        <v>74</v>
      </c>
      <c r="BP18" s="1" t="s">
        <v>74</v>
      </c>
      <c r="BQ18" s="1" t="s">
        <v>74</v>
      </c>
      <c r="BR18" s="1" t="s">
        <v>74</v>
      </c>
      <c r="BS18" s="1" t="s">
        <v>285</v>
      </c>
      <c r="BT18" s="1" t="str">
        <f>HYPERLINK("https%3A%2F%2Fwww.webofscience.com%2Fwos%2Fwoscc%2Ffull-record%2FWOS:000754651000001","View Full Record in Web of Science")</f>
        <v>View Full Record in Web of Science</v>
      </c>
    </row>
    <row r="19" ht="12.75" customHeight="1">
      <c r="A19" s="1" t="s">
        <v>72</v>
      </c>
      <c r="B19" s="1" t="s">
        <v>286</v>
      </c>
      <c r="C19" s="1" t="s">
        <v>74</v>
      </c>
      <c r="D19" s="1" t="s">
        <v>74</v>
      </c>
      <c r="E19" s="1" t="s">
        <v>74</v>
      </c>
      <c r="F19" s="1" t="s">
        <v>287</v>
      </c>
      <c r="G19" s="1" t="s">
        <v>74</v>
      </c>
      <c r="H19" s="1" t="s">
        <v>74</v>
      </c>
      <c r="I19" s="1" t="s">
        <v>288</v>
      </c>
      <c r="J19" s="1" t="s">
        <v>289</v>
      </c>
      <c r="K19" s="1" t="s">
        <v>74</v>
      </c>
      <c r="L19" s="1" t="s">
        <v>74</v>
      </c>
      <c r="M19" s="1" t="s">
        <v>74</v>
      </c>
      <c r="N19" s="1" t="s">
        <v>74</v>
      </c>
      <c r="O19" s="1" t="s">
        <v>74</v>
      </c>
      <c r="P19" s="1" t="s">
        <v>74</v>
      </c>
      <c r="Q19" s="1" t="s">
        <v>74</v>
      </c>
      <c r="R19" s="1" t="s">
        <v>74</v>
      </c>
      <c r="S19" s="1" t="s">
        <v>74</v>
      </c>
      <c r="T19" s="1" t="s">
        <v>74</v>
      </c>
      <c r="U19" s="1" t="s">
        <v>74</v>
      </c>
      <c r="V19" s="1" t="s">
        <v>290</v>
      </c>
      <c r="W19" s="1" t="s">
        <v>74</v>
      </c>
      <c r="X19" s="1" t="s">
        <v>74</v>
      </c>
      <c r="Y19" s="1" t="s">
        <v>74</v>
      </c>
      <c r="Z19" s="1" t="s">
        <v>74</v>
      </c>
      <c r="AA19" s="1" t="s">
        <v>291</v>
      </c>
      <c r="AB19" s="1" t="s">
        <v>292</v>
      </c>
      <c r="AC19" s="1" t="s">
        <v>74</v>
      </c>
      <c r="AD19" s="1" t="s">
        <v>74</v>
      </c>
      <c r="AE19" s="1" t="s">
        <v>74</v>
      </c>
      <c r="AF19" s="1" t="s">
        <v>74</v>
      </c>
      <c r="AG19" s="1" t="s">
        <v>74</v>
      </c>
      <c r="AH19" s="1" t="s">
        <v>74</v>
      </c>
      <c r="AI19" s="1" t="s">
        <v>74</v>
      </c>
      <c r="AJ19" s="1" t="s">
        <v>74</v>
      </c>
      <c r="AK19" s="1" t="s">
        <v>74</v>
      </c>
      <c r="AL19" s="1" t="s">
        <v>74</v>
      </c>
      <c r="AM19" s="1" t="s">
        <v>74</v>
      </c>
      <c r="AN19" s="1" t="s">
        <v>74</v>
      </c>
      <c r="AO19" s="1" t="s">
        <v>293</v>
      </c>
      <c r="AP19" s="1" t="s">
        <v>294</v>
      </c>
      <c r="AQ19" s="1" t="s">
        <v>74</v>
      </c>
      <c r="AR19" s="1" t="s">
        <v>74</v>
      </c>
      <c r="AS19" s="1" t="s">
        <v>74</v>
      </c>
      <c r="AT19" s="1" t="s">
        <v>295</v>
      </c>
      <c r="AU19" s="1">
        <v>2022.0</v>
      </c>
      <c r="AV19" s="1">
        <v>199.0</v>
      </c>
      <c r="AW19" s="1" t="s">
        <v>74</v>
      </c>
      <c r="AX19" s="1" t="s">
        <v>74</v>
      </c>
      <c r="AY19" s="1" t="s">
        <v>74</v>
      </c>
      <c r="AZ19" s="1" t="s">
        <v>74</v>
      </c>
      <c r="BA19" s="1" t="s">
        <v>74</v>
      </c>
      <c r="BB19" s="1">
        <v>96.0</v>
      </c>
      <c r="BC19" s="1">
        <v>107.0</v>
      </c>
      <c r="BD19" s="1" t="s">
        <v>74</v>
      </c>
      <c r="BE19" s="1" t="s">
        <v>296</v>
      </c>
      <c r="BF19" s="2" t="str">
        <f>HYPERLINK("http://dx.doi.org/10.1016/j.ijbiomac.2021.12.093","http://dx.doi.org/10.1016/j.ijbiomac.2021.12.093")</f>
        <v>http://dx.doi.org/10.1016/j.ijbiomac.2021.12.093</v>
      </c>
      <c r="BG19" s="1" t="s">
        <v>74</v>
      </c>
      <c r="BH19" s="1" t="s">
        <v>297</v>
      </c>
      <c r="BI19" s="1" t="s">
        <v>74</v>
      </c>
      <c r="BJ19" s="1" t="s">
        <v>74</v>
      </c>
      <c r="BK19" s="1" t="s">
        <v>74</v>
      </c>
      <c r="BL19" s="1" t="s">
        <v>74</v>
      </c>
      <c r="BM19" s="1" t="s">
        <v>74</v>
      </c>
      <c r="BN19" s="1">
        <v>3.4973264E7</v>
      </c>
      <c r="BO19" s="1" t="s">
        <v>74</v>
      </c>
      <c r="BP19" s="1" t="s">
        <v>74</v>
      </c>
      <c r="BQ19" s="1" t="s">
        <v>74</v>
      </c>
      <c r="BR19" s="1" t="s">
        <v>74</v>
      </c>
      <c r="BS19" s="1" t="s">
        <v>298</v>
      </c>
      <c r="BT19" s="1" t="str">
        <f>HYPERLINK("https%3A%2F%2Fwww.webofscience.com%2Fwos%2Fwoscc%2Ffull-record%2FWOS:000781814700001","View Full Record in Web of Science")</f>
        <v>View Full Record in Web of Science</v>
      </c>
    </row>
    <row r="20" ht="12.75" customHeight="1">
      <c r="A20" s="1" t="s">
        <v>72</v>
      </c>
      <c r="B20" s="1" t="s">
        <v>299</v>
      </c>
      <c r="C20" s="1" t="s">
        <v>74</v>
      </c>
      <c r="D20" s="1" t="s">
        <v>74</v>
      </c>
      <c r="E20" s="1" t="s">
        <v>74</v>
      </c>
      <c r="F20" s="1" t="s">
        <v>300</v>
      </c>
      <c r="G20" s="1" t="s">
        <v>74</v>
      </c>
      <c r="H20" s="1" t="s">
        <v>74</v>
      </c>
      <c r="I20" s="1" t="s">
        <v>301</v>
      </c>
      <c r="J20" s="1" t="s">
        <v>302</v>
      </c>
      <c r="K20" s="1" t="s">
        <v>74</v>
      </c>
      <c r="L20" s="1" t="s">
        <v>74</v>
      </c>
      <c r="M20" s="1" t="s">
        <v>74</v>
      </c>
      <c r="N20" s="1" t="s">
        <v>74</v>
      </c>
      <c r="O20" s="1" t="s">
        <v>74</v>
      </c>
      <c r="P20" s="1" t="s">
        <v>74</v>
      </c>
      <c r="Q20" s="1" t="s">
        <v>74</v>
      </c>
      <c r="R20" s="1" t="s">
        <v>74</v>
      </c>
      <c r="S20" s="1" t="s">
        <v>74</v>
      </c>
      <c r="T20" s="1" t="s">
        <v>74</v>
      </c>
      <c r="U20" s="1" t="s">
        <v>74</v>
      </c>
      <c r="V20" s="1" t="s">
        <v>303</v>
      </c>
      <c r="W20" s="1" t="s">
        <v>74</v>
      </c>
      <c r="X20" s="1" t="s">
        <v>74</v>
      </c>
      <c r="Y20" s="1" t="s">
        <v>74</v>
      </c>
      <c r="Z20" s="1" t="s">
        <v>74</v>
      </c>
      <c r="AA20" s="1" t="s">
        <v>304</v>
      </c>
      <c r="AB20" s="1" t="s">
        <v>74</v>
      </c>
      <c r="AC20" s="1" t="s">
        <v>74</v>
      </c>
      <c r="AD20" s="1" t="s">
        <v>74</v>
      </c>
      <c r="AE20" s="1" t="s">
        <v>74</v>
      </c>
      <c r="AF20" s="1" t="s">
        <v>74</v>
      </c>
      <c r="AG20" s="1" t="s">
        <v>74</v>
      </c>
      <c r="AH20" s="1" t="s">
        <v>74</v>
      </c>
      <c r="AI20" s="1" t="s">
        <v>74</v>
      </c>
      <c r="AJ20" s="1" t="s">
        <v>74</v>
      </c>
      <c r="AK20" s="1" t="s">
        <v>74</v>
      </c>
      <c r="AL20" s="1" t="s">
        <v>74</v>
      </c>
      <c r="AM20" s="1" t="s">
        <v>74</v>
      </c>
      <c r="AN20" s="1" t="s">
        <v>74</v>
      </c>
      <c r="AO20" s="1" t="s">
        <v>305</v>
      </c>
      <c r="AP20" s="1" t="s">
        <v>306</v>
      </c>
      <c r="AQ20" s="1" t="s">
        <v>74</v>
      </c>
      <c r="AR20" s="1" t="s">
        <v>74</v>
      </c>
      <c r="AS20" s="1" t="s">
        <v>74</v>
      </c>
      <c r="AT20" s="1" t="s">
        <v>307</v>
      </c>
      <c r="AU20" s="1">
        <v>2021.0</v>
      </c>
      <c r="AV20" s="1">
        <v>149.0</v>
      </c>
      <c r="AW20" s="1">
        <v>12.0</v>
      </c>
      <c r="AX20" s="1" t="s">
        <v>74</v>
      </c>
      <c r="AY20" s="1" t="s">
        <v>74</v>
      </c>
      <c r="AZ20" s="1" t="s">
        <v>74</v>
      </c>
      <c r="BA20" s="1" t="s">
        <v>74</v>
      </c>
      <c r="BB20" s="1">
        <v>1795.0</v>
      </c>
      <c r="BC20" s="1">
        <v>1800.0</v>
      </c>
      <c r="BD20" s="1" t="s">
        <v>74</v>
      </c>
      <c r="BE20" s="1" t="s">
        <v>74</v>
      </c>
      <c r="BF20" s="1" t="s">
        <v>74</v>
      </c>
      <c r="BG20" s="1" t="s">
        <v>74</v>
      </c>
      <c r="BH20" s="1" t="s">
        <v>74</v>
      </c>
      <c r="BI20" s="1" t="s">
        <v>74</v>
      </c>
      <c r="BJ20" s="1" t="s">
        <v>74</v>
      </c>
      <c r="BK20" s="1" t="s">
        <v>74</v>
      </c>
      <c r="BL20" s="1" t="s">
        <v>74</v>
      </c>
      <c r="BM20" s="1" t="s">
        <v>74</v>
      </c>
      <c r="BN20" s="1">
        <v>3.5735347E7</v>
      </c>
      <c r="BO20" s="1" t="s">
        <v>74</v>
      </c>
      <c r="BP20" s="1" t="s">
        <v>74</v>
      </c>
      <c r="BQ20" s="1" t="s">
        <v>74</v>
      </c>
      <c r="BR20" s="1" t="s">
        <v>74</v>
      </c>
      <c r="BS20" s="1" t="s">
        <v>308</v>
      </c>
      <c r="BT20" s="1" t="str">
        <f>HYPERLINK("https%3A%2F%2Fwww.webofscience.com%2Fwos%2Fwoscc%2Ffull-record%2FWOS:000800028500013","View Full Record in Web of Science")</f>
        <v>View Full Record in Web of Science</v>
      </c>
    </row>
    <row r="21" ht="12.75" customHeight="1">
      <c r="A21" s="1" t="s">
        <v>72</v>
      </c>
      <c r="B21" s="1" t="s">
        <v>309</v>
      </c>
      <c r="C21" s="1" t="s">
        <v>74</v>
      </c>
      <c r="D21" s="1" t="s">
        <v>74</v>
      </c>
      <c r="E21" s="1" t="s">
        <v>74</v>
      </c>
      <c r="F21" s="1" t="s">
        <v>310</v>
      </c>
      <c r="G21" s="1" t="s">
        <v>74</v>
      </c>
      <c r="H21" s="1" t="s">
        <v>74</v>
      </c>
      <c r="I21" s="1" t="s">
        <v>311</v>
      </c>
      <c r="J21" s="1" t="s">
        <v>312</v>
      </c>
      <c r="K21" s="1" t="s">
        <v>74</v>
      </c>
      <c r="L21" s="1" t="s">
        <v>74</v>
      </c>
      <c r="M21" s="1" t="s">
        <v>74</v>
      </c>
      <c r="N21" s="1" t="s">
        <v>74</v>
      </c>
      <c r="O21" s="1" t="s">
        <v>74</v>
      </c>
      <c r="P21" s="1" t="s">
        <v>74</v>
      </c>
      <c r="Q21" s="1" t="s">
        <v>74</v>
      </c>
      <c r="R21" s="1" t="s">
        <v>74</v>
      </c>
      <c r="S21" s="1" t="s">
        <v>74</v>
      </c>
      <c r="T21" s="1" t="s">
        <v>74</v>
      </c>
      <c r="U21" s="1" t="s">
        <v>74</v>
      </c>
      <c r="V21" s="1" t="s">
        <v>313</v>
      </c>
      <c r="W21" s="1" t="s">
        <v>74</v>
      </c>
      <c r="X21" s="1" t="s">
        <v>74</v>
      </c>
      <c r="Y21" s="1" t="s">
        <v>74</v>
      </c>
      <c r="Z21" s="1" t="s">
        <v>74</v>
      </c>
      <c r="AA21" s="1" t="s">
        <v>314</v>
      </c>
      <c r="AB21" s="1" t="s">
        <v>315</v>
      </c>
      <c r="AC21" s="1" t="s">
        <v>74</v>
      </c>
      <c r="AD21" s="1" t="s">
        <v>74</v>
      </c>
      <c r="AE21" s="1" t="s">
        <v>74</v>
      </c>
      <c r="AF21" s="1" t="s">
        <v>74</v>
      </c>
      <c r="AG21" s="1" t="s">
        <v>74</v>
      </c>
      <c r="AH21" s="1" t="s">
        <v>74</v>
      </c>
      <c r="AI21" s="1" t="s">
        <v>74</v>
      </c>
      <c r="AJ21" s="1" t="s">
        <v>74</v>
      </c>
      <c r="AK21" s="1" t="s">
        <v>74</v>
      </c>
      <c r="AL21" s="1" t="s">
        <v>74</v>
      </c>
      <c r="AM21" s="1" t="s">
        <v>74</v>
      </c>
      <c r="AN21" s="1" t="s">
        <v>74</v>
      </c>
      <c r="AO21" s="1" t="s">
        <v>316</v>
      </c>
      <c r="AP21" s="1" t="s">
        <v>317</v>
      </c>
      <c r="AQ21" s="1" t="s">
        <v>74</v>
      </c>
      <c r="AR21" s="1" t="s">
        <v>74</v>
      </c>
      <c r="AS21" s="1" t="s">
        <v>74</v>
      </c>
      <c r="AT21" s="1" t="s">
        <v>318</v>
      </c>
      <c r="AU21" s="1">
        <v>2020.0</v>
      </c>
      <c r="AV21" s="1">
        <v>43.0</v>
      </c>
      <c r="AW21" s="1">
        <v>2.0</v>
      </c>
      <c r="AX21" s="1" t="s">
        <v>74</v>
      </c>
      <c r="AY21" s="1" t="s">
        <v>74</v>
      </c>
      <c r="AZ21" s="1" t="s">
        <v>74</v>
      </c>
      <c r="BA21" s="1" t="s">
        <v>74</v>
      </c>
      <c r="BB21" s="1">
        <v>197.0</v>
      </c>
      <c r="BC21" s="1">
        <v>206.0</v>
      </c>
      <c r="BD21" s="1" t="s">
        <v>74</v>
      </c>
      <c r="BE21" s="1" t="s">
        <v>319</v>
      </c>
      <c r="BF21" s="2" t="str">
        <f>HYPERLINK("http://dx.doi.org/10.1111/jfd.13122","http://dx.doi.org/10.1111/jfd.13122")</f>
        <v>http://dx.doi.org/10.1111/jfd.13122</v>
      </c>
      <c r="BG21" s="1" t="s">
        <v>74</v>
      </c>
      <c r="BH21" s="1" t="s">
        <v>320</v>
      </c>
      <c r="BI21" s="1" t="s">
        <v>74</v>
      </c>
      <c r="BJ21" s="1" t="s">
        <v>74</v>
      </c>
      <c r="BK21" s="1" t="s">
        <v>74</v>
      </c>
      <c r="BL21" s="1" t="s">
        <v>74</v>
      </c>
      <c r="BM21" s="1" t="s">
        <v>74</v>
      </c>
      <c r="BN21" s="1">
        <v>3.184535E7</v>
      </c>
      <c r="BO21" s="1" t="s">
        <v>74</v>
      </c>
      <c r="BP21" s="1" t="s">
        <v>74</v>
      </c>
      <c r="BQ21" s="1" t="s">
        <v>74</v>
      </c>
      <c r="BR21" s="1" t="s">
        <v>74</v>
      </c>
      <c r="BS21" s="1" t="s">
        <v>321</v>
      </c>
      <c r="BT21" s="1" t="str">
        <f>HYPERLINK("https%3A%2F%2Fwww.webofscience.com%2Fwos%2Fwoscc%2Ffull-record%2FWOS:000503201100001","View Full Record in Web of Science")</f>
        <v>View Full Record in Web of Science</v>
      </c>
    </row>
    <row r="22" ht="12.75" customHeight="1">
      <c r="A22" s="1" t="s">
        <v>86</v>
      </c>
      <c r="B22" s="1" t="s">
        <v>322</v>
      </c>
      <c r="C22" s="1" t="s">
        <v>74</v>
      </c>
      <c r="D22" s="1" t="s">
        <v>323</v>
      </c>
      <c r="E22" s="1" t="s">
        <v>74</v>
      </c>
      <c r="F22" s="1" t="s">
        <v>324</v>
      </c>
      <c r="G22" s="1" t="s">
        <v>74</v>
      </c>
      <c r="H22" s="1" t="s">
        <v>74</v>
      </c>
      <c r="I22" s="1" t="s">
        <v>325</v>
      </c>
      <c r="J22" s="1" t="s">
        <v>326</v>
      </c>
      <c r="K22" s="1" t="s">
        <v>327</v>
      </c>
      <c r="L22" s="1" t="s">
        <v>74</v>
      </c>
      <c r="M22" s="1" t="s">
        <v>74</v>
      </c>
      <c r="N22" s="1" t="s">
        <v>74</v>
      </c>
      <c r="O22" s="1" t="s">
        <v>328</v>
      </c>
      <c r="P22" s="1" t="s">
        <v>329</v>
      </c>
      <c r="Q22" s="1" t="s">
        <v>330</v>
      </c>
      <c r="R22" s="1" t="s">
        <v>74</v>
      </c>
      <c r="S22" s="1" t="s">
        <v>74</v>
      </c>
      <c r="T22" s="1" t="s">
        <v>74</v>
      </c>
      <c r="U22" s="1" t="s">
        <v>74</v>
      </c>
      <c r="V22" s="1" t="s">
        <v>331</v>
      </c>
      <c r="W22" s="1" t="s">
        <v>74</v>
      </c>
      <c r="X22" s="1" t="s">
        <v>74</v>
      </c>
      <c r="Y22" s="1" t="s">
        <v>74</v>
      </c>
      <c r="Z22" s="1" t="s">
        <v>74</v>
      </c>
      <c r="AA22" s="1" t="s">
        <v>332</v>
      </c>
      <c r="AB22" s="1" t="s">
        <v>333</v>
      </c>
      <c r="AC22" s="1" t="s">
        <v>74</v>
      </c>
      <c r="AD22" s="1" t="s">
        <v>74</v>
      </c>
      <c r="AE22" s="1" t="s">
        <v>74</v>
      </c>
      <c r="AF22" s="1" t="s">
        <v>74</v>
      </c>
      <c r="AG22" s="1" t="s">
        <v>74</v>
      </c>
      <c r="AH22" s="1" t="s">
        <v>74</v>
      </c>
      <c r="AI22" s="1" t="s">
        <v>74</v>
      </c>
      <c r="AJ22" s="1" t="s">
        <v>74</v>
      </c>
      <c r="AK22" s="1" t="s">
        <v>74</v>
      </c>
      <c r="AL22" s="1" t="s">
        <v>74</v>
      </c>
      <c r="AM22" s="1" t="s">
        <v>74</v>
      </c>
      <c r="AN22" s="1" t="s">
        <v>74</v>
      </c>
      <c r="AO22" s="1" t="s">
        <v>334</v>
      </c>
      <c r="AP22" s="1" t="s">
        <v>335</v>
      </c>
      <c r="AQ22" s="1" t="s">
        <v>336</v>
      </c>
      <c r="AR22" s="1" t="s">
        <v>74</v>
      </c>
      <c r="AS22" s="1" t="s">
        <v>74</v>
      </c>
      <c r="AT22" s="1" t="s">
        <v>74</v>
      </c>
      <c r="AU22" s="1">
        <v>2018.0</v>
      </c>
      <c r="AV22" s="1">
        <v>10807.0</v>
      </c>
      <c r="AW22" s="1" t="s">
        <v>74</v>
      </c>
      <c r="AX22" s="1" t="s">
        <v>74</v>
      </c>
      <c r="AY22" s="1" t="s">
        <v>74</v>
      </c>
      <c r="AZ22" s="1" t="s">
        <v>74</v>
      </c>
      <c r="BA22" s="1" t="s">
        <v>74</v>
      </c>
      <c r="BB22" s="1">
        <v>231.0</v>
      </c>
      <c r="BC22" s="1">
        <v>244.0</v>
      </c>
      <c r="BD22" s="1" t="s">
        <v>74</v>
      </c>
      <c r="BE22" s="1" t="s">
        <v>337</v>
      </c>
      <c r="BF22" s="2" t="str">
        <f>HYPERLINK("http://dx.doi.org/10.1007/978-3-319-77404-6_18","http://dx.doi.org/10.1007/978-3-319-77404-6_18")</f>
        <v>http://dx.doi.org/10.1007/978-3-319-77404-6_18</v>
      </c>
      <c r="BG22" s="1" t="s">
        <v>74</v>
      </c>
      <c r="BH22" s="1" t="s">
        <v>74</v>
      </c>
      <c r="BI22" s="1" t="s">
        <v>74</v>
      </c>
      <c r="BJ22" s="1" t="s">
        <v>74</v>
      </c>
      <c r="BK22" s="1" t="s">
        <v>74</v>
      </c>
      <c r="BL22" s="1" t="s">
        <v>74</v>
      </c>
      <c r="BM22" s="1" t="s">
        <v>74</v>
      </c>
      <c r="BN22" s="1" t="s">
        <v>74</v>
      </c>
      <c r="BO22" s="1" t="s">
        <v>74</v>
      </c>
      <c r="BP22" s="1" t="s">
        <v>74</v>
      </c>
      <c r="BQ22" s="1" t="s">
        <v>74</v>
      </c>
      <c r="BR22" s="1" t="s">
        <v>74</v>
      </c>
      <c r="BS22" s="1" t="s">
        <v>338</v>
      </c>
      <c r="BT22" s="1" t="str">
        <f>HYPERLINK("https%3A%2F%2Fwww.webofscience.com%2Fwos%2Fwoscc%2Ffull-record%2FWOS:000444835200018","View Full Record in Web of Science")</f>
        <v>View Full Record in Web of Science</v>
      </c>
    </row>
    <row r="23" ht="12.75" customHeight="1">
      <c r="A23" s="1" t="s">
        <v>72</v>
      </c>
      <c r="B23" s="1" t="s">
        <v>339</v>
      </c>
      <c r="C23" s="1" t="s">
        <v>74</v>
      </c>
      <c r="D23" s="1" t="s">
        <v>74</v>
      </c>
      <c r="E23" s="1" t="s">
        <v>74</v>
      </c>
      <c r="F23" s="1" t="s">
        <v>340</v>
      </c>
      <c r="G23" s="1" t="s">
        <v>74</v>
      </c>
      <c r="H23" s="1" t="s">
        <v>74</v>
      </c>
      <c r="I23" s="1" t="s">
        <v>341</v>
      </c>
      <c r="J23" s="1" t="s">
        <v>342</v>
      </c>
      <c r="K23" s="1" t="s">
        <v>74</v>
      </c>
      <c r="L23" s="1" t="s">
        <v>74</v>
      </c>
      <c r="M23" s="1" t="s">
        <v>74</v>
      </c>
      <c r="N23" s="1" t="s">
        <v>74</v>
      </c>
      <c r="O23" s="1" t="s">
        <v>74</v>
      </c>
      <c r="P23" s="1" t="s">
        <v>74</v>
      </c>
      <c r="Q23" s="1" t="s">
        <v>74</v>
      </c>
      <c r="R23" s="1" t="s">
        <v>74</v>
      </c>
      <c r="S23" s="1" t="s">
        <v>74</v>
      </c>
      <c r="T23" s="1" t="s">
        <v>74</v>
      </c>
      <c r="U23" s="1" t="s">
        <v>74</v>
      </c>
      <c r="V23" s="1" t="s">
        <v>343</v>
      </c>
      <c r="W23" s="1" t="s">
        <v>74</v>
      </c>
      <c r="X23" s="1" t="s">
        <v>74</v>
      </c>
      <c r="Y23" s="1" t="s">
        <v>74</v>
      </c>
      <c r="Z23" s="1" t="s">
        <v>74</v>
      </c>
      <c r="AA23" s="1" t="s">
        <v>344</v>
      </c>
      <c r="AB23" s="1" t="s">
        <v>345</v>
      </c>
      <c r="AC23" s="1" t="s">
        <v>74</v>
      </c>
      <c r="AD23" s="1" t="s">
        <v>74</v>
      </c>
      <c r="AE23" s="1" t="s">
        <v>74</v>
      </c>
      <c r="AF23" s="1" t="s">
        <v>74</v>
      </c>
      <c r="AG23" s="1" t="s">
        <v>74</v>
      </c>
      <c r="AH23" s="1" t="s">
        <v>74</v>
      </c>
      <c r="AI23" s="1" t="s">
        <v>74</v>
      </c>
      <c r="AJ23" s="1" t="s">
        <v>74</v>
      </c>
      <c r="AK23" s="1" t="s">
        <v>74</v>
      </c>
      <c r="AL23" s="1" t="s">
        <v>74</v>
      </c>
      <c r="AM23" s="1" t="s">
        <v>74</v>
      </c>
      <c r="AN23" s="1" t="s">
        <v>74</v>
      </c>
      <c r="AO23" s="1" t="s">
        <v>346</v>
      </c>
      <c r="AP23" s="1" t="s">
        <v>347</v>
      </c>
      <c r="AQ23" s="1" t="s">
        <v>74</v>
      </c>
      <c r="AR23" s="1" t="s">
        <v>74</v>
      </c>
      <c r="AS23" s="1" t="s">
        <v>74</v>
      </c>
      <c r="AT23" s="1" t="s">
        <v>348</v>
      </c>
      <c r="AU23" s="1">
        <v>2017.0</v>
      </c>
      <c r="AV23" s="1">
        <v>88.0</v>
      </c>
      <c r="AW23" s="1">
        <v>9.0</v>
      </c>
      <c r="AX23" s="1" t="s">
        <v>74</v>
      </c>
      <c r="AY23" s="1" t="s">
        <v>74</v>
      </c>
      <c r="AZ23" s="1" t="s">
        <v>74</v>
      </c>
      <c r="BA23" s="1" t="s">
        <v>74</v>
      </c>
      <c r="BB23" s="1">
        <v>926.0</v>
      </c>
      <c r="BC23" s="1">
        <v>935.0</v>
      </c>
      <c r="BD23" s="1" t="s">
        <v>74</v>
      </c>
      <c r="BE23" s="1" t="s">
        <v>349</v>
      </c>
      <c r="BF23" s="2" t="str">
        <f>HYPERLINK("http://dx.doi.org/10.1902/jop.2017.160730","http://dx.doi.org/10.1902/jop.2017.160730")</f>
        <v>http://dx.doi.org/10.1902/jop.2017.160730</v>
      </c>
      <c r="BG23" s="1" t="s">
        <v>74</v>
      </c>
      <c r="BH23" s="1" t="s">
        <v>74</v>
      </c>
      <c r="BI23" s="1" t="s">
        <v>74</v>
      </c>
      <c r="BJ23" s="1" t="s">
        <v>74</v>
      </c>
      <c r="BK23" s="1" t="s">
        <v>74</v>
      </c>
      <c r="BL23" s="1" t="s">
        <v>74</v>
      </c>
      <c r="BM23" s="1" t="s">
        <v>74</v>
      </c>
      <c r="BN23" s="1">
        <v>2.8517972E7</v>
      </c>
      <c r="BO23" s="1" t="s">
        <v>74</v>
      </c>
      <c r="BP23" s="1" t="s">
        <v>74</v>
      </c>
      <c r="BQ23" s="1" t="s">
        <v>74</v>
      </c>
      <c r="BR23" s="1" t="s">
        <v>74</v>
      </c>
      <c r="BS23" s="1" t="s">
        <v>350</v>
      </c>
      <c r="BT23" s="1" t="str">
        <f>HYPERLINK("https%3A%2F%2Fwww.webofscience.com%2Fwos%2Fwoscc%2Ffull-record%2FWOS:000408463200015","View Full Record in Web of Science")</f>
        <v>View Full Record in Web of Science</v>
      </c>
    </row>
    <row r="24" ht="12.75" customHeight="1">
      <c r="A24" s="1" t="s">
        <v>72</v>
      </c>
      <c r="B24" s="1" t="s">
        <v>351</v>
      </c>
      <c r="C24" s="1" t="s">
        <v>74</v>
      </c>
      <c r="D24" s="1" t="s">
        <v>74</v>
      </c>
      <c r="E24" s="1" t="s">
        <v>74</v>
      </c>
      <c r="F24" s="1" t="s">
        <v>352</v>
      </c>
      <c r="G24" s="1" t="s">
        <v>74</v>
      </c>
      <c r="H24" s="1" t="s">
        <v>74</v>
      </c>
      <c r="I24" s="1" t="s">
        <v>353</v>
      </c>
      <c r="J24" s="1" t="s">
        <v>354</v>
      </c>
      <c r="K24" s="1" t="s">
        <v>74</v>
      </c>
      <c r="L24" s="1" t="s">
        <v>74</v>
      </c>
      <c r="M24" s="1" t="s">
        <v>74</v>
      </c>
      <c r="N24" s="1" t="s">
        <v>74</v>
      </c>
      <c r="O24" s="1" t="s">
        <v>74</v>
      </c>
      <c r="P24" s="1" t="s">
        <v>74</v>
      </c>
      <c r="Q24" s="1" t="s">
        <v>74</v>
      </c>
      <c r="R24" s="1" t="s">
        <v>74</v>
      </c>
      <c r="S24" s="1" t="s">
        <v>74</v>
      </c>
      <c r="T24" s="1" t="s">
        <v>74</v>
      </c>
      <c r="U24" s="1" t="s">
        <v>74</v>
      </c>
      <c r="V24" s="1" t="s">
        <v>355</v>
      </c>
      <c r="W24" s="1" t="s">
        <v>74</v>
      </c>
      <c r="X24" s="1" t="s">
        <v>74</v>
      </c>
      <c r="Y24" s="1" t="s">
        <v>74</v>
      </c>
      <c r="Z24" s="1" t="s">
        <v>74</v>
      </c>
      <c r="AA24" s="1" t="s">
        <v>356</v>
      </c>
      <c r="AB24" s="1" t="s">
        <v>357</v>
      </c>
      <c r="AC24" s="1" t="s">
        <v>74</v>
      </c>
      <c r="AD24" s="1" t="s">
        <v>74</v>
      </c>
      <c r="AE24" s="1" t="s">
        <v>74</v>
      </c>
      <c r="AF24" s="1" t="s">
        <v>74</v>
      </c>
      <c r="AG24" s="1" t="s">
        <v>74</v>
      </c>
      <c r="AH24" s="1" t="s">
        <v>74</v>
      </c>
      <c r="AI24" s="1" t="s">
        <v>74</v>
      </c>
      <c r="AJ24" s="1" t="s">
        <v>74</v>
      </c>
      <c r="AK24" s="1" t="s">
        <v>74</v>
      </c>
      <c r="AL24" s="1" t="s">
        <v>74</v>
      </c>
      <c r="AM24" s="1" t="s">
        <v>74</v>
      </c>
      <c r="AN24" s="1" t="s">
        <v>74</v>
      </c>
      <c r="AO24" s="1" t="s">
        <v>358</v>
      </c>
      <c r="AP24" s="1" t="s">
        <v>359</v>
      </c>
      <c r="AQ24" s="1" t="s">
        <v>74</v>
      </c>
      <c r="AR24" s="1" t="s">
        <v>74</v>
      </c>
      <c r="AS24" s="1" t="s">
        <v>74</v>
      </c>
      <c r="AT24" s="1" t="s">
        <v>360</v>
      </c>
      <c r="AU24" s="1">
        <v>2017.0</v>
      </c>
      <c r="AV24" s="1">
        <v>244.0</v>
      </c>
      <c r="AW24" s="1" t="s">
        <v>74</v>
      </c>
      <c r="AX24" s="1" t="s">
        <v>74</v>
      </c>
      <c r="AY24" s="1" t="s">
        <v>74</v>
      </c>
      <c r="AZ24" s="1" t="s">
        <v>74</v>
      </c>
      <c r="BA24" s="1" t="s">
        <v>74</v>
      </c>
      <c r="BB24" s="1">
        <v>104.0</v>
      </c>
      <c r="BC24" s="1">
        <v>111.0</v>
      </c>
      <c r="BD24" s="1" t="s">
        <v>74</v>
      </c>
      <c r="BE24" s="1" t="s">
        <v>361</v>
      </c>
      <c r="BF24" s="2" t="str">
        <f>HYPERLINK("http://dx.doi.org/10.1016/j.electacta.2017.05.104","http://dx.doi.org/10.1016/j.electacta.2017.05.104")</f>
        <v>http://dx.doi.org/10.1016/j.electacta.2017.05.104</v>
      </c>
      <c r="BG24" s="1" t="s">
        <v>74</v>
      </c>
      <c r="BH24" s="1" t="s">
        <v>74</v>
      </c>
      <c r="BI24" s="1" t="s">
        <v>74</v>
      </c>
      <c r="BJ24" s="1" t="s">
        <v>74</v>
      </c>
      <c r="BK24" s="1" t="s">
        <v>74</v>
      </c>
      <c r="BL24" s="1" t="s">
        <v>74</v>
      </c>
      <c r="BM24" s="1" t="s">
        <v>74</v>
      </c>
      <c r="BN24" s="1" t="s">
        <v>74</v>
      </c>
      <c r="BO24" s="1" t="s">
        <v>74</v>
      </c>
      <c r="BP24" s="1" t="s">
        <v>74</v>
      </c>
      <c r="BQ24" s="1" t="s">
        <v>74</v>
      </c>
      <c r="BR24" s="1" t="s">
        <v>74</v>
      </c>
      <c r="BS24" s="1" t="s">
        <v>362</v>
      </c>
      <c r="BT24" s="1" t="str">
        <f>HYPERLINK("https%3A%2F%2Fwww.webofscience.com%2Fwos%2Fwoscc%2Ffull-record%2FWOS:000404314100013","View Full Record in Web of Science")</f>
        <v>View Full Record in Web of Science</v>
      </c>
    </row>
    <row r="25" ht="12.75" customHeight="1">
      <c r="A25" s="1" t="s">
        <v>86</v>
      </c>
      <c r="B25" s="1" t="s">
        <v>363</v>
      </c>
      <c r="C25" s="1" t="s">
        <v>74</v>
      </c>
      <c r="D25" s="1" t="s">
        <v>364</v>
      </c>
      <c r="E25" s="1" t="s">
        <v>74</v>
      </c>
      <c r="F25" s="1" t="s">
        <v>365</v>
      </c>
      <c r="G25" s="1" t="s">
        <v>74</v>
      </c>
      <c r="H25" s="1" t="s">
        <v>74</v>
      </c>
      <c r="I25" s="1" t="s">
        <v>366</v>
      </c>
      <c r="J25" s="1" t="s">
        <v>367</v>
      </c>
      <c r="K25" s="1" t="s">
        <v>368</v>
      </c>
      <c r="L25" s="1" t="s">
        <v>74</v>
      </c>
      <c r="M25" s="1" t="s">
        <v>74</v>
      </c>
      <c r="N25" s="1" t="s">
        <v>74</v>
      </c>
      <c r="O25" s="1" t="s">
        <v>369</v>
      </c>
      <c r="P25" s="1" t="s">
        <v>370</v>
      </c>
      <c r="Q25" s="1" t="s">
        <v>371</v>
      </c>
      <c r="R25" s="1" t="s">
        <v>372</v>
      </c>
      <c r="S25" s="1" t="s">
        <v>74</v>
      </c>
      <c r="T25" s="1" t="s">
        <v>74</v>
      </c>
      <c r="U25" s="1" t="s">
        <v>74</v>
      </c>
      <c r="V25" s="1" t="s">
        <v>373</v>
      </c>
      <c r="W25" s="1" t="s">
        <v>74</v>
      </c>
      <c r="X25" s="1" t="s">
        <v>74</v>
      </c>
      <c r="Y25" s="1" t="s">
        <v>74</v>
      </c>
      <c r="Z25" s="1" t="s">
        <v>74</v>
      </c>
      <c r="AA25" s="1" t="s">
        <v>374</v>
      </c>
      <c r="AB25" s="1" t="s">
        <v>375</v>
      </c>
      <c r="AC25" s="1" t="s">
        <v>74</v>
      </c>
      <c r="AD25" s="1" t="s">
        <v>74</v>
      </c>
      <c r="AE25" s="1" t="s">
        <v>74</v>
      </c>
      <c r="AF25" s="1" t="s">
        <v>74</v>
      </c>
      <c r="AG25" s="1" t="s">
        <v>74</v>
      </c>
      <c r="AH25" s="1" t="s">
        <v>74</v>
      </c>
      <c r="AI25" s="1" t="s">
        <v>74</v>
      </c>
      <c r="AJ25" s="1" t="s">
        <v>74</v>
      </c>
      <c r="AK25" s="1" t="s">
        <v>74</v>
      </c>
      <c r="AL25" s="1" t="s">
        <v>74</v>
      </c>
      <c r="AM25" s="1" t="s">
        <v>74</v>
      </c>
      <c r="AN25" s="1" t="s">
        <v>74</v>
      </c>
      <c r="AO25" s="1" t="s">
        <v>376</v>
      </c>
      <c r="AP25" s="1" t="s">
        <v>377</v>
      </c>
      <c r="AQ25" s="1" t="s">
        <v>378</v>
      </c>
      <c r="AR25" s="1" t="s">
        <v>74</v>
      </c>
      <c r="AS25" s="1" t="s">
        <v>74</v>
      </c>
      <c r="AT25" s="1" t="s">
        <v>74</v>
      </c>
      <c r="AU25" s="1">
        <v>2017.0</v>
      </c>
      <c r="AV25" s="1" t="s">
        <v>74</v>
      </c>
      <c r="AW25" s="1" t="s">
        <v>74</v>
      </c>
      <c r="AX25" s="1" t="s">
        <v>74</v>
      </c>
      <c r="AY25" s="1" t="s">
        <v>74</v>
      </c>
      <c r="AZ25" s="1" t="s">
        <v>74</v>
      </c>
      <c r="BA25" s="1" t="s">
        <v>74</v>
      </c>
      <c r="BB25" s="1">
        <v>75.0</v>
      </c>
      <c r="BC25" s="1">
        <v>83.0</v>
      </c>
      <c r="BD25" s="1" t="s">
        <v>74</v>
      </c>
      <c r="BE25" s="1" t="s">
        <v>379</v>
      </c>
      <c r="BF25" s="2" t="str">
        <f>HYPERLINK("http://dx.doi.org/10.1007/978-3-319-28513-9_11","http://dx.doi.org/10.1007/978-3-319-28513-9_11")</f>
        <v>http://dx.doi.org/10.1007/978-3-319-28513-9_11</v>
      </c>
      <c r="BG25" s="1" t="s">
        <v>74</v>
      </c>
      <c r="BH25" s="1" t="s">
        <v>74</v>
      </c>
      <c r="BI25" s="1" t="s">
        <v>74</v>
      </c>
      <c r="BJ25" s="1" t="s">
        <v>74</v>
      </c>
      <c r="BK25" s="1" t="s">
        <v>74</v>
      </c>
      <c r="BL25" s="1" t="s">
        <v>74</v>
      </c>
      <c r="BM25" s="1" t="s">
        <v>74</v>
      </c>
      <c r="BN25" s="1" t="s">
        <v>74</v>
      </c>
      <c r="BO25" s="1" t="s">
        <v>74</v>
      </c>
      <c r="BP25" s="1" t="s">
        <v>74</v>
      </c>
      <c r="BQ25" s="1" t="s">
        <v>74</v>
      </c>
      <c r="BR25" s="1" t="s">
        <v>74</v>
      </c>
      <c r="BS25" s="1" t="s">
        <v>380</v>
      </c>
      <c r="BT25" s="1" t="str">
        <f>HYPERLINK("https%3A%2F%2Fwww.webofscience.com%2Fwos%2Fwoscc%2Ffull-record%2FWOS:000405231500011","View Full Record in Web of Science")</f>
        <v>View Full Record in Web of Science</v>
      </c>
    </row>
    <row r="26" ht="12.75" customHeight="1">
      <c r="A26" s="1" t="s">
        <v>72</v>
      </c>
      <c r="B26" s="1" t="s">
        <v>381</v>
      </c>
      <c r="C26" s="1" t="s">
        <v>74</v>
      </c>
      <c r="D26" s="1" t="s">
        <v>74</v>
      </c>
      <c r="E26" s="1" t="s">
        <v>74</v>
      </c>
      <c r="F26" s="1" t="s">
        <v>382</v>
      </c>
      <c r="G26" s="1" t="s">
        <v>74</v>
      </c>
      <c r="H26" s="1" t="s">
        <v>74</v>
      </c>
      <c r="I26" s="1" t="s">
        <v>383</v>
      </c>
      <c r="J26" s="1" t="s">
        <v>384</v>
      </c>
      <c r="K26" s="1" t="s">
        <v>74</v>
      </c>
      <c r="L26" s="1" t="s">
        <v>74</v>
      </c>
      <c r="M26" s="1" t="s">
        <v>74</v>
      </c>
      <c r="N26" s="1" t="s">
        <v>74</v>
      </c>
      <c r="O26" s="1" t="s">
        <v>74</v>
      </c>
      <c r="P26" s="1" t="s">
        <v>74</v>
      </c>
      <c r="Q26" s="1" t="s">
        <v>74</v>
      </c>
      <c r="R26" s="1" t="s">
        <v>74</v>
      </c>
      <c r="S26" s="1" t="s">
        <v>74</v>
      </c>
      <c r="T26" s="1" t="s">
        <v>74</v>
      </c>
      <c r="U26" s="1" t="s">
        <v>74</v>
      </c>
      <c r="V26" s="1" t="s">
        <v>385</v>
      </c>
      <c r="W26" s="1" t="s">
        <v>74</v>
      </c>
      <c r="X26" s="1" t="s">
        <v>74</v>
      </c>
      <c r="Y26" s="1" t="s">
        <v>74</v>
      </c>
      <c r="Z26" s="1" t="s">
        <v>74</v>
      </c>
      <c r="AA26" s="1" t="s">
        <v>386</v>
      </c>
      <c r="AB26" s="1" t="s">
        <v>387</v>
      </c>
      <c r="AC26" s="1" t="s">
        <v>74</v>
      </c>
      <c r="AD26" s="1" t="s">
        <v>74</v>
      </c>
      <c r="AE26" s="1" t="s">
        <v>74</v>
      </c>
      <c r="AF26" s="1" t="s">
        <v>74</v>
      </c>
      <c r="AG26" s="1" t="s">
        <v>74</v>
      </c>
      <c r="AH26" s="1" t="s">
        <v>74</v>
      </c>
      <c r="AI26" s="1" t="s">
        <v>74</v>
      </c>
      <c r="AJ26" s="1" t="s">
        <v>74</v>
      </c>
      <c r="AK26" s="1" t="s">
        <v>74</v>
      </c>
      <c r="AL26" s="1" t="s">
        <v>74</v>
      </c>
      <c r="AM26" s="1" t="s">
        <v>74</v>
      </c>
      <c r="AN26" s="1" t="s">
        <v>74</v>
      </c>
      <c r="AO26" s="1" t="s">
        <v>388</v>
      </c>
      <c r="AP26" s="1" t="s">
        <v>389</v>
      </c>
      <c r="AQ26" s="1" t="s">
        <v>74</v>
      </c>
      <c r="AR26" s="1" t="s">
        <v>74</v>
      </c>
      <c r="AS26" s="1" t="s">
        <v>74</v>
      </c>
      <c r="AT26" s="1" t="s">
        <v>74</v>
      </c>
      <c r="AU26" s="1">
        <v>2016.0</v>
      </c>
      <c r="AV26" s="1">
        <v>51.0</v>
      </c>
      <c r="AW26" s="1">
        <v>14.0</v>
      </c>
      <c r="AX26" s="1" t="s">
        <v>74</v>
      </c>
      <c r="AY26" s="1" t="s">
        <v>74</v>
      </c>
      <c r="AZ26" s="1" t="s">
        <v>74</v>
      </c>
      <c r="BA26" s="1" t="s">
        <v>74</v>
      </c>
      <c r="BB26" s="1">
        <v>1269.0</v>
      </c>
      <c r="BC26" s="1">
        <v>1277.0</v>
      </c>
      <c r="BD26" s="1" t="s">
        <v>74</v>
      </c>
      <c r="BE26" s="1" t="s">
        <v>390</v>
      </c>
      <c r="BF26" s="2" t="str">
        <f>HYPERLINK("http://dx.doi.org/10.1080/10934529.2016.1215195","http://dx.doi.org/10.1080/10934529.2016.1215195")</f>
        <v>http://dx.doi.org/10.1080/10934529.2016.1215195</v>
      </c>
      <c r="BG26" s="1" t="s">
        <v>74</v>
      </c>
      <c r="BH26" s="1" t="s">
        <v>74</v>
      </c>
      <c r="BI26" s="1" t="s">
        <v>74</v>
      </c>
      <c r="BJ26" s="1" t="s">
        <v>74</v>
      </c>
      <c r="BK26" s="1" t="s">
        <v>74</v>
      </c>
      <c r="BL26" s="1" t="s">
        <v>74</v>
      </c>
      <c r="BM26" s="1" t="s">
        <v>74</v>
      </c>
      <c r="BN26" s="1">
        <v>2.7532802E7</v>
      </c>
      <c r="BO26" s="1" t="s">
        <v>74</v>
      </c>
      <c r="BP26" s="1" t="s">
        <v>74</v>
      </c>
      <c r="BQ26" s="1" t="s">
        <v>74</v>
      </c>
      <c r="BR26" s="1" t="s">
        <v>74</v>
      </c>
      <c r="BS26" s="1" t="s">
        <v>391</v>
      </c>
      <c r="BT26" s="1" t="str">
        <f>HYPERLINK("https%3A%2F%2Fwww.webofscience.com%2Fwos%2Fwoscc%2Ffull-record%2FWOS:000388101900008","View Full Record in Web of Science")</f>
        <v>View Full Record in Web of Science</v>
      </c>
    </row>
    <row r="27" ht="12.75" customHeight="1">
      <c r="A27" s="1" t="s">
        <v>72</v>
      </c>
      <c r="B27" s="1" t="s">
        <v>392</v>
      </c>
      <c r="C27" s="1" t="s">
        <v>74</v>
      </c>
      <c r="D27" s="1" t="s">
        <v>74</v>
      </c>
      <c r="E27" s="1" t="s">
        <v>74</v>
      </c>
      <c r="F27" s="1" t="s">
        <v>393</v>
      </c>
      <c r="G27" s="1" t="s">
        <v>74</v>
      </c>
      <c r="H27" s="1" t="s">
        <v>74</v>
      </c>
      <c r="I27" s="1" t="s">
        <v>394</v>
      </c>
      <c r="J27" s="1" t="s">
        <v>395</v>
      </c>
      <c r="K27" s="1" t="s">
        <v>74</v>
      </c>
      <c r="L27" s="1" t="s">
        <v>74</v>
      </c>
      <c r="M27" s="1" t="s">
        <v>74</v>
      </c>
      <c r="N27" s="1" t="s">
        <v>74</v>
      </c>
      <c r="O27" s="1" t="s">
        <v>74</v>
      </c>
      <c r="P27" s="1" t="s">
        <v>74</v>
      </c>
      <c r="Q27" s="1" t="s">
        <v>74</v>
      </c>
      <c r="R27" s="1" t="s">
        <v>74</v>
      </c>
      <c r="S27" s="1" t="s">
        <v>74</v>
      </c>
      <c r="T27" s="1" t="s">
        <v>74</v>
      </c>
      <c r="U27" s="1" t="s">
        <v>74</v>
      </c>
      <c r="V27" s="1" t="s">
        <v>74</v>
      </c>
      <c r="W27" s="1" t="s">
        <v>74</v>
      </c>
      <c r="X27" s="1" t="s">
        <v>74</v>
      </c>
      <c r="Y27" s="1" t="s">
        <v>74</v>
      </c>
      <c r="Z27" s="1" t="s">
        <v>74</v>
      </c>
      <c r="AA27" s="1" t="s">
        <v>396</v>
      </c>
      <c r="AB27" s="1" t="s">
        <v>74</v>
      </c>
      <c r="AC27" s="1" t="s">
        <v>74</v>
      </c>
      <c r="AD27" s="1" t="s">
        <v>74</v>
      </c>
      <c r="AE27" s="1" t="s">
        <v>74</v>
      </c>
      <c r="AF27" s="1" t="s">
        <v>74</v>
      </c>
      <c r="AG27" s="1" t="s">
        <v>74</v>
      </c>
      <c r="AH27" s="1" t="s">
        <v>74</v>
      </c>
      <c r="AI27" s="1" t="s">
        <v>74</v>
      </c>
      <c r="AJ27" s="1" t="s">
        <v>74</v>
      </c>
      <c r="AK27" s="1" t="s">
        <v>74</v>
      </c>
      <c r="AL27" s="1" t="s">
        <v>74</v>
      </c>
      <c r="AM27" s="1" t="s">
        <v>74</v>
      </c>
      <c r="AN27" s="1" t="s">
        <v>74</v>
      </c>
      <c r="AO27" s="1" t="s">
        <v>397</v>
      </c>
      <c r="AP27" s="1" t="s">
        <v>398</v>
      </c>
      <c r="AQ27" s="1" t="s">
        <v>74</v>
      </c>
      <c r="AR27" s="1" t="s">
        <v>74</v>
      </c>
      <c r="AS27" s="1" t="s">
        <v>74</v>
      </c>
      <c r="AT27" s="1" t="s">
        <v>399</v>
      </c>
      <c r="AU27" s="1">
        <v>2015.0</v>
      </c>
      <c r="AV27" s="1">
        <v>33.0</v>
      </c>
      <c r="AW27" s="1" t="s">
        <v>74</v>
      </c>
      <c r="AX27" s="1" t="s">
        <v>74</v>
      </c>
      <c r="AY27" s="1">
        <v>1.0</v>
      </c>
      <c r="AZ27" s="1" t="s">
        <v>74</v>
      </c>
      <c r="BA27" s="1">
        <v>196.0</v>
      </c>
      <c r="BB27" s="1">
        <v>129.0</v>
      </c>
      <c r="BC27" s="1">
        <v>129.0</v>
      </c>
      <c r="BD27" s="1" t="s">
        <v>74</v>
      </c>
      <c r="BE27" s="1" t="s">
        <v>400</v>
      </c>
      <c r="BF27" s="2" t="str">
        <f>HYPERLINK("http://dx.doi.org/10.1080/07391102.2015.1032833","http://dx.doi.org/10.1080/07391102.2015.1032833")</f>
        <v>http://dx.doi.org/10.1080/07391102.2015.1032833</v>
      </c>
      <c r="BG27" s="1" t="s">
        <v>74</v>
      </c>
      <c r="BH27" s="1" t="s">
        <v>74</v>
      </c>
      <c r="BI27" s="1" t="s">
        <v>74</v>
      </c>
      <c r="BJ27" s="1" t="s">
        <v>74</v>
      </c>
      <c r="BK27" s="1" t="s">
        <v>74</v>
      </c>
      <c r="BL27" s="1" t="s">
        <v>74</v>
      </c>
      <c r="BM27" s="1" t="s">
        <v>74</v>
      </c>
      <c r="BN27" s="1" t="s">
        <v>74</v>
      </c>
      <c r="BO27" s="1" t="s">
        <v>74</v>
      </c>
      <c r="BP27" s="1" t="s">
        <v>74</v>
      </c>
      <c r="BQ27" s="1" t="s">
        <v>74</v>
      </c>
      <c r="BR27" s="1" t="s">
        <v>74</v>
      </c>
      <c r="BS27" s="1" t="s">
        <v>401</v>
      </c>
      <c r="BT27" s="1" t="str">
        <f>HYPERLINK("https%3A%2F%2Fwww.webofscience.com%2Fwos%2Fwoscc%2Ffull-record%2FWOS:000356690000016","View Full Record in Web of Science")</f>
        <v>View Full Record in Web of Science</v>
      </c>
    </row>
    <row r="28" ht="12.75" customHeight="1">
      <c r="A28" s="1" t="s">
        <v>72</v>
      </c>
      <c r="B28" s="1" t="s">
        <v>402</v>
      </c>
      <c r="C28" s="1" t="s">
        <v>74</v>
      </c>
      <c r="D28" s="1" t="s">
        <v>74</v>
      </c>
      <c r="E28" s="1" t="s">
        <v>74</v>
      </c>
      <c r="F28" s="1" t="s">
        <v>403</v>
      </c>
      <c r="G28" s="1" t="s">
        <v>74</v>
      </c>
      <c r="H28" s="1" t="s">
        <v>74</v>
      </c>
      <c r="I28" s="1" t="s">
        <v>404</v>
      </c>
      <c r="J28" s="1" t="s">
        <v>405</v>
      </c>
      <c r="K28" s="1" t="s">
        <v>74</v>
      </c>
      <c r="L28" s="1" t="s">
        <v>74</v>
      </c>
      <c r="M28" s="1" t="s">
        <v>74</v>
      </c>
      <c r="N28" s="1" t="s">
        <v>74</v>
      </c>
      <c r="O28" s="1" t="s">
        <v>74</v>
      </c>
      <c r="P28" s="1" t="s">
        <v>74</v>
      </c>
      <c r="Q28" s="1" t="s">
        <v>74</v>
      </c>
      <c r="R28" s="1" t="s">
        <v>74</v>
      </c>
      <c r="S28" s="1" t="s">
        <v>74</v>
      </c>
      <c r="T28" s="1" t="s">
        <v>74</v>
      </c>
      <c r="U28" s="1" t="s">
        <v>74</v>
      </c>
      <c r="V28" s="1" t="s">
        <v>406</v>
      </c>
      <c r="W28" s="1" t="s">
        <v>74</v>
      </c>
      <c r="X28" s="1" t="s">
        <v>74</v>
      </c>
      <c r="Y28" s="1" t="s">
        <v>74</v>
      </c>
      <c r="Z28" s="1" t="s">
        <v>74</v>
      </c>
      <c r="AA28" s="1" t="s">
        <v>407</v>
      </c>
      <c r="AB28" s="1" t="s">
        <v>408</v>
      </c>
      <c r="AC28" s="1" t="s">
        <v>74</v>
      </c>
      <c r="AD28" s="1" t="s">
        <v>74</v>
      </c>
      <c r="AE28" s="1" t="s">
        <v>74</v>
      </c>
      <c r="AF28" s="1" t="s">
        <v>74</v>
      </c>
      <c r="AG28" s="1" t="s">
        <v>74</v>
      </c>
      <c r="AH28" s="1" t="s">
        <v>74</v>
      </c>
      <c r="AI28" s="1" t="s">
        <v>74</v>
      </c>
      <c r="AJ28" s="1" t="s">
        <v>74</v>
      </c>
      <c r="AK28" s="1" t="s">
        <v>74</v>
      </c>
      <c r="AL28" s="1" t="s">
        <v>74</v>
      </c>
      <c r="AM28" s="1" t="s">
        <v>74</v>
      </c>
      <c r="AN28" s="1" t="s">
        <v>74</v>
      </c>
      <c r="AO28" s="1" t="s">
        <v>409</v>
      </c>
      <c r="AP28" s="1" t="s">
        <v>410</v>
      </c>
      <c r="AQ28" s="1" t="s">
        <v>74</v>
      </c>
      <c r="AR28" s="1" t="s">
        <v>74</v>
      </c>
      <c r="AS28" s="1" t="s">
        <v>74</v>
      </c>
      <c r="AT28" s="1" t="s">
        <v>411</v>
      </c>
      <c r="AU28" s="1">
        <v>2014.0</v>
      </c>
      <c r="AV28" s="1">
        <v>593.0</v>
      </c>
      <c r="AW28" s="1" t="s">
        <v>74</v>
      </c>
      <c r="AX28" s="1" t="s">
        <v>74</v>
      </c>
      <c r="AY28" s="1" t="s">
        <v>74</v>
      </c>
      <c r="AZ28" s="1" t="s">
        <v>74</v>
      </c>
      <c r="BA28" s="1" t="s">
        <v>74</v>
      </c>
      <c r="BB28" s="1">
        <v>89.0</v>
      </c>
      <c r="BC28" s="1">
        <v>92.0</v>
      </c>
      <c r="BD28" s="1" t="s">
        <v>74</v>
      </c>
      <c r="BE28" s="1" t="s">
        <v>412</v>
      </c>
      <c r="BF28" s="2" t="str">
        <f>HYPERLINK("http://dx.doi.org/10.1016/j.cplett.2013.12.059","http://dx.doi.org/10.1016/j.cplett.2013.12.059")</f>
        <v>http://dx.doi.org/10.1016/j.cplett.2013.12.059</v>
      </c>
      <c r="BG28" s="1" t="s">
        <v>74</v>
      </c>
      <c r="BH28" s="1" t="s">
        <v>74</v>
      </c>
      <c r="BI28" s="1" t="s">
        <v>74</v>
      </c>
      <c r="BJ28" s="1" t="s">
        <v>74</v>
      </c>
      <c r="BK28" s="1" t="s">
        <v>74</v>
      </c>
      <c r="BL28" s="1" t="s">
        <v>74</v>
      </c>
      <c r="BM28" s="1" t="s">
        <v>74</v>
      </c>
      <c r="BN28" s="1" t="s">
        <v>74</v>
      </c>
      <c r="BO28" s="1" t="s">
        <v>74</v>
      </c>
      <c r="BP28" s="1" t="s">
        <v>74</v>
      </c>
      <c r="BQ28" s="1" t="s">
        <v>74</v>
      </c>
      <c r="BR28" s="1" t="s">
        <v>74</v>
      </c>
      <c r="BS28" s="1" t="s">
        <v>413</v>
      </c>
      <c r="BT28" s="1" t="str">
        <f>HYPERLINK("https%3A%2F%2Fwww.webofscience.com%2Fwos%2Fwoscc%2Ffull-record%2FWOS:000331709300018","View Full Record in Web of Science")</f>
        <v>View Full Record in Web of Science</v>
      </c>
    </row>
    <row r="29" ht="12.75" customHeight="1">
      <c r="A29" s="1" t="s">
        <v>72</v>
      </c>
      <c r="B29" s="1" t="s">
        <v>414</v>
      </c>
      <c r="C29" s="1" t="s">
        <v>74</v>
      </c>
      <c r="D29" s="1" t="s">
        <v>74</v>
      </c>
      <c r="E29" s="1" t="s">
        <v>74</v>
      </c>
      <c r="F29" s="1" t="s">
        <v>415</v>
      </c>
      <c r="G29" s="1" t="s">
        <v>74</v>
      </c>
      <c r="H29" s="1" t="s">
        <v>74</v>
      </c>
      <c r="I29" s="1" t="s">
        <v>416</v>
      </c>
      <c r="J29" s="1" t="s">
        <v>417</v>
      </c>
      <c r="K29" s="1" t="s">
        <v>74</v>
      </c>
      <c r="L29" s="1" t="s">
        <v>74</v>
      </c>
      <c r="M29" s="1" t="s">
        <v>74</v>
      </c>
      <c r="N29" s="1" t="s">
        <v>74</v>
      </c>
      <c r="O29" s="1" t="s">
        <v>74</v>
      </c>
      <c r="P29" s="1" t="s">
        <v>74</v>
      </c>
      <c r="Q29" s="1" t="s">
        <v>74</v>
      </c>
      <c r="R29" s="1" t="s">
        <v>74</v>
      </c>
      <c r="S29" s="1" t="s">
        <v>74</v>
      </c>
      <c r="T29" s="1" t="s">
        <v>74</v>
      </c>
      <c r="U29" s="1" t="s">
        <v>74</v>
      </c>
      <c r="V29" s="1" t="s">
        <v>418</v>
      </c>
      <c r="W29" s="1" t="s">
        <v>74</v>
      </c>
      <c r="X29" s="1" t="s">
        <v>74</v>
      </c>
      <c r="Y29" s="1" t="s">
        <v>74</v>
      </c>
      <c r="Z29" s="1" t="s">
        <v>74</v>
      </c>
      <c r="AA29" s="1" t="s">
        <v>419</v>
      </c>
      <c r="AB29" s="1" t="s">
        <v>420</v>
      </c>
      <c r="AC29" s="1" t="s">
        <v>74</v>
      </c>
      <c r="AD29" s="1" t="s">
        <v>74</v>
      </c>
      <c r="AE29" s="1" t="s">
        <v>74</v>
      </c>
      <c r="AF29" s="1" t="s">
        <v>74</v>
      </c>
      <c r="AG29" s="1" t="s">
        <v>74</v>
      </c>
      <c r="AH29" s="1" t="s">
        <v>74</v>
      </c>
      <c r="AI29" s="1" t="s">
        <v>74</v>
      </c>
      <c r="AJ29" s="1" t="s">
        <v>74</v>
      </c>
      <c r="AK29" s="1" t="s">
        <v>74</v>
      </c>
      <c r="AL29" s="1" t="s">
        <v>74</v>
      </c>
      <c r="AM29" s="1" t="s">
        <v>74</v>
      </c>
      <c r="AN29" s="1" t="s">
        <v>74</v>
      </c>
      <c r="AO29" s="1" t="s">
        <v>421</v>
      </c>
      <c r="AP29" s="1" t="s">
        <v>74</v>
      </c>
      <c r="AQ29" s="1" t="s">
        <v>74</v>
      </c>
      <c r="AR29" s="1" t="s">
        <v>74</v>
      </c>
      <c r="AS29" s="1" t="s">
        <v>74</v>
      </c>
      <c r="AT29" s="1" t="s">
        <v>422</v>
      </c>
      <c r="AU29" s="1">
        <v>2013.0</v>
      </c>
      <c r="AV29" s="1">
        <v>70.0</v>
      </c>
      <c r="AW29" s="1">
        <v>1.0</v>
      </c>
      <c r="AX29" s="1" t="s">
        <v>74</v>
      </c>
      <c r="AY29" s="1" t="s">
        <v>74</v>
      </c>
      <c r="AZ29" s="1" t="s">
        <v>74</v>
      </c>
      <c r="BA29" s="1" t="s">
        <v>74</v>
      </c>
      <c r="BB29" s="1">
        <v>117.0</v>
      </c>
      <c r="BC29" s="1">
        <v>129.0</v>
      </c>
      <c r="BD29" s="1" t="s">
        <v>74</v>
      </c>
      <c r="BE29" s="1" t="s">
        <v>423</v>
      </c>
      <c r="BF29" s="2" t="str">
        <f>HYPERLINK("http://dx.doi.org/10.1007/s00289-012-0787-x","http://dx.doi.org/10.1007/s00289-012-0787-x")</f>
        <v>http://dx.doi.org/10.1007/s00289-012-0787-x</v>
      </c>
      <c r="BG29" s="1" t="s">
        <v>74</v>
      </c>
      <c r="BH29" s="1" t="s">
        <v>74</v>
      </c>
      <c r="BI29" s="1" t="s">
        <v>74</v>
      </c>
      <c r="BJ29" s="1" t="s">
        <v>74</v>
      </c>
      <c r="BK29" s="1" t="s">
        <v>74</v>
      </c>
      <c r="BL29" s="1" t="s">
        <v>74</v>
      </c>
      <c r="BM29" s="1" t="s">
        <v>74</v>
      </c>
      <c r="BN29" s="1" t="s">
        <v>74</v>
      </c>
      <c r="BO29" s="1" t="s">
        <v>74</v>
      </c>
      <c r="BP29" s="1" t="s">
        <v>74</v>
      </c>
      <c r="BQ29" s="1" t="s">
        <v>74</v>
      </c>
      <c r="BR29" s="1" t="s">
        <v>74</v>
      </c>
      <c r="BS29" s="1" t="s">
        <v>424</v>
      </c>
      <c r="BT29" s="1" t="str">
        <f>HYPERLINK("https%3A%2F%2Fwww.webofscience.com%2Fwos%2Fwoscc%2Ffull-record%2FWOS:000313059800010","View Full Record in Web of Science")</f>
        <v>View Full Record in Web of Science</v>
      </c>
    </row>
    <row r="30" ht="12.75" customHeight="1">
      <c r="A30" s="1" t="s">
        <v>72</v>
      </c>
      <c r="B30" s="1" t="s">
        <v>425</v>
      </c>
      <c r="C30" s="1" t="s">
        <v>74</v>
      </c>
      <c r="D30" s="1" t="s">
        <v>74</v>
      </c>
      <c r="E30" s="1" t="s">
        <v>74</v>
      </c>
      <c r="F30" s="1" t="s">
        <v>426</v>
      </c>
      <c r="G30" s="1" t="s">
        <v>74</v>
      </c>
      <c r="H30" s="1" t="s">
        <v>74</v>
      </c>
      <c r="I30" s="1" t="s">
        <v>427</v>
      </c>
      <c r="J30" s="1" t="s">
        <v>428</v>
      </c>
      <c r="K30" s="1" t="s">
        <v>74</v>
      </c>
      <c r="L30" s="1" t="s">
        <v>74</v>
      </c>
      <c r="M30" s="1" t="s">
        <v>74</v>
      </c>
      <c r="N30" s="1" t="s">
        <v>74</v>
      </c>
      <c r="O30" s="1" t="s">
        <v>74</v>
      </c>
      <c r="P30" s="1" t="s">
        <v>74</v>
      </c>
      <c r="Q30" s="1" t="s">
        <v>74</v>
      </c>
      <c r="R30" s="1" t="s">
        <v>74</v>
      </c>
      <c r="S30" s="1" t="s">
        <v>74</v>
      </c>
      <c r="T30" s="1" t="s">
        <v>74</v>
      </c>
      <c r="U30" s="1" t="s">
        <v>74</v>
      </c>
      <c r="V30" s="1" t="s">
        <v>429</v>
      </c>
      <c r="W30" s="1" t="s">
        <v>74</v>
      </c>
      <c r="X30" s="1" t="s">
        <v>74</v>
      </c>
      <c r="Y30" s="1" t="s">
        <v>74</v>
      </c>
      <c r="Z30" s="1" t="s">
        <v>74</v>
      </c>
      <c r="AA30" s="1" t="s">
        <v>430</v>
      </c>
      <c r="AB30" s="1" t="s">
        <v>431</v>
      </c>
      <c r="AC30" s="1" t="s">
        <v>74</v>
      </c>
      <c r="AD30" s="1" t="s">
        <v>74</v>
      </c>
      <c r="AE30" s="1" t="s">
        <v>74</v>
      </c>
      <c r="AF30" s="1" t="s">
        <v>74</v>
      </c>
      <c r="AG30" s="1" t="s">
        <v>74</v>
      </c>
      <c r="AH30" s="1" t="s">
        <v>74</v>
      </c>
      <c r="AI30" s="1" t="s">
        <v>74</v>
      </c>
      <c r="AJ30" s="1" t="s">
        <v>74</v>
      </c>
      <c r="AK30" s="1" t="s">
        <v>74</v>
      </c>
      <c r="AL30" s="1" t="s">
        <v>74</v>
      </c>
      <c r="AM30" s="1" t="s">
        <v>74</v>
      </c>
      <c r="AN30" s="1" t="s">
        <v>74</v>
      </c>
      <c r="AO30" s="1" t="s">
        <v>432</v>
      </c>
      <c r="AP30" s="1" t="s">
        <v>74</v>
      </c>
      <c r="AQ30" s="1" t="s">
        <v>74</v>
      </c>
      <c r="AR30" s="1" t="s">
        <v>74</v>
      </c>
      <c r="AS30" s="1" t="s">
        <v>74</v>
      </c>
      <c r="AT30" s="1" t="s">
        <v>433</v>
      </c>
      <c r="AU30" s="1">
        <v>2013.0</v>
      </c>
      <c r="AV30" s="1">
        <v>73.0</v>
      </c>
      <c r="AW30" s="1">
        <v>1.0</v>
      </c>
      <c r="AX30" s="1" t="s">
        <v>74</v>
      </c>
      <c r="AY30" s="1" t="s">
        <v>74</v>
      </c>
      <c r="AZ30" s="1" t="s">
        <v>74</v>
      </c>
      <c r="BA30" s="1" t="s">
        <v>74</v>
      </c>
      <c r="BB30" s="1">
        <v>17.0</v>
      </c>
      <c r="BC30" s="1">
        <v>23.0</v>
      </c>
      <c r="BD30" s="1" t="s">
        <v>74</v>
      </c>
      <c r="BE30" s="1" t="s">
        <v>434</v>
      </c>
      <c r="BF30" s="2" t="str">
        <f>HYPERLINK("http://dx.doi.org/10.4067/S0718-58392013000100003","http://dx.doi.org/10.4067/S0718-58392013000100003")</f>
        <v>http://dx.doi.org/10.4067/S0718-58392013000100003</v>
      </c>
      <c r="BG30" s="1" t="s">
        <v>74</v>
      </c>
      <c r="BH30" s="1" t="s">
        <v>74</v>
      </c>
      <c r="BI30" s="1" t="s">
        <v>74</v>
      </c>
      <c r="BJ30" s="1" t="s">
        <v>74</v>
      </c>
      <c r="BK30" s="1" t="s">
        <v>74</v>
      </c>
      <c r="BL30" s="1" t="s">
        <v>74</v>
      </c>
      <c r="BM30" s="1" t="s">
        <v>74</v>
      </c>
      <c r="BN30" s="1" t="s">
        <v>74</v>
      </c>
      <c r="BO30" s="1" t="s">
        <v>74</v>
      </c>
      <c r="BP30" s="1" t="s">
        <v>74</v>
      </c>
      <c r="BQ30" s="1" t="s">
        <v>74</v>
      </c>
      <c r="BR30" s="1" t="s">
        <v>74</v>
      </c>
      <c r="BS30" s="1" t="s">
        <v>435</v>
      </c>
      <c r="BT30" s="1" t="str">
        <f>HYPERLINK("https%3A%2F%2Fwww.webofscience.com%2Fwos%2Fwoscc%2Ffull-record%2FWOS:000317006800003","View Full Record in Web of Science")</f>
        <v>View Full Record in Web of Science</v>
      </c>
    </row>
    <row r="31" ht="12.75" customHeight="1">
      <c r="A31" s="1" t="s">
        <v>72</v>
      </c>
      <c r="B31" s="1" t="s">
        <v>436</v>
      </c>
      <c r="C31" s="1" t="s">
        <v>74</v>
      </c>
      <c r="D31" s="1" t="s">
        <v>74</v>
      </c>
      <c r="E31" s="1" t="s">
        <v>74</v>
      </c>
      <c r="F31" s="1" t="s">
        <v>437</v>
      </c>
      <c r="G31" s="1" t="s">
        <v>74</v>
      </c>
      <c r="H31" s="1" t="s">
        <v>74</v>
      </c>
      <c r="I31" s="1" t="s">
        <v>438</v>
      </c>
      <c r="J31" s="1" t="s">
        <v>148</v>
      </c>
      <c r="K31" s="1" t="s">
        <v>74</v>
      </c>
      <c r="L31" s="1" t="s">
        <v>74</v>
      </c>
      <c r="M31" s="1" t="s">
        <v>74</v>
      </c>
      <c r="N31" s="1" t="s">
        <v>74</v>
      </c>
      <c r="O31" s="1" t="s">
        <v>74</v>
      </c>
      <c r="P31" s="1" t="s">
        <v>74</v>
      </c>
      <c r="Q31" s="1" t="s">
        <v>74</v>
      </c>
      <c r="R31" s="1" t="s">
        <v>74</v>
      </c>
      <c r="S31" s="1" t="s">
        <v>74</v>
      </c>
      <c r="T31" s="1" t="s">
        <v>74</v>
      </c>
      <c r="U31" s="1" t="s">
        <v>74</v>
      </c>
      <c r="V31" s="1" t="s">
        <v>439</v>
      </c>
      <c r="W31" s="1" t="s">
        <v>74</v>
      </c>
      <c r="X31" s="1" t="s">
        <v>74</v>
      </c>
      <c r="Y31" s="1" t="s">
        <v>74</v>
      </c>
      <c r="Z31" s="1" t="s">
        <v>74</v>
      </c>
      <c r="AA31" s="1" t="s">
        <v>440</v>
      </c>
      <c r="AB31" s="1" t="s">
        <v>74</v>
      </c>
      <c r="AC31" s="1" t="s">
        <v>74</v>
      </c>
      <c r="AD31" s="1" t="s">
        <v>74</v>
      </c>
      <c r="AE31" s="1" t="s">
        <v>74</v>
      </c>
      <c r="AF31" s="1" t="s">
        <v>74</v>
      </c>
      <c r="AG31" s="1" t="s">
        <v>74</v>
      </c>
      <c r="AH31" s="1" t="s">
        <v>74</v>
      </c>
      <c r="AI31" s="1" t="s">
        <v>74</v>
      </c>
      <c r="AJ31" s="1" t="s">
        <v>74</v>
      </c>
      <c r="AK31" s="1" t="s">
        <v>74</v>
      </c>
      <c r="AL31" s="1" t="s">
        <v>74</v>
      </c>
      <c r="AM31" s="1" t="s">
        <v>74</v>
      </c>
      <c r="AN31" s="1" t="s">
        <v>74</v>
      </c>
      <c r="AO31" s="1" t="s">
        <v>151</v>
      </c>
      <c r="AP31" s="1" t="s">
        <v>152</v>
      </c>
      <c r="AQ31" s="1" t="s">
        <v>74</v>
      </c>
      <c r="AR31" s="1" t="s">
        <v>74</v>
      </c>
      <c r="AS31" s="1" t="s">
        <v>74</v>
      </c>
      <c r="AT31" s="1" t="s">
        <v>441</v>
      </c>
      <c r="AU31" s="1">
        <v>2010.0</v>
      </c>
      <c r="AV31" s="1">
        <v>396.0</v>
      </c>
      <c r="AW31" s="1">
        <v>2.0</v>
      </c>
      <c r="AX31" s="1" t="s">
        <v>74</v>
      </c>
      <c r="AY31" s="1" t="s">
        <v>74</v>
      </c>
      <c r="AZ31" s="1" t="s">
        <v>74</v>
      </c>
      <c r="BA31" s="1" t="s">
        <v>74</v>
      </c>
      <c r="BB31" s="1">
        <v>217.0</v>
      </c>
      <c r="BC31" s="1">
        <v>222.0</v>
      </c>
      <c r="BD31" s="1" t="s">
        <v>74</v>
      </c>
      <c r="BE31" s="1" t="s">
        <v>442</v>
      </c>
      <c r="BF31" s="2" t="str">
        <f>HYPERLINK("http://dx.doi.org/10.1016/j.ab.2009.09.026","http://dx.doi.org/10.1016/j.ab.2009.09.026")</f>
        <v>http://dx.doi.org/10.1016/j.ab.2009.09.026</v>
      </c>
      <c r="BG31" s="1" t="s">
        <v>74</v>
      </c>
      <c r="BH31" s="1" t="s">
        <v>74</v>
      </c>
      <c r="BI31" s="1" t="s">
        <v>74</v>
      </c>
      <c r="BJ31" s="1" t="s">
        <v>74</v>
      </c>
      <c r="BK31" s="1" t="s">
        <v>74</v>
      </c>
      <c r="BL31" s="1" t="s">
        <v>74</v>
      </c>
      <c r="BM31" s="1" t="s">
        <v>74</v>
      </c>
      <c r="BN31" s="1">
        <v>1.9766584E7</v>
      </c>
      <c r="BO31" s="1" t="s">
        <v>74</v>
      </c>
      <c r="BP31" s="1" t="s">
        <v>74</v>
      </c>
      <c r="BQ31" s="1" t="s">
        <v>74</v>
      </c>
      <c r="BR31" s="1" t="s">
        <v>74</v>
      </c>
      <c r="BS31" s="1" t="s">
        <v>443</v>
      </c>
      <c r="BT31" s="1" t="str">
        <f>HYPERLINK("https%3A%2F%2Fwww.webofscience.com%2Fwos%2Fwoscc%2Ffull-record%2FWOS:000272504100008","View Full Record in Web of Science")</f>
        <v>View Full Record in Web of Science</v>
      </c>
    </row>
    <row r="32" ht="12.75" customHeight="1">
      <c r="A32" s="1" t="s">
        <v>72</v>
      </c>
      <c r="B32" s="1" t="s">
        <v>444</v>
      </c>
      <c r="C32" s="1" t="s">
        <v>74</v>
      </c>
      <c r="D32" s="1" t="s">
        <v>74</v>
      </c>
      <c r="E32" s="1" t="s">
        <v>74</v>
      </c>
      <c r="F32" s="1" t="s">
        <v>445</v>
      </c>
      <c r="G32" s="1" t="s">
        <v>74</v>
      </c>
      <c r="H32" s="1" t="s">
        <v>74</v>
      </c>
      <c r="I32" s="1" t="s">
        <v>446</v>
      </c>
      <c r="J32" s="1" t="s">
        <v>447</v>
      </c>
      <c r="K32" s="1" t="s">
        <v>74</v>
      </c>
      <c r="L32" s="1" t="s">
        <v>74</v>
      </c>
      <c r="M32" s="1" t="s">
        <v>74</v>
      </c>
      <c r="N32" s="1" t="s">
        <v>74</v>
      </c>
      <c r="O32" s="1" t="s">
        <v>74</v>
      </c>
      <c r="P32" s="1" t="s">
        <v>74</v>
      </c>
      <c r="Q32" s="1" t="s">
        <v>74</v>
      </c>
      <c r="R32" s="1" t="s">
        <v>74</v>
      </c>
      <c r="S32" s="1" t="s">
        <v>74</v>
      </c>
      <c r="T32" s="1" t="s">
        <v>74</v>
      </c>
      <c r="U32" s="1" t="s">
        <v>74</v>
      </c>
      <c r="V32" s="1" t="s">
        <v>448</v>
      </c>
      <c r="W32" s="1" t="s">
        <v>74</v>
      </c>
      <c r="X32" s="1" t="s">
        <v>74</v>
      </c>
      <c r="Y32" s="1" t="s">
        <v>74</v>
      </c>
      <c r="Z32" s="1" t="s">
        <v>74</v>
      </c>
      <c r="AA32" s="1" t="s">
        <v>449</v>
      </c>
      <c r="AB32" s="1" t="s">
        <v>450</v>
      </c>
      <c r="AC32" s="1" t="s">
        <v>74</v>
      </c>
      <c r="AD32" s="1" t="s">
        <v>74</v>
      </c>
      <c r="AE32" s="1" t="s">
        <v>74</v>
      </c>
      <c r="AF32" s="1" t="s">
        <v>74</v>
      </c>
      <c r="AG32" s="1" t="s">
        <v>74</v>
      </c>
      <c r="AH32" s="1" t="s">
        <v>74</v>
      </c>
      <c r="AI32" s="1" t="s">
        <v>74</v>
      </c>
      <c r="AJ32" s="1" t="s">
        <v>74</v>
      </c>
      <c r="AK32" s="1" t="s">
        <v>74</v>
      </c>
      <c r="AL32" s="1" t="s">
        <v>74</v>
      </c>
      <c r="AM32" s="1" t="s">
        <v>74</v>
      </c>
      <c r="AN32" s="1" t="s">
        <v>74</v>
      </c>
      <c r="AO32" s="1" t="s">
        <v>451</v>
      </c>
      <c r="AP32" s="1" t="s">
        <v>452</v>
      </c>
      <c r="AQ32" s="1" t="s">
        <v>74</v>
      </c>
      <c r="AR32" s="1" t="s">
        <v>74</v>
      </c>
      <c r="AS32" s="1" t="s">
        <v>74</v>
      </c>
      <c r="AT32" s="1" t="s">
        <v>422</v>
      </c>
      <c r="AU32" s="1">
        <v>2010.0</v>
      </c>
      <c r="AV32" s="1">
        <v>101.0</v>
      </c>
      <c r="AW32" s="1">
        <v>1.0</v>
      </c>
      <c r="AX32" s="1" t="s">
        <v>74</v>
      </c>
      <c r="AY32" s="1" t="s">
        <v>74</v>
      </c>
      <c r="AZ32" s="1" t="s">
        <v>74</v>
      </c>
      <c r="BA32" s="1" t="s">
        <v>74</v>
      </c>
      <c r="BB32" s="1">
        <v>131.0</v>
      </c>
      <c r="BC32" s="1">
        <v>137.0</v>
      </c>
      <c r="BD32" s="1" t="s">
        <v>74</v>
      </c>
      <c r="BE32" s="1" t="s">
        <v>453</v>
      </c>
      <c r="BF32" s="2" t="str">
        <f>HYPERLINK("http://dx.doi.org/10.1016/j.biortech.2009.08.010","http://dx.doi.org/10.1016/j.biortech.2009.08.010")</f>
        <v>http://dx.doi.org/10.1016/j.biortech.2009.08.010</v>
      </c>
      <c r="BG32" s="1" t="s">
        <v>74</v>
      </c>
      <c r="BH32" s="1" t="s">
        <v>74</v>
      </c>
      <c r="BI32" s="1" t="s">
        <v>74</v>
      </c>
      <c r="BJ32" s="1" t="s">
        <v>74</v>
      </c>
      <c r="BK32" s="1" t="s">
        <v>74</v>
      </c>
      <c r="BL32" s="1" t="s">
        <v>74</v>
      </c>
      <c r="BM32" s="1" t="s">
        <v>74</v>
      </c>
      <c r="BN32" s="1">
        <v>1.97293E7</v>
      </c>
      <c r="BO32" s="1" t="s">
        <v>74</v>
      </c>
      <c r="BP32" s="1" t="s">
        <v>74</v>
      </c>
      <c r="BQ32" s="1" t="s">
        <v>74</v>
      </c>
      <c r="BR32" s="1" t="s">
        <v>74</v>
      </c>
      <c r="BS32" s="1" t="s">
        <v>454</v>
      </c>
      <c r="BT32" s="1" t="str">
        <f>HYPERLINK("https%3A%2F%2Fwww.webofscience.com%2Fwos%2Fwoscc%2Ffull-record%2FWOS:000271165500020","View Full Record in Web of Science")</f>
        <v>View Full Record in Web of Science</v>
      </c>
    </row>
    <row r="33" ht="12.75" customHeight="1">
      <c r="A33" s="1" t="s">
        <v>72</v>
      </c>
      <c r="B33" s="1" t="s">
        <v>455</v>
      </c>
      <c r="C33" s="1" t="s">
        <v>74</v>
      </c>
      <c r="D33" s="1" t="s">
        <v>74</v>
      </c>
      <c r="E33" s="1" t="s">
        <v>74</v>
      </c>
      <c r="F33" s="1" t="s">
        <v>456</v>
      </c>
      <c r="G33" s="1" t="s">
        <v>74</v>
      </c>
      <c r="H33" s="1" t="s">
        <v>74</v>
      </c>
      <c r="I33" s="1" t="s">
        <v>457</v>
      </c>
      <c r="J33" s="1" t="s">
        <v>458</v>
      </c>
      <c r="K33" s="1" t="s">
        <v>74</v>
      </c>
      <c r="L33" s="1" t="s">
        <v>74</v>
      </c>
      <c r="M33" s="1" t="s">
        <v>74</v>
      </c>
      <c r="N33" s="1" t="s">
        <v>74</v>
      </c>
      <c r="O33" s="1" t="s">
        <v>74</v>
      </c>
      <c r="P33" s="1" t="s">
        <v>74</v>
      </c>
      <c r="Q33" s="1" t="s">
        <v>74</v>
      </c>
      <c r="R33" s="1" t="s">
        <v>74</v>
      </c>
      <c r="S33" s="1" t="s">
        <v>74</v>
      </c>
      <c r="T33" s="1" t="s">
        <v>74</v>
      </c>
      <c r="U33" s="1" t="s">
        <v>74</v>
      </c>
      <c r="V33" s="1" t="s">
        <v>459</v>
      </c>
      <c r="W33" s="1" t="s">
        <v>74</v>
      </c>
      <c r="X33" s="1" t="s">
        <v>74</v>
      </c>
      <c r="Y33" s="1" t="s">
        <v>74</v>
      </c>
      <c r="Z33" s="1" t="s">
        <v>74</v>
      </c>
      <c r="AA33" s="1" t="s">
        <v>460</v>
      </c>
      <c r="AB33" s="1" t="s">
        <v>461</v>
      </c>
      <c r="AC33" s="1" t="s">
        <v>74</v>
      </c>
      <c r="AD33" s="1" t="s">
        <v>74</v>
      </c>
      <c r="AE33" s="1" t="s">
        <v>74</v>
      </c>
      <c r="AF33" s="1" t="s">
        <v>74</v>
      </c>
      <c r="AG33" s="1" t="s">
        <v>74</v>
      </c>
      <c r="AH33" s="1" t="s">
        <v>74</v>
      </c>
      <c r="AI33" s="1" t="s">
        <v>74</v>
      </c>
      <c r="AJ33" s="1" t="s">
        <v>74</v>
      </c>
      <c r="AK33" s="1" t="s">
        <v>74</v>
      </c>
      <c r="AL33" s="1" t="s">
        <v>74</v>
      </c>
      <c r="AM33" s="1" t="s">
        <v>74</v>
      </c>
      <c r="AN33" s="1" t="s">
        <v>74</v>
      </c>
      <c r="AO33" s="1" t="s">
        <v>462</v>
      </c>
      <c r="AP33" s="1" t="s">
        <v>463</v>
      </c>
      <c r="AQ33" s="1" t="s">
        <v>74</v>
      </c>
      <c r="AR33" s="1" t="s">
        <v>74</v>
      </c>
      <c r="AS33" s="1" t="s">
        <v>74</v>
      </c>
      <c r="AT33" s="1" t="s">
        <v>175</v>
      </c>
      <c r="AU33" s="1">
        <v>2009.0</v>
      </c>
      <c r="AV33" s="1">
        <v>71.0</v>
      </c>
      <c r="AW33" s="1">
        <v>10.0</v>
      </c>
      <c r="AX33" s="1" t="s">
        <v>74</v>
      </c>
      <c r="AY33" s="1" t="s">
        <v>74</v>
      </c>
      <c r="AZ33" s="1" t="s">
        <v>74</v>
      </c>
      <c r="BA33" s="1" t="s">
        <v>74</v>
      </c>
      <c r="BB33" s="1">
        <v>4862.0</v>
      </c>
      <c r="BC33" s="1">
        <v>4868.0</v>
      </c>
      <c r="BD33" s="1" t="s">
        <v>74</v>
      </c>
      <c r="BE33" s="1" t="s">
        <v>464</v>
      </c>
      <c r="BF33" s="2" t="str">
        <f>HYPERLINK("http://dx.doi.org/10.1016/j.na.2009.03.061","http://dx.doi.org/10.1016/j.na.2009.03.061")</f>
        <v>http://dx.doi.org/10.1016/j.na.2009.03.061</v>
      </c>
      <c r="BG33" s="1" t="s">
        <v>74</v>
      </c>
      <c r="BH33" s="1" t="s">
        <v>74</v>
      </c>
      <c r="BI33" s="1" t="s">
        <v>74</v>
      </c>
      <c r="BJ33" s="1" t="s">
        <v>74</v>
      </c>
      <c r="BK33" s="1" t="s">
        <v>74</v>
      </c>
      <c r="BL33" s="1" t="s">
        <v>74</v>
      </c>
      <c r="BM33" s="1" t="s">
        <v>74</v>
      </c>
      <c r="BN33" s="1" t="s">
        <v>74</v>
      </c>
      <c r="BO33" s="1" t="s">
        <v>74</v>
      </c>
      <c r="BP33" s="1" t="s">
        <v>74</v>
      </c>
      <c r="BQ33" s="1" t="s">
        <v>74</v>
      </c>
      <c r="BR33" s="1" t="s">
        <v>74</v>
      </c>
      <c r="BS33" s="1" t="s">
        <v>465</v>
      </c>
      <c r="BT33" s="1" t="str">
        <f>HYPERLINK("https%3A%2F%2Fwww.webofscience.com%2Fwos%2Fwoscc%2Ffull-record%2FWOS:000269140700056","View Full Record in Web of Science")</f>
        <v>View Full Record in Web of Science</v>
      </c>
    </row>
    <row r="34" ht="12.75" customHeight="1">
      <c r="A34" s="1" t="s">
        <v>72</v>
      </c>
      <c r="B34" s="1" t="s">
        <v>466</v>
      </c>
      <c r="C34" s="1" t="s">
        <v>74</v>
      </c>
      <c r="D34" s="1" t="s">
        <v>74</v>
      </c>
      <c r="E34" s="1" t="s">
        <v>74</v>
      </c>
      <c r="F34" s="1" t="s">
        <v>467</v>
      </c>
      <c r="G34" s="1" t="s">
        <v>74</v>
      </c>
      <c r="H34" s="1" t="s">
        <v>74</v>
      </c>
      <c r="I34" s="1" t="s">
        <v>468</v>
      </c>
      <c r="J34" s="1" t="s">
        <v>469</v>
      </c>
      <c r="K34" s="1" t="s">
        <v>74</v>
      </c>
      <c r="L34" s="1" t="s">
        <v>74</v>
      </c>
      <c r="M34" s="1" t="s">
        <v>74</v>
      </c>
      <c r="N34" s="1" t="s">
        <v>74</v>
      </c>
      <c r="O34" s="1" t="s">
        <v>74</v>
      </c>
      <c r="P34" s="1" t="s">
        <v>74</v>
      </c>
      <c r="Q34" s="1" t="s">
        <v>74</v>
      </c>
      <c r="R34" s="1" t="s">
        <v>74</v>
      </c>
      <c r="S34" s="1" t="s">
        <v>74</v>
      </c>
      <c r="T34" s="1" t="s">
        <v>74</v>
      </c>
      <c r="U34" s="1" t="s">
        <v>74</v>
      </c>
      <c r="V34" s="1" t="s">
        <v>470</v>
      </c>
      <c r="W34" s="1" t="s">
        <v>74</v>
      </c>
      <c r="X34" s="1" t="s">
        <v>74</v>
      </c>
      <c r="Y34" s="1" t="s">
        <v>74</v>
      </c>
      <c r="Z34" s="1" t="s">
        <v>74</v>
      </c>
      <c r="AA34" s="1" t="s">
        <v>471</v>
      </c>
      <c r="AB34" s="1" t="s">
        <v>472</v>
      </c>
      <c r="AC34" s="1" t="s">
        <v>74</v>
      </c>
      <c r="AD34" s="1" t="s">
        <v>74</v>
      </c>
      <c r="AE34" s="1" t="s">
        <v>74</v>
      </c>
      <c r="AF34" s="1" t="s">
        <v>74</v>
      </c>
      <c r="AG34" s="1" t="s">
        <v>74</v>
      </c>
      <c r="AH34" s="1" t="s">
        <v>74</v>
      </c>
      <c r="AI34" s="1" t="s">
        <v>74</v>
      </c>
      <c r="AJ34" s="1" t="s">
        <v>74</v>
      </c>
      <c r="AK34" s="1" t="s">
        <v>74</v>
      </c>
      <c r="AL34" s="1" t="s">
        <v>74</v>
      </c>
      <c r="AM34" s="1" t="s">
        <v>74</v>
      </c>
      <c r="AN34" s="1" t="s">
        <v>74</v>
      </c>
      <c r="AO34" s="1" t="s">
        <v>473</v>
      </c>
      <c r="AP34" s="1" t="s">
        <v>474</v>
      </c>
      <c r="AQ34" s="1" t="s">
        <v>74</v>
      </c>
      <c r="AR34" s="1" t="s">
        <v>74</v>
      </c>
      <c r="AS34" s="1" t="s">
        <v>74</v>
      </c>
      <c r="AT34" s="1" t="s">
        <v>348</v>
      </c>
      <c r="AU34" s="1">
        <v>2009.0</v>
      </c>
      <c r="AV34" s="1">
        <v>13.0</v>
      </c>
      <c r="AW34" s="1">
        <v>9.0</v>
      </c>
      <c r="AX34" s="1" t="s">
        <v>74</v>
      </c>
      <c r="AY34" s="1" t="s">
        <v>74</v>
      </c>
      <c r="AZ34" s="1" t="s">
        <v>74</v>
      </c>
      <c r="BA34" s="1" t="s">
        <v>74</v>
      </c>
      <c r="BB34" s="1">
        <v>1327.0</v>
      </c>
      <c r="BC34" s="1">
        <v>1337.0</v>
      </c>
      <c r="BD34" s="1" t="s">
        <v>74</v>
      </c>
      <c r="BE34" s="1" t="s">
        <v>475</v>
      </c>
      <c r="BF34" s="2" t="str">
        <f>HYPERLINK("http://dx.doi.org/10.1007/s10008-008-0674-4","http://dx.doi.org/10.1007/s10008-008-0674-4")</f>
        <v>http://dx.doi.org/10.1007/s10008-008-0674-4</v>
      </c>
      <c r="BG34" s="1" t="s">
        <v>74</v>
      </c>
      <c r="BH34" s="1" t="s">
        <v>74</v>
      </c>
      <c r="BI34" s="1" t="s">
        <v>74</v>
      </c>
      <c r="BJ34" s="1" t="s">
        <v>74</v>
      </c>
      <c r="BK34" s="1" t="s">
        <v>74</v>
      </c>
      <c r="BL34" s="1" t="s">
        <v>74</v>
      </c>
      <c r="BM34" s="1" t="s">
        <v>74</v>
      </c>
      <c r="BN34" s="1" t="s">
        <v>74</v>
      </c>
      <c r="BO34" s="1" t="s">
        <v>74</v>
      </c>
      <c r="BP34" s="1" t="s">
        <v>74</v>
      </c>
      <c r="BQ34" s="1" t="s">
        <v>74</v>
      </c>
      <c r="BR34" s="1" t="s">
        <v>74</v>
      </c>
      <c r="BS34" s="1" t="s">
        <v>476</v>
      </c>
      <c r="BT34" s="1" t="str">
        <f>HYPERLINK("https%3A%2F%2Fwww.webofscience.com%2Fwos%2Fwoscc%2Ffull-record%2FWOS:000266950100003","View Full Record in Web of Science")</f>
        <v>View Full Record in Web of Science</v>
      </c>
    </row>
    <row r="35" ht="12.75" customHeight="1">
      <c r="A35" s="1" t="s">
        <v>72</v>
      </c>
      <c r="B35" s="1" t="s">
        <v>477</v>
      </c>
      <c r="C35" s="1" t="s">
        <v>74</v>
      </c>
      <c r="D35" s="1" t="s">
        <v>74</v>
      </c>
      <c r="E35" s="1" t="s">
        <v>74</v>
      </c>
      <c r="F35" s="1" t="s">
        <v>478</v>
      </c>
      <c r="G35" s="1" t="s">
        <v>74</v>
      </c>
      <c r="H35" s="1" t="s">
        <v>74</v>
      </c>
      <c r="I35" s="1" t="s">
        <v>479</v>
      </c>
      <c r="J35" s="1" t="s">
        <v>480</v>
      </c>
      <c r="K35" s="1" t="s">
        <v>74</v>
      </c>
      <c r="L35" s="1" t="s">
        <v>74</v>
      </c>
      <c r="M35" s="1" t="s">
        <v>74</v>
      </c>
      <c r="N35" s="1" t="s">
        <v>74</v>
      </c>
      <c r="O35" s="1" t="s">
        <v>74</v>
      </c>
      <c r="P35" s="1" t="s">
        <v>74</v>
      </c>
      <c r="Q35" s="1" t="s">
        <v>74</v>
      </c>
      <c r="R35" s="1" t="s">
        <v>74</v>
      </c>
      <c r="S35" s="1" t="s">
        <v>74</v>
      </c>
      <c r="T35" s="1" t="s">
        <v>74</v>
      </c>
      <c r="U35" s="1" t="s">
        <v>74</v>
      </c>
      <c r="V35" s="1" t="s">
        <v>481</v>
      </c>
      <c r="W35" s="1" t="s">
        <v>74</v>
      </c>
      <c r="X35" s="1" t="s">
        <v>74</v>
      </c>
      <c r="Y35" s="1" t="s">
        <v>74</v>
      </c>
      <c r="Z35" s="1" t="s">
        <v>74</v>
      </c>
      <c r="AA35" s="1" t="s">
        <v>482</v>
      </c>
      <c r="AB35" s="1" t="s">
        <v>483</v>
      </c>
      <c r="AC35" s="1" t="s">
        <v>74</v>
      </c>
      <c r="AD35" s="1" t="s">
        <v>74</v>
      </c>
      <c r="AE35" s="1" t="s">
        <v>74</v>
      </c>
      <c r="AF35" s="1" t="s">
        <v>74</v>
      </c>
      <c r="AG35" s="1" t="s">
        <v>74</v>
      </c>
      <c r="AH35" s="1" t="s">
        <v>74</v>
      </c>
      <c r="AI35" s="1" t="s">
        <v>74</v>
      </c>
      <c r="AJ35" s="1" t="s">
        <v>74</v>
      </c>
      <c r="AK35" s="1" t="s">
        <v>74</v>
      </c>
      <c r="AL35" s="1" t="s">
        <v>74</v>
      </c>
      <c r="AM35" s="1" t="s">
        <v>74</v>
      </c>
      <c r="AN35" s="1" t="s">
        <v>74</v>
      </c>
      <c r="AO35" s="1" t="s">
        <v>484</v>
      </c>
      <c r="AP35" s="1" t="s">
        <v>74</v>
      </c>
      <c r="AQ35" s="1" t="s">
        <v>74</v>
      </c>
      <c r="AR35" s="1" t="s">
        <v>74</v>
      </c>
      <c r="AS35" s="1" t="s">
        <v>74</v>
      </c>
      <c r="AT35" s="1" t="s">
        <v>485</v>
      </c>
      <c r="AU35" s="1">
        <v>2009.0</v>
      </c>
      <c r="AV35" s="1">
        <v>47.0</v>
      </c>
      <c r="AW35" s="1">
        <v>5.0</v>
      </c>
      <c r="AX35" s="1" t="s">
        <v>74</v>
      </c>
      <c r="AY35" s="1" t="s">
        <v>74</v>
      </c>
      <c r="AZ35" s="1" t="s">
        <v>74</v>
      </c>
      <c r="BA35" s="1" t="s">
        <v>74</v>
      </c>
      <c r="BB35" s="1">
        <v>435.0</v>
      </c>
      <c r="BC35" s="1">
        <v>440.0</v>
      </c>
      <c r="BD35" s="1" t="s">
        <v>74</v>
      </c>
      <c r="BE35" s="1" t="s">
        <v>486</v>
      </c>
      <c r="BF35" s="2" t="str">
        <f>HYPERLINK("http://dx.doi.org/10.1016/j.plaphy.2009.01.002","http://dx.doi.org/10.1016/j.plaphy.2009.01.002")</f>
        <v>http://dx.doi.org/10.1016/j.plaphy.2009.01.002</v>
      </c>
      <c r="BG35" s="1" t="s">
        <v>74</v>
      </c>
      <c r="BH35" s="1" t="s">
        <v>74</v>
      </c>
      <c r="BI35" s="1" t="s">
        <v>74</v>
      </c>
      <c r="BJ35" s="1" t="s">
        <v>74</v>
      </c>
      <c r="BK35" s="1" t="s">
        <v>74</v>
      </c>
      <c r="BL35" s="1" t="s">
        <v>74</v>
      </c>
      <c r="BM35" s="1" t="s">
        <v>74</v>
      </c>
      <c r="BN35" s="1">
        <v>1.9233665E7</v>
      </c>
      <c r="BO35" s="1" t="s">
        <v>74</v>
      </c>
      <c r="BP35" s="1" t="s">
        <v>74</v>
      </c>
      <c r="BQ35" s="1" t="s">
        <v>74</v>
      </c>
      <c r="BR35" s="1" t="s">
        <v>74</v>
      </c>
      <c r="BS35" s="1" t="s">
        <v>487</v>
      </c>
      <c r="BT35" s="1" t="str">
        <f>HYPERLINK("https%3A%2F%2Fwww.webofscience.com%2Fwos%2Fwoscc%2Ffull-record%2FWOS:000265817400014","View Full Record in Web of Science")</f>
        <v>View Full Record in Web of Science</v>
      </c>
    </row>
    <row r="36" ht="12.75" customHeight="1">
      <c r="A36" s="1" t="s">
        <v>72</v>
      </c>
      <c r="B36" s="1" t="s">
        <v>488</v>
      </c>
      <c r="C36" s="1" t="s">
        <v>74</v>
      </c>
      <c r="D36" s="1" t="s">
        <v>74</v>
      </c>
      <c r="E36" s="1" t="s">
        <v>74</v>
      </c>
      <c r="F36" s="1" t="s">
        <v>489</v>
      </c>
      <c r="G36" s="1" t="s">
        <v>74</v>
      </c>
      <c r="H36" s="1" t="s">
        <v>74</v>
      </c>
      <c r="I36" s="1" t="s">
        <v>490</v>
      </c>
      <c r="J36" s="1" t="s">
        <v>491</v>
      </c>
      <c r="K36" s="1" t="s">
        <v>74</v>
      </c>
      <c r="L36" s="1" t="s">
        <v>74</v>
      </c>
      <c r="M36" s="1" t="s">
        <v>74</v>
      </c>
      <c r="N36" s="1" t="s">
        <v>74</v>
      </c>
      <c r="O36" s="1" t="s">
        <v>74</v>
      </c>
      <c r="P36" s="1" t="s">
        <v>74</v>
      </c>
      <c r="Q36" s="1" t="s">
        <v>74</v>
      </c>
      <c r="R36" s="1" t="s">
        <v>74</v>
      </c>
      <c r="S36" s="1" t="s">
        <v>74</v>
      </c>
      <c r="T36" s="1" t="s">
        <v>74</v>
      </c>
      <c r="U36" s="1" t="s">
        <v>74</v>
      </c>
      <c r="V36" s="1" t="s">
        <v>492</v>
      </c>
      <c r="W36" s="1" t="s">
        <v>74</v>
      </c>
      <c r="X36" s="1" t="s">
        <v>74</v>
      </c>
      <c r="Y36" s="1" t="s">
        <v>74</v>
      </c>
      <c r="Z36" s="1" t="s">
        <v>74</v>
      </c>
      <c r="AA36" s="1" t="s">
        <v>493</v>
      </c>
      <c r="AB36" s="1" t="s">
        <v>494</v>
      </c>
      <c r="AC36" s="1" t="s">
        <v>74</v>
      </c>
      <c r="AD36" s="1" t="s">
        <v>74</v>
      </c>
      <c r="AE36" s="1" t="s">
        <v>74</v>
      </c>
      <c r="AF36" s="1" t="s">
        <v>74</v>
      </c>
      <c r="AG36" s="1" t="s">
        <v>74</v>
      </c>
      <c r="AH36" s="1" t="s">
        <v>74</v>
      </c>
      <c r="AI36" s="1" t="s">
        <v>74</v>
      </c>
      <c r="AJ36" s="1" t="s">
        <v>74</v>
      </c>
      <c r="AK36" s="1" t="s">
        <v>74</v>
      </c>
      <c r="AL36" s="1" t="s">
        <v>74</v>
      </c>
      <c r="AM36" s="1" t="s">
        <v>74</v>
      </c>
      <c r="AN36" s="1" t="s">
        <v>74</v>
      </c>
      <c r="AO36" s="1" t="s">
        <v>495</v>
      </c>
      <c r="AP36" s="1" t="s">
        <v>74</v>
      </c>
      <c r="AQ36" s="1" t="s">
        <v>74</v>
      </c>
      <c r="AR36" s="1" t="s">
        <v>74</v>
      </c>
      <c r="AS36" s="1" t="s">
        <v>74</v>
      </c>
      <c r="AT36" s="1" t="s">
        <v>496</v>
      </c>
      <c r="AU36" s="1">
        <v>2009.0</v>
      </c>
      <c r="AV36" s="1">
        <v>37.0</v>
      </c>
      <c r="AW36" s="1">
        <v>2.0</v>
      </c>
      <c r="AX36" s="1" t="s">
        <v>74</v>
      </c>
      <c r="AY36" s="1" t="s">
        <v>74</v>
      </c>
      <c r="AZ36" s="1" t="s">
        <v>74</v>
      </c>
      <c r="BA36" s="1" t="s">
        <v>74</v>
      </c>
      <c r="BB36" s="1">
        <v>57.0</v>
      </c>
      <c r="BC36" s="1">
        <v>62.0</v>
      </c>
      <c r="BD36" s="1" t="s">
        <v>74</v>
      </c>
      <c r="BE36" s="1" t="s">
        <v>497</v>
      </c>
      <c r="BF36" s="2" t="str">
        <f>HYPERLINK("http://dx.doi.org/10.1016/S0301-0546(09)71105-X","http://dx.doi.org/10.1016/S0301-0546(09)71105-X")</f>
        <v>http://dx.doi.org/10.1016/S0301-0546(09)71105-X</v>
      </c>
      <c r="BG36" s="1" t="s">
        <v>74</v>
      </c>
      <c r="BH36" s="1" t="s">
        <v>74</v>
      </c>
      <c r="BI36" s="1" t="s">
        <v>74</v>
      </c>
      <c r="BJ36" s="1" t="s">
        <v>74</v>
      </c>
      <c r="BK36" s="1" t="s">
        <v>74</v>
      </c>
      <c r="BL36" s="1" t="s">
        <v>74</v>
      </c>
      <c r="BM36" s="1" t="s">
        <v>74</v>
      </c>
      <c r="BN36" s="1">
        <v>1.944586E7</v>
      </c>
      <c r="BO36" s="1" t="s">
        <v>74</v>
      </c>
      <c r="BP36" s="1" t="s">
        <v>74</v>
      </c>
      <c r="BQ36" s="1" t="s">
        <v>74</v>
      </c>
      <c r="BR36" s="1" t="s">
        <v>74</v>
      </c>
      <c r="BS36" s="1" t="s">
        <v>498</v>
      </c>
      <c r="BT36" s="1" t="str">
        <f>HYPERLINK("https%3A%2F%2Fwww.webofscience.com%2Fwos%2Fwoscc%2Ffull-record%2FWOS:000266043000002","View Full Record in Web of Science")</f>
        <v>View Full Record in Web of Science</v>
      </c>
    </row>
    <row r="37" ht="12.75" customHeight="1">
      <c r="A37" s="1" t="s">
        <v>72</v>
      </c>
      <c r="B37" s="1" t="s">
        <v>499</v>
      </c>
      <c r="C37" s="1" t="s">
        <v>74</v>
      </c>
      <c r="D37" s="1" t="s">
        <v>74</v>
      </c>
      <c r="E37" s="1" t="s">
        <v>74</v>
      </c>
      <c r="F37" s="1" t="s">
        <v>500</v>
      </c>
      <c r="G37" s="1" t="s">
        <v>74</v>
      </c>
      <c r="H37" s="1" t="s">
        <v>74</v>
      </c>
      <c r="I37" s="1" t="s">
        <v>501</v>
      </c>
      <c r="J37" s="1" t="s">
        <v>502</v>
      </c>
      <c r="K37" s="1" t="s">
        <v>74</v>
      </c>
      <c r="L37" s="1" t="s">
        <v>74</v>
      </c>
      <c r="M37" s="1" t="s">
        <v>74</v>
      </c>
      <c r="N37" s="1" t="s">
        <v>74</v>
      </c>
      <c r="O37" s="1" t="s">
        <v>74</v>
      </c>
      <c r="P37" s="1" t="s">
        <v>74</v>
      </c>
      <c r="Q37" s="1" t="s">
        <v>74</v>
      </c>
      <c r="R37" s="1" t="s">
        <v>74</v>
      </c>
      <c r="S37" s="1" t="s">
        <v>74</v>
      </c>
      <c r="T37" s="1" t="s">
        <v>74</v>
      </c>
      <c r="U37" s="1" t="s">
        <v>74</v>
      </c>
      <c r="V37" s="1" t="s">
        <v>503</v>
      </c>
      <c r="W37" s="1" t="s">
        <v>74</v>
      </c>
      <c r="X37" s="1" t="s">
        <v>74</v>
      </c>
      <c r="Y37" s="1" t="s">
        <v>74</v>
      </c>
      <c r="Z37" s="1" t="s">
        <v>74</v>
      </c>
      <c r="AA37" s="1" t="s">
        <v>504</v>
      </c>
      <c r="AB37" s="1" t="s">
        <v>505</v>
      </c>
      <c r="AC37" s="1" t="s">
        <v>74</v>
      </c>
      <c r="AD37" s="1" t="s">
        <v>74</v>
      </c>
      <c r="AE37" s="1" t="s">
        <v>74</v>
      </c>
      <c r="AF37" s="1" t="s">
        <v>74</v>
      </c>
      <c r="AG37" s="1" t="s">
        <v>74</v>
      </c>
      <c r="AH37" s="1" t="s">
        <v>74</v>
      </c>
      <c r="AI37" s="1" t="s">
        <v>74</v>
      </c>
      <c r="AJ37" s="1" t="s">
        <v>74</v>
      </c>
      <c r="AK37" s="1" t="s">
        <v>74</v>
      </c>
      <c r="AL37" s="1" t="s">
        <v>74</v>
      </c>
      <c r="AM37" s="1" t="s">
        <v>74</v>
      </c>
      <c r="AN37" s="1" t="s">
        <v>74</v>
      </c>
      <c r="AO37" s="1" t="s">
        <v>506</v>
      </c>
      <c r="AP37" s="1" t="s">
        <v>74</v>
      </c>
      <c r="AQ37" s="1" t="s">
        <v>74</v>
      </c>
      <c r="AR37" s="1" t="s">
        <v>74</v>
      </c>
      <c r="AS37" s="1" t="s">
        <v>74</v>
      </c>
      <c r="AT37" s="1" t="s">
        <v>74</v>
      </c>
      <c r="AU37" s="1">
        <v>2007.0</v>
      </c>
      <c r="AV37" s="1">
        <v>37.0</v>
      </c>
      <c r="AW37" s="1">
        <v>12.0</v>
      </c>
      <c r="AX37" s="1" t="s">
        <v>74</v>
      </c>
      <c r="AY37" s="1" t="s">
        <v>74</v>
      </c>
      <c r="AZ37" s="1" t="s">
        <v>74</v>
      </c>
      <c r="BA37" s="1" t="s">
        <v>74</v>
      </c>
      <c r="BB37" s="1">
        <v>2001.0</v>
      </c>
      <c r="BC37" s="1">
        <v>2009.0</v>
      </c>
      <c r="BD37" s="1" t="s">
        <v>74</v>
      </c>
      <c r="BE37" s="1" t="s">
        <v>507</v>
      </c>
      <c r="BF37" s="2" t="str">
        <f>HYPERLINK("http://dx.doi.org/10.1080/00397910701356496","http://dx.doi.org/10.1080/00397910701356496")</f>
        <v>http://dx.doi.org/10.1080/00397910701356496</v>
      </c>
      <c r="BG37" s="1" t="s">
        <v>74</v>
      </c>
      <c r="BH37" s="1" t="s">
        <v>74</v>
      </c>
      <c r="BI37" s="1" t="s">
        <v>74</v>
      </c>
      <c r="BJ37" s="1" t="s">
        <v>74</v>
      </c>
      <c r="BK37" s="1" t="s">
        <v>74</v>
      </c>
      <c r="BL37" s="1" t="s">
        <v>74</v>
      </c>
      <c r="BM37" s="1" t="s">
        <v>74</v>
      </c>
      <c r="BN37" s="1" t="s">
        <v>74</v>
      </c>
      <c r="BO37" s="1" t="s">
        <v>74</v>
      </c>
      <c r="BP37" s="1" t="s">
        <v>74</v>
      </c>
      <c r="BQ37" s="1" t="s">
        <v>74</v>
      </c>
      <c r="BR37" s="1" t="s">
        <v>74</v>
      </c>
      <c r="BS37" s="1" t="s">
        <v>508</v>
      </c>
      <c r="BT37" s="1" t="str">
        <f>HYPERLINK("https%3A%2F%2Fwww.webofscience.com%2Fwos%2Fwoscc%2Ffull-record%2FWOS:000248145500009","View Full Record in Web of Science")</f>
        <v>View Full Record in Web of Science</v>
      </c>
    </row>
    <row r="38" ht="12.75" customHeight="1">
      <c r="A38" s="1" t="s">
        <v>72</v>
      </c>
      <c r="B38" s="1" t="s">
        <v>509</v>
      </c>
      <c r="C38" s="1" t="s">
        <v>74</v>
      </c>
      <c r="D38" s="1" t="s">
        <v>74</v>
      </c>
      <c r="E38" s="1" t="s">
        <v>74</v>
      </c>
      <c r="F38" s="1" t="s">
        <v>509</v>
      </c>
      <c r="G38" s="1" t="s">
        <v>74</v>
      </c>
      <c r="H38" s="1" t="s">
        <v>74</v>
      </c>
      <c r="I38" s="1" t="s">
        <v>510</v>
      </c>
      <c r="J38" s="1" t="s">
        <v>511</v>
      </c>
      <c r="K38" s="1" t="s">
        <v>74</v>
      </c>
      <c r="L38" s="1" t="s">
        <v>74</v>
      </c>
      <c r="M38" s="1" t="s">
        <v>74</v>
      </c>
      <c r="N38" s="1" t="s">
        <v>74</v>
      </c>
      <c r="O38" s="1" t="s">
        <v>74</v>
      </c>
      <c r="P38" s="1" t="s">
        <v>74</v>
      </c>
      <c r="Q38" s="1" t="s">
        <v>74</v>
      </c>
      <c r="R38" s="1" t="s">
        <v>74</v>
      </c>
      <c r="S38" s="1" t="s">
        <v>74</v>
      </c>
      <c r="T38" s="1" t="s">
        <v>74</v>
      </c>
      <c r="U38" s="1" t="s">
        <v>74</v>
      </c>
      <c r="V38" s="1" t="s">
        <v>512</v>
      </c>
      <c r="W38" s="1" t="s">
        <v>74</v>
      </c>
      <c r="X38" s="1" t="s">
        <v>74</v>
      </c>
      <c r="Y38" s="1" t="s">
        <v>74</v>
      </c>
      <c r="Z38" s="1" t="s">
        <v>74</v>
      </c>
      <c r="AA38" s="1" t="s">
        <v>513</v>
      </c>
      <c r="AB38" s="1" t="s">
        <v>514</v>
      </c>
      <c r="AC38" s="1" t="s">
        <v>74</v>
      </c>
      <c r="AD38" s="1" t="s">
        <v>74</v>
      </c>
      <c r="AE38" s="1" t="s">
        <v>74</v>
      </c>
      <c r="AF38" s="1" t="s">
        <v>74</v>
      </c>
      <c r="AG38" s="1" t="s">
        <v>74</v>
      </c>
      <c r="AH38" s="1" t="s">
        <v>74</v>
      </c>
      <c r="AI38" s="1" t="s">
        <v>74</v>
      </c>
      <c r="AJ38" s="1" t="s">
        <v>74</v>
      </c>
      <c r="AK38" s="1" t="s">
        <v>74</v>
      </c>
      <c r="AL38" s="1" t="s">
        <v>74</v>
      </c>
      <c r="AM38" s="1" t="s">
        <v>74</v>
      </c>
      <c r="AN38" s="1" t="s">
        <v>74</v>
      </c>
      <c r="AO38" s="1" t="s">
        <v>515</v>
      </c>
      <c r="AP38" s="1" t="s">
        <v>74</v>
      </c>
      <c r="AQ38" s="1" t="s">
        <v>74</v>
      </c>
      <c r="AR38" s="1" t="s">
        <v>74</v>
      </c>
      <c r="AS38" s="1" t="s">
        <v>74</v>
      </c>
      <c r="AT38" s="1" t="s">
        <v>516</v>
      </c>
      <c r="AU38" s="1">
        <v>2001.0</v>
      </c>
      <c r="AV38" s="1">
        <v>12.0</v>
      </c>
      <c r="AW38" s="1">
        <v>8.0</v>
      </c>
      <c r="AX38" s="1" t="s">
        <v>74</v>
      </c>
      <c r="AY38" s="1" t="s">
        <v>74</v>
      </c>
      <c r="AZ38" s="1" t="s">
        <v>74</v>
      </c>
      <c r="BA38" s="1" t="s">
        <v>74</v>
      </c>
      <c r="BB38" s="1">
        <v>1551.0</v>
      </c>
      <c r="BC38" s="1">
        <v>1554.0</v>
      </c>
      <c r="BD38" s="1" t="s">
        <v>74</v>
      </c>
      <c r="BE38" s="1" t="s">
        <v>517</v>
      </c>
      <c r="BF38" s="2" t="str">
        <f>HYPERLINK("http://dx.doi.org/10.1097/00001756-200106130-00008","http://dx.doi.org/10.1097/00001756-200106130-00008")</f>
        <v>http://dx.doi.org/10.1097/00001756-200106130-00008</v>
      </c>
      <c r="BG38" s="1" t="s">
        <v>74</v>
      </c>
      <c r="BH38" s="1" t="s">
        <v>74</v>
      </c>
      <c r="BI38" s="1" t="s">
        <v>74</v>
      </c>
      <c r="BJ38" s="1" t="s">
        <v>74</v>
      </c>
      <c r="BK38" s="1" t="s">
        <v>74</v>
      </c>
      <c r="BL38" s="1" t="s">
        <v>74</v>
      </c>
      <c r="BM38" s="1" t="s">
        <v>74</v>
      </c>
      <c r="BN38" s="1">
        <v>1.1409714E7</v>
      </c>
      <c r="BO38" s="1" t="s">
        <v>74</v>
      </c>
      <c r="BP38" s="1" t="s">
        <v>74</v>
      </c>
      <c r="BQ38" s="1" t="s">
        <v>74</v>
      </c>
      <c r="BR38" s="1" t="s">
        <v>74</v>
      </c>
      <c r="BS38" s="1" t="s">
        <v>518</v>
      </c>
      <c r="BT38" s="1" t="str">
        <f>HYPERLINK("https%3A%2F%2Fwww.webofscience.com%2Fwos%2Fwoscc%2Ffull-record%2FWOS:000169185400004","View Full Record in Web of Science")</f>
        <v>View Full Record in Web of Science</v>
      </c>
    </row>
    <row r="39" ht="12.75" customHeight="1">
      <c r="A39" s="1" t="s">
        <v>72</v>
      </c>
      <c r="B39" s="1" t="s">
        <v>519</v>
      </c>
      <c r="C39" s="1" t="s">
        <v>74</v>
      </c>
      <c r="D39" s="1" t="s">
        <v>74</v>
      </c>
      <c r="E39" s="1" t="s">
        <v>74</v>
      </c>
      <c r="F39" s="1" t="s">
        <v>519</v>
      </c>
      <c r="G39" s="1" t="s">
        <v>74</v>
      </c>
      <c r="H39" s="1" t="s">
        <v>74</v>
      </c>
      <c r="I39" s="1" t="s">
        <v>520</v>
      </c>
      <c r="J39" s="1" t="s">
        <v>521</v>
      </c>
      <c r="K39" s="1" t="s">
        <v>74</v>
      </c>
      <c r="L39" s="1" t="s">
        <v>74</v>
      </c>
      <c r="M39" s="1" t="s">
        <v>74</v>
      </c>
      <c r="N39" s="1" t="s">
        <v>74</v>
      </c>
      <c r="O39" s="1" t="s">
        <v>74</v>
      </c>
      <c r="P39" s="1" t="s">
        <v>74</v>
      </c>
      <c r="Q39" s="1" t="s">
        <v>74</v>
      </c>
      <c r="R39" s="1" t="s">
        <v>74</v>
      </c>
      <c r="S39" s="1" t="s">
        <v>74</v>
      </c>
      <c r="T39" s="1" t="s">
        <v>74</v>
      </c>
      <c r="U39" s="1" t="s">
        <v>74</v>
      </c>
      <c r="V39" s="1" t="s">
        <v>522</v>
      </c>
      <c r="W39" s="1" t="s">
        <v>74</v>
      </c>
      <c r="X39" s="1" t="s">
        <v>74</v>
      </c>
      <c r="Y39" s="1" t="s">
        <v>74</v>
      </c>
      <c r="Z39" s="1" t="s">
        <v>74</v>
      </c>
      <c r="AA39" s="1" t="s">
        <v>523</v>
      </c>
      <c r="AB39" s="1" t="s">
        <v>524</v>
      </c>
      <c r="AC39" s="1" t="s">
        <v>74</v>
      </c>
      <c r="AD39" s="1" t="s">
        <v>74</v>
      </c>
      <c r="AE39" s="1" t="s">
        <v>74</v>
      </c>
      <c r="AF39" s="1" t="s">
        <v>74</v>
      </c>
      <c r="AG39" s="1" t="s">
        <v>74</v>
      </c>
      <c r="AH39" s="1" t="s">
        <v>74</v>
      </c>
      <c r="AI39" s="1" t="s">
        <v>74</v>
      </c>
      <c r="AJ39" s="1" t="s">
        <v>74</v>
      </c>
      <c r="AK39" s="1" t="s">
        <v>74</v>
      </c>
      <c r="AL39" s="1" t="s">
        <v>74</v>
      </c>
      <c r="AM39" s="1" t="s">
        <v>74</v>
      </c>
      <c r="AN39" s="1" t="s">
        <v>74</v>
      </c>
      <c r="AO39" s="1" t="s">
        <v>525</v>
      </c>
      <c r="AP39" s="1" t="s">
        <v>74</v>
      </c>
      <c r="AQ39" s="1" t="s">
        <v>74</v>
      </c>
      <c r="AR39" s="1" t="s">
        <v>74</v>
      </c>
      <c r="AS39" s="1" t="s">
        <v>74</v>
      </c>
      <c r="AT39" s="1" t="s">
        <v>526</v>
      </c>
      <c r="AU39" s="1">
        <v>1998.0</v>
      </c>
      <c r="AV39" s="1">
        <v>1443.0</v>
      </c>
      <c r="AW39" s="1" t="s">
        <v>527</v>
      </c>
      <c r="AX39" s="1" t="s">
        <v>74</v>
      </c>
      <c r="AY39" s="1" t="s">
        <v>74</v>
      </c>
      <c r="AZ39" s="1" t="s">
        <v>74</v>
      </c>
      <c r="BA39" s="1" t="s">
        <v>74</v>
      </c>
      <c r="BB39" s="1">
        <v>99.0</v>
      </c>
      <c r="BC39" s="1">
        <v>112.0</v>
      </c>
      <c r="BD39" s="1" t="s">
        <v>74</v>
      </c>
      <c r="BE39" s="1" t="s">
        <v>528</v>
      </c>
      <c r="BF39" s="2" t="str">
        <f>HYPERLINK("http://dx.doi.org/10.1016/S0167-4781(98)00199-7","http://dx.doi.org/10.1016/S0167-4781(98)00199-7")</f>
        <v>http://dx.doi.org/10.1016/S0167-4781(98)00199-7</v>
      </c>
      <c r="BG39" s="1" t="s">
        <v>74</v>
      </c>
      <c r="BH39" s="1" t="s">
        <v>74</v>
      </c>
      <c r="BI39" s="1" t="s">
        <v>74</v>
      </c>
      <c r="BJ39" s="1" t="s">
        <v>74</v>
      </c>
      <c r="BK39" s="1" t="s">
        <v>74</v>
      </c>
      <c r="BL39" s="1" t="s">
        <v>74</v>
      </c>
      <c r="BM39" s="1" t="s">
        <v>74</v>
      </c>
      <c r="BN39" s="1">
        <v>9838063.0</v>
      </c>
      <c r="BO39" s="1" t="s">
        <v>74</v>
      </c>
      <c r="BP39" s="1" t="s">
        <v>74</v>
      </c>
      <c r="BQ39" s="1" t="s">
        <v>74</v>
      </c>
      <c r="BR39" s="1" t="s">
        <v>74</v>
      </c>
      <c r="BS39" s="1" t="s">
        <v>529</v>
      </c>
      <c r="BT39" s="1" t="str">
        <f>HYPERLINK("https%3A%2F%2Fwww.webofscience.com%2Fwos%2Fwoscc%2Ffull-record%2FWOS:000077781400008","View Full Record in Web of Science")</f>
        <v>View Full Record in Web of Science</v>
      </c>
    </row>
    <row r="40" ht="12.75" customHeight="1">
      <c r="A40" s="1" t="s">
        <v>72</v>
      </c>
      <c r="B40" s="1" t="s">
        <v>530</v>
      </c>
      <c r="C40" s="1" t="s">
        <v>74</v>
      </c>
      <c r="D40" s="1" t="s">
        <v>74</v>
      </c>
      <c r="E40" s="1" t="s">
        <v>74</v>
      </c>
      <c r="F40" s="1" t="s">
        <v>530</v>
      </c>
      <c r="G40" s="1" t="s">
        <v>74</v>
      </c>
      <c r="H40" s="1" t="s">
        <v>74</v>
      </c>
      <c r="I40" s="1" t="s">
        <v>531</v>
      </c>
      <c r="J40" s="1" t="s">
        <v>532</v>
      </c>
      <c r="K40" s="1" t="s">
        <v>74</v>
      </c>
      <c r="L40" s="1" t="s">
        <v>74</v>
      </c>
      <c r="M40" s="1" t="s">
        <v>74</v>
      </c>
      <c r="N40" s="1" t="s">
        <v>74</v>
      </c>
      <c r="O40" s="1" t="s">
        <v>74</v>
      </c>
      <c r="P40" s="1" t="s">
        <v>74</v>
      </c>
      <c r="Q40" s="1" t="s">
        <v>74</v>
      </c>
      <c r="R40" s="1" t="s">
        <v>74</v>
      </c>
      <c r="S40" s="1" t="s">
        <v>74</v>
      </c>
      <c r="T40" s="1" t="s">
        <v>74</v>
      </c>
      <c r="U40" s="1" t="s">
        <v>74</v>
      </c>
      <c r="V40" s="1" t="s">
        <v>533</v>
      </c>
      <c r="W40" s="1" t="s">
        <v>74</v>
      </c>
      <c r="X40" s="1" t="s">
        <v>74</v>
      </c>
      <c r="Y40" s="1" t="s">
        <v>74</v>
      </c>
      <c r="Z40" s="1" t="s">
        <v>74</v>
      </c>
      <c r="AA40" s="1" t="s">
        <v>534</v>
      </c>
      <c r="AB40" s="1" t="s">
        <v>535</v>
      </c>
      <c r="AC40" s="1" t="s">
        <v>74</v>
      </c>
      <c r="AD40" s="1" t="s">
        <v>74</v>
      </c>
      <c r="AE40" s="1" t="s">
        <v>74</v>
      </c>
      <c r="AF40" s="1" t="s">
        <v>74</v>
      </c>
      <c r="AG40" s="1" t="s">
        <v>74</v>
      </c>
      <c r="AH40" s="1" t="s">
        <v>74</v>
      </c>
      <c r="AI40" s="1" t="s">
        <v>74</v>
      </c>
      <c r="AJ40" s="1" t="s">
        <v>74</v>
      </c>
      <c r="AK40" s="1" t="s">
        <v>74</v>
      </c>
      <c r="AL40" s="1" t="s">
        <v>74</v>
      </c>
      <c r="AM40" s="1" t="s">
        <v>74</v>
      </c>
      <c r="AN40" s="1" t="s">
        <v>74</v>
      </c>
      <c r="AO40" s="1" t="s">
        <v>536</v>
      </c>
      <c r="AP40" s="1" t="s">
        <v>74</v>
      </c>
      <c r="AQ40" s="1" t="s">
        <v>74</v>
      </c>
      <c r="AR40" s="1" t="s">
        <v>74</v>
      </c>
      <c r="AS40" s="1" t="s">
        <v>74</v>
      </c>
      <c r="AT40" s="1" t="s">
        <v>537</v>
      </c>
      <c r="AU40" s="1">
        <v>1997.0</v>
      </c>
      <c r="AV40" s="1">
        <v>38.0</v>
      </c>
      <c r="AW40" s="1">
        <v>2.0</v>
      </c>
      <c r="AX40" s="1" t="s">
        <v>74</v>
      </c>
      <c r="AY40" s="1" t="s">
        <v>74</v>
      </c>
      <c r="AZ40" s="1" t="s">
        <v>74</v>
      </c>
      <c r="BA40" s="1" t="s">
        <v>74</v>
      </c>
      <c r="BB40" s="1">
        <v>99.0</v>
      </c>
      <c r="BC40" s="1">
        <v>107.0</v>
      </c>
      <c r="BD40" s="1" t="s">
        <v>74</v>
      </c>
      <c r="BE40" s="1" t="s">
        <v>538</v>
      </c>
      <c r="BF40" s="2" t="str">
        <f>HYPERLINK("http://dx.doi.org/10.1016/S0098-8472(96)01045-3","http://dx.doi.org/10.1016/S0098-8472(96)01045-3")</f>
        <v>http://dx.doi.org/10.1016/S0098-8472(96)01045-3</v>
      </c>
      <c r="BG40" s="1" t="s">
        <v>74</v>
      </c>
      <c r="BH40" s="1" t="s">
        <v>74</v>
      </c>
      <c r="BI40" s="1" t="s">
        <v>74</v>
      </c>
      <c r="BJ40" s="1" t="s">
        <v>74</v>
      </c>
      <c r="BK40" s="1" t="s">
        <v>74</v>
      </c>
      <c r="BL40" s="1" t="s">
        <v>74</v>
      </c>
      <c r="BM40" s="1" t="s">
        <v>74</v>
      </c>
      <c r="BN40" s="1" t="s">
        <v>74</v>
      </c>
      <c r="BO40" s="1" t="s">
        <v>74</v>
      </c>
      <c r="BP40" s="1" t="s">
        <v>74</v>
      </c>
      <c r="BQ40" s="1" t="s">
        <v>74</v>
      </c>
      <c r="BR40" s="1" t="s">
        <v>74</v>
      </c>
      <c r="BS40" s="1" t="s">
        <v>539</v>
      </c>
      <c r="BT40" s="1" t="str">
        <f>HYPERLINK("https%3A%2F%2Fwww.webofscience.com%2Fwos%2Fwoscc%2Ffull-record%2FWOS:000071697900001","View Full Record in Web of Science")</f>
        <v>View Full Record in Web of Science</v>
      </c>
    </row>
    <row r="41" ht="12.75" customHeight="1">
      <c r="A41" s="1" t="s">
        <v>72</v>
      </c>
      <c r="B41" s="1" t="s">
        <v>540</v>
      </c>
      <c r="C41" s="1" t="s">
        <v>74</v>
      </c>
      <c r="D41" s="1" t="s">
        <v>74</v>
      </c>
      <c r="E41" s="1" t="s">
        <v>74</v>
      </c>
      <c r="F41" s="1" t="s">
        <v>540</v>
      </c>
      <c r="G41" s="1" t="s">
        <v>74</v>
      </c>
      <c r="H41" s="1" t="s">
        <v>74</v>
      </c>
      <c r="I41" s="1" t="s">
        <v>541</v>
      </c>
      <c r="J41" s="1" t="s">
        <v>542</v>
      </c>
      <c r="K41" s="1" t="s">
        <v>74</v>
      </c>
      <c r="L41" s="1" t="s">
        <v>74</v>
      </c>
      <c r="M41" s="1" t="s">
        <v>74</v>
      </c>
      <c r="N41" s="1" t="s">
        <v>74</v>
      </c>
      <c r="O41" s="1" t="s">
        <v>74</v>
      </c>
      <c r="P41" s="1" t="s">
        <v>74</v>
      </c>
      <c r="Q41" s="1" t="s">
        <v>74</v>
      </c>
      <c r="R41" s="1" t="s">
        <v>74</v>
      </c>
      <c r="S41" s="1" t="s">
        <v>74</v>
      </c>
      <c r="T41" s="1" t="s">
        <v>74</v>
      </c>
      <c r="U41" s="1" t="s">
        <v>74</v>
      </c>
      <c r="V41" s="1" t="s">
        <v>74</v>
      </c>
      <c r="W41" s="1" t="s">
        <v>74</v>
      </c>
      <c r="X41" s="1" t="s">
        <v>74</v>
      </c>
      <c r="Y41" s="1" t="s">
        <v>74</v>
      </c>
      <c r="Z41" s="1" t="s">
        <v>74</v>
      </c>
      <c r="AA41" s="1" t="s">
        <v>74</v>
      </c>
      <c r="AB41" s="1" t="s">
        <v>543</v>
      </c>
      <c r="AC41" s="1" t="s">
        <v>74</v>
      </c>
      <c r="AD41" s="1" t="s">
        <v>74</v>
      </c>
      <c r="AE41" s="1" t="s">
        <v>74</v>
      </c>
      <c r="AF41" s="1" t="s">
        <v>74</v>
      </c>
      <c r="AG41" s="1" t="s">
        <v>74</v>
      </c>
      <c r="AH41" s="1" t="s">
        <v>74</v>
      </c>
      <c r="AI41" s="1" t="s">
        <v>74</v>
      </c>
      <c r="AJ41" s="1" t="s">
        <v>74</v>
      </c>
      <c r="AK41" s="1" t="s">
        <v>74</v>
      </c>
      <c r="AL41" s="1" t="s">
        <v>74</v>
      </c>
      <c r="AM41" s="1" t="s">
        <v>74</v>
      </c>
      <c r="AN41" s="1" t="s">
        <v>74</v>
      </c>
      <c r="AO41" s="1" t="s">
        <v>544</v>
      </c>
      <c r="AP41" s="1" t="s">
        <v>74</v>
      </c>
      <c r="AQ41" s="1" t="s">
        <v>74</v>
      </c>
      <c r="AR41" s="1" t="s">
        <v>74</v>
      </c>
      <c r="AS41" s="1" t="s">
        <v>74</v>
      </c>
      <c r="AT41" s="1" t="s">
        <v>74</v>
      </c>
      <c r="AU41" s="1">
        <v>1984.0</v>
      </c>
      <c r="AV41" s="1">
        <v>106.0</v>
      </c>
      <c r="AW41" s="1">
        <v>20.0</v>
      </c>
      <c r="AX41" s="1" t="s">
        <v>74</v>
      </c>
      <c r="AY41" s="1" t="s">
        <v>74</v>
      </c>
      <c r="AZ41" s="1" t="s">
        <v>74</v>
      </c>
      <c r="BA41" s="1" t="s">
        <v>74</v>
      </c>
      <c r="BB41" s="1">
        <v>6099.0</v>
      </c>
      <c r="BC41" s="1">
        <v>6101.0</v>
      </c>
      <c r="BD41" s="1" t="s">
        <v>74</v>
      </c>
      <c r="BE41" s="1" t="s">
        <v>545</v>
      </c>
      <c r="BF41" s="2" t="str">
        <f>HYPERLINK("http://dx.doi.org/10.1021/ja00332a068","http://dx.doi.org/10.1021/ja00332a068")</f>
        <v>http://dx.doi.org/10.1021/ja00332a068</v>
      </c>
      <c r="BG41" s="1" t="s">
        <v>74</v>
      </c>
      <c r="BH41" s="1" t="s">
        <v>74</v>
      </c>
      <c r="BI41" s="1" t="s">
        <v>74</v>
      </c>
      <c r="BJ41" s="1" t="s">
        <v>74</v>
      </c>
      <c r="BK41" s="1" t="s">
        <v>74</v>
      </c>
      <c r="BL41" s="1" t="s">
        <v>74</v>
      </c>
      <c r="BM41" s="1" t="s">
        <v>74</v>
      </c>
      <c r="BN41" s="1" t="s">
        <v>74</v>
      </c>
      <c r="BO41" s="1" t="s">
        <v>74</v>
      </c>
      <c r="BP41" s="1" t="s">
        <v>74</v>
      </c>
      <c r="BQ41" s="1" t="s">
        <v>74</v>
      </c>
      <c r="BR41" s="1" t="s">
        <v>74</v>
      </c>
      <c r="BS41" s="1" t="s">
        <v>546</v>
      </c>
      <c r="BT41" s="1" t="str">
        <f>HYPERLINK("https%3A%2F%2Fwww.webofscience.com%2Fwos%2Fwoscc%2Ffull-record%2FWOS:A1984TL65600067","View Full Record in Web of Science")</f>
        <v>View Full Record in Web of Science</v>
      </c>
    </row>
    <row r="42" ht="12.75" customHeight="1">
      <c r="A42" s="1" t="s">
        <v>72</v>
      </c>
      <c r="B42" s="1" t="s">
        <v>547</v>
      </c>
      <c r="C42" s="1" t="s">
        <v>74</v>
      </c>
      <c r="D42" s="1" t="s">
        <v>74</v>
      </c>
      <c r="E42" s="1" t="s">
        <v>74</v>
      </c>
      <c r="F42" s="1" t="s">
        <v>548</v>
      </c>
      <c r="G42" s="1" t="s">
        <v>74</v>
      </c>
      <c r="H42" s="1" t="s">
        <v>74</v>
      </c>
      <c r="I42" s="1" t="s">
        <v>549</v>
      </c>
      <c r="J42" s="1" t="s">
        <v>77</v>
      </c>
      <c r="K42" s="1" t="s">
        <v>74</v>
      </c>
      <c r="L42" s="1" t="s">
        <v>74</v>
      </c>
      <c r="M42" s="1" t="s">
        <v>74</v>
      </c>
      <c r="N42" s="1" t="s">
        <v>74</v>
      </c>
      <c r="O42" s="1" t="s">
        <v>74</v>
      </c>
      <c r="P42" s="1" t="s">
        <v>74</v>
      </c>
      <c r="Q42" s="1" t="s">
        <v>74</v>
      </c>
      <c r="R42" s="1" t="s">
        <v>74</v>
      </c>
      <c r="S42" s="1" t="s">
        <v>74</v>
      </c>
      <c r="T42" s="1" t="s">
        <v>74</v>
      </c>
      <c r="U42" s="1" t="s">
        <v>74</v>
      </c>
      <c r="V42" s="1" t="s">
        <v>550</v>
      </c>
      <c r="W42" s="1" t="s">
        <v>74</v>
      </c>
      <c r="X42" s="1" t="s">
        <v>74</v>
      </c>
      <c r="Y42" s="1" t="s">
        <v>74</v>
      </c>
      <c r="Z42" s="1" t="s">
        <v>74</v>
      </c>
      <c r="AA42" s="1" t="s">
        <v>551</v>
      </c>
      <c r="AB42" s="1" t="s">
        <v>552</v>
      </c>
      <c r="AC42" s="1" t="s">
        <v>74</v>
      </c>
      <c r="AD42" s="1" t="s">
        <v>74</v>
      </c>
      <c r="AE42" s="1" t="s">
        <v>74</v>
      </c>
      <c r="AF42" s="1" t="s">
        <v>74</v>
      </c>
      <c r="AG42" s="1" t="s">
        <v>74</v>
      </c>
      <c r="AH42" s="1" t="s">
        <v>74</v>
      </c>
      <c r="AI42" s="1" t="s">
        <v>74</v>
      </c>
      <c r="AJ42" s="1" t="s">
        <v>74</v>
      </c>
      <c r="AK42" s="1" t="s">
        <v>74</v>
      </c>
      <c r="AL42" s="1" t="s">
        <v>74</v>
      </c>
      <c r="AM42" s="1" t="s">
        <v>74</v>
      </c>
      <c r="AN42" s="1" t="s">
        <v>74</v>
      </c>
      <c r="AO42" s="1" t="s">
        <v>81</v>
      </c>
      <c r="AP42" s="1" t="s">
        <v>74</v>
      </c>
      <c r="AQ42" s="1" t="s">
        <v>74</v>
      </c>
      <c r="AR42" s="1" t="s">
        <v>74</v>
      </c>
      <c r="AS42" s="1" t="s">
        <v>74</v>
      </c>
      <c r="AT42" s="1" t="s">
        <v>553</v>
      </c>
      <c r="AU42" s="1">
        <v>2025.0</v>
      </c>
      <c r="AV42" s="1">
        <v>20.0</v>
      </c>
      <c r="AW42" s="1">
        <v>1.0</v>
      </c>
      <c r="AX42" s="1" t="s">
        <v>74</v>
      </c>
      <c r="AY42" s="1" t="s">
        <v>74</v>
      </c>
      <c r="AZ42" s="1" t="s">
        <v>74</v>
      </c>
      <c r="BA42" s="1" t="s">
        <v>74</v>
      </c>
      <c r="BB42" s="1" t="s">
        <v>74</v>
      </c>
      <c r="BC42" s="1" t="s">
        <v>74</v>
      </c>
      <c r="BD42" s="1" t="s">
        <v>554</v>
      </c>
      <c r="BE42" s="1" t="s">
        <v>555</v>
      </c>
      <c r="BF42" s="2" t="str">
        <f>HYPERLINK("http://dx.doi.org/10.1371/journal.pone.0314278","http://dx.doi.org/10.1371/journal.pone.0314278")</f>
        <v>http://dx.doi.org/10.1371/journal.pone.0314278</v>
      </c>
      <c r="BG42" s="1" t="s">
        <v>74</v>
      </c>
      <c r="BH42" s="1" t="s">
        <v>74</v>
      </c>
      <c r="BI42" s="1" t="s">
        <v>74</v>
      </c>
      <c r="BJ42" s="1" t="s">
        <v>74</v>
      </c>
      <c r="BK42" s="1" t="s">
        <v>74</v>
      </c>
      <c r="BL42" s="1" t="s">
        <v>74</v>
      </c>
      <c r="BM42" s="1" t="s">
        <v>74</v>
      </c>
      <c r="BN42" s="1">
        <v>3.9792916E7</v>
      </c>
      <c r="BO42" s="1" t="s">
        <v>74</v>
      </c>
      <c r="BP42" s="1" t="s">
        <v>74</v>
      </c>
      <c r="BQ42" s="1" t="s">
        <v>74</v>
      </c>
      <c r="BR42" s="1" t="s">
        <v>74</v>
      </c>
      <c r="BS42" s="1" t="s">
        <v>556</v>
      </c>
      <c r="BT42" s="1" t="str">
        <f>HYPERLINK("https%3A%2F%2Fwww.webofscience.com%2Fwos%2Fwoscc%2Ffull-record%2FWOS:001396023200026","View Full Record in Web of Science")</f>
        <v>View Full Record in Web of Science</v>
      </c>
    </row>
    <row r="43" ht="12.75" customHeight="1">
      <c r="A43" s="1" t="s">
        <v>72</v>
      </c>
      <c r="B43" s="1" t="s">
        <v>557</v>
      </c>
      <c r="C43" s="1" t="s">
        <v>74</v>
      </c>
      <c r="D43" s="1" t="s">
        <v>74</v>
      </c>
      <c r="E43" s="1" t="s">
        <v>74</v>
      </c>
      <c r="F43" s="1" t="s">
        <v>558</v>
      </c>
      <c r="G43" s="1" t="s">
        <v>74</v>
      </c>
      <c r="H43" s="1" t="s">
        <v>74</v>
      </c>
      <c r="I43" s="1" t="s">
        <v>559</v>
      </c>
      <c r="J43" s="1" t="s">
        <v>107</v>
      </c>
      <c r="K43" s="1" t="s">
        <v>74</v>
      </c>
      <c r="L43" s="1" t="s">
        <v>74</v>
      </c>
      <c r="M43" s="1" t="s">
        <v>74</v>
      </c>
      <c r="N43" s="1" t="s">
        <v>74</v>
      </c>
      <c r="O43" s="1" t="s">
        <v>74</v>
      </c>
      <c r="P43" s="1" t="s">
        <v>74</v>
      </c>
      <c r="Q43" s="1" t="s">
        <v>74</v>
      </c>
      <c r="R43" s="1" t="s">
        <v>74</v>
      </c>
      <c r="S43" s="1" t="s">
        <v>74</v>
      </c>
      <c r="T43" s="1" t="s">
        <v>74</v>
      </c>
      <c r="U43" s="1" t="s">
        <v>74</v>
      </c>
      <c r="V43" s="1" t="s">
        <v>560</v>
      </c>
      <c r="W43" s="1" t="s">
        <v>74</v>
      </c>
      <c r="X43" s="1" t="s">
        <v>74</v>
      </c>
      <c r="Y43" s="1" t="s">
        <v>74</v>
      </c>
      <c r="Z43" s="1" t="s">
        <v>74</v>
      </c>
      <c r="AA43" s="1" t="s">
        <v>561</v>
      </c>
      <c r="AB43" s="1" t="s">
        <v>562</v>
      </c>
      <c r="AC43" s="1" t="s">
        <v>74</v>
      </c>
      <c r="AD43" s="1" t="s">
        <v>74</v>
      </c>
      <c r="AE43" s="1" t="s">
        <v>74</v>
      </c>
      <c r="AF43" s="1" t="s">
        <v>74</v>
      </c>
      <c r="AG43" s="1" t="s">
        <v>74</v>
      </c>
      <c r="AH43" s="1" t="s">
        <v>74</v>
      </c>
      <c r="AI43" s="1" t="s">
        <v>74</v>
      </c>
      <c r="AJ43" s="1" t="s">
        <v>74</v>
      </c>
      <c r="AK43" s="1" t="s">
        <v>74</v>
      </c>
      <c r="AL43" s="1" t="s">
        <v>74</v>
      </c>
      <c r="AM43" s="1" t="s">
        <v>74</v>
      </c>
      <c r="AN43" s="1" t="s">
        <v>74</v>
      </c>
      <c r="AO43" s="1" t="s">
        <v>110</v>
      </c>
      <c r="AP43" s="1" t="s">
        <v>563</v>
      </c>
      <c r="AQ43" s="1" t="s">
        <v>74</v>
      </c>
      <c r="AR43" s="1" t="s">
        <v>74</v>
      </c>
      <c r="AS43" s="1" t="s">
        <v>74</v>
      </c>
      <c r="AT43" s="1" t="s">
        <v>564</v>
      </c>
      <c r="AU43" s="1">
        <v>2024.0</v>
      </c>
      <c r="AV43" s="1">
        <v>434.0</v>
      </c>
      <c r="AW43" s="1" t="s">
        <v>74</v>
      </c>
      <c r="AX43" s="1" t="s">
        <v>74</v>
      </c>
      <c r="AY43" s="1" t="s">
        <v>74</v>
      </c>
      <c r="AZ43" s="1" t="s">
        <v>74</v>
      </c>
      <c r="BA43" s="1" t="s">
        <v>74</v>
      </c>
      <c r="BB43" s="1" t="s">
        <v>74</v>
      </c>
      <c r="BC43" s="1" t="s">
        <v>74</v>
      </c>
      <c r="BD43" s="1">
        <v>137325.0</v>
      </c>
      <c r="BE43" s="1" t="s">
        <v>565</v>
      </c>
      <c r="BF43" s="2" t="str">
        <f>HYPERLINK("http://dx.doi.org/10.1016/j.foodchem.2023.137325","http://dx.doi.org/10.1016/j.foodchem.2023.137325")</f>
        <v>http://dx.doi.org/10.1016/j.foodchem.2023.137325</v>
      </c>
      <c r="BG43" s="1" t="s">
        <v>74</v>
      </c>
      <c r="BH43" s="1" t="s">
        <v>566</v>
      </c>
      <c r="BI43" s="1" t="s">
        <v>74</v>
      </c>
      <c r="BJ43" s="1" t="s">
        <v>74</v>
      </c>
      <c r="BK43" s="1" t="s">
        <v>74</v>
      </c>
      <c r="BL43" s="1" t="s">
        <v>74</v>
      </c>
      <c r="BM43" s="1" t="s">
        <v>74</v>
      </c>
      <c r="BN43" s="1">
        <v>3.7696152E7</v>
      </c>
      <c r="BO43" s="1" t="s">
        <v>74</v>
      </c>
      <c r="BP43" s="1" t="s">
        <v>74</v>
      </c>
      <c r="BQ43" s="1" t="s">
        <v>74</v>
      </c>
      <c r="BR43" s="1" t="s">
        <v>74</v>
      </c>
      <c r="BS43" s="1" t="s">
        <v>567</v>
      </c>
      <c r="BT43" s="1" t="str">
        <f>HYPERLINK("https%3A%2F%2Fwww.webofscience.com%2Fwos%2Fwoscc%2Ffull-record%2FWOS:001093103100001","View Full Record in Web of Science")</f>
        <v>View Full Record in Web of Science</v>
      </c>
    </row>
    <row r="44" ht="12.75" customHeight="1">
      <c r="A44" s="1" t="s">
        <v>72</v>
      </c>
      <c r="B44" s="1" t="s">
        <v>568</v>
      </c>
      <c r="C44" s="1" t="s">
        <v>74</v>
      </c>
      <c r="D44" s="1" t="s">
        <v>74</v>
      </c>
      <c r="E44" s="1" t="s">
        <v>74</v>
      </c>
      <c r="F44" s="1" t="s">
        <v>569</v>
      </c>
      <c r="G44" s="1" t="s">
        <v>74</v>
      </c>
      <c r="H44" s="1" t="s">
        <v>74</v>
      </c>
      <c r="I44" s="1" t="s">
        <v>570</v>
      </c>
      <c r="J44" s="1" t="s">
        <v>571</v>
      </c>
      <c r="K44" s="1" t="s">
        <v>74</v>
      </c>
      <c r="L44" s="1" t="s">
        <v>74</v>
      </c>
      <c r="M44" s="1" t="s">
        <v>74</v>
      </c>
      <c r="N44" s="1" t="s">
        <v>74</v>
      </c>
      <c r="O44" s="1" t="s">
        <v>74</v>
      </c>
      <c r="P44" s="1" t="s">
        <v>74</v>
      </c>
      <c r="Q44" s="1" t="s">
        <v>74</v>
      </c>
      <c r="R44" s="1" t="s">
        <v>74</v>
      </c>
      <c r="S44" s="1" t="s">
        <v>74</v>
      </c>
      <c r="T44" s="1" t="s">
        <v>74</v>
      </c>
      <c r="U44" s="1" t="s">
        <v>74</v>
      </c>
      <c r="V44" s="1" t="s">
        <v>572</v>
      </c>
      <c r="W44" s="1" t="s">
        <v>74</v>
      </c>
      <c r="X44" s="1" t="s">
        <v>74</v>
      </c>
      <c r="Y44" s="1" t="s">
        <v>74</v>
      </c>
      <c r="Z44" s="1" t="s">
        <v>74</v>
      </c>
      <c r="AA44" s="1" t="s">
        <v>573</v>
      </c>
      <c r="AB44" s="1" t="s">
        <v>574</v>
      </c>
      <c r="AC44" s="1" t="s">
        <v>74</v>
      </c>
      <c r="AD44" s="1" t="s">
        <v>74</v>
      </c>
      <c r="AE44" s="1" t="s">
        <v>74</v>
      </c>
      <c r="AF44" s="1" t="s">
        <v>74</v>
      </c>
      <c r="AG44" s="1" t="s">
        <v>74</v>
      </c>
      <c r="AH44" s="1" t="s">
        <v>74</v>
      </c>
      <c r="AI44" s="1" t="s">
        <v>74</v>
      </c>
      <c r="AJ44" s="1" t="s">
        <v>74</v>
      </c>
      <c r="AK44" s="1" t="s">
        <v>74</v>
      </c>
      <c r="AL44" s="1" t="s">
        <v>74</v>
      </c>
      <c r="AM44" s="1" t="s">
        <v>74</v>
      </c>
      <c r="AN44" s="1" t="s">
        <v>74</v>
      </c>
      <c r="AO44" s="1" t="s">
        <v>575</v>
      </c>
      <c r="AP44" s="1" t="s">
        <v>576</v>
      </c>
      <c r="AQ44" s="1" t="s">
        <v>74</v>
      </c>
      <c r="AR44" s="1" t="s">
        <v>74</v>
      </c>
      <c r="AS44" s="1" t="s">
        <v>74</v>
      </c>
      <c r="AT44" s="1" t="s">
        <v>318</v>
      </c>
      <c r="AU44" s="1">
        <v>2023.0</v>
      </c>
      <c r="AV44" s="1">
        <v>25.0</v>
      </c>
      <c r="AW44" s="1">
        <v>1.0</v>
      </c>
      <c r="AX44" s="1" t="s">
        <v>74</v>
      </c>
      <c r="AY44" s="1" t="s">
        <v>74</v>
      </c>
      <c r="AZ44" s="1" t="s">
        <v>74</v>
      </c>
      <c r="BA44" s="1" t="s">
        <v>74</v>
      </c>
      <c r="BB44" s="1" t="s">
        <v>74</v>
      </c>
      <c r="BC44" s="1" t="s">
        <v>74</v>
      </c>
      <c r="BD44" s="1" t="s">
        <v>577</v>
      </c>
      <c r="BE44" s="1" t="s">
        <v>578</v>
      </c>
      <c r="BF44" s="2" t="str">
        <f>HYPERLINK("http://dx.doi.org/10.1111/tid.13993","http://dx.doi.org/10.1111/tid.13993")</f>
        <v>http://dx.doi.org/10.1111/tid.13993</v>
      </c>
      <c r="BG44" s="1" t="s">
        <v>74</v>
      </c>
      <c r="BH44" s="1" t="s">
        <v>579</v>
      </c>
      <c r="BI44" s="1" t="s">
        <v>74</v>
      </c>
      <c r="BJ44" s="1" t="s">
        <v>74</v>
      </c>
      <c r="BK44" s="1" t="s">
        <v>74</v>
      </c>
      <c r="BL44" s="1" t="s">
        <v>74</v>
      </c>
      <c r="BM44" s="1" t="s">
        <v>74</v>
      </c>
      <c r="BN44" s="1">
        <v>3.6413505E7</v>
      </c>
      <c r="BO44" s="1" t="s">
        <v>74</v>
      </c>
      <c r="BP44" s="1" t="s">
        <v>74</v>
      </c>
      <c r="BQ44" s="1" t="s">
        <v>74</v>
      </c>
      <c r="BR44" s="1" t="s">
        <v>74</v>
      </c>
      <c r="BS44" s="1" t="s">
        <v>580</v>
      </c>
      <c r="BT44" s="1" t="str">
        <f>HYPERLINK("https%3A%2F%2Fwww.webofscience.com%2Fwos%2Fwoscc%2Ffull-record%2FWOS:000891636800001","View Full Record in Web of Science")</f>
        <v>View Full Record in Web of Science</v>
      </c>
    </row>
    <row r="45" ht="12.75" customHeight="1">
      <c r="A45" s="1" t="s">
        <v>72</v>
      </c>
      <c r="B45" s="1" t="s">
        <v>581</v>
      </c>
      <c r="C45" s="1" t="s">
        <v>74</v>
      </c>
      <c r="D45" s="1" t="s">
        <v>74</v>
      </c>
      <c r="E45" s="1" t="s">
        <v>74</v>
      </c>
      <c r="F45" s="1" t="s">
        <v>582</v>
      </c>
      <c r="G45" s="1" t="s">
        <v>74</v>
      </c>
      <c r="H45" s="1" t="s">
        <v>74</v>
      </c>
      <c r="I45" s="1" t="s">
        <v>583</v>
      </c>
      <c r="J45" s="1" t="s">
        <v>584</v>
      </c>
      <c r="K45" s="1" t="s">
        <v>74</v>
      </c>
      <c r="L45" s="1" t="s">
        <v>74</v>
      </c>
      <c r="M45" s="1" t="s">
        <v>74</v>
      </c>
      <c r="N45" s="1" t="s">
        <v>74</v>
      </c>
      <c r="O45" s="1" t="s">
        <v>74</v>
      </c>
      <c r="P45" s="1" t="s">
        <v>74</v>
      </c>
      <c r="Q45" s="1" t="s">
        <v>74</v>
      </c>
      <c r="R45" s="1" t="s">
        <v>74</v>
      </c>
      <c r="S45" s="1" t="s">
        <v>74</v>
      </c>
      <c r="T45" s="1" t="s">
        <v>74</v>
      </c>
      <c r="U45" s="1" t="s">
        <v>74</v>
      </c>
      <c r="V45" s="1" t="s">
        <v>585</v>
      </c>
      <c r="W45" s="1" t="s">
        <v>74</v>
      </c>
      <c r="X45" s="1" t="s">
        <v>74</v>
      </c>
      <c r="Y45" s="1" t="s">
        <v>74</v>
      </c>
      <c r="Z45" s="1" t="s">
        <v>74</v>
      </c>
      <c r="AA45" s="1" t="s">
        <v>586</v>
      </c>
      <c r="AB45" s="1" t="s">
        <v>587</v>
      </c>
      <c r="AC45" s="1" t="s">
        <v>74</v>
      </c>
      <c r="AD45" s="1" t="s">
        <v>74</v>
      </c>
      <c r="AE45" s="1" t="s">
        <v>74</v>
      </c>
      <c r="AF45" s="1" t="s">
        <v>74</v>
      </c>
      <c r="AG45" s="1" t="s">
        <v>74</v>
      </c>
      <c r="AH45" s="1" t="s">
        <v>74</v>
      </c>
      <c r="AI45" s="1" t="s">
        <v>74</v>
      </c>
      <c r="AJ45" s="1" t="s">
        <v>74</v>
      </c>
      <c r="AK45" s="1" t="s">
        <v>74</v>
      </c>
      <c r="AL45" s="1" t="s">
        <v>74</v>
      </c>
      <c r="AM45" s="1" t="s">
        <v>74</v>
      </c>
      <c r="AN45" s="1" t="s">
        <v>74</v>
      </c>
      <c r="AO45" s="1" t="s">
        <v>588</v>
      </c>
      <c r="AP45" s="1" t="s">
        <v>589</v>
      </c>
      <c r="AQ45" s="1" t="s">
        <v>74</v>
      </c>
      <c r="AR45" s="1" t="s">
        <v>74</v>
      </c>
      <c r="AS45" s="1" t="s">
        <v>74</v>
      </c>
      <c r="AT45" s="1" t="s">
        <v>175</v>
      </c>
      <c r="AU45" s="1">
        <v>2022.0</v>
      </c>
      <c r="AV45" s="1">
        <v>18.0</v>
      </c>
      <c r="AW45" s="1">
        <v>11.0</v>
      </c>
      <c r="AX45" s="1" t="s">
        <v>74</v>
      </c>
      <c r="AY45" s="1" t="s">
        <v>74</v>
      </c>
      <c r="AZ45" s="1" t="s">
        <v>74</v>
      </c>
      <c r="BA45" s="1" t="s">
        <v>74</v>
      </c>
      <c r="BB45" s="1">
        <v>2483.0</v>
      </c>
      <c r="BC45" s="1">
        <v>2507.0</v>
      </c>
      <c r="BD45" s="1" t="s">
        <v>74</v>
      </c>
      <c r="BE45" s="1" t="s">
        <v>590</v>
      </c>
      <c r="BF45" s="2" t="str">
        <f>HYPERLINK("http://dx.doi.org/10.5194/cp-18-2483-2022","http://dx.doi.org/10.5194/cp-18-2483-2022")</f>
        <v>http://dx.doi.org/10.5194/cp-18-2483-2022</v>
      </c>
      <c r="BG45" s="1" t="s">
        <v>74</v>
      </c>
      <c r="BH45" s="1" t="s">
        <v>74</v>
      </c>
      <c r="BI45" s="1" t="s">
        <v>74</v>
      </c>
      <c r="BJ45" s="1" t="s">
        <v>74</v>
      </c>
      <c r="BK45" s="1" t="s">
        <v>74</v>
      </c>
      <c r="BL45" s="1" t="s">
        <v>74</v>
      </c>
      <c r="BM45" s="1" t="s">
        <v>74</v>
      </c>
      <c r="BN45" s="1" t="s">
        <v>74</v>
      </c>
      <c r="BO45" s="1" t="s">
        <v>74</v>
      </c>
      <c r="BP45" s="1" t="s">
        <v>74</v>
      </c>
      <c r="BQ45" s="1" t="s">
        <v>74</v>
      </c>
      <c r="BR45" s="1" t="s">
        <v>74</v>
      </c>
      <c r="BS45" s="1" t="s">
        <v>591</v>
      </c>
      <c r="BT45" s="1" t="str">
        <f>HYPERLINK("https%3A%2F%2Fwww.webofscience.com%2Fwos%2Fwoscc%2Ffull-record%2FWOS:000886912100001","View Full Record in Web of Science")</f>
        <v>View Full Record in Web of Science</v>
      </c>
    </row>
    <row r="46" ht="12.75" customHeight="1">
      <c r="A46" s="1" t="s">
        <v>72</v>
      </c>
      <c r="B46" s="1" t="s">
        <v>592</v>
      </c>
      <c r="C46" s="1" t="s">
        <v>74</v>
      </c>
      <c r="D46" s="1" t="s">
        <v>74</v>
      </c>
      <c r="E46" s="1" t="s">
        <v>74</v>
      </c>
      <c r="F46" s="1" t="s">
        <v>593</v>
      </c>
      <c r="G46" s="1" t="s">
        <v>74</v>
      </c>
      <c r="H46" s="1" t="s">
        <v>74</v>
      </c>
      <c r="I46" s="1" t="s">
        <v>594</v>
      </c>
      <c r="J46" s="1" t="s">
        <v>595</v>
      </c>
      <c r="K46" s="1" t="s">
        <v>74</v>
      </c>
      <c r="L46" s="1" t="s">
        <v>74</v>
      </c>
      <c r="M46" s="1" t="s">
        <v>74</v>
      </c>
      <c r="N46" s="1" t="s">
        <v>74</v>
      </c>
      <c r="O46" s="1" t="s">
        <v>74</v>
      </c>
      <c r="P46" s="1" t="s">
        <v>74</v>
      </c>
      <c r="Q46" s="1" t="s">
        <v>74</v>
      </c>
      <c r="R46" s="1" t="s">
        <v>74</v>
      </c>
      <c r="S46" s="1" t="s">
        <v>74</v>
      </c>
      <c r="T46" s="1" t="s">
        <v>74</v>
      </c>
      <c r="U46" s="1" t="s">
        <v>74</v>
      </c>
      <c r="V46" s="1" t="s">
        <v>596</v>
      </c>
      <c r="W46" s="1" t="s">
        <v>74</v>
      </c>
      <c r="X46" s="1" t="s">
        <v>74</v>
      </c>
      <c r="Y46" s="1" t="s">
        <v>74</v>
      </c>
      <c r="Z46" s="1" t="s">
        <v>74</v>
      </c>
      <c r="AA46" s="1" t="s">
        <v>597</v>
      </c>
      <c r="AB46" s="1" t="s">
        <v>598</v>
      </c>
      <c r="AC46" s="1" t="s">
        <v>74</v>
      </c>
      <c r="AD46" s="1" t="s">
        <v>74</v>
      </c>
      <c r="AE46" s="1" t="s">
        <v>74</v>
      </c>
      <c r="AF46" s="1" t="s">
        <v>74</v>
      </c>
      <c r="AG46" s="1" t="s">
        <v>74</v>
      </c>
      <c r="AH46" s="1" t="s">
        <v>74</v>
      </c>
      <c r="AI46" s="1" t="s">
        <v>74</v>
      </c>
      <c r="AJ46" s="1" t="s">
        <v>74</v>
      </c>
      <c r="AK46" s="1" t="s">
        <v>74</v>
      </c>
      <c r="AL46" s="1" t="s">
        <v>74</v>
      </c>
      <c r="AM46" s="1" t="s">
        <v>74</v>
      </c>
      <c r="AN46" s="1" t="s">
        <v>74</v>
      </c>
      <c r="AO46" s="1" t="s">
        <v>74</v>
      </c>
      <c r="AP46" s="1" t="s">
        <v>599</v>
      </c>
      <c r="AQ46" s="1" t="s">
        <v>74</v>
      </c>
      <c r="AR46" s="1" t="s">
        <v>74</v>
      </c>
      <c r="AS46" s="1" t="s">
        <v>74</v>
      </c>
      <c r="AT46" s="1" t="s">
        <v>307</v>
      </c>
      <c r="AU46" s="1">
        <v>2021.0</v>
      </c>
      <c r="AV46" s="1">
        <v>13.0</v>
      </c>
      <c r="AW46" s="1">
        <v>24.0</v>
      </c>
      <c r="AX46" s="1" t="s">
        <v>74</v>
      </c>
      <c r="AY46" s="1" t="s">
        <v>74</v>
      </c>
      <c r="AZ46" s="1" t="s">
        <v>74</v>
      </c>
      <c r="BA46" s="1" t="s">
        <v>74</v>
      </c>
      <c r="BB46" s="1" t="s">
        <v>74</v>
      </c>
      <c r="BC46" s="1" t="s">
        <v>74</v>
      </c>
      <c r="BD46" s="1">
        <v>4375.0</v>
      </c>
      <c r="BE46" s="1" t="s">
        <v>600</v>
      </c>
      <c r="BF46" s="2" t="str">
        <f>HYPERLINK("http://dx.doi.org/10.3390/polym13244375","http://dx.doi.org/10.3390/polym13244375")</f>
        <v>http://dx.doi.org/10.3390/polym13244375</v>
      </c>
      <c r="BG46" s="1" t="s">
        <v>74</v>
      </c>
      <c r="BH46" s="1" t="s">
        <v>74</v>
      </c>
      <c r="BI46" s="1" t="s">
        <v>74</v>
      </c>
      <c r="BJ46" s="1" t="s">
        <v>74</v>
      </c>
      <c r="BK46" s="1" t="s">
        <v>74</v>
      </c>
      <c r="BL46" s="1" t="s">
        <v>74</v>
      </c>
      <c r="BM46" s="1" t="s">
        <v>74</v>
      </c>
      <c r="BN46" s="1">
        <v>3.4960927E7</v>
      </c>
      <c r="BO46" s="1" t="s">
        <v>74</v>
      </c>
      <c r="BP46" s="1" t="s">
        <v>74</v>
      </c>
      <c r="BQ46" s="1" t="s">
        <v>74</v>
      </c>
      <c r="BR46" s="1" t="s">
        <v>74</v>
      </c>
      <c r="BS46" s="1" t="s">
        <v>601</v>
      </c>
      <c r="BT46" s="1" t="str">
        <f>HYPERLINK("https%3A%2F%2Fwww.webofscience.com%2Fwos%2Fwoscc%2Ffull-record%2FWOS:000737879400001","View Full Record in Web of Science")</f>
        <v>View Full Record in Web of Science</v>
      </c>
    </row>
    <row r="47" ht="12.75" customHeight="1">
      <c r="A47" s="1" t="s">
        <v>72</v>
      </c>
      <c r="B47" s="1" t="s">
        <v>602</v>
      </c>
      <c r="C47" s="1" t="s">
        <v>74</v>
      </c>
      <c r="D47" s="1" t="s">
        <v>74</v>
      </c>
      <c r="E47" s="1" t="s">
        <v>74</v>
      </c>
      <c r="F47" s="1" t="s">
        <v>603</v>
      </c>
      <c r="G47" s="1" t="s">
        <v>74</v>
      </c>
      <c r="H47" s="1" t="s">
        <v>74</v>
      </c>
      <c r="I47" s="1" t="s">
        <v>604</v>
      </c>
      <c r="J47" s="1" t="s">
        <v>605</v>
      </c>
      <c r="K47" s="1" t="s">
        <v>74</v>
      </c>
      <c r="L47" s="1" t="s">
        <v>74</v>
      </c>
      <c r="M47" s="1" t="s">
        <v>74</v>
      </c>
      <c r="N47" s="1" t="s">
        <v>74</v>
      </c>
      <c r="O47" s="1" t="s">
        <v>74</v>
      </c>
      <c r="P47" s="1" t="s">
        <v>74</v>
      </c>
      <c r="Q47" s="1" t="s">
        <v>74</v>
      </c>
      <c r="R47" s="1" t="s">
        <v>74</v>
      </c>
      <c r="S47" s="1" t="s">
        <v>74</v>
      </c>
      <c r="T47" s="1" t="s">
        <v>74</v>
      </c>
      <c r="U47" s="1" t="s">
        <v>74</v>
      </c>
      <c r="V47" s="1" t="s">
        <v>606</v>
      </c>
      <c r="W47" s="1" t="s">
        <v>74</v>
      </c>
      <c r="X47" s="1" t="s">
        <v>74</v>
      </c>
      <c r="Y47" s="1" t="s">
        <v>74</v>
      </c>
      <c r="Z47" s="1" t="s">
        <v>74</v>
      </c>
      <c r="AA47" s="1" t="s">
        <v>607</v>
      </c>
      <c r="AB47" s="1" t="s">
        <v>608</v>
      </c>
      <c r="AC47" s="1" t="s">
        <v>74</v>
      </c>
      <c r="AD47" s="1" t="s">
        <v>74</v>
      </c>
      <c r="AE47" s="1" t="s">
        <v>74</v>
      </c>
      <c r="AF47" s="1" t="s">
        <v>74</v>
      </c>
      <c r="AG47" s="1" t="s">
        <v>74</v>
      </c>
      <c r="AH47" s="1" t="s">
        <v>74</v>
      </c>
      <c r="AI47" s="1" t="s">
        <v>74</v>
      </c>
      <c r="AJ47" s="1" t="s">
        <v>74</v>
      </c>
      <c r="AK47" s="1" t="s">
        <v>74</v>
      </c>
      <c r="AL47" s="1" t="s">
        <v>74</v>
      </c>
      <c r="AM47" s="1" t="s">
        <v>74</v>
      </c>
      <c r="AN47" s="1" t="s">
        <v>74</v>
      </c>
      <c r="AO47" s="1" t="s">
        <v>609</v>
      </c>
      <c r="AP47" s="1" t="s">
        <v>74</v>
      </c>
      <c r="AQ47" s="1" t="s">
        <v>74</v>
      </c>
      <c r="AR47" s="1" t="s">
        <v>74</v>
      </c>
      <c r="AS47" s="1" t="s">
        <v>74</v>
      </c>
      <c r="AT47" s="1" t="s">
        <v>610</v>
      </c>
      <c r="AU47" s="1">
        <v>2021.0</v>
      </c>
      <c r="AV47" s="1">
        <v>18.0</v>
      </c>
      <c r="AW47" s="1">
        <v>2.0</v>
      </c>
      <c r="AX47" s="1" t="s">
        <v>74</v>
      </c>
      <c r="AY47" s="1" t="s">
        <v>74</v>
      </c>
      <c r="AZ47" s="1" t="s">
        <v>74</v>
      </c>
      <c r="BA47" s="1" t="s">
        <v>74</v>
      </c>
      <c r="BB47" s="1" t="s">
        <v>74</v>
      </c>
      <c r="BC47" s="1" t="s">
        <v>74</v>
      </c>
      <c r="BD47" s="1">
        <v>2.37066090005E11</v>
      </c>
      <c r="BE47" s="1" t="s">
        <v>611</v>
      </c>
      <c r="BF47" s="2" t="str">
        <f>HYPERLINK("http://dx.doi.org/10.15359/mhs.18-2.5","http://dx.doi.org/10.15359/mhs.18-2.5")</f>
        <v>http://dx.doi.org/10.15359/mhs.18-2.5</v>
      </c>
      <c r="BG47" s="1" t="s">
        <v>74</v>
      </c>
      <c r="BH47" s="1" t="s">
        <v>74</v>
      </c>
      <c r="BI47" s="1" t="s">
        <v>74</v>
      </c>
      <c r="BJ47" s="1" t="s">
        <v>74</v>
      </c>
      <c r="BK47" s="1" t="s">
        <v>74</v>
      </c>
      <c r="BL47" s="1" t="s">
        <v>74</v>
      </c>
      <c r="BM47" s="1" t="s">
        <v>74</v>
      </c>
      <c r="BN47" s="1" t="s">
        <v>74</v>
      </c>
      <c r="BO47" s="1" t="s">
        <v>74</v>
      </c>
      <c r="BP47" s="1" t="s">
        <v>74</v>
      </c>
      <c r="BQ47" s="1" t="s">
        <v>74</v>
      </c>
      <c r="BR47" s="1" t="s">
        <v>74</v>
      </c>
      <c r="BS47" s="1" t="s">
        <v>612</v>
      </c>
      <c r="BT47" s="1" t="str">
        <f>HYPERLINK("https%3A%2F%2Fwww.webofscience.com%2Fwos%2Fwoscc%2Ffull-record%2FWOS:000681441600005","View Full Record in Web of Science")</f>
        <v>View Full Record in Web of Science</v>
      </c>
    </row>
    <row r="48" ht="12.75" customHeight="1">
      <c r="A48" s="1" t="s">
        <v>72</v>
      </c>
      <c r="B48" s="1" t="s">
        <v>613</v>
      </c>
      <c r="C48" s="1" t="s">
        <v>74</v>
      </c>
      <c r="D48" s="1" t="s">
        <v>74</v>
      </c>
      <c r="E48" s="1" t="s">
        <v>74</v>
      </c>
      <c r="F48" s="1" t="s">
        <v>614</v>
      </c>
      <c r="G48" s="1" t="s">
        <v>74</v>
      </c>
      <c r="H48" s="1" t="s">
        <v>74</v>
      </c>
      <c r="I48" s="1" t="s">
        <v>615</v>
      </c>
      <c r="J48" s="1" t="s">
        <v>616</v>
      </c>
      <c r="K48" s="1" t="s">
        <v>74</v>
      </c>
      <c r="L48" s="1" t="s">
        <v>74</v>
      </c>
      <c r="M48" s="1" t="s">
        <v>74</v>
      </c>
      <c r="N48" s="1" t="s">
        <v>74</v>
      </c>
      <c r="O48" s="1" t="s">
        <v>74</v>
      </c>
      <c r="P48" s="1" t="s">
        <v>74</v>
      </c>
      <c r="Q48" s="1" t="s">
        <v>74</v>
      </c>
      <c r="R48" s="1" t="s">
        <v>74</v>
      </c>
      <c r="S48" s="1" t="s">
        <v>74</v>
      </c>
      <c r="T48" s="1" t="s">
        <v>74</v>
      </c>
      <c r="U48" s="1" t="s">
        <v>74</v>
      </c>
      <c r="V48" s="1" t="s">
        <v>617</v>
      </c>
      <c r="W48" s="1" t="s">
        <v>74</v>
      </c>
      <c r="X48" s="1" t="s">
        <v>74</v>
      </c>
      <c r="Y48" s="1" t="s">
        <v>74</v>
      </c>
      <c r="Z48" s="1" t="s">
        <v>74</v>
      </c>
      <c r="AA48" s="1" t="s">
        <v>618</v>
      </c>
      <c r="AB48" s="1" t="s">
        <v>619</v>
      </c>
      <c r="AC48" s="1" t="s">
        <v>74</v>
      </c>
      <c r="AD48" s="1" t="s">
        <v>74</v>
      </c>
      <c r="AE48" s="1" t="s">
        <v>74</v>
      </c>
      <c r="AF48" s="1" t="s">
        <v>74</v>
      </c>
      <c r="AG48" s="1" t="s">
        <v>74</v>
      </c>
      <c r="AH48" s="1" t="s">
        <v>74</v>
      </c>
      <c r="AI48" s="1" t="s">
        <v>74</v>
      </c>
      <c r="AJ48" s="1" t="s">
        <v>74</v>
      </c>
      <c r="AK48" s="1" t="s">
        <v>74</v>
      </c>
      <c r="AL48" s="1" t="s">
        <v>74</v>
      </c>
      <c r="AM48" s="1" t="s">
        <v>74</v>
      </c>
      <c r="AN48" s="1" t="s">
        <v>74</v>
      </c>
      <c r="AO48" s="1" t="s">
        <v>620</v>
      </c>
      <c r="AP48" s="1" t="s">
        <v>621</v>
      </c>
      <c r="AQ48" s="1" t="s">
        <v>74</v>
      </c>
      <c r="AR48" s="1" t="s">
        <v>74</v>
      </c>
      <c r="AS48" s="1" t="s">
        <v>74</v>
      </c>
      <c r="AT48" s="1" t="s">
        <v>622</v>
      </c>
      <c r="AU48" s="1">
        <v>2021.0</v>
      </c>
      <c r="AV48" s="1">
        <v>74.0</v>
      </c>
      <c r="AW48" s="1" t="s">
        <v>623</v>
      </c>
      <c r="AX48" s="1" t="s">
        <v>74</v>
      </c>
      <c r="AY48" s="1" t="s">
        <v>74</v>
      </c>
      <c r="AZ48" s="1" t="s">
        <v>74</v>
      </c>
      <c r="BA48" s="1" t="s">
        <v>74</v>
      </c>
      <c r="BB48" s="1">
        <v>563.0</v>
      </c>
      <c r="BC48" s="1">
        <v>574.0</v>
      </c>
      <c r="BD48" s="1" t="s">
        <v>74</v>
      </c>
      <c r="BE48" s="1" t="s">
        <v>624</v>
      </c>
      <c r="BF48" s="2" t="str">
        <f>HYPERLINK("http://dx.doi.org/10.1080/00958972.2021.1873959","http://dx.doi.org/10.1080/00958972.2021.1873959")</f>
        <v>http://dx.doi.org/10.1080/00958972.2021.1873959</v>
      </c>
      <c r="BG48" s="1" t="s">
        <v>74</v>
      </c>
      <c r="BH48" s="1" t="s">
        <v>625</v>
      </c>
      <c r="BI48" s="1" t="s">
        <v>74</v>
      </c>
      <c r="BJ48" s="1" t="s">
        <v>74</v>
      </c>
      <c r="BK48" s="1" t="s">
        <v>74</v>
      </c>
      <c r="BL48" s="1" t="s">
        <v>74</v>
      </c>
      <c r="BM48" s="1" t="s">
        <v>74</v>
      </c>
      <c r="BN48" s="1" t="s">
        <v>74</v>
      </c>
      <c r="BO48" s="1" t="s">
        <v>74</v>
      </c>
      <c r="BP48" s="1" t="s">
        <v>74</v>
      </c>
      <c r="BQ48" s="1" t="s">
        <v>74</v>
      </c>
      <c r="BR48" s="1" t="s">
        <v>74</v>
      </c>
      <c r="BS48" s="1" t="s">
        <v>626</v>
      </c>
      <c r="BT48" s="1" t="str">
        <f>HYPERLINK("https%3A%2F%2Fwww.webofscience.com%2Fwos%2Fwoscc%2Ffull-record%2FWOS:000608554900001","View Full Record in Web of Science")</f>
        <v>View Full Record in Web of Science</v>
      </c>
    </row>
    <row r="49" ht="12.75" customHeight="1">
      <c r="A49" s="1" t="s">
        <v>72</v>
      </c>
      <c r="B49" s="1" t="s">
        <v>627</v>
      </c>
      <c r="C49" s="1" t="s">
        <v>74</v>
      </c>
      <c r="D49" s="1" t="s">
        <v>74</v>
      </c>
      <c r="E49" s="1" t="s">
        <v>74</v>
      </c>
      <c r="F49" s="1" t="s">
        <v>628</v>
      </c>
      <c r="G49" s="1" t="s">
        <v>74</v>
      </c>
      <c r="H49" s="1" t="s">
        <v>74</v>
      </c>
      <c r="I49" s="1" t="s">
        <v>629</v>
      </c>
      <c r="J49" s="1" t="s">
        <v>630</v>
      </c>
      <c r="K49" s="1" t="s">
        <v>74</v>
      </c>
      <c r="L49" s="1" t="s">
        <v>74</v>
      </c>
      <c r="M49" s="1" t="s">
        <v>74</v>
      </c>
      <c r="N49" s="1" t="s">
        <v>74</v>
      </c>
      <c r="O49" s="1" t="s">
        <v>74</v>
      </c>
      <c r="P49" s="1" t="s">
        <v>74</v>
      </c>
      <c r="Q49" s="1" t="s">
        <v>74</v>
      </c>
      <c r="R49" s="1" t="s">
        <v>74</v>
      </c>
      <c r="S49" s="1" t="s">
        <v>74</v>
      </c>
      <c r="T49" s="1" t="s">
        <v>74</v>
      </c>
      <c r="U49" s="1" t="s">
        <v>74</v>
      </c>
      <c r="V49" s="1" t="s">
        <v>631</v>
      </c>
      <c r="W49" s="1" t="s">
        <v>74</v>
      </c>
      <c r="X49" s="1" t="s">
        <v>74</v>
      </c>
      <c r="Y49" s="1" t="s">
        <v>74</v>
      </c>
      <c r="Z49" s="1" t="s">
        <v>74</v>
      </c>
      <c r="AA49" s="1" t="s">
        <v>632</v>
      </c>
      <c r="AB49" s="1" t="s">
        <v>633</v>
      </c>
      <c r="AC49" s="1" t="s">
        <v>74</v>
      </c>
      <c r="AD49" s="1" t="s">
        <v>74</v>
      </c>
      <c r="AE49" s="1" t="s">
        <v>74</v>
      </c>
      <c r="AF49" s="1" t="s">
        <v>74</v>
      </c>
      <c r="AG49" s="1" t="s">
        <v>74</v>
      </c>
      <c r="AH49" s="1" t="s">
        <v>74</v>
      </c>
      <c r="AI49" s="1" t="s">
        <v>74</v>
      </c>
      <c r="AJ49" s="1" t="s">
        <v>74</v>
      </c>
      <c r="AK49" s="1" t="s">
        <v>74</v>
      </c>
      <c r="AL49" s="1" t="s">
        <v>74</v>
      </c>
      <c r="AM49" s="1" t="s">
        <v>74</v>
      </c>
      <c r="AN49" s="1" t="s">
        <v>74</v>
      </c>
      <c r="AO49" s="1" t="s">
        <v>634</v>
      </c>
      <c r="AP49" s="1" t="s">
        <v>74</v>
      </c>
      <c r="AQ49" s="1" t="s">
        <v>74</v>
      </c>
      <c r="AR49" s="1" t="s">
        <v>74</v>
      </c>
      <c r="AS49" s="1" t="s">
        <v>74</v>
      </c>
      <c r="AT49" s="1" t="s">
        <v>74</v>
      </c>
      <c r="AU49" s="1">
        <v>2021.0</v>
      </c>
      <c r="AV49" s="1">
        <v>26.0</v>
      </c>
      <c r="AW49" s="1">
        <v>1.0</v>
      </c>
      <c r="AX49" s="1" t="s">
        <v>74</v>
      </c>
      <c r="AY49" s="1" t="s">
        <v>74</v>
      </c>
      <c r="AZ49" s="1" t="s">
        <v>74</v>
      </c>
      <c r="BA49" s="1" t="s">
        <v>74</v>
      </c>
      <c r="BB49" s="1" t="s">
        <v>74</v>
      </c>
      <c r="BC49" s="1" t="s">
        <v>74</v>
      </c>
      <c r="BD49" s="1" t="s">
        <v>635</v>
      </c>
      <c r="BE49" s="1" t="s">
        <v>636</v>
      </c>
      <c r="BF49" s="2" t="str">
        <f>HYPERLINK("http://dx.doi.org/10.1590/S1517-707620210001.1240","http://dx.doi.org/10.1590/S1517-707620210001.1240")</f>
        <v>http://dx.doi.org/10.1590/S1517-707620210001.1240</v>
      </c>
      <c r="BG49" s="1" t="s">
        <v>74</v>
      </c>
      <c r="BH49" s="1" t="s">
        <v>74</v>
      </c>
      <c r="BI49" s="1" t="s">
        <v>74</v>
      </c>
      <c r="BJ49" s="1" t="s">
        <v>74</v>
      </c>
      <c r="BK49" s="1" t="s">
        <v>74</v>
      </c>
      <c r="BL49" s="1" t="s">
        <v>74</v>
      </c>
      <c r="BM49" s="1" t="s">
        <v>74</v>
      </c>
      <c r="BN49" s="1" t="s">
        <v>74</v>
      </c>
      <c r="BO49" s="1" t="s">
        <v>74</v>
      </c>
      <c r="BP49" s="1" t="s">
        <v>74</v>
      </c>
      <c r="BQ49" s="1" t="s">
        <v>74</v>
      </c>
      <c r="BR49" s="1" t="s">
        <v>74</v>
      </c>
      <c r="BS49" s="1" t="s">
        <v>637</v>
      </c>
      <c r="BT49" s="1" t="str">
        <f>HYPERLINK("https%3A%2F%2Fwww.webofscience.com%2Fwos%2Fwoscc%2Ffull-record%2FWOS:000630285200028","View Full Record in Web of Science")</f>
        <v>View Full Record in Web of Science</v>
      </c>
    </row>
    <row r="50" ht="12.75" customHeight="1">
      <c r="A50" s="1" t="s">
        <v>86</v>
      </c>
      <c r="B50" s="1" t="s">
        <v>638</v>
      </c>
      <c r="C50" s="1" t="s">
        <v>74</v>
      </c>
      <c r="D50" s="1" t="s">
        <v>74</v>
      </c>
      <c r="E50" s="1" t="s">
        <v>248</v>
      </c>
      <c r="F50" s="1" t="s">
        <v>639</v>
      </c>
      <c r="G50" s="1" t="s">
        <v>74</v>
      </c>
      <c r="H50" s="1" t="s">
        <v>74</v>
      </c>
      <c r="I50" s="1" t="s">
        <v>640</v>
      </c>
      <c r="J50" s="1" t="s">
        <v>641</v>
      </c>
      <c r="K50" s="1" t="s">
        <v>642</v>
      </c>
      <c r="L50" s="1" t="s">
        <v>74</v>
      </c>
      <c r="M50" s="1" t="s">
        <v>74</v>
      </c>
      <c r="N50" s="1" t="s">
        <v>74</v>
      </c>
      <c r="O50" s="1" t="s">
        <v>643</v>
      </c>
      <c r="P50" s="1" t="s">
        <v>644</v>
      </c>
      <c r="Q50" s="1" t="s">
        <v>645</v>
      </c>
      <c r="R50" s="1" t="s">
        <v>646</v>
      </c>
      <c r="S50" s="1" t="s">
        <v>647</v>
      </c>
      <c r="T50" s="1" t="s">
        <v>74</v>
      </c>
      <c r="U50" s="1" t="s">
        <v>74</v>
      </c>
      <c r="V50" s="1" t="s">
        <v>648</v>
      </c>
      <c r="W50" s="1" t="s">
        <v>74</v>
      </c>
      <c r="X50" s="1" t="s">
        <v>74</v>
      </c>
      <c r="Y50" s="1" t="s">
        <v>74</v>
      </c>
      <c r="Z50" s="1" t="s">
        <v>74</v>
      </c>
      <c r="AA50" s="1" t="s">
        <v>649</v>
      </c>
      <c r="AB50" s="1" t="s">
        <v>650</v>
      </c>
      <c r="AC50" s="1" t="s">
        <v>74</v>
      </c>
      <c r="AD50" s="1" t="s">
        <v>74</v>
      </c>
      <c r="AE50" s="1" t="s">
        <v>74</v>
      </c>
      <c r="AF50" s="1" t="s">
        <v>74</v>
      </c>
      <c r="AG50" s="1" t="s">
        <v>74</v>
      </c>
      <c r="AH50" s="1" t="s">
        <v>74</v>
      </c>
      <c r="AI50" s="1" t="s">
        <v>74</v>
      </c>
      <c r="AJ50" s="1" t="s">
        <v>74</v>
      </c>
      <c r="AK50" s="1" t="s">
        <v>74</v>
      </c>
      <c r="AL50" s="1" t="s">
        <v>74</v>
      </c>
      <c r="AM50" s="1" t="s">
        <v>74</v>
      </c>
      <c r="AN50" s="1" t="s">
        <v>74</v>
      </c>
      <c r="AO50" s="1" t="s">
        <v>651</v>
      </c>
      <c r="AP50" s="1" t="s">
        <v>74</v>
      </c>
      <c r="AQ50" s="1" t="s">
        <v>652</v>
      </c>
      <c r="AR50" s="1" t="s">
        <v>74</v>
      </c>
      <c r="AS50" s="1" t="s">
        <v>74</v>
      </c>
      <c r="AT50" s="1" t="s">
        <v>74</v>
      </c>
      <c r="AU50" s="1">
        <v>2021.0</v>
      </c>
      <c r="AV50" s="1" t="s">
        <v>74</v>
      </c>
      <c r="AW50" s="1" t="s">
        <v>74</v>
      </c>
      <c r="AX50" s="1" t="s">
        <v>74</v>
      </c>
      <c r="AY50" s="1" t="s">
        <v>74</v>
      </c>
      <c r="AZ50" s="1" t="s">
        <v>74</v>
      </c>
      <c r="BA50" s="1" t="s">
        <v>74</v>
      </c>
      <c r="BB50" s="1">
        <v>13.0</v>
      </c>
      <c r="BC50" s="1">
        <v>18.0</v>
      </c>
      <c r="BD50" s="1" t="s">
        <v>74</v>
      </c>
      <c r="BE50" s="1" t="s">
        <v>653</v>
      </c>
      <c r="BF50" s="2" t="str">
        <f>HYPERLINK("http://dx.doi.org/10.1109/ICSC50472.2021.9666737","http://dx.doi.org/10.1109/ICSC50472.2021.9666737")</f>
        <v>http://dx.doi.org/10.1109/ICSC50472.2021.9666737</v>
      </c>
      <c r="BG50" s="1" t="s">
        <v>74</v>
      </c>
      <c r="BH50" s="1" t="s">
        <v>74</v>
      </c>
      <c r="BI50" s="1" t="s">
        <v>74</v>
      </c>
      <c r="BJ50" s="1" t="s">
        <v>74</v>
      </c>
      <c r="BK50" s="1" t="s">
        <v>74</v>
      </c>
      <c r="BL50" s="1" t="s">
        <v>74</v>
      </c>
      <c r="BM50" s="1" t="s">
        <v>74</v>
      </c>
      <c r="BN50" s="1" t="s">
        <v>74</v>
      </c>
      <c r="BO50" s="1" t="s">
        <v>74</v>
      </c>
      <c r="BP50" s="1" t="s">
        <v>74</v>
      </c>
      <c r="BQ50" s="1" t="s">
        <v>74</v>
      </c>
      <c r="BR50" s="1" t="s">
        <v>74</v>
      </c>
      <c r="BS50" s="1" t="s">
        <v>654</v>
      </c>
      <c r="BT50" s="1" t="str">
        <f>HYPERLINK("https%3A%2F%2Fwww.webofscience.com%2Fwos%2Fwoscc%2Ffull-record%2FWOS:000850151300003","View Full Record in Web of Science")</f>
        <v>View Full Record in Web of Science</v>
      </c>
    </row>
    <row r="51" ht="12.75" customHeight="1">
      <c r="A51" s="1" t="s">
        <v>72</v>
      </c>
      <c r="B51" s="1" t="s">
        <v>655</v>
      </c>
      <c r="C51" s="1" t="s">
        <v>74</v>
      </c>
      <c r="D51" s="1" t="s">
        <v>74</v>
      </c>
      <c r="E51" s="1" t="s">
        <v>74</v>
      </c>
      <c r="F51" s="1" t="s">
        <v>656</v>
      </c>
      <c r="G51" s="1" t="s">
        <v>74</v>
      </c>
      <c r="H51" s="1" t="s">
        <v>74</v>
      </c>
      <c r="I51" s="1" t="s">
        <v>657</v>
      </c>
      <c r="J51" s="1" t="s">
        <v>658</v>
      </c>
      <c r="K51" s="1" t="s">
        <v>74</v>
      </c>
      <c r="L51" s="1" t="s">
        <v>74</v>
      </c>
      <c r="M51" s="1" t="s">
        <v>74</v>
      </c>
      <c r="N51" s="1" t="s">
        <v>74</v>
      </c>
      <c r="O51" s="1" t="s">
        <v>74</v>
      </c>
      <c r="P51" s="1" t="s">
        <v>74</v>
      </c>
      <c r="Q51" s="1" t="s">
        <v>74</v>
      </c>
      <c r="R51" s="1" t="s">
        <v>74</v>
      </c>
      <c r="S51" s="1" t="s">
        <v>74</v>
      </c>
      <c r="T51" s="1" t="s">
        <v>74</v>
      </c>
      <c r="U51" s="1" t="s">
        <v>74</v>
      </c>
      <c r="V51" s="1" t="s">
        <v>659</v>
      </c>
      <c r="W51" s="1" t="s">
        <v>74</v>
      </c>
      <c r="X51" s="1" t="s">
        <v>74</v>
      </c>
      <c r="Y51" s="1" t="s">
        <v>74</v>
      </c>
      <c r="Z51" s="1" t="s">
        <v>74</v>
      </c>
      <c r="AA51" s="1" t="s">
        <v>74</v>
      </c>
      <c r="AB51" s="1" t="s">
        <v>74</v>
      </c>
      <c r="AC51" s="1" t="s">
        <v>74</v>
      </c>
      <c r="AD51" s="1" t="s">
        <v>74</v>
      </c>
      <c r="AE51" s="1" t="s">
        <v>74</v>
      </c>
      <c r="AF51" s="1" t="s">
        <v>74</v>
      </c>
      <c r="AG51" s="1" t="s">
        <v>74</v>
      </c>
      <c r="AH51" s="1" t="s">
        <v>74</v>
      </c>
      <c r="AI51" s="1" t="s">
        <v>74</v>
      </c>
      <c r="AJ51" s="1" t="s">
        <v>74</v>
      </c>
      <c r="AK51" s="1" t="s">
        <v>74</v>
      </c>
      <c r="AL51" s="1" t="s">
        <v>74</v>
      </c>
      <c r="AM51" s="1" t="s">
        <v>74</v>
      </c>
      <c r="AN51" s="1" t="s">
        <v>74</v>
      </c>
      <c r="AO51" s="1" t="s">
        <v>660</v>
      </c>
      <c r="AP51" s="1" t="s">
        <v>661</v>
      </c>
      <c r="AQ51" s="1" t="s">
        <v>74</v>
      </c>
      <c r="AR51" s="1" t="s">
        <v>74</v>
      </c>
      <c r="AS51" s="1" t="s">
        <v>74</v>
      </c>
      <c r="AT51" s="1" t="s">
        <v>74</v>
      </c>
      <c r="AU51" s="1">
        <v>2021.0</v>
      </c>
      <c r="AV51" s="1">
        <v>28.0</v>
      </c>
      <c r="AW51" s="1">
        <v>6.0</v>
      </c>
      <c r="AX51" s="1" t="s">
        <v>74</v>
      </c>
      <c r="AY51" s="1" t="s">
        <v>74</v>
      </c>
      <c r="AZ51" s="1" t="s">
        <v>74</v>
      </c>
      <c r="BA51" s="1" t="s">
        <v>74</v>
      </c>
      <c r="BB51" s="1">
        <v>1633.0</v>
      </c>
      <c r="BC51" s="1">
        <v>1659.0</v>
      </c>
      <c r="BD51" s="1" t="s">
        <v>74</v>
      </c>
      <c r="BE51" s="1" t="s">
        <v>74</v>
      </c>
      <c r="BF51" s="1" t="s">
        <v>74</v>
      </c>
      <c r="BG51" s="1" t="s">
        <v>74</v>
      </c>
      <c r="BH51" s="1" t="s">
        <v>74</v>
      </c>
      <c r="BI51" s="1" t="s">
        <v>74</v>
      </c>
      <c r="BJ51" s="1" t="s">
        <v>74</v>
      </c>
      <c r="BK51" s="1" t="s">
        <v>74</v>
      </c>
      <c r="BL51" s="1" t="s">
        <v>74</v>
      </c>
      <c r="BM51" s="1" t="s">
        <v>74</v>
      </c>
      <c r="BN51" s="1" t="s">
        <v>74</v>
      </c>
      <c r="BO51" s="1" t="s">
        <v>74</v>
      </c>
      <c r="BP51" s="1" t="s">
        <v>74</v>
      </c>
      <c r="BQ51" s="1" t="s">
        <v>74</v>
      </c>
      <c r="BR51" s="1" t="s">
        <v>74</v>
      </c>
      <c r="BS51" s="1" t="s">
        <v>662</v>
      </c>
      <c r="BT51" s="1" t="str">
        <f>HYPERLINK("https%3A%2F%2Fwww.webofscience.com%2Fwos%2Fwoscc%2Ffull-record%2FWOS:000861317300002","View Full Record in Web of Science")</f>
        <v>View Full Record in Web of Science</v>
      </c>
    </row>
    <row r="52" ht="12.75" customHeight="1">
      <c r="A52" s="1" t="s">
        <v>72</v>
      </c>
      <c r="B52" s="1" t="s">
        <v>663</v>
      </c>
      <c r="C52" s="1" t="s">
        <v>74</v>
      </c>
      <c r="D52" s="1" t="s">
        <v>74</v>
      </c>
      <c r="E52" s="1" t="s">
        <v>74</v>
      </c>
      <c r="F52" s="1" t="s">
        <v>664</v>
      </c>
      <c r="G52" s="1" t="s">
        <v>74</v>
      </c>
      <c r="H52" s="1" t="s">
        <v>74</v>
      </c>
      <c r="I52" s="1" t="s">
        <v>665</v>
      </c>
      <c r="J52" s="1" t="s">
        <v>666</v>
      </c>
      <c r="K52" s="1" t="s">
        <v>74</v>
      </c>
      <c r="L52" s="1" t="s">
        <v>74</v>
      </c>
      <c r="M52" s="1" t="s">
        <v>74</v>
      </c>
      <c r="N52" s="1" t="s">
        <v>74</v>
      </c>
      <c r="O52" s="1" t="s">
        <v>74</v>
      </c>
      <c r="P52" s="1" t="s">
        <v>74</v>
      </c>
      <c r="Q52" s="1" t="s">
        <v>74</v>
      </c>
      <c r="R52" s="1" t="s">
        <v>74</v>
      </c>
      <c r="S52" s="1" t="s">
        <v>74</v>
      </c>
      <c r="T52" s="1" t="s">
        <v>74</v>
      </c>
      <c r="U52" s="1" t="s">
        <v>74</v>
      </c>
      <c r="V52" s="1" t="s">
        <v>667</v>
      </c>
      <c r="W52" s="1" t="s">
        <v>74</v>
      </c>
      <c r="X52" s="1" t="s">
        <v>74</v>
      </c>
      <c r="Y52" s="1" t="s">
        <v>74</v>
      </c>
      <c r="Z52" s="1" t="s">
        <v>74</v>
      </c>
      <c r="AA52" s="1" t="s">
        <v>668</v>
      </c>
      <c r="AB52" s="1" t="s">
        <v>669</v>
      </c>
      <c r="AC52" s="1" t="s">
        <v>74</v>
      </c>
      <c r="AD52" s="1" t="s">
        <v>74</v>
      </c>
      <c r="AE52" s="1" t="s">
        <v>74</v>
      </c>
      <c r="AF52" s="1" t="s">
        <v>74</v>
      </c>
      <c r="AG52" s="1" t="s">
        <v>74</v>
      </c>
      <c r="AH52" s="1" t="s">
        <v>74</v>
      </c>
      <c r="AI52" s="1" t="s">
        <v>74</v>
      </c>
      <c r="AJ52" s="1" t="s">
        <v>74</v>
      </c>
      <c r="AK52" s="1" t="s">
        <v>74</v>
      </c>
      <c r="AL52" s="1" t="s">
        <v>74</v>
      </c>
      <c r="AM52" s="1" t="s">
        <v>74</v>
      </c>
      <c r="AN52" s="1" t="s">
        <v>74</v>
      </c>
      <c r="AO52" s="1" t="s">
        <v>670</v>
      </c>
      <c r="AP52" s="1" t="s">
        <v>671</v>
      </c>
      <c r="AQ52" s="1" t="s">
        <v>74</v>
      </c>
      <c r="AR52" s="1" t="s">
        <v>74</v>
      </c>
      <c r="AS52" s="1" t="s">
        <v>74</v>
      </c>
      <c r="AT52" s="1" t="s">
        <v>672</v>
      </c>
      <c r="AU52" s="1">
        <v>2020.0</v>
      </c>
      <c r="AV52" s="1">
        <v>593.0</v>
      </c>
      <c r="AW52" s="1" t="s">
        <v>74</v>
      </c>
      <c r="AX52" s="1" t="s">
        <v>74</v>
      </c>
      <c r="AY52" s="1" t="s">
        <v>74</v>
      </c>
      <c r="AZ52" s="1" t="s">
        <v>74</v>
      </c>
      <c r="BA52" s="1" t="s">
        <v>74</v>
      </c>
      <c r="BB52" s="1" t="s">
        <v>74</v>
      </c>
      <c r="BC52" s="1" t="s">
        <v>74</v>
      </c>
      <c r="BD52" s="1">
        <v>412283.0</v>
      </c>
      <c r="BE52" s="1" t="s">
        <v>673</v>
      </c>
      <c r="BF52" s="2" t="str">
        <f>HYPERLINK("http://dx.doi.org/10.1016/j.physb.2020.412283","http://dx.doi.org/10.1016/j.physb.2020.412283")</f>
        <v>http://dx.doi.org/10.1016/j.physb.2020.412283</v>
      </c>
      <c r="BG52" s="1" t="s">
        <v>74</v>
      </c>
      <c r="BH52" s="1" t="s">
        <v>74</v>
      </c>
      <c r="BI52" s="1" t="s">
        <v>74</v>
      </c>
      <c r="BJ52" s="1" t="s">
        <v>74</v>
      </c>
      <c r="BK52" s="1" t="s">
        <v>74</v>
      </c>
      <c r="BL52" s="1" t="s">
        <v>74</v>
      </c>
      <c r="BM52" s="1" t="s">
        <v>74</v>
      </c>
      <c r="BN52" s="1" t="s">
        <v>74</v>
      </c>
      <c r="BO52" s="1" t="s">
        <v>74</v>
      </c>
      <c r="BP52" s="1" t="s">
        <v>74</v>
      </c>
      <c r="BQ52" s="1" t="s">
        <v>74</v>
      </c>
      <c r="BR52" s="1" t="s">
        <v>74</v>
      </c>
      <c r="BS52" s="1" t="s">
        <v>674</v>
      </c>
      <c r="BT52" s="1" t="str">
        <f>HYPERLINK("https%3A%2F%2Fwww.webofscience.com%2Fwos%2Fwoscc%2Ffull-record%2FWOS:000564645300010","View Full Record in Web of Science")</f>
        <v>View Full Record in Web of Science</v>
      </c>
    </row>
    <row r="53" ht="12.75" customHeight="1">
      <c r="A53" s="1" t="s">
        <v>72</v>
      </c>
      <c r="B53" s="1" t="s">
        <v>675</v>
      </c>
      <c r="C53" s="1" t="s">
        <v>74</v>
      </c>
      <c r="D53" s="1" t="s">
        <v>74</v>
      </c>
      <c r="E53" s="1" t="s">
        <v>74</v>
      </c>
      <c r="F53" s="1" t="s">
        <v>676</v>
      </c>
      <c r="G53" s="1" t="s">
        <v>74</v>
      </c>
      <c r="H53" s="1" t="s">
        <v>74</v>
      </c>
      <c r="I53" s="1" t="s">
        <v>677</v>
      </c>
      <c r="J53" s="1" t="s">
        <v>678</v>
      </c>
      <c r="K53" s="1" t="s">
        <v>74</v>
      </c>
      <c r="L53" s="1" t="s">
        <v>74</v>
      </c>
      <c r="M53" s="1" t="s">
        <v>74</v>
      </c>
      <c r="N53" s="1" t="s">
        <v>74</v>
      </c>
      <c r="O53" s="1" t="s">
        <v>74</v>
      </c>
      <c r="P53" s="1" t="s">
        <v>74</v>
      </c>
      <c r="Q53" s="1" t="s">
        <v>74</v>
      </c>
      <c r="R53" s="1" t="s">
        <v>74</v>
      </c>
      <c r="S53" s="1" t="s">
        <v>74</v>
      </c>
      <c r="T53" s="1" t="s">
        <v>74</v>
      </c>
      <c r="U53" s="1" t="s">
        <v>74</v>
      </c>
      <c r="V53" s="1" t="s">
        <v>679</v>
      </c>
      <c r="W53" s="1" t="s">
        <v>74</v>
      </c>
      <c r="X53" s="1" t="s">
        <v>74</v>
      </c>
      <c r="Y53" s="1" t="s">
        <v>74</v>
      </c>
      <c r="Z53" s="1" t="s">
        <v>74</v>
      </c>
      <c r="AA53" s="1" t="s">
        <v>680</v>
      </c>
      <c r="AB53" s="1" t="s">
        <v>681</v>
      </c>
      <c r="AC53" s="1" t="s">
        <v>74</v>
      </c>
      <c r="AD53" s="1" t="s">
        <v>74</v>
      </c>
      <c r="AE53" s="1" t="s">
        <v>74</v>
      </c>
      <c r="AF53" s="1" t="s">
        <v>74</v>
      </c>
      <c r="AG53" s="1" t="s">
        <v>74</v>
      </c>
      <c r="AH53" s="1" t="s">
        <v>74</v>
      </c>
      <c r="AI53" s="1" t="s">
        <v>74</v>
      </c>
      <c r="AJ53" s="1" t="s">
        <v>74</v>
      </c>
      <c r="AK53" s="1" t="s">
        <v>74</v>
      </c>
      <c r="AL53" s="1" t="s">
        <v>74</v>
      </c>
      <c r="AM53" s="1" t="s">
        <v>74</v>
      </c>
      <c r="AN53" s="1" t="s">
        <v>74</v>
      </c>
      <c r="AO53" s="1" t="s">
        <v>682</v>
      </c>
      <c r="AP53" s="1" t="s">
        <v>683</v>
      </c>
      <c r="AQ53" s="1" t="s">
        <v>74</v>
      </c>
      <c r="AR53" s="1" t="s">
        <v>74</v>
      </c>
      <c r="AS53" s="1" t="s">
        <v>74</v>
      </c>
      <c r="AT53" s="1" t="s">
        <v>684</v>
      </c>
      <c r="AU53" s="1">
        <v>2020.0</v>
      </c>
      <c r="AV53" s="1">
        <v>39.0</v>
      </c>
      <c r="AW53" s="1">
        <v>14.0</v>
      </c>
      <c r="AX53" s="1" t="s">
        <v>74</v>
      </c>
      <c r="AY53" s="1" t="s">
        <v>74</v>
      </c>
      <c r="AZ53" s="1" t="s">
        <v>74</v>
      </c>
      <c r="BA53" s="1" t="s">
        <v>74</v>
      </c>
      <c r="BB53" s="1">
        <v>2672.0</v>
      </c>
      <c r="BC53" s="1">
        <v>2681.0</v>
      </c>
      <c r="BD53" s="1" t="s">
        <v>74</v>
      </c>
      <c r="BE53" s="1" t="s">
        <v>685</v>
      </c>
      <c r="BF53" s="2" t="str">
        <f>HYPERLINK("http://dx.doi.org/10.1021/acs.organomet.0c00284","http://dx.doi.org/10.1021/acs.organomet.0c00284")</f>
        <v>http://dx.doi.org/10.1021/acs.organomet.0c00284</v>
      </c>
      <c r="BG53" s="1" t="s">
        <v>74</v>
      </c>
      <c r="BH53" s="1" t="s">
        <v>74</v>
      </c>
      <c r="BI53" s="1" t="s">
        <v>74</v>
      </c>
      <c r="BJ53" s="1" t="s">
        <v>74</v>
      </c>
      <c r="BK53" s="1" t="s">
        <v>74</v>
      </c>
      <c r="BL53" s="1" t="s">
        <v>74</v>
      </c>
      <c r="BM53" s="1" t="s">
        <v>74</v>
      </c>
      <c r="BN53" s="1" t="s">
        <v>74</v>
      </c>
      <c r="BO53" s="1" t="s">
        <v>74</v>
      </c>
      <c r="BP53" s="1" t="s">
        <v>74</v>
      </c>
      <c r="BQ53" s="1" t="s">
        <v>74</v>
      </c>
      <c r="BR53" s="1" t="s">
        <v>74</v>
      </c>
      <c r="BS53" s="1" t="s">
        <v>686</v>
      </c>
      <c r="BT53" s="1" t="str">
        <f>HYPERLINK("https%3A%2F%2Fwww.webofscience.com%2Fwos%2Fwoscc%2Ffull-record%2FWOS:000557381700014","View Full Record in Web of Science")</f>
        <v>View Full Record in Web of Science</v>
      </c>
    </row>
    <row r="54" ht="12.75" customHeight="1">
      <c r="A54" s="1" t="s">
        <v>72</v>
      </c>
      <c r="B54" s="1" t="s">
        <v>687</v>
      </c>
      <c r="C54" s="1" t="s">
        <v>74</v>
      </c>
      <c r="D54" s="1" t="s">
        <v>74</v>
      </c>
      <c r="E54" s="1" t="s">
        <v>74</v>
      </c>
      <c r="F54" s="1" t="s">
        <v>688</v>
      </c>
      <c r="G54" s="1" t="s">
        <v>74</v>
      </c>
      <c r="H54" s="1" t="s">
        <v>74</v>
      </c>
      <c r="I54" s="1" t="s">
        <v>689</v>
      </c>
      <c r="J54" s="1" t="s">
        <v>690</v>
      </c>
      <c r="K54" s="1" t="s">
        <v>74</v>
      </c>
      <c r="L54" s="1" t="s">
        <v>74</v>
      </c>
      <c r="M54" s="1" t="s">
        <v>74</v>
      </c>
      <c r="N54" s="1" t="s">
        <v>74</v>
      </c>
      <c r="O54" s="1" t="s">
        <v>74</v>
      </c>
      <c r="P54" s="1" t="s">
        <v>74</v>
      </c>
      <c r="Q54" s="1" t="s">
        <v>74</v>
      </c>
      <c r="R54" s="1" t="s">
        <v>74</v>
      </c>
      <c r="S54" s="1" t="s">
        <v>74</v>
      </c>
      <c r="T54" s="1" t="s">
        <v>74</v>
      </c>
      <c r="U54" s="1" t="s">
        <v>74</v>
      </c>
      <c r="V54" s="1" t="s">
        <v>691</v>
      </c>
      <c r="W54" s="1" t="s">
        <v>74</v>
      </c>
      <c r="X54" s="1" t="s">
        <v>74</v>
      </c>
      <c r="Y54" s="1" t="s">
        <v>74</v>
      </c>
      <c r="Z54" s="1" t="s">
        <v>74</v>
      </c>
      <c r="AA54" s="1" t="s">
        <v>692</v>
      </c>
      <c r="AB54" s="1" t="s">
        <v>693</v>
      </c>
      <c r="AC54" s="1" t="s">
        <v>74</v>
      </c>
      <c r="AD54" s="1" t="s">
        <v>74</v>
      </c>
      <c r="AE54" s="1" t="s">
        <v>74</v>
      </c>
      <c r="AF54" s="1" t="s">
        <v>74</v>
      </c>
      <c r="AG54" s="1" t="s">
        <v>74</v>
      </c>
      <c r="AH54" s="1" t="s">
        <v>74</v>
      </c>
      <c r="AI54" s="1" t="s">
        <v>74</v>
      </c>
      <c r="AJ54" s="1" t="s">
        <v>74</v>
      </c>
      <c r="AK54" s="1" t="s">
        <v>74</v>
      </c>
      <c r="AL54" s="1" t="s">
        <v>74</v>
      </c>
      <c r="AM54" s="1" t="s">
        <v>74</v>
      </c>
      <c r="AN54" s="1" t="s">
        <v>74</v>
      </c>
      <c r="AO54" s="1" t="s">
        <v>694</v>
      </c>
      <c r="AP54" s="1" t="s">
        <v>74</v>
      </c>
      <c r="AQ54" s="1" t="s">
        <v>74</v>
      </c>
      <c r="AR54" s="1" t="s">
        <v>74</v>
      </c>
      <c r="AS54" s="1" t="s">
        <v>74</v>
      </c>
      <c r="AT54" s="1" t="s">
        <v>74</v>
      </c>
      <c r="AU54" s="1">
        <v>2020.0</v>
      </c>
      <c r="AV54" s="1">
        <v>29.0</v>
      </c>
      <c r="AW54" s="1">
        <v>1.0</v>
      </c>
      <c r="AX54" s="1" t="s">
        <v>74</v>
      </c>
      <c r="AY54" s="1" t="s">
        <v>74</v>
      </c>
      <c r="AZ54" s="1" t="s">
        <v>74</v>
      </c>
      <c r="BA54" s="1" t="s">
        <v>74</v>
      </c>
      <c r="BB54" s="1">
        <v>97.0</v>
      </c>
      <c r="BC54" s="1">
        <v>129.0</v>
      </c>
      <c r="BD54" s="1" t="s">
        <v>74</v>
      </c>
      <c r="BE54" s="1" t="s">
        <v>695</v>
      </c>
      <c r="BF54" s="2" t="str">
        <f>HYPERLINK("http://dx.doi.org/10.29265/gypp.v29i1.658","http://dx.doi.org/10.29265/gypp.v29i1.658")</f>
        <v>http://dx.doi.org/10.29265/gypp.v29i1.658</v>
      </c>
      <c r="BG54" s="1" t="s">
        <v>74</v>
      </c>
      <c r="BH54" s="1" t="s">
        <v>74</v>
      </c>
      <c r="BI54" s="1" t="s">
        <v>74</v>
      </c>
      <c r="BJ54" s="1" t="s">
        <v>74</v>
      </c>
      <c r="BK54" s="1" t="s">
        <v>74</v>
      </c>
      <c r="BL54" s="1" t="s">
        <v>74</v>
      </c>
      <c r="BM54" s="1" t="s">
        <v>74</v>
      </c>
      <c r="BN54" s="1" t="s">
        <v>74</v>
      </c>
      <c r="BO54" s="1" t="s">
        <v>74</v>
      </c>
      <c r="BP54" s="1" t="s">
        <v>74</v>
      </c>
      <c r="BQ54" s="1" t="s">
        <v>74</v>
      </c>
      <c r="BR54" s="1" t="s">
        <v>74</v>
      </c>
      <c r="BS54" s="1" t="s">
        <v>696</v>
      </c>
      <c r="BT54" s="1" t="str">
        <f>HYPERLINK("https%3A%2F%2Fwww.webofscience.com%2Fwos%2Fwoscc%2Ffull-record%2FWOS:000512890100004","View Full Record in Web of Science")</f>
        <v>View Full Record in Web of Science</v>
      </c>
    </row>
    <row r="55" ht="12.75" customHeight="1">
      <c r="A55" s="1" t="s">
        <v>72</v>
      </c>
      <c r="B55" s="1" t="s">
        <v>697</v>
      </c>
      <c r="C55" s="1" t="s">
        <v>74</v>
      </c>
      <c r="D55" s="1" t="s">
        <v>74</v>
      </c>
      <c r="E55" s="1" t="s">
        <v>74</v>
      </c>
      <c r="F55" s="1" t="s">
        <v>698</v>
      </c>
      <c r="G55" s="1" t="s">
        <v>74</v>
      </c>
      <c r="H55" s="1" t="s">
        <v>74</v>
      </c>
      <c r="I55" s="1" t="s">
        <v>699</v>
      </c>
      <c r="J55" s="1" t="s">
        <v>700</v>
      </c>
      <c r="K55" s="1" t="s">
        <v>74</v>
      </c>
      <c r="L55" s="1" t="s">
        <v>74</v>
      </c>
      <c r="M55" s="1" t="s">
        <v>74</v>
      </c>
      <c r="N55" s="1" t="s">
        <v>74</v>
      </c>
      <c r="O55" s="1" t="s">
        <v>74</v>
      </c>
      <c r="P55" s="1" t="s">
        <v>74</v>
      </c>
      <c r="Q55" s="1" t="s">
        <v>74</v>
      </c>
      <c r="R55" s="1" t="s">
        <v>74</v>
      </c>
      <c r="S55" s="1" t="s">
        <v>74</v>
      </c>
      <c r="T55" s="1" t="s">
        <v>74</v>
      </c>
      <c r="U55" s="1" t="s">
        <v>74</v>
      </c>
      <c r="V55" s="1" t="s">
        <v>701</v>
      </c>
      <c r="W55" s="1" t="s">
        <v>74</v>
      </c>
      <c r="X55" s="1" t="s">
        <v>74</v>
      </c>
      <c r="Y55" s="1" t="s">
        <v>74</v>
      </c>
      <c r="Z55" s="1" t="s">
        <v>74</v>
      </c>
      <c r="AA55" s="1" t="s">
        <v>702</v>
      </c>
      <c r="AB55" s="1" t="s">
        <v>703</v>
      </c>
      <c r="AC55" s="1" t="s">
        <v>74</v>
      </c>
      <c r="AD55" s="1" t="s">
        <v>74</v>
      </c>
      <c r="AE55" s="1" t="s">
        <v>74</v>
      </c>
      <c r="AF55" s="1" t="s">
        <v>74</v>
      </c>
      <c r="AG55" s="1" t="s">
        <v>74</v>
      </c>
      <c r="AH55" s="1" t="s">
        <v>74</v>
      </c>
      <c r="AI55" s="1" t="s">
        <v>74</v>
      </c>
      <c r="AJ55" s="1" t="s">
        <v>74</v>
      </c>
      <c r="AK55" s="1" t="s">
        <v>74</v>
      </c>
      <c r="AL55" s="1" t="s">
        <v>74</v>
      </c>
      <c r="AM55" s="1" t="s">
        <v>74</v>
      </c>
      <c r="AN55" s="1" t="s">
        <v>74</v>
      </c>
      <c r="AO55" s="1" t="s">
        <v>704</v>
      </c>
      <c r="AP55" s="1" t="s">
        <v>705</v>
      </c>
      <c r="AQ55" s="1" t="s">
        <v>74</v>
      </c>
      <c r="AR55" s="1" t="s">
        <v>74</v>
      </c>
      <c r="AS55" s="1" t="s">
        <v>74</v>
      </c>
      <c r="AT55" s="1" t="s">
        <v>422</v>
      </c>
      <c r="AU55" s="1">
        <v>2020.0</v>
      </c>
      <c r="AV55" s="1">
        <v>115.0</v>
      </c>
      <c r="AW55" s="1" t="s">
        <v>74</v>
      </c>
      <c r="AX55" s="1" t="s">
        <v>74</v>
      </c>
      <c r="AY55" s="1" t="s">
        <v>74</v>
      </c>
      <c r="AZ55" s="1" t="s">
        <v>74</v>
      </c>
      <c r="BA55" s="1" t="s">
        <v>74</v>
      </c>
      <c r="BB55" s="1" t="s">
        <v>74</v>
      </c>
      <c r="BC55" s="1" t="s">
        <v>74</v>
      </c>
      <c r="BD55" s="1">
        <v>113697.0</v>
      </c>
      <c r="BE55" s="1" t="s">
        <v>706</v>
      </c>
      <c r="BF55" s="2" t="str">
        <f>HYPERLINK("http://dx.doi.org/10.1016/j.physe.2019.113697","http://dx.doi.org/10.1016/j.physe.2019.113697")</f>
        <v>http://dx.doi.org/10.1016/j.physe.2019.113697</v>
      </c>
      <c r="BG55" s="1" t="s">
        <v>74</v>
      </c>
      <c r="BH55" s="1" t="s">
        <v>74</v>
      </c>
      <c r="BI55" s="1" t="s">
        <v>74</v>
      </c>
      <c r="BJ55" s="1" t="s">
        <v>74</v>
      </c>
      <c r="BK55" s="1" t="s">
        <v>74</v>
      </c>
      <c r="BL55" s="1" t="s">
        <v>74</v>
      </c>
      <c r="BM55" s="1" t="s">
        <v>74</v>
      </c>
      <c r="BN55" s="1" t="s">
        <v>74</v>
      </c>
      <c r="BO55" s="1" t="s">
        <v>74</v>
      </c>
      <c r="BP55" s="1" t="s">
        <v>74</v>
      </c>
      <c r="BQ55" s="1" t="s">
        <v>74</v>
      </c>
      <c r="BR55" s="1" t="s">
        <v>74</v>
      </c>
      <c r="BS55" s="1" t="s">
        <v>707</v>
      </c>
      <c r="BT55" s="1" t="str">
        <f>HYPERLINK("https%3A%2F%2Fwww.webofscience.com%2Fwos%2Fwoscc%2Ffull-record%2FWOS:000521968000030","View Full Record in Web of Science")</f>
        <v>View Full Record in Web of Science</v>
      </c>
    </row>
    <row r="56" ht="12.75" customHeight="1">
      <c r="A56" s="1" t="s">
        <v>72</v>
      </c>
      <c r="B56" s="1" t="s">
        <v>708</v>
      </c>
      <c r="C56" s="1" t="s">
        <v>74</v>
      </c>
      <c r="D56" s="1" t="s">
        <v>74</v>
      </c>
      <c r="E56" s="1" t="s">
        <v>74</v>
      </c>
      <c r="F56" s="1" t="s">
        <v>709</v>
      </c>
      <c r="G56" s="1" t="s">
        <v>74</v>
      </c>
      <c r="H56" s="1" t="s">
        <v>74</v>
      </c>
      <c r="I56" s="1" t="s">
        <v>710</v>
      </c>
      <c r="J56" s="1" t="s">
        <v>711</v>
      </c>
      <c r="K56" s="1" t="s">
        <v>74</v>
      </c>
      <c r="L56" s="1" t="s">
        <v>74</v>
      </c>
      <c r="M56" s="1" t="s">
        <v>74</v>
      </c>
      <c r="N56" s="1" t="s">
        <v>74</v>
      </c>
      <c r="O56" s="1" t="s">
        <v>74</v>
      </c>
      <c r="P56" s="1" t="s">
        <v>74</v>
      </c>
      <c r="Q56" s="1" t="s">
        <v>74</v>
      </c>
      <c r="R56" s="1" t="s">
        <v>74</v>
      </c>
      <c r="S56" s="1" t="s">
        <v>74</v>
      </c>
      <c r="T56" s="1" t="s">
        <v>74</v>
      </c>
      <c r="U56" s="1" t="s">
        <v>74</v>
      </c>
      <c r="V56" s="1" t="s">
        <v>712</v>
      </c>
      <c r="W56" s="1" t="s">
        <v>74</v>
      </c>
      <c r="X56" s="1" t="s">
        <v>74</v>
      </c>
      <c r="Y56" s="1" t="s">
        <v>74</v>
      </c>
      <c r="Z56" s="1" t="s">
        <v>74</v>
      </c>
      <c r="AA56" s="1" t="s">
        <v>713</v>
      </c>
      <c r="AB56" s="1" t="s">
        <v>714</v>
      </c>
      <c r="AC56" s="1" t="s">
        <v>74</v>
      </c>
      <c r="AD56" s="1" t="s">
        <v>74</v>
      </c>
      <c r="AE56" s="1" t="s">
        <v>74</v>
      </c>
      <c r="AF56" s="1" t="s">
        <v>74</v>
      </c>
      <c r="AG56" s="1" t="s">
        <v>74</v>
      </c>
      <c r="AH56" s="1" t="s">
        <v>74</v>
      </c>
      <c r="AI56" s="1" t="s">
        <v>74</v>
      </c>
      <c r="AJ56" s="1" t="s">
        <v>74</v>
      </c>
      <c r="AK56" s="1" t="s">
        <v>74</v>
      </c>
      <c r="AL56" s="1" t="s">
        <v>74</v>
      </c>
      <c r="AM56" s="1" t="s">
        <v>74</v>
      </c>
      <c r="AN56" s="1" t="s">
        <v>74</v>
      </c>
      <c r="AO56" s="1" t="s">
        <v>715</v>
      </c>
      <c r="AP56" s="1" t="s">
        <v>716</v>
      </c>
      <c r="AQ56" s="1" t="s">
        <v>74</v>
      </c>
      <c r="AR56" s="1" t="s">
        <v>74</v>
      </c>
      <c r="AS56" s="1" t="s">
        <v>74</v>
      </c>
      <c r="AT56" s="1" t="s">
        <v>307</v>
      </c>
      <c r="AU56" s="1">
        <v>2019.0</v>
      </c>
      <c r="AV56" s="1">
        <v>99.0</v>
      </c>
      <c r="AW56" s="1">
        <v>3.0</v>
      </c>
      <c r="AX56" s="1" t="s">
        <v>74</v>
      </c>
      <c r="AY56" s="1" t="s">
        <v>74</v>
      </c>
      <c r="AZ56" s="1" t="s">
        <v>74</v>
      </c>
      <c r="BA56" s="1" t="s">
        <v>74</v>
      </c>
      <c r="BB56" s="1">
        <v>591.0</v>
      </c>
      <c r="BC56" s="1">
        <v>606.0</v>
      </c>
      <c r="BD56" s="1" t="s">
        <v>74</v>
      </c>
      <c r="BE56" s="1" t="s">
        <v>717</v>
      </c>
      <c r="BF56" s="2" t="str">
        <f>HYPERLINK("http://dx.doi.org/10.1007/s00233-019-10038-9","http://dx.doi.org/10.1007/s00233-019-10038-9")</f>
        <v>http://dx.doi.org/10.1007/s00233-019-10038-9</v>
      </c>
      <c r="BG56" s="1" t="s">
        <v>74</v>
      </c>
      <c r="BH56" s="1" t="s">
        <v>74</v>
      </c>
      <c r="BI56" s="1" t="s">
        <v>74</v>
      </c>
      <c r="BJ56" s="1" t="s">
        <v>74</v>
      </c>
      <c r="BK56" s="1" t="s">
        <v>74</v>
      </c>
      <c r="BL56" s="1" t="s">
        <v>74</v>
      </c>
      <c r="BM56" s="1" t="s">
        <v>74</v>
      </c>
      <c r="BN56" s="1" t="s">
        <v>74</v>
      </c>
      <c r="BO56" s="1" t="s">
        <v>74</v>
      </c>
      <c r="BP56" s="1" t="s">
        <v>74</v>
      </c>
      <c r="BQ56" s="1" t="s">
        <v>74</v>
      </c>
      <c r="BR56" s="1" t="s">
        <v>74</v>
      </c>
      <c r="BS56" s="1" t="s">
        <v>718</v>
      </c>
      <c r="BT56" s="1" t="str">
        <f>HYPERLINK("https%3A%2F%2Fwww.webofscience.com%2Fwos%2Fwoscc%2Ffull-record%2FWOS:000504107500004","View Full Record in Web of Science")</f>
        <v>View Full Record in Web of Science</v>
      </c>
    </row>
    <row r="57" ht="12.75" customHeight="1">
      <c r="A57" s="1" t="s">
        <v>72</v>
      </c>
      <c r="B57" s="1" t="s">
        <v>719</v>
      </c>
      <c r="C57" s="1" t="s">
        <v>74</v>
      </c>
      <c r="D57" s="1" t="s">
        <v>74</v>
      </c>
      <c r="E57" s="1" t="s">
        <v>74</v>
      </c>
      <c r="F57" s="1" t="s">
        <v>720</v>
      </c>
      <c r="G57" s="1" t="s">
        <v>74</v>
      </c>
      <c r="H57" s="1" t="s">
        <v>74</v>
      </c>
      <c r="I57" s="1" t="s">
        <v>721</v>
      </c>
      <c r="J57" s="1" t="s">
        <v>722</v>
      </c>
      <c r="K57" s="1" t="s">
        <v>74</v>
      </c>
      <c r="L57" s="1" t="s">
        <v>74</v>
      </c>
      <c r="M57" s="1" t="s">
        <v>74</v>
      </c>
      <c r="N57" s="1" t="s">
        <v>74</v>
      </c>
      <c r="O57" s="1" t="s">
        <v>74</v>
      </c>
      <c r="P57" s="1" t="s">
        <v>74</v>
      </c>
      <c r="Q57" s="1" t="s">
        <v>74</v>
      </c>
      <c r="R57" s="1" t="s">
        <v>74</v>
      </c>
      <c r="S57" s="1" t="s">
        <v>74</v>
      </c>
      <c r="T57" s="1" t="s">
        <v>74</v>
      </c>
      <c r="U57" s="1" t="s">
        <v>74</v>
      </c>
      <c r="V57" s="1" t="s">
        <v>723</v>
      </c>
      <c r="W57" s="1" t="s">
        <v>74</v>
      </c>
      <c r="X57" s="1" t="s">
        <v>74</v>
      </c>
      <c r="Y57" s="1" t="s">
        <v>74</v>
      </c>
      <c r="Z57" s="1" t="s">
        <v>74</v>
      </c>
      <c r="AA57" s="1" t="s">
        <v>724</v>
      </c>
      <c r="AB57" s="1" t="s">
        <v>725</v>
      </c>
      <c r="AC57" s="1" t="s">
        <v>74</v>
      </c>
      <c r="AD57" s="1" t="s">
        <v>74</v>
      </c>
      <c r="AE57" s="1" t="s">
        <v>74</v>
      </c>
      <c r="AF57" s="1" t="s">
        <v>74</v>
      </c>
      <c r="AG57" s="1" t="s">
        <v>74</v>
      </c>
      <c r="AH57" s="1" t="s">
        <v>74</v>
      </c>
      <c r="AI57" s="1" t="s">
        <v>74</v>
      </c>
      <c r="AJ57" s="1" t="s">
        <v>74</v>
      </c>
      <c r="AK57" s="1" t="s">
        <v>74</v>
      </c>
      <c r="AL57" s="1" t="s">
        <v>74</v>
      </c>
      <c r="AM57" s="1" t="s">
        <v>74</v>
      </c>
      <c r="AN57" s="1" t="s">
        <v>74</v>
      </c>
      <c r="AO57" s="1" t="s">
        <v>726</v>
      </c>
      <c r="AP57" s="1" t="s">
        <v>727</v>
      </c>
      <c r="AQ57" s="1" t="s">
        <v>74</v>
      </c>
      <c r="AR57" s="1" t="s">
        <v>74</v>
      </c>
      <c r="AS57" s="1" t="s">
        <v>74</v>
      </c>
      <c r="AT57" s="1" t="s">
        <v>728</v>
      </c>
      <c r="AU57" s="1">
        <v>2019.0</v>
      </c>
      <c r="AV57" s="1">
        <v>176.0</v>
      </c>
      <c r="AW57" s="1" t="s">
        <v>74</v>
      </c>
      <c r="AX57" s="1" t="s">
        <v>74</v>
      </c>
      <c r="AY57" s="1" t="s">
        <v>74</v>
      </c>
      <c r="AZ57" s="1" t="s">
        <v>74</v>
      </c>
      <c r="BA57" s="1" t="s">
        <v>74</v>
      </c>
      <c r="BB57" s="1" t="s">
        <v>74</v>
      </c>
      <c r="BC57" s="1" t="s">
        <v>74</v>
      </c>
      <c r="BD57" s="1">
        <v>107336.0</v>
      </c>
      <c r="BE57" s="1" t="s">
        <v>729</v>
      </c>
      <c r="BF57" s="2" t="str">
        <f>HYPERLINK("http://dx.doi.org/10.1016/j.compositesb.2019.107336","http://dx.doi.org/10.1016/j.compositesb.2019.107336")</f>
        <v>http://dx.doi.org/10.1016/j.compositesb.2019.107336</v>
      </c>
      <c r="BG57" s="1" t="s">
        <v>74</v>
      </c>
      <c r="BH57" s="1" t="s">
        <v>74</v>
      </c>
      <c r="BI57" s="1" t="s">
        <v>74</v>
      </c>
      <c r="BJ57" s="1" t="s">
        <v>74</v>
      </c>
      <c r="BK57" s="1" t="s">
        <v>74</v>
      </c>
      <c r="BL57" s="1" t="s">
        <v>74</v>
      </c>
      <c r="BM57" s="1" t="s">
        <v>74</v>
      </c>
      <c r="BN57" s="1" t="s">
        <v>74</v>
      </c>
      <c r="BO57" s="1" t="s">
        <v>74</v>
      </c>
      <c r="BP57" s="1" t="s">
        <v>74</v>
      </c>
      <c r="BQ57" s="1" t="s">
        <v>74</v>
      </c>
      <c r="BR57" s="1" t="s">
        <v>74</v>
      </c>
      <c r="BS57" s="1" t="s">
        <v>730</v>
      </c>
      <c r="BT57" s="1" t="str">
        <f>HYPERLINK("https%3A%2F%2Fwww.webofscience.com%2Fwos%2Fwoscc%2Ffull-record%2FWOS:000491635400086","View Full Record in Web of Science")</f>
        <v>View Full Record in Web of Science</v>
      </c>
    </row>
    <row r="58" ht="12.75" customHeight="1">
      <c r="A58" s="1" t="s">
        <v>72</v>
      </c>
      <c r="B58" s="1" t="s">
        <v>731</v>
      </c>
      <c r="C58" s="1" t="s">
        <v>74</v>
      </c>
      <c r="D58" s="1" t="s">
        <v>74</v>
      </c>
      <c r="E58" s="1" t="s">
        <v>74</v>
      </c>
      <c r="F58" s="1" t="s">
        <v>732</v>
      </c>
      <c r="G58" s="1" t="s">
        <v>74</v>
      </c>
      <c r="H58" s="1" t="s">
        <v>74</v>
      </c>
      <c r="I58" s="1" t="s">
        <v>733</v>
      </c>
      <c r="J58" s="1" t="s">
        <v>734</v>
      </c>
      <c r="K58" s="1" t="s">
        <v>74</v>
      </c>
      <c r="L58" s="1" t="s">
        <v>74</v>
      </c>
      <c r="M58" s="1" t="s">
        <v>74</v>
      </c>
      <c r="N58" s="1" t="s">
        <v>74</v>
      </c>
      <c r="O58" s="1" t="s">
        <v>74</v>
      </c>
      <c r="P58" s="1" t="s">
        <v>74</v>
      </c>
      <c r="Q58" s="1" t="s">
        <v>74</v>
      </c>
      <c r="R58" s="1" t="s">
        <v>74</v>
      </c>
      <c r="S58" s="1" t="s">
        <v>74</v>
      </c>
      <c r="T58" s="1" t="s">
        <v>74</v>
      </c>
      <c r="U58" s="1" t="s">
        <v>74</v>
      </c>
      <c r="V58" s="1" t="s">
        <v>735</v>
      </c>
      <c r="W58" s="1" t="s">
        <v>74</v>
      </c>
      <c r="X58" s="1" t="s">
        <v>74</v>
      </c>
      <c r="Y58" s="1" t="s">
        <v>74</v>
      </c>
      <c r="Z58" s="1" t="s">
        <v>74</v>
      </c>
      <c r="AA58" s="1" t="s">
        <v>736</v>
      </c>
      <c r="AB58" s="1" t="s">
        <v>737</v>
      </c>
      <c r="AC58" s="1" t="s">
        <v>74</v>
      </c>
      <c r="AD58" s="1" t="s">
        <v>74</v>
      </c>
      <c r="AE58" s="1" t="s">
        <v>74</v>
      </c>
      <c r="AF58" s="1" t="s">
        <v>74</v>
      </c>
      <c r="AG58" s="1" t="s">
        <v>74</v>
      </c>
      <c r="AH58" s="1" t="s">
        <v>74</v>
      </c>
      <c r="AI58" s="1" t="s">
        <v>74</v>
      </c>
      <c r="AJ58" s="1" t="s">
        <v>74</v>
      </c>
      <c r="AK58" s="1" t="s">
        <v>74</v>
      </c>
      <c r="AL58" s="1" t="s">
        <v>74</v>
      </c>
      <c r="AM58" s="1" t="s">
        <v>74</v>
      </c>
      <c r="AN58" s="1" t="s">
        <v>74</v>
      </c>
      <c r="AO58" s="1" t="s">
        <v>738</v>
      </c>
      <c r="AP58" s="1" t="s">
        <v>739</v>
      </c>
      <c r="AQ58" s="1" t="s">
        <v>74</v>
      </c>
      <c r="AR58" s="1" t="s">
        <v>74</v>
      </c>
      <c r="AS58" s="1" t="s">
        <v>74</v>
      </c>
      <c r="AT58" s="1" t="s">
        <v>235</v>
      </c>
      <c r="AU58" s="1">
        <v>2018.0</v>
      </c>
      <c r="AV58" s="1">
        <v>24.0</v>
      </c>
      <c r="AW58" s="1">
        <v>4.0</v>
      </c>
      <c r="AX58" s="1" t="s">
        <v>74</v>
      </c>
      <c r="AY58" s="1" t="s">
        <v>74</v>
      </c>
      <c r="AZ58" s="1" t="s">
        <v>74</v>
      </c>
      <c r="BA58" s="1" t="s">
        <v>74</v>
      </c>
      <c r="BB58" s="1">
        <v>977.0</v>
      </c>
      <c r="BC58" s="1">
        <v>987.0</v>
      </c>
      <c r="BD58" s="1" t="s">
        <v>74</v>
      </c>
      <c r="BE58" s="1" t="s">
        <v>740</v>
      </c>
      <c r="BF58" s="2" t="str">
        <f>HYPERLINK("http://dx.doi.org/10.1007/s11581-017-2266-8","http://dx.doi.org/10.1007/s11581-017-2266-8")</f>
        <v>http://dx.doi.org/10.1007/s11581-017-2266-8</v>
      </c>
      <c r="BG58" s="1" t="s">
        <v>74</v>
      </c>
      <c r="BH58" s="1" t="s">
        <v>74</v>
      </c>
      <c r="BI58" s="1" t="s">
        <v>74</v>
      </c>
      <c r="BJ58" s="1" t="s">
        <v>74</v>
      </c>
      <c r="BK58" s="1" t="s">
        <v>74</v>
      </c>
      <c r="BL58" s="1" t="s">
        <v>74</v>
      </c>
      <c r="BM58" s="1" t="s">
        <v>74</v>
      </c>
      <c r="BN58" s="1" t="s">
        <v>74</v>
      </c>
      <c r="BO58" s="1" t="s">
        <v>74</v>
      </c>
      <c r="BP58" s="1" t="s">
        <v>74</v>
      </c>
      <c r="BQ58" s="1" t="s">
        <v>74</v>
      </c>
      <c r="BR58" s="1" t="s">
        <v>74</v>
      </c>
      <c r="BS58" s="1" t="s">
        <v>741</v>
      </c>
      <c r="BT58" s="1" t="str">
        <f>HYPERLINK("https%3A%2F%2Fwww.webofscience.com%2Fwos%2Fwoscc%2Ffull-record%2FWOS:000428070800003","View Full Record in Web of Science")</f>
        <v>View Full Record in Web of Science</v>
      </c>
    </row>
    <row r="59" ht="12.75" customHeight="1">
      <c r="A59" s="1" t="s">
        <v>742</v>
      </c>
      <c r="B59" s="1" t="s">
        <v>743</v>
      </c>
      <c r="C59" s="1" t="s">
        <v>74</v>
      </c>
      <c r="D59" s="1" t="s">
        <v>744</v>
      </c>
      <c r="E59" s="1" t="s">
        <v>74</v>
      </c>
      <c r="F59" s="1" t="s">
        <v>745</v>
      </c>
      <c r="G59" s="1" t="s">
        <v>74</v>
      </c>
      <c r="H59" s="1" t="s">
        <v>74</v>
      </c>
      <c r="I59" s="1" t="s">
        <v>746</v>
      </c>
      <c r="J59" s="1" t="s">
        <v>747</v>
      </c>
      <c r="K59" s="1" t="s">
        <v>74</v>
      </c>
      <c r="L59" s="1" t="s">
        <v>74</v>
      </c>
      <c r="M59" s="1" t="s">
        <v>74</v>
      </c>
      <c r="N59" s="1" t="s">
        <v>74</v>
      </c>
      <c r="O59" s="1" t="s">
        <v>74</v>
      </c>
      <c r="P59" s="1" t="s">
        <v>74</v>
      </c>
      <c r="Q59" s="1" t="s">
        <v>74</v>
      </c>
      <c r="R59" s="1" t="s">
        <v>74</v>
      </c>
      <c r="S59" s="1" t="s">
        <v>74</v>
      </c>
      <c r="T59" s="1" t="s">
        <v>74</v>
      </c>
      <c r="U59" s="1" t="s">
        <v>74</v>
      </c>
      <c r="V59" s="1" t="s">
        <v>74</v>
      </c>
      <c r="W59" s="1" t="s">
        <v>74</v>
      </c>
      <c r="X59" s="1" t="s">
        <v>74</v>
      </c>
      <c r="Y59" s="1" t="s">
        <v>74</v>
      </c>
      <c r="Z59" s="1" t="s">
        <v>74</v>
      </c>
      <c r="AA59" s="1" t="s">
        <v>74</v>
      </c>
      <c r="AB59" s="1" t="s">
        <v>74</v>
      </c>
      <c r="AC59" s="1" t="s">
        <v>74</v>
      </c>
      <c r="AD59" s="1" t="s">
        <v>74</v>
      </c>
      <c r="AE59" s="1" t="s">
        <v>74</v>
      </c>
      <c r="AF59" s="1" t="s">
        <v>74</v>
      </c>
      <c r="AG59" s="1" t="s">
        <v>74</v>
      </c>
      <c r="AH59" s="1" t="s">
        <v>74</v>
      </c>
      <c r="AI59" s="1" t="s">
        <v>74</v>
      </c>
      <c r="AJ59" s="1" t="s">
        <v>74</v>
      </c>
      <c r="AK59" s="1" t="s">
        <v>74</v>
      </c>
      <c r="AL59" s="1" t="s">
        <v>74</v>
      </c>
      <c r="AM59" s="1" t="s">
        <v>74</v>
      </c>
      <c r="AN59" s="1" t="s">
        <v>74</v>
      </c>
      <c r="AO59" s="1" t="s">
        <v>74</v>
      </c>
      <c r="AP59" s="1" t="s">
        <v>74</v>
      </c>
      <c r="AQ59" s="1" t="s">
        <v>748</v>
      </c>
      <c r="AR59" s="1" t="s">
        <v>74</v>
      </c>
      <c r="AS59" s="1" t="s">
        <v>74</v>
      </c>
      <c r="AT59" s="1" t="s">
        <v>74</v>
      </c>
      <c r="AU59" s="1">
        <v>2018.0</v>
      </c>
      <c r="AV59" s="1" t="s">
        <v>74</v>
      </c>
      <c r="AW59" s="1" t="s">
        <v>74</v>
      </c>
      <c r="AX59" s="1" t="s">
        <v>74</v>
      </c>
      <c r="AY59" s="1" t="s">
        <v>74</v>
      </c>
      <c r="AZ59" s="1" t="s">
        <v>74</v>
      </c>
      <c r="BA59" s="1" t="s">
        <v>74</v>
      </c>
      <c r="BB59" s="1">
        <v>13.0</v>
      </c>
      <c r="BC59" s="1">
        <v>18.0</v>
      </c>
      <c r="BD59" s="1" t="s">
        <v>74</v>
      </c>
      <c r="BE59" s="1" t="s">
        <v>74</v>
      </c>
      <c r="BF59" s="1" t="s">
        <v>74</v>
      </c>
      <c r="BG59" s="1" t="s">
        <v>74</v>
      </c>
      <c r="BH59" s="1" t="s">
        <v>74</v>
      </c>
      <c r="BI59" s="1" t="s">
        <v>74</v>
      </c>
      <c r="BJ59" s="1" t="s">
        <v>74</v>
      </c>
      <c r="BK59" s="1" t="s">
        <v>74</v>
      </c>
      <c r="BL59" s="1" t="s">
        <v>74</v>
      </c>
      <c r="BM59" s="1" t="s">
        <v>74</v>
      </c>
      <c r="BN59" s="1" t="s">
        <v>74</v>
      </c>
      <c r="BO59" s="1" t="s">
        <v>74</v>
      </c>
      <c r="BP59" s="1" t="s">
        <v>74</v>
      </c>
      <c r="BQ59" s="1" t="s">
        <v>74</v>
      </c>
      <c r="BR59" s="1" t="s">
        <v>74</v>
      </c>
      <c r="BS59" s="1" t="s">
        <v>749</v>
      </c>
      <c r="BT59" s="1" t="str">
        <f>HYPERLINK("https%3A%2F%2Fwww.webofscience.com%2Fwos%2Fwoscc%2Ffull-record%2FWOS:000668284400001","View Full Record in Web of Science")</f>
        <v>View Full Record in Web of Science</v>
      </c>
    </row>
    <row r="60" ht="12.75" customHeight="1">
      <c r="A60" s="1" t="s">
        <v>72</v>
      </c>
      <c r="B60" s="1" t="s">
        <v>750</v>
      </c>
      <c r="C60" s="1" t="s">
        <v>74</v>
      </c>
      <c r="D60" s="1" t="s">
        <v>74</v>
      </c>
      <c r="E60" s="1" t="s">
        <v>74</v>
      </c>
      <c r="F60" s="1" t="s">
        <v>751</v>
      </c>
      <c r="G60" s="1" t="s">
        <v>74</v>
      </c>
      <c r="H60" s="1" t="s">
        <v>74</v>
      </c>
      <c r="I60" s="1" t="s">
        <v>752</v>
      </c>
      <c r="J60" s="1" t="s">
        <v>753</v>
      </c>
      <c r="K60" s="1" t="s">
        <v>74</v>
      </c>
      <c r="L60" s="1" t="s">
        <v>74</v>
      </c>
      <c r="M60" s="1" t="s">
        <v>74</v>
      </c>
      <c r="N60" s="1" t="s">
        <v>74</v>
      </c>
      <c r="O60" s="1" t="s">
        <v>74</v>
      </c>
      <c r="P60" s="1" t="s">
        <v>74</v>
      </c>
      <c r="Q60" s="1" t="s">
        <v>74</v>
      </c>
      <c r="R60" s="1" t="s">
        <v>74</v>
      </c>
      <c r="S60" s="1" t="s">
        <v>74</v>
      </c>
      <c r="T60" s="1" t="s">
        <v>74</v>
      </c>
      <c r="U60" s="1" t="s">
        <v>74</v>
      </c>
      <c r="V60" s="1" t="s">
        <v>754</v>
      </c>
      <c r="W60" s="1" t="s">
        <v>74</v>
      </c>
      <c r="X60" s="1" t="s">
        <v>74</v>
      </c>
      <c r="Y60" s="1" t="s">
        <v>74</v>
      </c>
      <c r="Z60" s="1" t="s">
        <v>74</v>
      </c>
      <c r="AA60" s="1" t="s">
        <v>755</v>
      </c>
      <c r="AB60" s="1" t="s">
        <v>756</v>
      </c>
      <c r="AC60" s="1" t="s">
        <v>74</v>
      </c>
      <c r="AD60" s="1" t="s">
        <v>74</v>
      </c>
      <c r="AE60" s="1" t="s">
        <v>74</v>
      </c>
      <c r="AF60" s="1" t="s">
        <v>74</v>
      </c>
      <c r="AG60" s="1" t="s">
        <v>74</v>
      </c>
      <c r="AH60" s="1" t="s">
        <v>74</v>
      </c>
      <c r="AI60" s="1" t="s">
        <v>74</v>
      </c>
      <c r="AJ60" s="1" t="s">
        <v>74</v>
      </c>
      <c r="AK60" s="1" t="s">
        <v>74</v>
      </c>
      <c r="AL60" s="1" t="s">
        <v>74</v>
      </c>
      <c r="AM60" s="1" t="s">
        <v>74</v>
      </c>
      <c r="AN60" s="1" t="s">
        <v>74</v>
      </c>
      <c r="AO60" s="1" t="s">
        <v>757</v>
      </c>
      <c r="AP60" s="1" t="s">
        <v>74</v>
      </c>
      <c r="AQ60" s="1" t="s">
        <v>74</v>
      </c>
      <c r="AR60" s="1" t="s">
        <v>74</v>
      </c>
      <c r="AS60" s="1" t="s">
        <v>74</v>
      </c>
      <c r="AT60" s="1" t="s">
        <v>307</v>
      </c>
      <c r="AU60" s="1">
        <v>2017.0</v>
      </c>
      <c r="AV60" s="1">
        <v>28.0</v>
      </c>
      <c r="AW60" s="1" t="s">
        <v>74</v>
      </c>
      <c r="AX60" s="1" t="s">
        <v>74</v>
      </c>
      <c r="AY60" s="1" t="s">
        <v>74</v>
      </c>
      <c r="AZ60" s="1" t="s">
        <v>74</v>
      </c>
      <c r="BA60" s="1" t="s">
        <v>74</v>
      </c>
      <c r="BB60" s="1">
        <v>30.0</v>
      </c>
      <c r="BC60" s="1">
        <v>38.0</v>
      </c>
      <c r="BD60" s="1" t="s">
        <v>74</v>
      </c>
      <c r="BE60" s="1" t="s">
        <v>758</v>
      </c>
      <c r="BF60" s="2" t="str">
        <f>HYPERLINK("http://dx.doi.org/10.1016/j.algal.2017.10.001","http://dx.doi.org/10.1016/j.algal.2017.10.001")</f>
        <v>http://dx.doi.org/10.1016/j.algal.2017.10.001</v>
      </c>
      <c r="BG60" s="1" t="s">
        <v>74</v>
      </c>
      <c r="BH60" s="1" t="s">
        <v>74</v>
      </c>
      <c r="BI60" s="1" t="s">
        <v>74</v>
      </c>
      <c r="BJ60" s="1" t="s">
        <v>74</v>
      </c>
      <c r="BK60" s="1" t="s">
        <v>74</v>
      </c>
      <c r="BL60" s="1" t="s">
        <v>74</v>
      </c>
      <c r="BM60" s="1" t="s">
        <v>74</v>
      </c>
      <c r="BN60" s="1" t="s">
        <v>74</v>
      </c>
      <c r="BO60" s="1" t="s">
        <v>74</v>
      </c>
      <c r="BP60" s="1" t="s">
        <v>74</v>
      </c>
      <c r="BQ60" s="1" t="s">
        <v>74</v>
      </c>
      <c r="BR60" s="1" t="s">
        <v>74</v>
      </c>
      <c r="BS60" s="1" t="s">
        <v>759</v>
      </c>
      <c r="BT60" s="1" t="str">
        <f>HYPERLINK("https%3A%2F%2Fwww.webofscience.com%2Fwos%2Fwoscc%2Ffull-record%2FWOS:000415840400005","View Full Record in Web of Science")</f>
        <v>View Full Record in Web of Science</v>
      </c>
    </row>
    <row r="61" ht="12.75" customHeight="1">
      <c r="A61" s="1" t="s">
        <v>86</v>
      </c>
      <c r="B61" s="1" t="s">
        <v>760</v>
      </c>
      <c r="C61" s="1" t="s">
        <v>74</v>
      </c>
      <c r="D61" s="1" t="s">
        <v>74</v>
      </c>
      <c r="E61" s="1" t="s">
        <v>761</v>
      </c>
      <c r="F61" s="1" t="s">
        <v>762</v>
      </c>
      <c r="G61" s="1" t="s">
        <v>74</v>
      </c>
      <c r="H61" s="1" t="s">
        <v>74</v>
      </c>
      <c r="I61" s="1" t="s">
        <v>763</v>
      </c>
      <c r="J61" s="1" t="s">
        <v>764</v>
      </c>
      <c r="K61" s="1" t="s">
        <v>74</v>
      </c>
      <c r="L61" s="1" t="s">
        <v>74</v>
      </c>
      <c r="M61" s="1" t="s">
        <v>74</v>
      </c>
      <c r="N61" s="1" t="s">
        <v>74</v>
      </c>
      <c r="O61" s="1" t="s">
        <v>765</v>
      </c>
      <c r="P61" s="1" t="s">
        <v>766</v>
      </c>
      <c r="Q61" s="1" t="s">
        <v>767</v>
      </c>
      <c r="R61" s="1" t="s">
        <v>768</v>
      </c>
      <c r="S61" s="1" t="s">
        <v>74</v>
      </c>
      <c r="T61" s="1" t="s">
        <v>74</v>
      </c>
      <c r="U61" s="1" t="s">
        <v>74</v>
      </c>
      <c r="V61" s="1" t="s">
        <v>769</v>
      </c>
      <c r="W61" s="1" t="s">
        <v>74</v>
      </c>
      <c r="X61" s="1" t="s">
        <v>74</v>
      </c>
      <c r="Y61" s="1" t="s">
        <v>74</v>
      </c>
      <c r="Z61" s="1" t="s">
        <v>74</v>
      </c>
      <c r="AA61" s="1" t="s">
        <v>74</v>
      </c>
      <c r="AB61" s="1" t="s">
        <v>74</v>
      </c>
      <c r="AC61" s="1" t="s">
        <v>74</v>
      </c>
      <c r="AD61" s="1" t="s">
        <v>74</v>
      </c>
      <c r="AE61" s="1" t="s">
        <v>74</v>
      </c>
      <c r="AF61" s="1" t="s">
        <v>74</v>
      </c>
      <c r="AG61" s="1" t="s">
        <v>74</v>
      </c>
      <c r="AH61" s="1" t="s">
        <v>74</v>
      </c>
      <c r="AI61" s="1" t="s">
        <v>74</v>
      </c>
      <c r="AJ61" s="1" t="s">
        <v>74</v>
      </c>
      <c r="AK61" s="1" t="s">
        <v>74</v>
      </c>
      <c r="AL61" s="1" t="s">
        <v>74</v>
      </c>
      <c r="AM61" s="1" t="s">
        <v>74</v>
      </c>
      <c r="AN61" s="1" t="s">
        <v>74</v>
      </c>
      <c r="AO61" s="1" t="s">
        <v>74</v>
      </c>
      <c r="AP61" s="1" t="s">
        <v>74</v>
      </c>
      <c r="AQ61" s="1" t="s">
        <v>770</v>
      </c>
      <c r="AR61" s="1" t="s">
        <v>74</v>
      </c>
      <c r="AS61" s="1" t="s">
        <v>74</v>
      </c>
      <c r="AT61" s="1" t="s">
        <v>74</v>
      </c>
      <c r="AU61" s="1">
        <v>2017.0</v>
      </c>
      <c r="AV61" s="1" t="s">
        <v>74</v>
      </c>
      <c r="AW61" s="1" t="s">
        <v>74</v>
      </c>
      <c r="AX61" s="1" t="s">
        <v>74</v>
      </c>
      <c r="AY61" s="1" t="s">
        <v>74</v>
      </c>
      <c r="AZ61" s="1" t="s">
        <v>74</v>
      </c>
      <c r="BA61" s="1" t="s">
        <v>74</v>
      </c>
      <c r="BB61" s="1" t="s">
        <v>74</v>
      </c>
      <c r="BC61" s="1" t="s">
        <v>74</v>
      </c>
      <c r="BD61" s="1" t="s">
        <v>771</v>
      </c>
      <c r="BE61" s="1" t="s">
        <v>74</v>
      </c>
      <c r="BF61" s="1" t="s">
        <v>74</v>
      </c>
      <c r="BG61" s="1" t="s">
        <v>74</v>
      </c>
      <c r="BH61" s="1" t="s">
        <v>74</v>
      </c>
      <c r="BI61" s="1" t="s">
        <v>74</v>
      </c>
      <c r="BJ61" s="1" t="s">
        <v>74</v>
      </c>
      <c r="BK61" s="1" t="s">
        <v>74</v>
      </c>
      <c r="BL61" s="1" t="s">
        <v>74</v>
      </c>
      <c r="BM61" s="1" t="s">
        <v>74</v>
      </c>
      <c r="BN61" s="1" t="s">
        <v>74</v>
      </c>
      <c r="BO61" s="1" t="s">
        <v>74</v>
      </c>
      <c r="BP61" s="1" t="s">
        <v>74</v>
      </c>
      <c r="BQ61" s="1" t="s">
        <v>74</v>
      </c>
      <c r="BR61" s="1" t="s">
        <v>74</v>
      </c>
      <c r="BS61" s="1" t="s">
        <v>772</v>
      </c>
      <c r="BT61" s="1" t="str">
        <f>HYPERLINK("https%3A%2F%2Fwww.webofscience.com%2Fwos%2Fwoscc%2Ffull-record%2FWOS:000400877800021","View Full Record in Web of Science")</f>
        <v>View Full Record in Web of Science</v>
      </c>
    </row>
    <row r="62" ht="12.75" customHeight="1">
      <c r="A62" s="1" t="s">
        <v>72</v>
      </c>
      <c r="B62" s="1" t="s">
        <v>773</v>
      </c>
      <c r="C62" s="1" t="s">
        <v>74</v>
      </c>
      <c r="D62" s="1" t="s">
        <v>74</v>
      </c>
      <c r="E62" s="1" t="s">
        <v>74</v>
      </c>
      <c r="F62" s="1" t="s">
        <v>774</v>
      </c>
      <c r="G62" s="1" t="s">
        <v>74</v>
      </c>
      <c r="H62" s="1" t="s">
        <v>74</v>
      </c>
      <c r="I62" s="1" t="s">
        <v>775</v>
      </c>
      <c r="J62" s="1" t="s">
        <v>776</v>
      </c>
      <c r="K62" s="1" t="s">
        <v>74</v>
      </c>
      <c r="L62" s="1" t="s">
        <v>74</v>
      </c>
      <c r="M62" s="1" t="s">
        <v>74</v>
      </c>
      <c r="N62" s="1" t="s">
        <v>74</v>
      </c>
      <c r="O62" s="1" t="s">
        <v>74</v>
      </c>
      <c r="P62" s="1" t="s">
        <v>74</v>
      </c>
      <c r="Q62" s="1" t="s">
        <v>74</v>
      </c>
      <c r="R62" s="1" t="s">
        <v>74</v>
      </c>
      <c r="S62" s="1" t="s">
        <v>74</v>
      </c>
      <c r="T62" s="1" t="s">
        <v>74</v>
      </c>
      <c r="U62" s="1" t="s">
        <v>74</v>
      </c>
      <c r="V62" s="1" t="s">
        <v>777</v>
      </c>
      <c r="W62" s="1" t="s">
        <v>74</v>
      </c>
      <c r="X62" s="1" t="s">
        <v>74</v>
      </c>
      <c r="Y62" s="1" t="s">
        <v>74</v>
      </c>
      <c r="Z62" s="1" t="s">
        <v>74</v>
      </c>
      <c r="AA62" s="1" t="s">
        <v>778</v>
      </c>
      <c r="AB62" s="1" t="s">
        <v>779</v>
      </c>
      <c r="AC62" s="1" t="s">
        <v>74</v>
      </c>
      <c r="AD62" s="1" t="s">
        <v>74</v>
      </c>
      <c r="AE62" s="1" t="s">
        <v>74</v>
      </c>
      <c r="AF62" s="1" t="s">
        <v>74</v>
      </c>
      <c r="AG62" s="1" t="s">
        <v>74</v>
      </c>
      <c r="AH62" s="1" t="s">
        <v>74</v>
      </c>
      <c r="AI62" s="1" t="s">
        <v>74</v>
      </c>
      <c r="AJ62" s="1" t="s">
        <v>74</v>
      </c>
      <c r="AK62" s="1" t="s">
        <v>74</v>
      </c>
      <c r="AL62" s="1" t="s">
        <v>74</v>
      </c>
      <c r="AM62" s="1" t="s">
        <v>74</v>
      </c>
      <c r="AN62" s="1" t="s">
        <v>74</v>
      </c>
      <c r="AO62" s="1" t="s">
        <v>780</v>
      </c>
      <c r="AP62" s="1" t="s">
        <v>781</v>
      </c>
      <c r="AQ62" s="1" t="s">
        <v>74</v>
      </c>
      <c r="AR62" s="1" t="s">
        <v>74</v>
      </c>
      <c r="AS62" s="1" t="s">
        <v>74</v>
      </c>
      <c r="AT62" s="1" t="s">
        <v>235</v>
      </c>
      <c r="AU62" s="1">
        <v>2016.0</v>
      </c>
      <c r="AV62" s="1">
        <v>40.0</v>
      </c>
      <c r="AW62" s="1">
        <v>4.0</v>
      </c>
      <c r="AX62" s="1" t="s">
        <v>74</v>
      </c>
      <c r="AY62" s="1" t="s">
        <v>74</v>
      </c>
      <c r="AZ62" s="1" t="s">
        <v>74</v>
      </c>
      <c r="BA62" s="1" t="s">
        <v>74</v>
      </c>
      <c r="BB62" s="1" t="s">
        <v>74</v>
      </c>
      <c r="BC62" s="1" t="s">
        <v>74</v>
      </c>
      <c r="BD62" s="1">
        <v>103.0</v>
      </c>
      <c r="BE62" s="1" t="s">
        <v>782</v>
      </c>
      <c r="BF62" s="2" t="str">
        <f>HYPERLINK("http://dx.doi.org/10.1007/s10916-016-0458-9","http://dx.doi.org/10.1007/s10916-016-0458-9")</f>
        <v>http://dx.doi.org/10.1007/s10916-016-0458-9</v>
      </c>
      <c r="BG62" s="1" t="s">
        <v>74</v>
      </c>
      <c r="BH62" s="1" t="s">
        <v>74</v>
      </c>
      <c r="BI62" s="1" t="s">
        <v>74</v>
      </c>
      <c r="BJ62" s="1" t="s">
        <v>74</v>
      </c>
      <c r="BK62" s="1" t="s">
        <v>74</v>
      </c>
      <c r="BL62" s="1" t="s">
        <v>74</v>
      </c>
      <c r="BM62" s="1" t="s">
        <v>74</v>
      </c>
      <c r="BN62" s="1">
        <v>2.6880102E7</v>
      </c>
      <c r="BO62" s="1" t="s">
        <v>74</v>
      </c>
      <c r="BP62" s="1" t="s">
        <v>74</v>
      </c>
      <c r="BQ62" s="1" t="s">
        <v>74</v>
      </c>
      <c r="BR62" s="1" t="s">
        <v>74</v>
      </c>
      <c r="BS62" s="1" t="s">
        <v>783</v>
      </c>
      <c r="BT62" s="1" t="str">
        <f>HYPERLINK("https%3A%2F%2Fwww.webofscience.com%2Fwos%2Fwoscc%2Ffull-record%2FWOS:000371468500018","View Full Record in Web of Science")</f>
        <v>View Full Record in Web of Science</v>
      </c>
    </row>
    <row r="63" ht="12.75" customHeight="1">
      <c r="A63" s="1" t="s">
        <v>72</v>
      </c>
      <c r="B63" s="1" t="s">
        <v>784</v>
      </c>
      <c r="C63" s="1" t="s">
        <v>74</v>
      </c>
      <c r="D63" s="1" t="s">
        <v>74</v>
      </c>
      <c r="E63" s="1" t="s">
        <v>74</v>
      </c>
      <c r="F63" s="1" t="s">
        <v>785</v>
      </c>
      <c r="G63" s="1" t="s">
        <v>74</v>
      </c>
      <c r="H63" s="1" t="s">
        <v>74</v>
      </c>
      <c r="I63" s="1" t="s">
        <v>786</v>
      </c>
      <c r="J63" s="1" t="s">
        <v>787</v>
      </c>
      <c r="K63" s="1" t="s">
        <v>74</v>
      </c>
      <c r="L63" s="1" t="s">
        <v>74</v>
      </c>
      <c r="M63" s="1" t="s">
        <v>74</v>
      </c>
      <c r="N63" s="1" t="s">
        <v>74</v>
      </c>
      <c r="O63" s="1" t="s">
        <v>74</v>
      </c>
      <c r="P63" s="1" t="s">
        <v>74</v>
      </c>
      <c r="Q63" s="1" t="s">
        <v>74</v>
      </c>
      <c r="R63" s="1" t="s">
        <v>74</v>
      </c>
      <c r="S63" s="1" t="s">
        <v>74</v>
      </c>
      <c r="T63" s="1" t="s">
        <v>74</v>
      </c>
      <c r="U63" s="1" t="s">
        <v>74</v>
      </c>
      <c r="V63" s="1" t="s">
        <v>788</v>
      </c>
      <c r="W63" s="1" t="s">
        <v>74</v>
      </c>
      <c r="X63" s="1" t="s">
        <v>74</v>
      </c>
      <c r="Y63" s="1" t="s">
        <v>74</v>
      </c>
      <c r="Z63" s="1" t="s">
        <v>74</v>
      </c>
      <c r="AA63" s="1" t="s">
        <v>789</v>
      </c>
      <c r="AB63" s="1" t="s">
        <v>790</v>
      </c>
      <c r="AC63" s="1" t="s">
        <v>74</v>
      </c>
      <c r="AD63" s="1" t="s">
        <v>74</v>
      </c>
      <c r="AE63" s="1" t="s">
        <v>74</v>
      </c>
      <c r="AF63" s="1" t="s">
        <v>74</v>
      </c>
      <c r="AG63" s="1" t="s">
        <v>74</v>
      </c>
      <c r="AH63" s="1" t="s">
        <v>74</v>
      </c>
      <c r="AI63" s="1" t="s">
        <v>74</v>
      </c>
      <c r="AJ63" s="1" t="s">
        <v>74</v>
      </c>
      <c r="AK63" s="1" t="s">
        <v>74</v>
      </c>
      <c r="AL63" s="1" t="s">
        <v>74</v>
      </c>
      <c r="AM63" s="1" t="s">
        <v>74</v>
      </c>
      <c r="AN63" s="1" t="s">
        <v>74</v>
      </c>
      <c r="AO63" s="1" t="s">
        <v>791</v>
      </c>
      <c r="AP63" s="1" t="s">
        <v>792</v>
      </c>
      <c r="AQ63" s="1" t="s">
        <v>74</v>
      </c>
      <c r="AR63" s="1" t="s">
        <v>74</v>
      </c>
      <c r="AS63" s="1" t="s">
        <v>74</v>
      </c>
      <c r="AT63" s="1" t="s">
        <v>793</v>
      </c>
      <c r="AU63" s="1">
        <v>2016.0</v>
      </c>
      <c r="AV63" s="1">
        <v>55.0</v>
      </c>
      <c r="AW63" s="1">
        <v>9.0</v>
      </c>
      <c r="AX63" s="1" t="s">
        <v>74</v>
      </c>
      <c r="AY63" s="1" t="s">
        <v>74</v>
      </c>
      <c r="AZ63" s="1" t="s">
        <v>74</v>
      </c>
      <c r="BA63" s="1" t="s">
        <v>74</v>
      </c>
      <c r="BB63" s="1">
        <v>2160.0</v>
      </c>
      <c r="BC63" s="1">
        <v>2168.0</v>
      </c>
      <c r="BD63" s="1" t="s">
        <v>74</v>
      </c>
      <c r="BE63" s="1" t="s">
        <v>794</v>
      </c>
      <c r="BF63" s="2" t="str">
        <f>HYPERLINK("http://dx.doi.org/10.1364/AO.55.002160","http://dx.doi.org/10.1364/AO.55.002160")</f>
        <v>http://dx.doi.org/10.1364/AO.55.002160</v>
      </c>
      <c r="BG63" s="1" t="s">
        <v>74</v>
      </c>
      <c r="BH63" s="1" t="s">
        <v>74</v>
      </c>
      <c r="BI63" s="1" t="s">
        <v>74</v>
      </c>
      <c r="BJ63" s="1" t="s">
        <v>74</v>
      </c>
      <c r="BK63" s="1" t="s">
        <v>74</v>
      </c>
      <c r="BL63" s="1" t="s">
        <v>74</v>
      </c>
      <c r="BM63" s="1" t="s">
        <v>74</v>
      </c>
      <c r="BN63" s="1">
        <v>2.7140548E7</v>
      </c>
      <c r="BO63" s="1" t="s">
        <v>74</v>
      </c>
      <c r="BP63" s="1" t="s">
        <v>74</v>
      </c>
      <c r="BQ63" s="1" t="s">
        <v>74</v>
      </c>
      <c r="BR63" s="1" t="s">
        <v>74</v>
      </c>
      <c r="BS63" s="1" t="s">
        <v>795</v>
      </c>
      <c r="BT63" s="1" t="str">
        <f>HYPERLINK("https%3A%2F%2Fwww.webofscience.com%2Fwos%2Fwoscc%2Ffull-record%2FWOS:000373400400007","View Full Record in Web of Science")</f>
        <v>View Full Record in Web of Science</v>
      </c>
    </row>
    <row r="64" ht="12.75" customHeight="1">
      <c r="A64" s="1" t="s">
        <v>72</v>
      </c>
      <c r="B64" s="1" t="s">
        <v>796</v>
      </c>
      <c r="C64" s="1" t="s">
        <v>74</v>
      </c>
      <c r="D64" s="1" t="s">
        <v>74</v>
      </c>
      <c r="E64" s="1" t="s">
        <v>74</v>
      </c>
      <c r="F64" s="1" t="s">
        <v>797</v>
      </c>
      <c r="G64" s="1" t="s">
        <v>74</v>
      </c>
      <c r="H64" s="1" t="s">
        <v>74</v>
      </c>
      <c r="I64" s="1" t="s">
        <v>798</v>
      </c>
      <c r="J64" s="1" t="s">
        <v>799</v>
      </c>
      <c r="K64" s="1" t="s">
        <v>74</v>
      </c>
      <c r="L64" s="1" t="s">
        <v>74</v>
      </c>
      <c r="M64" s="1" t="s">
        <v>74</v>
      </c>
      <c r="N64" s="1" t="s">
        <v>74</v>
      </c>
      <c r="O64" s="1" t="s">
        <v>74</v>
      </c>
      <c r="P64" s="1" t="s">
        <v>74</v>
      </c>
      <c r="Q64" s="1" t="s">
        <v>74</v>
      </c>
      <c r="R64" s="1" t="s">
        <v>74</v>
      </c>
      <c r="S64" s="1" t="s">
        <v>74</v>
      </c>
      <c r="T64" s="1" t="s">
        <v>74</v>
      </c>
      <c r="U64" s="1" t="s">
        <v>74</v>
      </c>
      <c r="V64" s="1" t="s">
        <v>800</v>
      </c>
      <c r="W64" s="1" t="s">
        <v>74</v>
      </c>
      <c r="X64" s="1" t="s">
        <v>74</v>
      </c>
      <c r="Y64" s="1" t="s">
        <v>74</v>
      </c>
      <c r="Z64" s="1" t="s">
        <v>74</v>
      </c>
      <c r="AA64" s="1" t="s">
        <v>801</v>
      </c>
      <c r="AB64" s="1" t="s">
        <v>802</v>
      </c>
      <c r="AC64" s="1" t="s">
        <v>74</v>
      </c>
      <c r="AD64" s="1" t="s">
        <v>74</v>
      </c>
      <c r="AE64" s="1" t="s">
        <v>74</v>
      </c>
      <c r="AF64" s="1" t="s">
        <v>74</v>
      </c>
      <c r="AG64" s="1" t="s">
        <v>74</v>
      </c>
      <c r="AH64" s="1" t="s">
        <v>74</v>
      </c>
      <c r="AI64" s="1" t="s">
        <v>74</v>
      </c>
      <c r="AJ64" s="1" t="s">
        <v>74</v>
      </c>
      <c r="AK64" s="1" t="s">
        <v>74</v>
      </c>
      <c r="AL64" s="1" t="s">
        <v>74</v>
      </c>
      <c r="AM64" s="1" t="s">
        <v>74</v>
      </c>
      <c r="AN64" s="1" t="s">
        <v>74</v>
      </c>
      <c r="AO64" s="1" t="s">
        <v>803</v>
      </c>
      <c r="AP64" s="1" t="s">
        <v>804</v>
      </c>
      <c r="AQ64" s="1" t="s">
        <v>74</v>
      </c>
      <c r="AR64" s="1" t="s">
        <v>74</v>
      </c>
      <c r="AS64" s="1" t="s">
        <v>74</v>
      </c>
      <c r="AT64" s="1" t="s">
        <v>74</v>
      </c>
      <c r="AU64" s="1">
        <v>2016.0</v>
      </c>
      <c r="AV64" s="1">
        <v>33.0</v>
      </c>
      <c r="AW64" s="1" t="s">
        <v>74</v>
      </c>
      <c r="AX64" s="1" t="s">
        <v>74</v>
      </c>
      <c r="AY64" s="1">
        <v>3.0</v>
      </c>
      <c r="AZ64" s="1" t="s">
        <v>74</v>
      </c>
      <c r="BA64" s="1" t="s">
        <v>74</v>
      </c>
      <c r="BB64" s="1">
        <v>19.0</v>
      </c>
      <c r="BC64" s="1">
        <v>26.0</v>
      </c>
      <c r="BD64" s="1" t="s">
        <v>74</v>
      </c>
      <c r="BE64" s="1" t="s">
        <v>805</v>
      </c>
      <c r="BF64" s="2" t="str">
        <f>HYPERLINK("http://dx.doi.org/10.20960/nh.312","http://dx.doi.org/10.20960/nh.312")</f>
        <v>http://dx.doi.org/10.20960/nh.312</v>
      </c>
      <c r="BG64" s="1" t="s">
        <v>74</v>
      </c>
      <c r="BH64" s="1" t="s">
        <v>74</v>
      </c>
      <c r="BI64" s="1" t="s">
        <v>74</v>
      </c>
      <c r="BJ64" s="1" t="s">
        <v>74</v>
      </c>
      <c r="BK64" s="1" t="s">
        <v>74</v>
      </c>
      <c r="BL64" s="1" t="s">
        <v>74</v>
      </c>
      <c r="BM64" s="1" t="s">
        <v>74</v>
      </c>
      <c r="BN64" s="1" t="s">
        <v>74</v>
      </c>
      <c r="BO64" s="1" t="s">
        <v>74</v>
      </c>
      <c r="BP64" s="1" t="s">
        <v>74</v>
      </c>
      <c r="BQ64" s="1" t="s">
        <v>74</v>
      </c>
      <c r="BR64" s="1" t="s">
        <v>74</v>
      </c>
      <c r="BS64" s="1" t="s">
        <v>806</v>
      </c>
      <c r="BT64" s="1" t="str">
        <f>HYPERLINK("https%3A%2F%2Fwww.webofscience.com%2Fwos%2Fwoscc%2Ffull-record%2FWOS:000432299100005","View Full Record in Web of Science")</f>
        <v>View Full Record in Web of Science</v>
      </c>
    </row>
    <row r="65" ht="12.75" customHeight="1">
      <c r="A65" s="1" t="s">
        <v>72</v>
      </c>
      <c r="B65" s="1" t="s">
        <v>807</v>
      </c>
      <c r="C65" s="1" t="s">
        <v>74</v>
      </c>
      <c r="D65" s="1" t="s">
        <v>74</v>
      </c>
      <c r="E65" s="1" t="s">
        <v>74</v>
      </c>
      <c r="F65" s="1" t="s">
        <v>808</v>
      </c>
      <c r="G65" s="1" t="s">
        <v>74</v>
      </c>
      <c r="H65" s="1" t="s">
        <v>74</v>
      </c>
      <c r="I65" s="1" t="s">
        <v>809</v>
      </c>
      <c r="J65" s="1" t="s">
        <v>810</v>
      </c>
      <c r="K65" s="1" t="s">
        <v>74</v>
      </c>
      <c r="L65" s="1" t="s">
        <v>74</v>
      </c>
      <c r="M65" s="1" t="s">
        <v>74</v>
      </c>
      <c r="N65" s="1" t="s">
        <v>74</v>
      </c>
      <c r="O65" s="1" t="s">
        <v>74</v>
      </c>
      <c r="P65" s="1" t="s">
        <v>74</v>
      </c>
      <c r="Q65" s="1" t="s">
        <v>74</v>
      </c>
      <c r="R65" s="1" t="s">
        <v>74</v>
      </c>
      <c r="S65" s="1" t="s">
        <v>74</v>
      </c>
      <c r="T65" s="1" t="s">
        <v>74</v>
      </c>
      <c r="U65" s="1" t="s">
        <v>74</v>
      </c>
      <c r="V65" s="1" t="s">
        <v>811</v>
      </c>
      <c r="W65" s="1" t="s">
        <v>74</v>
      </c>
      <c r="X65" s="1" t="s">
        <v>74</v>
      </c>
      <c r="Y65" s="1" t="s">
        <v>74</v>
      </c>
      <c r="Z65" s="1" t="s">
        <v>74</v>
      </c>
      <c r="AA65" s="1" t="s">
        <v>812</v>
      </c>
      <c r="AB65" s="1" t="s">
        <v>813</v>
      </c>
      <c r="AC65" s="1" t="s">
        <v>74</v>
      </c>
      <c r="AD65" s="1" t="s">
        <v>74</v>
      </c>
      <c r="AE65" s="1" t="s">
        <v>74</v>
      </c>
      <c r="AF65" s="1" t="s">
        <v>74</v>
      </c>
      <c r="AG65" s="1" t="s">
        <v>74</v>
      </c>
      <c r="AH65" s="1" t="s">
        <v>74</v>
      </c>
      <c r="AI65" s="1" t="s">
        <v>74</v>
      </c>
      <c r="AJ65" s="1" t="s">
        <v>74</v>
      </c>
      <c r="AK65" s="1" t="s">
        <v>74</v>
      </c>
      <c r="AL65" s="1" t="s">
        <v>74</v>
      </c>
      <c r="AM65" s="1" t="s">
        <v>74</v>
      </c>
      <c r="AN65" s="1" t="s">
        <v>74</v>
      </c>
      <c r="AO65" s="1" t="s">
        <v>814</v>
      </c>
      <c r="AP65" s="1" t="s">
        <v>815</v>
      </c>
      <c r="AQ65" s="1" t="s">
        <v>74</v>
      </c>
      <c r="AR65" s="1" t="s">
        <v>74</v>
      </c>
      <c r="AS65" s="1" t="s">
        <v>74</v>
      </c>
      <c r="AT65" s="1" t="s">
        <v>348</v>
      </c>
      <c r="AU65" s="1">
        <v>2015.0</v>
      </c>
      <c r="AV65" s="1">
        <v>26.0</v>
      </c>
      <c r="AW65" s="1">
        <v>9.0</v>
      </c>
      <c r="AX65" s="1" t="s">
        <v>74</v>
      </c>
      <c r="AY65" s="1" t="s">
        <v>74</v>
      </c>
      <c r="AZ65" s="1" t="s">
        <v>74</v>
      </c>
      <c r="BA65" s="1" t="s">
        <v>74</v>
      </c>
      <c r="BB65" s="1">
        <v>1887.0</v>
      </c>
      <c r="BC65" s="1">
        <v>1896.0</v>
      </c>
      <c r="BD65" s="1" t="s">
        <v>74</v>
      </c>
      <c r="BE65" s="1" t="s">
        <v>816</v>
      </c>
      <c r="BF65" s="2" t="str">
        <f>HYPERLINK("http://dx.doi.org/10.5935/0103-5053.20150166","http://dx.doi.org/10.5935/0103-5053.20150166")</f>
        <v>http://dx.doi.org/10.5935/0103-5053.20150166</v>
      </c>
      <c r="BG65" s="1" t="s">
        <v>74</v>
      </c>
      <c r="BH65" s="1" t="s">
        <v>74</v>
      </c>
      <c r="BI65" s="1" t="s">
        <v>74</v>
      </c>
      <c r="BJ65" s="1" t="s">
        <v>74</v>
      </c>
      <c r="BK65" s="1" t="s">
        <v>74</v>
      </c>
      <c r="BL65" s="1" t="s">
        <v>74</v>
      </c>
      <c r="BM65" s="1" t="s">
        <v>74</v>
      </c>
      <c r="BN65" s="1" t="s">
        <v>74</v>
      </c>
      <c r="BO65" s="1" t="s">
        <v>74</v>
      </c>
      <c r="BP65" s="1" t="s">
        <v>74</v>
      </c>
      <c r="BQ65" s="1" t="s">
        <v>74</v>
      </c>
      <c r="BR65" s="1" t="s">
        <v>74</v>
      </c>
      <c r="BS65" s="1" t="s">
        <v>817</v>
      </c>
      <c r="BT65" s="1" t="str">
        <f>HYPERLINK("https%3A%2F%2Fwww.webofscience.com%2Fwos%2Fwoscc%2Ffull-record%2FWOS:000361556500018","View Full Record in Web of Science")</f>
        <v>View Full Record in Web of Science</v>
      </c>
    </row>
    <row r="66" ht="12.75" customHeight="1">
      <c r="A66" s="1" t="s">
        <v>72</v>
      </c>
      <c r="B66" s="1" t="s">
        <v>818</v>
      </c>
      <c r="C66" s="1" t="s">
        <v>74</v>
      </c>
      <c r="D66" s="1" t="s">
        <v>74</v>
      </c>
      <c r="E66" s="1" t="s">
        <v>74</v>
      </c>
      <c r="F66" s="1" t="s">
        <v>819</v>
      </c>
      <c r="G66" s="1" t="s">
        <v>74</v>
      </c>
      <c r="H66" s="1" t="s">
        <v>74</v>
      </c>
      <c r="I66" s="1" t="s">
        <v>820</v>
      </c>
      <c r="J66" s="1" t="s">
        <v>821</v>
      </c>
      <c r="K66" s="1" t="s">
        <v>74</v>
      </c>
      <c r="L66" s="1" t="s">
        <v>74</v>
      </c>
      <c r="M66" s="1" t="s">
        <v>74</v>
      </c>
      <c r="N66" s="1" t="s">
        <v>74</v>
      </c>
      <c r="O66" s="1" t="s">
        <v>822</v>
      </c>
      <c r="P66" s="1" t="s">
        <v>823</v>
      </c>
      <c r="Q66" s="1" t="s">
        <v>824</v>
      </c>
      <c r="R66" s="1" t="s">
        <v>248</v>
      </c>
      <c r="S66" s="1" t="s">
        <v>74</v>
      </c>
      <c r="T66" s="1" t="s">
        <v>74</v>
      </c>
      <c r="U66" s="1" t="s">
        <v>74</v>
      </c>
      <c r="V66" s="1" t="s">
        <v>825</v>
      </c>
      <c r="W66" s="1" t="s">
        <v>74</v>
      </c>
      <c r="X66" s="1" t="s">
        <v>74</v>
      </c>
      <c r="Y66" s="1" t="s">
        <v>74</v>
      </c>
      <c r="Z66" s="1" t="s">
        <v>74</v>
      </c>
      <c r="AA66" s="1" t="s">
        <v>826</v>
      </c>
      <c r="AB66" s="1" t="s">
        <v>827</v>
      </c>
      <c r="AC66" s="1" t="s">
        <v>74</v>
      </c>
      <c r="AD66" s="1" t="s">
        <v>74</v>
      </c>
      <c r="AE66" s="1" t="s">
        <v>74</v>
      </c>
      <c r="AF66" s="1" t="s">
        <v>74</v>
      </c>
      <c r="AG66" s="1" t="s">
        <v>74</v>
      </c>
      <c r="AH66" s="1" t="s">
        <v>74</v>
      </c>
      <c r="AI66" s="1" t="s">
        <v>74</v>
      </c>
      <c r="AJ66" s="1" t="s">
        <v>74</v>
      </c>
      <c r="AK66" s="1" t="s">
        <v>74</v>
      </c>
      <c r="AL66" s="1" t="s">
        <v>74</v>
      </c>
      <c r="AM66" s="1" t="s">
        <v>74</v>
      </c>
      <c r="AN66" s="1" t="s">
        <v>74</v>
      </c>
      <c r="AO66" s="1" t="s">
        <v>828</v>
      </c>
      <c r="AP66" s="1" t="s">
        <v>829</v>
      </c>
      <c r="AQ66" s="1" t="s">
        <v>74</v>
      </c>
      <c r="AR66" s="1" t="s">
        <v>74</v>
      </c>
      <c r="AS66" s="1" t="s">
        <v>74</v>
      </c>
      <c r="AT66" s="1" t="s">
        <v>537</v>
      </c>
      <c r="AU66" s="1">
        <v>2014.0</v>
      </c>
      <c r="AV66" s="1">
        <v>50.0</v>
      </c>
      <c r="AW66" s="1">
        <v>11.0</v>
      </c>
      <c r="AX66" s="1" t="s">
        <v>74</v>
      </c>
      <c r="AY66" s="1" t="s">
        <v>74</v>
      </c>
      <c r="AZ66" s="1" t="s">
        <v>74</v>
      </c>
      <c r="BA66" s="1" t="s">
        <v>74</v>
      </c>
      <c r="BB66" s="1" t="s">
        <v>74</v>
      </c>
      <c r="BC66" s="1" t="s">
        <v>74</v>
      </c>
      <c r="BD66" s="1">
        <v>2302904.0</v>
      </c>
      <c r="BE66" s="1" t="s">
        <v>830</v>
      </c>
      <c r="BF66" s="2" t="str">
        <f>HYPERLINK("http://dx.doi.org/10.1109/TMAG.2014.2320911","http://dx.doi.org/10.1109/TMAG.2014.2320911")</f>
        <v>http://dx.doi.org/10.1109/TMAG.2014.2320911</v>
      </c>
      <c r="BG66" s="1" t="s">
        <v>74</v>
      </c>
      <c r="BH66" s="1" t="s">
        <v>74</v>
      </c>
      <c r="BI66" s="1" t="s">
        <v>74</v>
      </c>
      <c r="BJ66" s="1" t="s">
        <v>74</v>
      </c>
      <c r="BK66" s="1" t="s">
        <v>74</v>
      </c>
      <c r="BL66" s="1" t="s">
        <v>74</v>
      </c>
      <c r="BM66" s="1" t="s">
        <v>74</v>
      </c>
      <c r="BN66" s="1" t="s">
        <v>74</v>
      </c>
      <c r="BO66" s="1" t="s">
        <v>74</v>
      </c>
      <c r="BP66" s="1" t="s">
        <v>74</v>
      </c>
      <c r="BQ66" s="1" t="s">
        <v>74</v>
      </c>
      <c r="BR66" s="1" t="s">
        <v>74</v>
      </c>
      <c r="BS66" s="1" t="s">
        <v>831</v>
      </c>
      <c r="BT66" s="1" t="str">
        <f>HYPERLINK("https%3A%2F%2Fwww.webofscience.com%2Fwos%2Fwoscc%2Ffull-record%2FWOS:000349465900101","View Full Record in Web of Science")</f>
        <v>View Full Record in Web of Science</v>
      </c>
    </row>
    <row r="67" ht="12.75" customHeight="1">
      <c r="A67" s="1" t="s">
        <v>72</v>
      </c>
      <c r="B67" s="1" t="s">
        <v>832</v>
      </c>
      <c r="C67" s="1" t="s">
        <v>74</v>
      </c>
      <c r="D67" s="1" t="s">
        <v>74</v>
      </c>
      <c r="E67" s="1" t="s">
        <v>74</v>
      </c>
      <c r="F67" s="1" t="s">
        <v>833</v>
      </c>
      <c r="G67" s="1" t="s">
        <v>74</v>
      </c>
      <c r="H67" s="1" t="s">
        <v>74</v>
      </c>
      <c r="I67" s="1" t="s">
        <v>834</v>
      </c>
      <c r="J67" s="1" t="s">
        <v>835</v>
      </c>
      <c r="K67" s="1" t="s">
        <v>74</v>
      </c>
      <c r="L67" s="1" t="s">
        <v>74</v>
      </c>
      <c r="M67" s="1" t="s">
        <v>74</v>
      </c>
      <c r="N67" s="1" t="s">
        <v>74</v>
      </c>
      <c r="O67" s="1" t="s">
        <v>74</v>
      </c>
      <c r="P67" s="1" t="s">
        <v>74</v>
      </c>
      <c r="Q67" s="1" t="s">
        <v>74</v>
      </c>
      <c r="R67" s="1" t="s">
        <v>74</v>
      </c>
      <c r="S67" s="1" t="s">
        <v>74</v>
      </c>
      <c r="T67" s="1" t="s">
        <v>74</v>
      </c>
      <c r="U67" s="1" t="s">
        <v>74</v>
      </c>
      <c r="V67" s="1" t="s">
        <v>836</v>
      </c>
      <c r="W67" s="1" t="s">
        <v>74</v>
      </c>
      <c r="X67" s="1" t="s">
        <v>74</v>
      </c>
      <c r="Y67" s="1" t="s">
        <v>74</v>
      </c>
      <c r="Z67" s="1" t="s">
        <v>74</v>
      </c>
      <c r="AA67" s="1" t="s">
        <v>837</v>
      </c>
      <c r="AB67" s="1" t="s">
        <v>838</v>
      </c>
      <c r="AC67" s="1" t="s">
        <v>74</v>
      </c>
      <c r="AD67" s="1" t="s">
        <v>74</v>
      </c>
      <c r="AE67" s="1" t="s">
        <v>74</v>
      </c>
      <c r="AF67" s="1" t="s">
        <v>74</v>
      </c>
      <c r="AG67" s="1" t="s">
        <v>74</v>
      </c>
      <c r="AH67" s="1" t="s">
        <v>74</v>
      </c>
      <c r="AI67" s="1" t="s">
        <v>74</v>
      </c>
      <c r="AJ67" s="1" t="s">
        <v>74</v>
      </c>
      <c r="AK67" s="1" t="s">
        <v>74</v>
      </c>
      <c r="AL67" s="1" t="s">
        <v>74</v>
      </c>
      <c r="AM67" s="1" t="s">
        <v>74</v>
      </c>
      <c r="AN67" s="1" t="s">
        <v>74</v>
      </c>
      <c r="AO67" s="1" t="s">
        <v>839</v>
      </c>
      <c r="AP67" s="1" t="s">
        <v>840</v>
      </c>
      <c r="AQ67" s="1" t="s">
        <v>74</v>
      </c>
      <c r="AR67" s="1" t="s">
        <v>74</v>
      </c>
      <c r="AS67" s="1" t="s">
        <v>74</v>
      </c>
      <c r="AT67" s="1" t="s">
        <v>841</v>
      </c>
      <c r="AU67" s="1">
        <v>2014.0</v>
      </c>
      <c r="AV67" s="1">
        <v>47.0</v>
      </c>
      <c r="AW67" s="1">
        <v>33.0</v>
      </c>
      <c r="AX67" s="1" t="s">
        <v>74</v>
      </c>
      <c r="AY67" s="1" t="s">
        <v>74</v>
      </c>
      <c r="AZ67" s="1" t="s">
        <v>74</v>
      </c>
      <c r="BA67" s="1" t="s">
        <v>74</v>
      </c>
      <c r="BB67" s="1" t="s">
        <v>74</v>
      </c>
      <c r="BC67" s="1" t="s">
        <v>74</v>
      </c>
      <c r="BD67" s="1">
        <v>335001.0</v>
      </c>
      <c r="BE67" s="1" t="s">
        <v>842</v>
      </c>
      <c r="BF67" s="2" t="str">
        <f>HYPERLINK("http://dx.doi.org/10.1088/0022-3727/47/33/335001","http://dx.doi.org/10.1088/0022-3727/47/33/335001")</f>
        <v>http://dx.doi.org/10.1088/0022-3727/47/33/335001</v>
      </c>
      <c r="BG67" s="1" t="s">
        <v>74</v>
      </c>
      <c r="BH67" s="1" t="s">
        <v>74</v>
      </c>
      <c r="BI67" s="1" t="s">
        <v>74</v>
      </c>
      <c r="BJ67" s="1" t="s">
        <v>74</v>
      </c>
      <c r="BK67" s="1" t="s">
        <v>74</v>
      </c>
      <c r="BL67" s="1" t="s">
        <v>74</v>
      </c>
      <c r="BM67" s="1" t="s">
        <v>74</v>
      </c>
      <c r="BN67" s="1" t="s">
        <v>74</v>
      </c>
      <c r="BO67" s="1" t="s">
        <v>74</v>
      </c>
      <c r="BP67" s="1" t="s">
        <v>74</v>
      </c>
      <c r="BQ67" s="1" t="s">
        <v>74</v>
      </c>
      <c r="BR67" s="1" t="s">
        <v>74</v>
      </c>
      <c r="BS67" s="1" t="s">
        <v>843</v>
      </c>
      <c r="BT67" s="1" t="str">
        <f>HYPERLINK("https%3A%2F%2Fwww.webofscience.com%2Fwos%2Fwoscc%2Ffull-record%2FWOS:000340236200002","View Full Record in Web of Science")</f>
        <v>View Full Record in Web of Science</v>
      </c>
    </row>
    <row r="68" ht="12.75" customHeight="1">
      <c r="A68" s="1" t="s">
        <v>72</v>
      </c>
      <c r="B68" s="1" t="s">
        <v>844</v>
      </c>
      <c r="C68" s="1" t="s">
        <v>74</v>
      </c>
      <c r="D68" s="1" t="s">
        <v>74</v>
      </c>
      <c r="E68" s="1" t="s">
        <v>74</v>
      </c>
      <c r="F68" s="1" t="s">
        <v>845</v>
      </c>
      <c r="G68" s="1" t="s">
        <v>74</v>
      </c>
      <c r="H68" s="1" t="s">
        <v>74</v>
      </c>
      <c r="I68" s="1" t="s">
        <v>846</v>
      </c>
      <c r="J68" s="1" t="s">
        <v>847</v>
      </c>
      <c r="K68" s="1" t="s">
        <v>74</v>
      </c>
      <c r="L68" s="1" t="s">
        <v>74</v>
      </c>
      <c r="M68" s="1" t="s">
        <v>74</v>
      </c>
      <c r="N68" s="1" t="s">
        <v>74</v>
      </c>
      <c r="O68" s="1" t="s">
        <v>74</v>
      </c>
      <c r="P68" s="1" t="s">
        <v>74</v>
      </c>
      <c r="Q68" s="1" t="s">
        <v>74</v>
      </c>
      <c r="R68" s="1" t="s">
        <v>74</v>
      </c>
      <c r="S68" s="1" t="s">
        <v>74</v>
      </c>
      <c r="T68" s="1" t="s">
        <v>74</v>
      </c>
      <c r="U68" s="1" t="s">
        <v>74</v>
      </c>
      <c r="V68" s="1" t="s">
        <v>848</v>
      </c>
      <c r="W68" s="1" t="s">
        <v>74</v>
      </c>
      <c r="X68" s="1" t="s">
        <v>74</v>
      </c>
      <c r="Y68" s="1" t="s">
        <v>74</v>
      </c>
      <c r="Z68" s="1" t="s">
        <v>74</v>
      </c>
      <c r="AA68" s="1" t="s">
        <v>849</v>
      </c>
      <c r="AB68" s="1" t="s">
        <v>850</v>
      </c>
      <c r="AC68" s="1" t="s">
        <v>74</v>
      </c>
      <c r="AD68" s="1" t="s">
        <v>74</v>
      </c>
      <c r="AE68" s="1" t="s">
        <v>74</v>
      </c>
      <c r="AF68" s="1" t="s">
        <v>74</v>
      </c>
      <c r="AG68" s="1" t="s">
        <v>74</v>
      </c>
      <c r="AH68" s="1" t="s">
        <v>74</v>
      </c>
      <c r="AI68" s="1" t="s">
        <v>74</v>
      </c>
      <c r="AJ68" s="1" t="s">
        <v>74</v>
      </c>
      <c r="AK68" s="1" t="s">
        <v>74</v>
      </c>
      <c r="AL68" s="1" t="s">
        <v>74</v>
      </c>
      <c r="AM68" s="1" t="s">
        <v>74</v>
      </c>
      <c r="AN68" s="1" t="s">
        <v>74</v>
      </c>
      <c r="AO68" s="1" t="s">
        <v>851</v>
      </c>
      <c r="AP68" s="1" t="s">
        <v>852</v>
      </c>
      <c r="AQ68" s="1" t="s">
        <v>74</v>
      </c>
      <c r="AR68" s="1" t="s">
        <v>74</v>
      </c>
      <c r="AS68" s="1" t="s">
        <v>74</v>
      </c>
      <c r="AT68" s="1" t="s">
        <v>422</v>
      </c>
      <c r="AU68" s="1">
        <v>2014.0</v>
      </c>
      <c r="AV68" s="1">
        <v>350.0</v>
      </c>
      <c r="AW68" s="1" t="s">
        <v>74</v>
      </c>
      <c r="AX68" s="1" t="s">
        <v>74</v>
      </c>
      <c r="AY68" s="1" t="s">
        <v>74</v>
      </c>
      <c r="AZ68" s="1" t="s">
        <v>74</v>
      </c>
      <c r="BA68" s="1" t="s">
        <v>74</v>
      </c>
      <c r="BB68" s="1">
        <v>88.0</v>
      </c>
      <c r="BC68" s="1">
        <v>93.0</v>
      </c>
      <c r="BD68" s="1" t="s">
        <v>74</v>
      </c>
      <c r="BE68" s="1" t="s">
        <v>853</v>
      </c>
      <c r="BF68" s="2" t="str">
        <f>HYPERLINK("http://dx.doi.org/10.1016/j.jmmm.2013.09.009","http://dx.doi.org/10.1016/j.jmmm.2013.09.009")</f>
        <v>http://dx.doi.org/10.1016/j.jmmm.2013.09.009</v>
      </c>
      <c r="BG68" s="1" t="s">
        <v>74</v>
      </c>
      <c r="BH68" s="1" t="s">
        <v>74</v>
      </c>
      <c r="BI68" s="1" t="s">
        <v>74</v>
      </c>
      <c r="BJ68" s="1" t="s">
        <v>74</v>
      </c>
      <c r="BK68" s="1" t="s">
        <v>74</v>
      </c>
      <c r="BL68" s="1" t="s">
        <v>74</v>
      </c>
      <c r="BM68" s="1" t="s">
        <v>74</v>
      </c>
      <c r="BN68" s="1" t="s">
        <v>74</v>
      </c>
      <c r="BO68" s="1" t="s">
        <v>74</v>
      </c>
      <c r="BP68" s="1" t="s">
        <v>74</v>
      </c>
      <c r="BQ68" s="1" t="s">
        <v>74</v>
      </c>
      <c r="BR68" s="1" t="s">
        <v>74</v>
      </c>
      <c r="BS68" s="1" t="s">
        <v>854</v>
      </c>
      <c r="BT68" s="1" t="str">
        <f>HYPERLINK("https%3A%2F%2Fwww.webofscience.com%2Fwos%2Fwoscc%2Ffull-record%2FWOS:000327776000017","View Full Record in Web of Science")</f>
        <v>View Full Record in Web of Science</v>
      </c>
    </row>
    <row r="69" ht="12.75" customHeight="1">
      <c r="A69" s="1" t="s">
        <v>72</v>
      </c>
      <c r="B69" s="1" t="s">
        <v>855</v>
      </c>
      <c r="C69" s="1" t="s">
        <v>74</v>
      </c>
      <c r="D69" s="1" t="s">
        <v>74</v>
      </c>
      <c r="E69" s="1" t="s">
        <v>74</v>
      </c>
      <c r="F69" s="1" t="s">
        <v>856</v>
      </c>
      <c r="G69" s="1" t="s">
        <v>74</v>
      </c>
      <c r="H69" s="1" t="s">
        <v>74</v>
      </c>
      <c r="I69" s="1" t="s">
        <v>857</v>
      </c>
      <c r="J69" s="1" t="s">
        <v>858</v>
      </c>
      <c r="K69" s="1" t="s">
        <v>74</v>
      </c>
      <c r="L69" s="1" t="s">
        <v>74</v>
      </c>
      <c r="M69" s="1" t="s">
        <v>74</v>
      </c>
      <c r="N69" s="1" t="s">
        <v>74</v>
      </c>
      <c r="O69" s="1" t="s">
        <v>74</v>
      </c>
      <c r="P69" s="1" t="s">
        <v>74</v>
      </c>
      <c r="Q69" s="1" t="s">
        <v>74</v>
      </c>
      <c r="R69" s="1" t="s">
        <v>74</v>
      </c>
      <c r="S69" s="1" t="s">
        <v>74</v>
      </c>
      <c r="T69" s="1" t="s">
        <v>74</v>
      </c>
      <c r="U69" s="1" t="s">
        <v>74</v>
      </c>
      <c r="V69" s="1" t="s">
        <v>859</v>
      </c>
      <c r="W69" s="1" t="s">
        <v>74</v>
      </c>
      <c r="X69" s="1" t="s">
        <v>74</v>
      </c>
      <c r="Y69" s="1" t="s">
        <v>74</v>
      </c>
      <c r="Z69" s="1" t="s">
        <v>74</v>
      </c>
      <c r="AA69" s="1" t="s">
        <v>860</v>
      </c>
      <c r="AB69" s="1" t="s">
        <v>861</v>
      </c>
      <c r="AC69" s="1" t="s">
        <v>74</v>
      </c>
      <c r="AD69" s="1" t="s">
        <v>74</v>
      </c>
      <c r="AE69" s="1" t="s">
        <v>74</v>
      </c>
      <c r="AF69" s="1" t="s">
        <v>74</v>
      </c>
      <c r="AG69" s="1" t="s">
        <v>74</v>
      </c>
      <c r="AH69" s="1" t="s">
        <v>74</v>
      </c>
      <c r="AI69" s="1" t="s">
        <v>74</v>
      </c>
      <c r="AJ69" s="1" t="s">
        <v>74</v>
      </c>
      <c r="AK69" s="1" t="s">
        <v>74</v>
      </c>
      <c r="AL69" s="1" t="s">
        <v>74</v>
      </c>
      <c r="AM69" s="1" t="s">
        <v>74</v>
      </c>
      <c r="AN69" s="1" t="s">
        <v>74</v>
      </c>
      <c r="AO69" s="1" t="s">
        <v>862</v>
      </c>
      <c r="AP69" s="1" t="s">
        <v>863</v>
      </c>
      <c r="AQ69" s="1" t="s">
        <v>74</v>
      </c>
      <c r="AR69" s="1" t="s">
        <v>74</v>
      </c>
      <c r="AS69" s="1" t="s">
        <v>74</v>
      </c>
      <c r="AT69" s="1" t="s">
        <v>864</v>
      </c>
      <c r="AU69" s="1">
        <v>2013.0</v>
      </c>
      <c r="AV69" s="1">
        <v>88.0</v>
      </c>
      <c r="AW69" s="1">
        <v>1.0</v>
      </c>
      <c r="AX69" s="1" t="s">
        <v>74</v>
      </c>
      <c r="AY69" s="1" t="s">
        <v>74</v>
      </c>
      <c r="AZ69" s="1" t="s">
        <v>74</v>
      </c>
      <c r="BA69" s="1" t="s">
        <v>74</v>
      </c>
      <c r="BB69" s="1" t="s">
        <v>74</v>
      </c>
      <c r="BC69" s="1" t="s">
        <v>74</v>
      </c>
      <c r="BD69" s="1">
        <v>12201.0</v>
      </c>
      <c r="BE69" s="1" t="s">
        <v>865</v>
      </c>
      <c r="BF69" s="2" t="str">
        <f>HYPERLINK("http://dx.doi.org/10.1103/PhysRevE.88.012201","http://dx.doi.org/10.1103/PhysRevE.88.012201")</f>
        <v>http://dx.doi.org/10.1103/PhysRevE.88.012201</v>
      </c>
      <c r="BG69" s="1" t="s">
        <v>74</v>
      </c>
      <c r="BH69" s="1" t="s">
        <v>74</v>
      </c>
      <c r="BI69" s="1" t="s">
        <v>74</v>
      </c>
      <c r="BJ69" s="1" t="s">
        <v>74</v>
      </c>
      <c r="BK69" s="1" t="s">
        <v>74</v>
      </c>
      <c r="BL69" s="1" t="s">
        <v>74</v>
      </c>
      <c r="BM69" s="1" t="s">
        <v>74</v>
      </c>
      <c r="BN69" s="1">
        <v>2.3944448E7</v>
      </c>
      <c r="BO69" s="1" t="s">
        <v>74</v>
      </c>
      <c r="BP69" s="1" t="s">
        <v>74</v>
      </c>
      <c r="BQ69" s="1" t="s">
        <v>74</v>
      </c>
      <c r="BR69" s="1" t="s">
        <v>74</v>
      </c>
      <c r="BS69" s="1" t="s">
        <v>866</v>
      </c>
      <c r="BT69" s="1" t="str">
        <f>HYPERLINK("https%3A%2F%2Fwww.webofscience.com%2Fwos%2Fwoscc%2Ffull-record%2FWOS:000321277000003","View Full Record in Web of Science")</f>
        <v>View Full Record in Web of Science</v>
      </c>
    </row>
    <row r="70" ht="12.75" customHeight="1">
      <c r="A70" s="1" t="s">
        <v>72</v>
      </c>
      <c r="B70" s="1" t="s">
        <v>867</v>
      </c>
      <c r="C70" s="1" t="s">
        <v>74</v>
      </c>
      <c r="D70" s="1" t="s">
        <v>74</v>
      </c>
      <c r="E70" s="1" t="s">
        <v>74</v>
      </c>
      <c r="F70" s="1" t="s">
        <v>868</v>
      </c>
      <c r="G70" s="1" t="s">
        <v>74</v>
      </c>
      <c r="H70" s="1" t="s">
        <v>74</v>
      </c>
      <c r="I70" s="1" t="s">
        <v>869</v>
      </c>
      <c r="J70" s="1" t="s">
        <v>870</v>
      </c>
      <c r="K70" s="1" t="s">
        <v>74</v>
      </c>
      <c r="L70" s="1" t="s">
        <v>74</v>
      </c>
      <c r="M70" s="1" t="s">
        <v>74</v>
      </c>
      <c r="N70" s="1" t="s">
        <v>74</v>
      </c>
      <c r="O70" s="1" t="s">
        <v>74</v>
      </c>
      <c r="P70" s="1" t="s">
        <v>74</v>
      </c>
      <c r="Q70" s="1" t="s">
        <v>74</v>
      </c>
      <c r="R70" s="1" t="s">
        <v>74</v>
      </c>
      <c r="S70" s="1" t="s">
        <v>74</v>
      </c>
      <c r="T70" s="1" t="s">
        <v>74</v>
      </c>
      <c r="U70" s="1" t="s">
        <v>74</v>
      </c>
      <c r="V70" s="1" t="s">
        <v>871</v>
      </c>
      <c r="W70" s="1" t="s">
        <v>74</v>
      </c>
      <c r="X70" s="1" t="s">
        <v>74</v>
      </c>
      <c r="Y70" s="1" t="s">
        <v>74</v>
      </c>
      <c r="Z70" s="1" t="s">
        <v>74</v>
      </c>
      <c r="AA70" s="1" t="s">
        <v>872</v>
      </c>
      <c r="AB70" s="1" t="s">
        <v>873</v>
      </c>
      <c r="AC70" s="1" t="s">
        <v>74</v>
      </c>
      <c r="AD70" s="1" t="s">
        <v>74</v>
      </c>
      <c r="AE70" s="1" t="s">
        <v>74</v>
      </c>
      <c r="AF70" s="1" t="s">
        <v>74</v>
      </c>
      <c r="AG70" s="1" t="s">
        <v>74</v>
      </c>
      <c r="AH70" s="1" t="s">
        <v>74</v>
      </c>
      <c r="AI70" s="1" t="s">
        <v>74</v>
      </c>
      <c r="AJ70" s="1" t="s">
        <v>74</v>
      </c>
      <c r="AK70" s="1" t="s">
        <v>74</v>
      </c>
      <c r="AL70" s="1" t="s">
        <v>74</v>
      </c>
      <c r="AM70" s="1" t="s">
        <v>74</v>
      </c>
      <c r="AN70" s="1" t="s">
        <v>74</v>
      </c>
      <c r="AO70" s="1" t="s">
        <v>874</v>
      </c>
      <c r="AP70" s="1" t="s">
        <v>74</v>
      </c>
      <c r="AQ70" s="1" t="s">
        <v>74</v>
      </c>
      <c r="AR70" s="1" t="s">
        <v>74</v>
      </c>
      <c r="AS70" s="1" t="s">
        <v>74</v>
      </c>
      <c r="AT70" s="1" t="s">
        <v>164</v>
      </c>
      <c r="AU70" s="1">
        <v>2012.0</v>
      </c>
      <c r="AV70" s="1">
        <v>5.0</v>
      </c>
      <c r="AW70" s="1">
        <v>5.0</v>
      </c>
      <c r="AX70" s="1" t="s">
        <v>74</v>
      </c>
      <c r="AY70" s="1" t="s">
        <v>74</v>
      </c>
      <c r="AZ70" s="1" t="s">
        <v>74</v>
      </c>
      <c r="BA70" s="1" t="s">
        <v>74</v>
      </c>
      <c r="BB70" s="1">
        <v>2025.0</v>
      </c>
      <c r="BC70" s="1">
        <v>2030.0</v>
      </c>
      <c r="BD70" s="1" t="s">
        <v>74</v>
      </c>
      <c r="BE70" s="1" t="s">
        <v>875</v>
      </c>
      <c r="BF70" s="2" t="str">
        <f>HYPERLINK("http://dx.doi.org/10.1007/s11947-011-0662-z","http://dx.doi.org/10.1007/s11947-011-0662-z")</f>
        <v>http://dx.doi.org/10.1007/s11947-011-0662-z</v>
      </c>
      <c r="BG70" s="1" t="s">
        <v>74</v>
      </c>
      <c r="BH70" s="1" t="s">
        <v>74</v>
      </c>
      <c r="BI70" s="1" t="s">
        <v>74</v>
      </c>
      <c r="BJ70" s="1" t="s">
        <v>74</v>
      </c>
      <c r="BK70" s="1" t="s">
        <v>74</v>
      </c>
      <c r="BL70" s="1" t="s">
        <v>74</v>
      </c>
      <c r="BM70" s="1" t="s">
        <v>74</v>
      </c>
      <c r="BN70" s="1" t="s">
        <v>74</v>
      </c>
      <c r="BO70" s="1" t="s">
        <v>74</v>
      </c>
      <c r="BP70" s="1" t="s">
        <v>74</v>
      </c>
      <c r="BQ70" s="1" t="s">
        <v>74</v>
      </c>
      <c r="BR70" s="1" t="s">
        <v>74</v>
      </c>
      <c r="BS70" s="1" t="s">
        <v>876</v>
      </c>
      <c r="BT70" s="1" t="str">
        <f>HYPERLINK("https%3A%2F%2Fwww.webofscience.com%2Fwos%2Fwoscc%2Ffull-record%2FWOS:000305213500055","View Full Record in Web of Science")</f>
        <v>View Full Record in Web of Science</v>
      </c>
    </row>
    <row r="71" ht="12.75" customHeight="1">
      <c r="A71" s="1" t="s">
        <v>72</v>
      </c>
      <c r="B71" s="1" t="s">
        <v>877</v>
      </c>
      <c r="C71" s="1" t="s">
        <v>74</v>
      </c>
      <c r="D71" s="1" t="s">
        <v>74</v>
      </c>
      <c r="E71" s="1" t="s">
        <v>74</v>
      </c>
      <c r="F71" s="1" t="s">
        <v>878</v>
      </c>
      <c r="G71" s="1" t="s">
        <v>74</v>
      </c>
      <c r="H71" s="1" t="s">
        <v>74</v>
      </c>
      <c r="I71" s="1" t="s">
        <v>879</v>
      </c>
      <c r="J71" s="1" t="s">
        <v>880</v>
      </c>
      <c r="K71" s="1" t="s">
        <v>74</v>
      </c>
      <c r="L71" s="1" t="s">
        <v>74</v>
      </c>
      <c r="M71" s="1" t="s">
        <v>74</v>
      </c>
      <c r="N71" s="1" t="s">
        <v>74</v>
      </c>
      <c r="O71" s="1" t="s">
        <v>74</v>
      </c>
      <c r="P71" s="1" t="s">
        <v>74</v>
      </c>
      <c r="Q71" s="1" t="s">
        <v>74</v>
      </c>
      <c r="R71" s="1" t="s">
        <v>74</v>
      </c>
      <c r="S71" s="1" t="s">
        <v>74</v>
      </c>
      <c r="T71" s="1" t="s">
        <v>74</v>
      </c>
      <c r="U71" s="1" t="s">
        <v>74</v>
      </c>
      <c r="V71" s="1" t="s">
        <v>881</v>
      </c>
      <c r="W71" s="1" t="s">
        <v>74</v>
      </c>
      <c r="X71" s="1" t="s">
        <v>74</v>
      </c>
      <c r="Y71" s="1" t="s">
        <v>74</v>
      </c>
      <c r="Z71" s="1" t="s">
        <v>74</v>
      </c>
      <c r="AA71" s="1" t="s">
        <v>882</v>
      </c>
      <c r="AB71" s="1" t="s">
        <v>883</v>
      </c>
      <c r="AC71" s="1" t="s">
        <v>74</v>
      </c>
      <c r="AD71" s="1" t="s">
        <v>74</v>
      </c>
      <c r="AE71" s="1" t="s">
        <v>74</v>
      </c>
      <c r="AF71" s="1" t="s">
        <v>74</v>
      </c>
      <c r="AG71" s="1" t="s">
        <v>74</v>
      </c>
      <c r="AH71" s="1" t="s">
        <v>74</v>
      </c>
      <c r="AI71" s="1" t="s">
        <v>74</v>
      </c>
      <c r="AJ71" s="1" t="s">
        <v>74</v>
      </c>
      <c r="AK71" s="1" t="s">
        <v>74</v>
      </c>
      <c r="AL71" s="1" t="s">
        <v>74</v>
      </c>
      <c r="AM71" s="1" t="s">
        <v>74</v>
      </c>
      <c r="AN71" s="1" t="s">
        <v>74</v>
      </c>
      <c r="AO71" s="1" t="s">
        <v>884</v>
      </c>
      <c r="AP71" s="1" t="s">
        <v>74</v>
      </c>
      <c r="AQ71" s="1" t="s">
        <v>74</v>
      </c>
      <c r="AR71" s="1" t="s">
        <v>74</v>
      </c>
      <c r="AS71" s="1" t="s">
        <v>74</v>
      </c>
      <c r="AT71" s="1" t="s">
        <v>485</v>
      </c>
      <c r="AU71" s="1">
        <v>2011.0</v>
      </c>
      <c r="AV71" s="1">
        <v>60.0</v>
      </c>
      <c r="AW71" s="1">
        <v>5.0</v>
      </c>
      <c r="AX71" s="1" t="s">
        <v>74</v>
      </c>
      <c r="AY71" s="1" t="s">
        <v>74</v>
      </c>
      <c r="AZ71" s="1" t="s">
        <v>74</v>
      </c>
      <c r="BA71" s="1" t="s">
        <v>74</v>
      </c>
      <c r="BB71" s="1">
        <v>839.0</v>
      </c>
      <c r="BC71" s="1">
        <v>844.0</v>
      </c>
      <c r="BD71" s="1" t="s">
        <v>74</v>
      </c>
      <c r="BE71" s="1" t="s">
        <v>885</v>
      </c>
      <c r="BF71" s="2" t="str">
        <f>HYPERLINK("http://dx.doi.org/10.1002/pi.3029","http://dx.doi.org/10.1002/pi.3029")</f>
        <v>http://dx.doi.org/10.1002/pi.3029</v>
      </c>
      <c r="BG71" s="1" t="s">
        <v>74</v>
      </c>
      <c r="BH71" s="1" t="s">
        <v>74</v>
      </c>
      <c r="BI71" s="1" t="s">
        <v>74</v>
      </c>
      <c r="BJ71" s="1" t="s">
        <v>74</v>
      </c>
      <c r="BK71" s="1" t="s">
        <v>74</v>
      </c>
      <c r="BL71" s="1" t="s">
        <v>74</v>
      </c>
      <c r="BM71" s="1" t="s">
        <v>74</v>
      </c>
      <c r="BN71" s="1" t="s">
        <v>74</v>
      </c>
      <c r="BO71" s="1" t="s">
        <v>74</v>
      </c>
      <c r="BP71" s="1" t="s">
        <v>74</v>
      </c>
      <c r="BQ71" s="1" t="s">
        <v>74</v>
      </c>
      <c r="BR71" s="1" t="s">
        <v>74</v>
      </c>
      <c r="BS71" s="1" t="s">
        <v>886</v>
      </c>
      <c r="BT71" s="1" t="str">
        <f>HYPERLINK("https%3A%2F%2Fwww.webofscience.com%2Fwos%2Fwoscc%2Ffull-record%2FWOS:000289516300018","View Full Record in Web of Science")</f>
        <v>View Full Record in Web of Science</v>
      </c>
    </row>
    <row r="72" ht="12.75" customHeight="1">
      <c r="A72" s="1" t="s">
        <v>72</v>
      </c>
      <c r="B72" s="1" t="s">
        <v>887</v>
      </c>
      <c r="C72" s="1" t="s">
        <v>74</v>
      </c>
      <c r="D72" s="1" t="s">
        <v>74</v>
      </c>
      <c r="E72" s="1" t="s">
        <v>74</v>
      </c>
      <c r="F72" s="1" t="s">
        <v>888</v>
      </c>
      <c r="G72" s="1" t="s">
        <v>74</v>
      </c>
      <c r="H72" s="1" t="s">
        <v>74</v>
      </c>
      <c r="I72" s="1" t="s">
        <v>889</v>
      </c>
      <c r="J72" s="1" t="s">
        <v>890</v>
      </c>
      <c r="K72" s="1" t="s">
        <v>74</v>
      </c>
      <c r="L72" s="1" t="s">
        <v>74</v>
      </c>
      <c r="M72" s="1" t="s">
        <v>74</v>
      </c>
      <c r="N72" s="1" t="s">
        <v>74</v>
      </c>
      <c r="O72" s="1" t="s">
        <v>74</v>
      </c>
      <c r="P72" s="1" t="s">
        <v>74</v>
      </c>
      <c r="Q72" s="1" t="s">
        <v>74</v>
      </c>
      <c r="R72" s="1" t="s">
        <v>74</v>
      </c>
      <c r="S72" s="1" t="s">
        <v>74</v>
      </c>
      <c r="T72" s="1" t="s">
        <v>74</v>
      </c>
      <c r="U72" s="1" t="s">
        <v>74</v>
      </c>
      <c r="V72" s="1" t="s">
        <v>891</v>
      </c>
      <c r="W72" s="1" t="s">
        <v>74</v>
      </c>
      <c r="X72" s="1" t="s">
        <v>74</v>
      </c>
      <c r="Y72" s="1" t="s">
        <v>74</v>
      </c>
      <c r="Z72" s="1" t="s">
        <v>74</v>
      </c>
      <c r="AA72" s="1" t="s">
        <v>892</v>
      </c>
      <c r="AB72" s="1" t="s">
        <v>198</v>
      </c>
      <c r="AC72" s="1" t="s">
        <v>74</v>
      </c>
      <c r="AD72" s="1" t="s">
        <v>74</v>
      </c>
      <c r="AE72" s="1" t="s">
        <v>74</v>
      </c>
      <c r="AF72" s="1" t="s">
        <v>74</v>
      </c>
      <c r="AG72" s="1" t="s">
        <v>74</v>
      </c>
      <c r="AH72" s="1" t="s">
        <v>74</v>
      </c>
      <c r="AI72" s="1" t="s">
        <v>74</v>
      </c>
      <c r="AJ72" s="1" t="s">
        <v>74</v>
      </c>
      <c r="AK72" s="1" t="s">
        <v>74</v>
      </c>
      <c r="AL72" s="1" t="s">
        <v>74</v>
      </c>
      <c r="AM72" s="1" t="s">
        <v>74</v>
      </c>
      <c r="AN72" s="1" t="s">
        <v>74</v>
      </c>
      <c r="AO72" s="1" t="s">
        <v>893</v>
      </c>
      <c r="AP72" s="1" t="s">
        <v>894</v>
      </c>
      <c r="AQ72" s="1" t="s">
        <v>74</v>
      </c>
      <c r="AR72" s="1" t="s">
        <v>74</v>
      </c>
      <c r="AS72" s="1" t="s">
        <v>74</v>
      </c>
      <c r="AT72" s="1" t="s">
        <v>895</v>
      </c>
      <c r="AU72" s="1">
        <v>2009.0</v>
      </c>
      <c r="AV72" s="1">
        <v>246.0</v>
      </c>
      <c r="AW72" s="1">
        <v>3.0</v>
      </c>
      <c r="AX72" s="1" t="s">
        <v>74</v>
      </c>
      <c r="AY72" s="1" t="s">
        <v>74</v>
      </c>
      <c r="AZ72" s="1" t="s">
        <v>74</v>
      </c>
      <c r="BA72" s="1" t="s">
        <v>74</v>
      </c>
      <c r="BB72" s="1">
        <v>1007.0</v>
      </c>
      <c r="BC72" s="1">
        <v>1037.0</v>
      </c>
      <c r="BD72" s="1" t="s">
        <v>74</v>
      </c>
      <c r="BE72" s="1" t="s">
        <v>896</v>
      </c>
      <c r="BF72" s="2" t="str">
        <f>HYPERLINK("http://dx.doi.org/10.1016/j.jde.2008.09.007","http://dx.doi.org/10.1016/j.jde.2008.09.007")</f>
        <v>http://dx.doi.org/10.1016/j.jde.2008.09.007</v>
      </c>
      <c r="BG72" s="1" t="s">
        <v>74</v>
      </c>
      <c r="BH72" s="1" t="s">
        <v>74</v>
      </c>
      <c r="BI72" s="1" t="s">
        <v>74</v>
      </c>
      <c r="BJ72" s="1" t="s">
        <v>74</v>
      </c>
      <c r="BK72" s="1" t="s">
        <v>74</v>
      </c>
      <c r="BL72" s="1" t="s">
        <v>74</v>
      </c>
      <c r="BM72" s="1" t="s">
        <v>74</v>
      </c>
      <c r="BN72" s="1" t="s">
        <v>74</v>
      </c>
      <c r="BO72" s="1" t="s">
        <v>74</v>
      </c>
      <c r="BP72" s="1" t="s">
        <v>74</v>
      </c>
      <c r="BQ72" s="1" t="s">
        <v>74</v>
      </c>
      <c r="BR72" s="1" t="s">
        <v>74</v>
      </c>
      <c r="BS72" s="1" t="s">
        <v>897</v>
      </c>
      <c r="BT72" s="1" t="str">
        <f>HYPERLINK("https%3A%2F%2Fwww.webofscience.com%2Fwos%2Fwoscc%2Ffull-record%2FWOS:000261775000005","View Full Record in Web of Science")</f>
        <v>View Full Record in Web of Science</v>
      </c>
    </row>
    <row r="73" ht="12.75" customHeight="1">
      <c r="A73" s="1" t="s">
        <v>72</v>
      </c>
      <c r="B73" s="1" t="s">
        <v>898</v>
      </c>
      <c r="C73" s="1" t="s">
        <v>74</v>
      </c>
      <c r="D73" s="1" t="s">
        <v>74</v>
      </c>
      <c r="E73" s="1" t="s">
        <v>74</v>
      </c>
      <c r="F73" s="1" t="s">
        <v>898</v>
      </c>
      <c r="G73" s="1" t="s">
        <v>74</v>
      </c>
      <c r="H73" s="1" t="s">
        <v>74</v>
      </c>
      <c r="I73" s="1" t="s">
        <v>899</v>
      </c>
      <c r="J73" s="1" t="s">
        <v>900</v>
      </c>
      <c r="K73" s="1" t="s">
        <v>74</v>
      </c>
      <c r="L73" s="1" t="s">
        <v>74</v>
      </c>
      <c r="M73" s="1" t="s">
        <v>74</v>
      </c>
      <c r="N73" s="1" t="s">
        <v>74</v>
      </c>
      <c r="O73" s="1" t="s">
        <v>74</v>
      </c>
      <c r="P73" s="1" t="s">
        <v>74</v>
      </c>
      <c r="Q73" s="1" t="s">
        <v>74</v>
      </c>
      <c r="R73" s="1" t="s">
        <v>74</v>
      </c>
      <c r="S73" s="1" t="s">
        <v>74</v>
      </c>
      <c r="T73" s="1" t="s">
        <v>74</v>
      </c>
      <c r="U73" s="1" t="s">
        <v>74</v>
      </c>
      <c r="V73" s="1" t="s">
        <v>901</v>
      </c>
      <c r="W73" s="1" t="s">
        <v>74</v>
      </c>
      <c r="X73" s="1" t="s">
        <v>74</v>
      </c>
      <c r="Y73" s="1" t="s">
        <v>74</v>
      </c>
      <c r="Z73" s="1" t="s">
        <v>74</v>
      </c>
      <c r="AA73" s="1" t="s">
        <v>902</v>
      </c>
      <c r="AB73" s="1" t="s">
        <v>903</v>
      </c>
      <c r="AC73" s="1" t="s">
        <v>74</v>
      </c>
      <c r="AD73" s="1" t="s">
        <v>74</v>
      </c>
      <c r="AE73" s="1" t="s">
        <v>74</v>
      </c>
      <c r="AF73" s="1" t="s">
        <v>74</v>
      </c>
      <c r="AG73" s="1" t="s">
        <v>74</v>
      </c>
      <c r="AH73" s="1" t="s">
        <v>74</v>
      </c>
      <c r="AI73" s="1" t="s">
        <v>74</v>
      </c>
      <c r="AJ73" s="1" t="s">
        <v>74</v>
      </c>
      <c r="AK73" s="1" t="s">
        <v>74</v>
      </c>
      <c r="AL73" s="1" t="s">
        <v>74</v>
      </c>
      <c r="AM73" s="1" t="s">
        <v>74</v>
      </c>
      <c r="AN73" s="1" t="s">
        <v>74</v>
      </c>
      <c r="AO73" s="1" t="s">
        <v>904</v>
      </c>
      <c r="AP73" s="1" t="s">
        <v>74</v>
      </c>
      <c r="AQ73" s="1" t="s">
        <v>74</v>
      </c>
      <c r="AR73" s="1" t="s">
        <v>74</v>
      </c>
      <c r="AS73" s="1" t="s">
        <v>74</v>
      </c>
      <c r="AT73" s="1" t="s">
        <v>235</v>
      </c>
      <c r="AU73" s="1">
        <v>2003.0</v>
      </c>
      <c r="AV73" s="1">
        <v>125.0</v>
      </c>
      <c r="AW73" s="1">
        <v>4.0</v>
      </c>
      <c r="AX73" s="1" t="s">
        <v>74</v>
      </c>
      <c r="AY73" s="1" t="s">
        <v>74</v>
      </c>
      <c r="AZ73" s="1" t="s">
        <v>74</v>
      </c>
      <c r="BA73" s="1" t="s">
        <v>74</v>
      </c>
      <c r="BB73" s="1">
        <v>585.0</v>
      </c>
      <c r="BC73" s="1">
        <v>595.0</v>
      </c>
      <c r="BD73" s="1" t="s">
        <v>74</v>
      </c>
      <c r="BE73" s="1" t="s">
        <v>905</v>
      </c>
      <c r="BF73" s="2" t="str">
        <f>HYPERLINK("http://dx.doi.org/10.1530/rep.0.1250585","http://dx.doi.org/10.1530/rep.0.1250585")</f>
        <v>http://dx.doi.org/10.1530/rep.0.1250585</v>
      </c>
      <c r="BG73" s="1" t="s">
        <v>74</v>
      </c>
      <c r="BH73" s="1" t="s">
        <v>74</v>
      </c>
      <c r="BI73" s="1" t="s">
        <v>74</v>
      </c>
      <c r="BJ73" s="1" t="s">
        <v>74</v>
      </c>
      <c r="BK73" s="1" t="s">
        <v>74</v>
      </c>
      <c r="BL73" s="1" t="s">
        <v>74</v>
      </c>
      <c r="BM73" s="1" t="s">
        <v>74</v>
      </c>
      <c r="BN73" s="1">
        <v>1.2683929E7</v>
      </c>
      <c r="BO73" s="1" t="s">
        <v>74</v>
      </c>
      <c r="BP73" s="1" t="s">
        <v>74</v>
      </c>
      <c r="BQ73" s="1" t="s">
        <v>74</v>
      </c>
      <c r="BR73" s="1" t="s">
        <v>74</v>
      </c>
      <c r="BS73" s="1" t="s">
        <v>906</v>
      </c>
      <c r="BT73" s="1" t="str">
        <f>HYPERLINK("https%3A%2F%2Fwww.webofscience.com%2Fwos%2Fwoscc%2Ffull-record%2FWOS:000182398600014","View Full Record in Web of Science")</f>
        <v>View Full Record in Web of Science</v>
      </c>
    </row>
    <row r="74" ht="12.75" customHeight="1">
      <c r="A74" s="1" t="s">
        <v>72</v>
      </c>
      <c r="B74" s="1" t="s">
        <v>907</v>
      </c>
      <c r="C74" s="1" t="s">
        <v>74</v>
      </c>
      <c r="D74" s="1" t="s">
        <v>74</v>
      </c>
      <c r="E74" s="1" t="s">
        <v>74</v>
      </c>
      <c r="F74" s="1" t="s">
        <v>907</v>
      </c>
      <c r="G74" s="1" t="s">
        <v>74</v>
      </c>
      <c r="H74" s="1" t="s">
        <v>74</v>
      </c>
      <c r="I74" s="1" t="s">
        <v>908</v>
      </c>
      <c r="J74" s="1" t="s">
        <v>909</v>
      </c>
      <c r="K74" s="1" t="s">
        <v>74</v>
      </c>
      <c r="L74" s="1" t="s">
        <v>74</v>
      </c>
      <c r="M74" s="1" t="s">
        <v>74</v>
      </c>
      <c r="N74" s="1" t="s">
        <v>74</v>
      </c>
      <c r="O74" s="1" t="s">
        <v>74</v>
      </c>
      <c r="P74" s="1" t="s">
        <v>74</v>
      </c>
      <c r="Q74" s="1" t="s">
        <v>74</v>
      </c>
      <c r="R74" s="1" t="s">
        <v>74</v>
      </c>
      <c r="S74" s="1" t="s">
        <v>74</v>
      </c>
      <c r="T74" s="1" t="s">
        <v>74</v>
      </c>
      <c r="U74" s="1" t="s">
        <v>74</v>
      </c>
      <c r="V74" s="1" t="s">
        <v>910</v>
      </c>
      <c r="W74" s="1" t="s">
        <v>74</v>
      </c>
      <c r="X74" s="1" t="s">
        <v>74</v>
      </c>
      <c r="Y74" s="1" t="s">
        <v>74</v>
      </c>
      <c r="Z74" s="1" t="s">
        <v>74</v>
      </c>
      <c r="AA74" s="1" t="s">
        <v>74</v>
      </c>
      <c r="AB74" s="1" t="s">
        <v>74</v>
      </c>
      <c r="AC74" s="1" t="s">
        <v>74</v>
      </c>
      <c r="AD74" s="1" t="s">
        <v>74</v>
      </c>
      <c r="AE74" s="1" t="s">
        <v>74</v>
      </c>
      <c r="AF74" s="1" t="s">
        <v>74</v>
      </c>
      <c r="AG74" s="1" t="s">
        <v>74</v>
      </c>
      <c r="AH74" s="1" t="s">
        <v>74</v>
      </c>
      <c r="AI74" s="1" t="s">
        <v>74</v>
      </c>
      <c r="AJ74" s="1" t="s">
        <v>74</v>
      </c>
      <c r="AK74" s="1" t="s">
        <v>74</v>
      </c>
      <c r="AL74" s="1" t="s">
        <v>74</v>
      </c>
      <c r="AM74" s="1" t="s">
        <v>74</v>
      </c>
      <c r="AN74" s="1" t="s">
        <v>74</v>
      </c>
      <c r="AO74" s="1" t="s">
        <v>911</v>
      </c>
      <c r="AP74" s="1" t="s">
        <v>74</v>
      </c>
      <c r="AQ74" s="1" t="s">
        <v>74</v>
      </c>
      <c r="AR74" s="1" t="s">
        <v>74</v>
      </c>
      <c r="AS74" s="1" t="s">
        <v>74</v>
      </c>
      <c r="AT74" s="1" t="s">
        <v>912</v>
      </c>
      <c r="AU74" s="1">
        <v>2003.0</v>
      </c>
      <c r="AV74" s="1">
        <v>155.0</v>
      </c>
      <c r="AW74" s="1" t="s">
        <v>913</v>
      </c>
      <c r="AX74" s="1" t="s">
        <v>74</v>
      </c>
      <c r="AY74" s="1" t="s">
        <v>74</v>
      </c>
      <c r="AZ74" s="1" t="s">
        <v>74</v>
      </c>
      <c r="BA74" s="1" t="s">
        <v>74</v>
      </c>
      <c r="BB74" s="1">
        <v>157.0</v>
      </c>
      <c r="BC74" s="1">
        <v>162.0</v>
      </c>
      <c r="BD74" s="1" t="s">
        <v>914</v>
      </c>
      <c r="BE74" s="1" t="s">
        <v>915</v>
      </c>
      <c r="BF74" s="2" t="str">
        <f>HYPERLINK("http://dx.doi.org/10.1016/S1010-6030(02)00355-6","http://dx.doi.org/10.1016/S1010-6030(02)00355-6")</f>
        <v>http://dx.doi.org/10.1016/S1010-6030(02)00355-6</v>
      </c>
      <c r="BG74" s="1" t="s">
        <v>74</v>
      </c>
      <c r="BH74" s="1" t="s">
        <v>74</v>
      </c>
      <c r="BI74" s="1" t="s">
        <v>74</v>
      </c>
      <c r="BJ74" s="1" t="s">
        <v>74</v>
      </c>
      <c r="BK74" s="1" t="s">
        <v>74</v>
      </c>
      <c r="BL74" s="1" t="s">
        <v>74</v>
      </c>
      <c r="BM74" s="1" t="s">
        <v>74</v>
      </c>
      <c r="BN74" s="1" t="s">
        <v>74</v>
      </c>
      <c r="BO74" s="1" t="s">
        <v>74</v>
      </c>
      <c r="BP74" s="1" t="s">
        <v>74</v>
      </c>
      <c r="BQ74" s="1" t="s">
        <v>74</v>
      </c>
      <c r="BR74" s="1" t="s">
        <v>74</v>
      </c>
      <c r="BS74" s="1" t="s">
        <v>916</v>
      </c>
      <c r="BT74" s="1" t="str">
        <f>HYPERLINK("https%3A%2F%2Fwww.webofscience.com%2Fwos%2Fwoscc%2Ffull-record%2FWOS:000181246300020","View Full Record in Web of Science")</f>
        <v>View Full Record in Web of Science</v>
      </c>
    </row>
    <row r="75" ht="12.75" customHeight="1">
      <c r="A75" s="1" t="s">
        <v>72</v>
      </c>
      <c r="B75" s="1" t="s">
        <v>917</v>
      </c>
      <c r="C75" s="1" t="s">
        <v>74</v>
      </c>
      <c r="D75" s="1" t="s">
        <v>74</v>
      </c>
      <c r="E75" s="1" t="s">
        <v>74</v>
      </c>
      <c r="F75" s="1" t="s">
        <v>917</v>
      </c>
      <c r="G75" s="1" t="s">
        <v>74</v>
      </c>
      <c r="H75" s="1" t="s">
        <v>74</v>
      </c>
      <c r="I75" s="1" t="s">
        <v>918</v>
      </c>
      <c r="J75" s="1" t="s">
        <v>919</v>
      </c>
      <c r="K75" s="1" t="s">
        <v>74</v>
      </c>
      <c r="L75" s="1" t="s">
        <v>74</v>
      </c>
      <c r="M75" s="1" t="s">
        <v>74</v>
      </c>
      <c r="N75" s="1" t="s">
        <v>74</v>
      </c>
      <c r="O75" s="1" t="s">
        <v>74</v>
      </c>
      <c r="P75" s="1" t="s">
        <v>74</v>
      </c>
      <c r="Q75" s="1" t="s">
        <v>74</v>
      </c>
      <c r="R75" s="1" t="s">
        <v>74</v>
      </c>
      <c r="S75" s="1" t="s">
        <v>74</v>
      </c>
      <c r="T75" s="1" t="s">
        <v>74</v>
      </c>
      <c r="U75" s="1" t="s">
        <v>74</v>
      </c>
      <c r="V75" s="1" t="s">
        <v>920</v>
      </c>
      <c r="W75" s="1" t="s">
        <v>74</v>
      </c>
      <c r="X75" s="1" t="s">
        <v>74</v>
      </c>
      <c r="Y75" s="1" t="s">
        <v>74</v>
      </c>
      <c r="Z75" s="1" t="s">
        <v>74</v>
      </c>
      <c r="AA75" s="1" t="s">
        <v>921</v>
      </c>
      <c r="AB75" s="1" t="s">
        <v>922</v>
      </c>
      <c r="AC75" s="1" t="s">
        <v>74</v>
      </c>
      <c r="AD75" s="1" t="s">
        <v>74</v>
      </c>
      <c r="AE75" s="1" t="s">
        <v>74</v>
      </c>
      <c r="AF75" s="1" t="s">
        <v>74</v>
      </c>
      <c r="AG75" s="1" t="s">
        <v>74</v>
      </c>
      <c r="AH75" s="1" t="s">
        <v>74</v>
      </c>
      <c r="AI75" s="1" t="s">
        <v>74</v>
      </c>
      <c r="AJ75" s="1" t="s">
        <v>74</v>
      </c>
      <c r="AK75" s="1" t="s">
        <v>74</v>
      </c>
      <c r="AL75" s="1" t="s">
        <v>74</v>
      </c>
      <c r="AM75" s="1" t="s">
        <v>74</v>
      </c>
      <c r="AN75" s="1" t="s">
        <v>74</v>
      </c>
      <c r="AO75" s="1" t="s">
        <v>923</v>
      </c>
      <c r="AP75" s="1" t="s">
        <v>74</v>
      </c>
      <c r="AQ75" s="1" t="s">
        <v>74</v>
      </c>
      <c r="AR75" s="1" t="s">
        <v>74</v>
      </c>
      <c r="AS75" s="1" t="s">
        <v>74</v>
      </c>
      <c r="AT75" s="1" t="s">
        <v>422</v>
      </c>
      <c r="AU75" s="1">
        <v>2001.0</v>
      </c>
      <c r="AV75" s="1">
        <v>111.0</v>
      </c>
      <c r="AW75" s="1">
        <v>1.0</v>
      </c>
      <c r="AX75" s="1" t="s">
        <v>74</v>
      </c>
      <c r="AY75" s="1" t="s">
        <v>74</v>
      </c>
      <c r="AZ75" s="1" t="s">
        <v>74</v>
      </c>
      <c r="BA75" s="1" t="s">
        <v>74</v>
      </c>
      <c r="BB75" s="1">
        <v>55.0</v>
      </c>
      <c r="BC75" s="1">
        <v>65.0</v>
      </c>
      <c r="BD75" s="1" t="s">
        <v>74</v>
      </c>
      <c r="BE75" s="1" t="s">
        <v>924</v>
      </c>
      <c r="BF75" s="2" t="str">
        <f>HYPERLINK("http://dx.doi.org/10.1034/j.1399-3054.2001.1110108.x","http://dx.doi.org/10.1034/j.1399-3054.2001.1110108.x")</f>
        <v>http://dx.doi.org/10.1034/j.1399-3054.2001.1110108.x</v>
      </c>
      <c r="BG75" s="1" t="s">
        <v>74</v>
      </c>
      <c r="BH75" s="1" t="s">
        <v>74</v>
      </c>
      <c r="BI75" s="1" t="s">
        <v>74</v>
      </c>
      <c r="BJ75" s="1" t="s">
        <v>74</v>
      </c>
      <c r="BK75" s="1" t="s">
        <v>74</v>
      </c>
      <c r="BL75" s="1" t="s">
        <v>74</v>
      </c>
      <c r="BM75" s="1" t="s">
        <v>74</v>
      </c>
      <c r="BN75" s="1" t="s">
        <v>74</v>
      </c>
      <c r="BO75" s="1" t="s">
        <v>74</v>
      </c>
      <c r="BP75" s="1" t="s">
        <v>74</v>
      </c>
      <c r="BQ75" s="1" t="s">
        <v>74</v>
      </c>
      <c r="BR75" s="1" t="s">
        <v>74</v>
      </c>
      <c r="BS75" s="1" t="s">
        <v>925</v>
      </c>
      <c r="BT75" s="1" t="str">
        <f>HYPERLINK("https%3A%2F%2Fwww.webofscience.com%2Fwos%2Fwoscc%2Ffull-record%2FWOS:000166377700008","View Full Record in Web of Science")</f>
        <v>View Full Record in Web of Science</v>
      </c>
    </row>
    <row r="76" ht="12.75" customHeight="1">
      <c r="A76" s="1" t="s">
        <v>72</v>
      </c>
      <c r="B76" s="1" t="s">
        <v>926</v>
      </c>
      <c r="C76" s="1" t="s">
        <v>74</v>
      </c>
      <c r="D76" s="1" t="s">
        <v>74</v>
      </c>
      <c r="E76" s="1" t="s">
        <v>74</v>
      </c>
      <c r="F76" s="1" t="s">
        <v>926</v>
      </c>
      <c r="G76" s="1" t="s">
        <v>74</v>
      </c>
      <c r="H76" s="1" t="s">
        <v>74</v>
      </c>
      <c r="I76" s="1" t="s">
        <v>927</v>
      </c>
      <c r="J76" s="1" t="s">
        <v>502</v>
      </c>
      <c r="K76" s="1" t="s">
        <v>74</v>
      </c>
      <c r="L76" s="1" t="s">
        <v>74</v>
      </c>
      <c r="M76" s="1" t="s">
        <v>74</v>
      </c>
      <c r="N76" s="1" t="s">
        <v>74</v>
      </c>
      <c r="O76" s="1" t="s">
        <v>74</v>
      </c>
      <c r="P76" s="1" t="s">
        <v>74</v>
      </c>
      <c r="Q76" s="1" t="s">
        <v>74</v>
      </c>
      <c r="R76" s="1" t="s">
        <v>74</v>
      </c>
      <c r="S76" s="1" t="s">
        <v>74</v>
      </c>
      <c r="T76" s="1" t="s">
        <v>74</v>
      </c>
      <c r="U76" s="1" t="s">
        <v>74</v>
      </c>
      <c r="V76" s="1" t="s">
        <v>928</v>
      </c>
      <c r="W76" s="1" t="s">
        <v>74</v>
      </c>
      <c r="X76" s="1" t="s">
        <v>74</v>
      </c>
      <c r="Y76" s="1" t="s">
        <v>74</v>
      </c>
      <c r="Z76" s="1" t="s">
        <v>74</v>
      </c>
      <c r="AA76" s="1" t="s">
        <v>929</v>
      </c>
      <c r="AB76" s="1" t="s">
        <v>930</v>
      </c>
      <c r="AC76" s="1" t="s">
        <v>74</v>
      </c>
      <c r="AD76" s="1" t="s">
        <v>74</v>
      </c>
      <c r="AE76" s="1" t="s">
        <v>74</v>
      </c>
      <c r="AF76" s="1" t="s">
        <v>74</v>
      </c>
      <c r="AG76" s="1" t="s">
        <v>74</v>
      </c>
      <c r="AH76" s="1" t="s">
        <v>74</v>
      </c>
      <c r="AI76" s="1" t="s">
        <v>74</v>
      </c>
      <c r="AJ76" s="1" t="s">
        <v>74</v>
      </c>
      <c r="AK76" s="1" t="s">
        <v>74</v>
      </c>
      <c r="AL76" s="1" t="s">
        <v>74</v>
      </c>
      <c r="AM76" s="1" t="s">
        <v>74</v>
      </c>
      <c r="AN76" s="1" t="s">
        <v>74</v>
      </c>
      <c r="AO76" s="1" t="s">
        <v>506</v>
      </c>
      <c r="AP76" s="1" t="s">
        <v>74</v>
      </c>
      <c r="AQ76" s="1" t="s">
        <v>74</v>
      </c>
      <c r="AR76" s="1" t="s">
        <v>74</v>
      </c>
      <c r="AS76" s="1" t="s">
        <v>74</v>
      </c>
      <c r="AT76" s="1" t="s">
        <v>74</v>
      </c>
      <c r="AU76" s="1">
        <v>1998.0</v>
      </c>
      <c r="AV76" s="1">
        <v>28.0</v>
      </c>
      <c r="AW76" s="1">
        <v>23.0</v>
      </c>
      <c r="AX76" s="1" t="s">
        <v>74</v>
      </c>
      <c r="AY76" s="1" t="s">
        <v>74</v>
      </c>
      <c r="AZ76" s="1" t="s">
        <v>74</v>
      </c>
      <c r="BA76" s="1" t="s">
        <v>74</v>
      </c>
      <c r="BB76" s="1">
        <v>4365.0</v>
      </c>
      <c r="BC76" s="1">
        <v>4370.0</v>
      </c>
      <c r="BD76" s="1" t="s">
        <v>74</v>
      </c>
      <c r="BE76" s="1" t="s">
        <v>931</v>
      </c>
      <c r="BF76" s="2" t="str">
        <f>HYPERLINK("http://dx.doi.org/10.1080/00397919808004471","http://dx.doi.org/10.1080/00397919808004471")</f>
        <v>http://dx.doi.org/10.1080/00397919808004471</v>
      </c>
      <c r="BG76" s="1" t="s">
        <v>74</v>
      </c>
      <c r="BH76" s="1" t="s">
        <v>74</v>
      </c>
      <c r="BI76" s="1" t="s">
        <v>74</v>
      </c>
      <c r="BJ76" s="1" t="s">
        <v>74</v>
      </c>
      <c r="BK76" s="1" t="s">
        <v>74</v>
      </c>
      <c r="BL76" s="1" t="s">
        <v>74</v>
      </c>
      <c r="BM76" s="1" t="s">
        <v>74</v>
      </c>
      <c r="BN76" s="1" t="s">
        <v>74</v>
      </c>
      <c r="BO76" s="1" t="s">
        <v>74</v>
      </c>
      <c r="BP76" s="1" t="s">
        <v>74</v>
      </c>
      <c r="BQ76" s="1" t="s">
        <v>74</v>
      </c>
      <c r="BR76" s="1" t="s">
        <v>74</v>
      </c>
      <c r="BS76" s="1" t="s">
        <v>932</v>
      </c>
      <c r="BT76" s="1" t="str">
        <f>HYPERLINK("https%3A%2F%2Fwww.webofscience.com%2Fwos%2Fwoscc%2Ffull-record%2FWOS:000076752100009","View Full Record in Web of Science")</f>
        <v>View Full Record in Web of Science</v>
      </c>
    </row>
    <row r="77" ht="12.75" customHeight="1">
      <c r="A77" s="1" t="s">
        <v>72</v>
      </c>
      <c r="B77" s="1" t="s">
        <v>933</v>
      </c>
      <c r="C77" s="1" t="s">
        <v>74</v>
      </c>
      <c r="D77" s="1" t="s">
        <v>74</v>
      </c>
      <c r="E77" s="1" t="s">
        <v>74</v>
      </c>
      <c r="F77" s="1" t="s">
        <v>933</v>
      </c>
      <c r="G77" s="1" t="s">
        <v>74</v>
      </c>
      <c r="H77" s="1" t="s">
        <v>74</v>
      </c>
      <c r="I77" s="1" t="s">
        <v>934</v>
      </c>
      <c r="J77" s="1" t="s">
        <v>935</v>
      </c>
      <c r="K77" s="1" t="s">
        <v>74</v>
      </c>
      <c r="L77" s="1" t="s">
        <v>74</v>
      </c>
      <c r="M77" s="1" t="s">
        <v>74</v>
      </c>
      <c r="N77" s="1" t="s">
        <v>74</v>
      </c>
      <c r="O77" s="1" t="s">
        <v>74</v>
      </c>
      <c r="P77" s="1" t="s">
        <v>74</v>
      </c>
      <c r="Q77" s="1" t="s">
        <v>74</v>
      </c>
      <c r="R77" s="1" t="s">
        <v>74</v>
      </c>
      <c r="S77" s="1" t="s">
        <v>74</v>
      </c>
      <c r="T77" s="1" t="s">
        <v>74</v>
      </c>
      <c r="U77" s="1" t="s">
        <v>74</v>
      </c>
      <c r="V77" s="1" t="s">
        <v>74</v>
      </c>
      <c r="W77" s="1" t="s">
        <v>74</v>
      </c>
      <c r="X77" s="1" t="s">
        <v>74</v>
      </c>
      <c r="Y77" s="1" t="s">
        <v>74</v>
      </c>
      <c r="Z77" s="1" t="s">
        <v>74</v>
      </c>
      <c r="AA77" s="1" t="s">
        <v>936</v>
      </c>
      <c r="AB77" s="1" t="s">
        <v>937</v>
      </c>
      <c r="AC77" s="1" t="s">
        <v>74</v>
      </c>
      <c r="AD77" s="1" t="s">
        <v>74</v>
      </c>
      <c r="AE77" s="1" t="s">
        <v>74</v>
      </c>
      <c r="AF77" s="1" t="s">
        <v>74</v>
      </c>
      <c r="AG77" s="1" t="s">
        <v>74</v>
      </c>
      <c r="AH77" s="1" t="s">
        <v>74</v>
      </c>
      <c r="AI77" s="1" t="s">
        <v>74</v>
      </c>
      <c r="AJ77" s="1" t="s">
        <v>74</v>
      </c>
      <c r="AK77" s="1" t="s">
        <v>74</v>
      </c>
      <c r="AL77" s="1" t="s">
        <v>74</v>
      </c>
      <c r="AM77" s="1" t="s">
        <v>74</v>
      </c>
      <c r="AN77" s="1" t="s">
        <v>74</v>
      </c>
      <c r="AO77" s="1" t="s">
        <v>938</v>
      </c>
      <c r="AP77" s="1" t="s">
        <v>74</v>
      </c>
      <c r="AQ77" s="1" t="s">
        <v>74</v>
      </c>
      <c r="AR77" s="1" t="s">
        <v>74</v>
      </c>
      <c r="AS77" s="1" t="s">
        <v>74</v>
      </c>
      <c r="AT77" s="1" t="s">
        <v>939</v>
      </c>
      <c r="AU77" s="1">
        <v>1991.0</v>
      </c>
      <c r="AV77" s="1">
        <v>63.0</v>
      </c>
      <c r="AW77" s="1">
        <v>1.0</v>
      </c>
      <c r="AX77" s="1" t="s">
        <v>74</v>
      </c>
      <c r="AY77" s="1" t="s">
        <v>74</v>
      </c>
      <c r="AZ77" s="1" t="s">
        <v>74</v>
      </c>
      <c r="BA77" s="1" t="s">
        <v>74</v>
      </c>
      <c r="BB77" s="1">
        <v>199.0</v>
      </c>
      <c r="BC77" s="1">
        <v>215.0</v>
      </c>
      <c r="BD77" s="1" t="s">
        <v>74</v>
      </c>
      <c r="BE77" s="1" t="s">
        <v>940</v>
      </c>
      <c r="BF77" s="2" t="str">
        <f>HYPERLINK("http://dx.doi.org/10.1215/S0012-7094-91-06309-X","http://dx.doi.org/10.1215/S0012-7094-91-06309-X")</f>
        <v>http://dx.doi.org/10.1215/S0012-7094-91-06309-X</v>
      </c>
      <c r="BG77" s="1" t="s">
        <v>74</v>
      </c>
      <c r="BH77" s="1" t="s">
        <v>74</v>
      </c>
      <c r="BI77" s="1" t="s">
        <v>74</v>
      </c>
      <c r="BJ77" s="1" t="s">
        <v>74</v>
      </c>
      <c r="BK77" s="1" t="s">
        <v>74</v>
      </c>
      <c r="BL77" s="1" t="s">
        <v>74</v>
      </c>
      <c r="BM77" s="1" t="s">
        <v>74</v>
      </c>
      <c r="BN77" s="1" t="s">
        <v>74</v>
      </c>
      <c r="BO77" s="1" t="s">
        <v>74</v>
      </c>
      <c r="BP77" s="1" t="s">
        <v>74</v>
      </c>
      <c r="BQ77" s="1" t="s">
        <v>74</v>
      </c>
      <c r="BR77" s="1" t="s">
        <v>74</v>
      </c>
      <c r="BS77" s="1" t="s">
        <v>941</v>
      </c>
      <c r="BT77" s="1" t="str">
        <f>HYPERLINK("https%3A%2F%2Fwww.webofscience.com%2Fwos%2Fwoscc%2Ffull-record%2FWOS:A1991FP71600009","View Full Record in Web of Science")</f>
        <v>View Full Record in Web of Science</v>
      </c>
    </row>
    <row r="78" ht="12.75" customHeight="1">
      <c r="A78" s="1" t="s">
        <v>72</v>
      </c>
      <c r="B78" s="1" t="s">
        <v>942</v>
      </c>
      <c r="C78" s="1" t="s">
        <v>74</v>
      </c>
      <c r="D78" s="1" t="s">
        <v>74</v>
      </c>
      <c r="E78" s="1" t="s">
        <v>74</v>
      </c>
      <c r="F78" s="1" t="s">
        <v>943</v>
      </c>
      <c r="G78" s="1" t="s">
        <v>74</v>
      </c>
      <c r="H78" s="1" t="s">
        <v>74</v>
      </c>
      <c r="I78" s="1" t="s">
        <v>944</v>
      </c>
      <c r="J78" s="1" t="s">
        <v>945</v>
      </c>
      <c r="K78" s="1" t="s">
        <v>74</v>
      </c>
      <c r="L78" s="1" t="s">
        <v>74</v>
      </c>
      <c r="M78" s="1" t="s">
        <v>74</v>
      </c>
      <c r="N78" s="1" t="s">
        <v>74</v>
      </c>
      <c r="O78" s="1" t="s">
        <v>74</v>
      </c>
      <c r="P78" s="1" t="s">
        <v>74</v>
      </c>
      <c r="Q78" s="1" t="s">
        <v>74</v>
      </c>
      <c r="R78" s="1" t="s">
        <v>74</v>
      </c>
      <c r="S78" s="1" t="s">
        <v>74</v>
      </c>
      <c r="T78" s="1" t="s">
        <v>74</v>
      </c>
      <c r="U78" s="1" t="s">
        <v>74</v>
      </c>
      <c r="V78" s="1" t="s">
        <v>946</v>
      </c>
      <c r="W78" s="1" t="s">
        <v>74</v>
      </c>
      <c r="X78" s="1" t="s">
        <v>74</v>
      </c>
      <c r="Y78" s="1" t="s">
        <v>74</v>
      </c>
      <c r="Z78" s="1" t="s">
        <v>74</v>
      </c>
      <c r="AA78" s="1" t="s">
        <v>947</v>
      </c>
      <c r="AB78" s="1" t="s">
        <v>948</v>
      </c>
      <c r="AC78" s="1" t="s">
        <v>74</v>
      </c>
      <c r="AD78" s="1" t="s">
        <v>74</v>
      </c>
      <c r="AE78" s="1" t="s">
        <v>74</v>
      </c>
      <c r="AF78" s="1" t="s">
        <v>74</v>
      </c>
      <c r="AG78" s="1" t="s">
        <v>74</v>
      </c>
      <c r="AH78" s="1" t="s">
        <v>74</v>
      </c>
      <c r="AI78" s="1" t="s">
        <v>74</v>
      </c>
      <c r="AJ78" s="1" t="s">
        <v>74</v>
      </c>
      <c r="AK78" s="1" t="s">
        <v>74</v>
      </c>
      <c r="AL78" s="1" t="s">
        <v>74</v>
      </c>
      <c r="AM78" s="1" t="s">
        <v>74</v>
      </c>
      <c r="AN78" s="1" t="s">
        <v>74</v>
      </c>
      <c r="AO78" s="1" t="s">
        <v>949</v>
      </c>
      <c r="AP78" s="1" t="s">
        <v>950</v>
      </c>
      <c r="AQ78" s="1" t="s">
        <v>74</v>
      </c>
      <c r="AR78" s="1" t="s">
        <v>74</v>
      </c>
      <c r="AS78" s="1" t="s">
        <v>74</v>
      </c>
      <c r="AT78" s="1" t="s">
        <v>939</v>
      </c>
      <c r="AU78" s="1">
        <v>2025.0</v>
      </c>
      <c r="AV78" s="1">
        <v>228.0</v>
      </c>
      <c r="AW78" s="1" t="s">
        <v>74</v>
      </c>
      <c r="AX78" s="1" t="s">
        <v>74</v>
      </c>
      <c r="AY78" s="1" t="s">
        <v>74</v>
      </c>
      <c r="AZ78" s="1" t="s">
        <v>74</v>
      </c>
      <c r="BA78" s="1" t="s">
        <v>74</v>
      </c>
      <c r="BB78" s="1" t="s">
        <v>74</v>
      </c>
      <c r="BC78" s="1" t="s">
        <v>74</v>
      </c>
      <c r="BD78" s="1">
        <v>120917.0</v>
      </c>
      <c r="BE78" s="1" t="s">
        <v>951</v>
      </c>
      <c r="BF78" s="2" t="str">
        <f>HYPERLINK("http://dx.doi.org/10.1016/j.indcrop.2025.120917","http://dx.doi.org/10.1016/j.indcrop.2025.120917")</f>
        <v>http://dx.doi.org/10.1016/j.indcrop.2025.120917</v>
      </c>
      <c r="BG78" s="1" t="s">
        <v>74</v>
      </c>
      <c r="BH78" s="1" t="s">
        <v>952</v>
      </c>
      <c r="BI78" s="1" t="s">
        <v>74</v>
      </c>
      <c r="BJ78" s="1" t="s">
        <v>74</v>
      </c>
      <c r="BK78" s="1" t="s">
        <v>74</v>
      </c>
      <c r="BL78" s="1" t="s">
        <v>74</v>
      </c>
      <c r="BM78" s="1" t="s">
        <v>74</v>
      </c>
      <c r="BN78" s="1" t="s">
        <v>74</v>
      </c>
      <c r="BO78" s="1" t="s">
        <v>74</v>
      </c>
      <c r="BP78" s="1" t="s">
        <v>74</v>
      </c>
      <c r="BQ78" s="1" t="s">
        <v>74</v>
      </c>
      <c r="BR78" s="1" t="s">
        <v>74</v>
      </c>
      <c r="BS78" s="1" t="s">
        <v>953</v>
      </c>
      <c r="BT78" s="1" t="str">
        <f>HYPERLINK("https%3A%2F%2Fwww.webofscience.com%2Fwos%2Fwoscc%2Ffull-record%2FWOS:001459176900001","View Full Record in Web of Science")</f>
        <v>View Full Record in Web of Science</v>
      </c>
    </row>
    <row r="79" ht="12.75" customHeight="1">
      <c r="A79" s="1" t="s">
        <v>72</v>
      </c>
      <c r="B79" s="1" t="s">
        <v>954</v>
      </c>
      <c r="C79" s="1" t="s">
        <v>74</v>
      </c>
      <c r="D79" s="1" t="s">
        <v>74</v>
      </c>
      <c r="E79" s="1" t="s">
        <v>74</v>
      </c>
      <c r="F79" s="1" t="s">
        <v>955</v>
      </c>
      <c r="G79" s="1" t="s">
        <v>74</v>
      </c>
      <c r="H79" s="1" t="s">
        <v>74</v>
      </c>
      <c r="I79" s="1" t="s">
        <v>956</v>
      </c>
      <c r="J79" s="1" t="s">
        <v>957</v>
      </c>
      <c r="K79" s="1" t="s">
        <v>74</v>
      </c>
      <c r="L79" s="1" t="s">
        <v>74</v>
      </c>
      <c r="M79" s="1" t="s">
        <v>74</v>
      </c>
      <c r="N79" s="1" t="s">
        <v>74</v>
      </c>
      <c r="O79" s="1" t="s">
        <v>74</v>
      </c>
      <c r="P79" s="1" t="s">
        <v>74</v>
      </c>
      <c r="Q79" s="1" t="s">
        <v>74</v>
      </c>
      <c r="R79" s="1" t="s">
        <v>74</v>
      </c>
      <c r="S79" s="1" t="s">
        <v>74</v>
      </c>
      <c r="T79" s="1" t="s">
        <v>74</v>
      </c>
      <c r="U79" s="1" t="s">
        <v>74</v>
      </c>
      <c r="V79" s="1" t="s">
        <v>958</v>
      </c>
      <c r="W79" s="1" t="s">
        <v>74</v>
      </c>
      <c r="X79" s="1" t="s">
        <v>74</v>
      </c>
      <c r="Y79" s="1" t="s">
        <v>74</v>
      </c>
      <c r="Z79" s="1" t="s">
        <v>74</v>
      </c>
      <c r="AA79" s="1" t="s">
        <v>959</v>
      </c>
      <c r="AB79" s="1" t="s">
        <v>74</v>
      </c>
      <c r="AC79" s="1" t="s">
        <v>74</v>
      </c>
      <c r="AD79" s="1" t="s">
        <v>74</v>
      </c>
      <c r="AE79" s="1" t="s">
        <v>74</v>
      </c>
      <c r="AF79" s="1" t="s">
        <v>74</v>
      </c>
      <c r="AG79" s="1" t="s">
        <v>74</v>
      </c>
      <c r="AH79" s="1" t="s">
        <v>74</v>
      </c>
      <c r="AI79" s="1" t="s">
        <v>74</v>
      </c>
      <c r="AJ79" s="1" t="s">
        <v>74</v>
      </c>
      <c r="AK79" s="1" t="s">
        <v>74</v>
      </c>
      <c r="AL79" s="1" t="s">
        <v>74</v>
      </c>
      <c r="AM79" s="1" t="s">
        <v>74</v>
      </c>
      <c r="AN79" s="1" t="s">
        <v>74</v>
      </c>
      <c r="AO79" s="1" t="s">
        <v>960</v>
      </c>
      <c r="AP79" s="1" t="s">
        <v>961</v>
      </c>
      <c r="AQ79" s="1" t="s">
        <v>74</v>
      </c>
      <c r="AR79" s="1" t="s">
        <v>74</v>
      </c>
      <c r="AS79" s="1" t="s">
        <v>74</v>
      </c>
      <c r="AT79" s="1" t="s">
        <v>962</v>
      </c>
      <c r="AU79" s="1">
        <v>2025.0</v>
      </c>
      <c r="AV79" s="1" t="s">
        <v>74</v>
      </c>
      <c r="AW79" s="1" t="s">
        <v>74</v>
      </c>
      <c r="AX79" s="1" t="s">
        <v>74</v>
      </c>
      <c r="AY79" s="1" t="s">
        <v>74</v>
      </c>
      <c r="AZ79" s="1" t="s">
        <v>74</v>
      </c>
      <c r="BA79" s="1" t="s">
        <v>74</v>
      </c>
      <c r="BB79" s="1" t="s">
        <v>74</v>
      </c>
      <c r="BC79" s="1" t="s">
        <v>74</v>
      </c>
      <c r="BD79" s="1" t="s">
        <v>74</v>
      </c>
      <c r="BE79" s="1" t="s">
        <v>963</v>
      </c>
      <c r="BF79" s="2" t="str">
        <f>HYPERLINK("http://dx.doi.org/10.1007/s11854-025-0371-6","http://dx.doi.org/10.1007/s11854-025-0371-6")</f>
        <v>http://dx.doi.org/10.1007/s11854-025-0371-6</v>
      </c>
      <c r="BG79" s="1" t="s">
        <v>74</v>
      </c>
      <c r="BH79" s="1" t="s">
        <v>952</v>
      </c>
      <c r="BI79" s="1" t="s">
        <v>74</v>
      </c>
      <c r="BJ79" s="1" t="s">
        <v>74</v>
      </c>
      <c r="BK79" s="1" t="s">
        <v>74</v>
      </c>
      <c r="BL79" s="1" t="s">
        <v>74</v>
      </c>
      <c r="BM79" s="1" t="s">
        <v>74</v>
      </c>
      <c r="BN79" s="1" t="s">
        <v>74</v>
      </c>
      <c r="BO79" s="1" t="s">
        <v>74</v>
      </c>
      <c r="BP79" s="1" t="s">
        <v>74</v>
      </c>
      <c r="BQ79" s="1" t="s">
        <v>74</v>
      </c>
      <c r="BR79" s="1" t="s">
        <v>74</v>
      </c>
      <c r="BS79" s="1" t="s">
        <v>964</v>
      </c>
      <c r="BT79" s="1" t="str">
        <f>HYPERLINK("https%3A%2F%2Fwww.webofscience.com%2Fwos%2Fwoscc%2Ffull-record%2FWOS:001454157500001","View Full Record in Web of Science")</f>
        <v>View Full Record in Web of Science</v>
      </c>
    </row>
    <row r="80" ht="12.75" customHeight="1">
      <c r="A80" s="1" t="s">
        <v>72</v>
      </c>
      <c r="B80" s="1" t="s">
        <v>965</v>
      </c>
      <c r="C80" s="1" t="s">
        <v>74</v>
      </c>
      <c r="D80" s="1" t="s">
        <v>74</v>
      </c>
      <c r="E80" s="1" t="s">
        <v>74</v>
      </c>
      <c r="F80" s="1" t="s">
        <v>966</v>
      </c>
      <c r="G80" s="1" t="s">
        <v>74</v>
      </c>
      <c r="H80" s="1" t="s">
        <v>74</v>
      </c>
      <c r="I80" s="1" t="s">
        <v>967</v>
      </c>
      <c r="J80" s="1" t="s">
        <v>968</v>
      </c>
      <c r="K80" s="1" t="s">
        <v>74</v>
      </c>
      <c r="L80" s="1" t="s">
        <v>74</v>
      </c>
      <c r="M80" s="1" t="s">
        <v>74</v>
      </c>
      <c r="N80" s="1" t="s">
        <v>74</v>
      </c>
      <c r="O80" s="1" t="s">
        <v>74</v>
      </c>
      <c r="P80" s="1" t="s">
        <v>74</v>
      </c>
      <c r="Q80" s="1" t="s">
        <v>74</v>
      </c>
      <c r="R80" s="1" t="s">
        <v>74</v>
      </c>
      <c r="S80" s="1" t="s">
        <v>74</v>
      </c>
      <c r="T80" s="1" t="s">
        <v>74</v>
      </c>
      <c r="U80" s="1" t="s">
        <v>74</v>
      </c>
      <c r="V80" s="1" t="s">
        <v>969</v>
      </c>
      <c r="W80" s="1" t="s">
        <v>74</v>
      </c>
      <c r="X80" s="1" t="s">
        <v>74</v>
      </c>
      <c r="Y80" s="1" t="s">
        <v>74</v>
      </c>
      <c r="Z80" s="1" t="s">
        <v>74</v>
      </c>
      <c r="AA80" s="1" t="s">
        <v>970</v>
      </c>
      <c r="AB80" s="1" t="s">
        <v>971</v>
      </c>
      <c r="AC80" s="1" t="s">
        <v>74</v>
      </c>
      <c r="AD80" s="1" t="s">
        <v>74</v>
      </c>
      <c r="AE80" s="1" t="s">
        <v>74</v>
      </c>
      <c r="AF80" s="1" t="s">
        <v>74</v>
      </c>
      <c r="AG80" s="1" t="s">
        <v>74</v>
      </c>
      <c r="AH80" s="1" t="s">
        <v>74</v>
      </c>
      <c r="AI80" s="1" t="s">
        <v>74</v>
      </c>
      <c r="AJ80" s="1" t="s">
        <v>74</v>
      </c>
      <c r="AK80" s="1" t="s">
        <v>74</v>
      </c>
      <c r="AL80" s="1" t="s">
        <v>74</v>
      </c>
      <c r="AM80" s="1" t="s">
        <v>74</v>
      </c>
      <c r="AN80" s="1" t="s">
        <v>74</v>
      </c>
      <c r="AO80" s="1" t="s">
        <v>74</v>
      </c>
      <c r="AP80" s="1" t="s">
        <v>972</v>
      </c>
      <c r="AQ80" s="1" t="s">
        <v>74</v>
      </c>
      <c r="AR80" s="1" t="s">
        <v>74</v>
      </c>
      <c r="AS80" s="1" t="s">
        <v>74</v>
      </c>
      <c r="AT80" s="1" t="s">
        <v>348</v>
      </c>
      <c r="AU80" s="1">
        <v>2024.0</v>
      </c>
      <c r="AV80" s="1">
        <v>12.0</v>
      </c>
      <c r="AW80" s="1">
        <v>9.0</v>
      </c>
      <c r="AX80" s="1" t="s">
        <v>74</v>
      </c>
      <c r="AY80" s="1" t="s">
        <v>74</v>
      </c>
      <c r="AZ80" s="1" t="s">
        <v>74</v>
      </c>
      <c r="BA80" s="1" t="s">
        <v>74</v>
      </c>
      <c r="BB80" s="1" t="s">
        <v>74</v>
      </c>
      <c r="BC80" s="1" t="s">
        <v>74</v>
      </c>
      <c r="BD80" s="1">
        <v>2001.0</v>
      </c>
      <c r="BE80" s="1" t="s">
        <v>973</v>
      </c>
      <c r="BF80" s="2" t="str">
        <f>HYPERLINK("http://dx.doi.org/10.3390/pr12092001","http://dx.doi.org/10.3390/pr12092001")</f>
        <v>http://dx.doi.org/10.3390/pr12092001</v>
      </c>
      <c r="BG80" s="1" t="s">
        <v>74</v>
      </c>
      <c r="BH80" s="1" t="s">
        <v>74</v>
      </c>
      <c r="BI80" s="1" t="s">
        <v>74</v>
      </c>
      <c r="BJ80" s="1" t="s">
        <v>74</v>
      </c>
      <c r="BK80" s="1" t="s">
        <v>74</v>
      </c>
      <c r="BL80" s="1" t="s">
        <v>74</v>
      </c>
      <c r="BM80" s="1" t="s">
        <v>74</v>
      </c>
      <c r="BN80" s="1" t="s">
        <v>74</v>
      </c>
      <c r="BO80" s="1" t="s">
        <v>74</v>
      </c>
      <c r="BP80" s="1" t="s">
        <v>74</v>
      </c>
      <c r="BQ80" s="1" t="s">
        <v>74</v>
      </c>
      <c r="BR80" s="1" t="s">
        <v>74</v>
      </c>
      <c r="BS80" s="1" t="s">
        <v>974</v>
      </c>
      <c r="BT80" s="1" t="str">
        <f>HYPERLINK("https%3A%2F%2Fwww.webofscience.com%2Fwos%2Fwoscc%2Ffull-record%2FWOS:001323030600001","View Full Record in Web of Science")</f>
        <v>View Full Record in Web of Science</v>
      </c>
    </row>
    <row r="81" ht="12.75" customHeight="1">
      <c r="A81" s="1" t="s">
        <v>72</v>
      </c>
      <c r="B81" s="1" t="s">
        <v>975</v>
      </c>
      <c r="C81" s="1" t="s">
        <v>74</v>
      </c>
      <c r="D81" s="1" t="s">
        <v>74</v>
      </c>
      <c r="E81" s="1" t="s">
        <v>74</v>
      </c>
      <c r="F81" s="1" t="s">
        <v>976</v>
      </c>
      <c r="G81" s="1" t="s">
        <v>74</v>
      </c>
      <c r="H81" s="1" t="s">
        <v>74</v>
      </c>
      <c r="I81" s="1" t="s">
        <v>977</v>
      </c>
      <c r="J81" s="1" t="s">
        <v>978</v>
      </c>
      <c r="K81" s="1" t="s">
        <v>74</v>
      </c>
      <c r="L81" s="1" t="s">
        <v>74</v>
      </c>
      <c r="M81" s="1" t="s">
        <v>74</v>
      </c>
      <c r="N81" s="1" t="s">
        <v>74</v>
      </c>
      <c r="O81" s="1" t="s">
        <v>74</v>
      </c>
      <c r="P81" s="1" t="s">
        <v>74</v>
      </c>
      <c r="Q81" s="1" t="s">
        <v>74</v>
      </c>
      <c r="R81" s="1" t="s">
        <v>74</v>
      </c>
      <c r="S81" s="1" t="s">
        <v>74</v>
      </c>
      <c r="T81" s="1" t="s">
        <v>74</v>
      </c>
      <c r="U81" s="1" t="s">
        <v>74</v>
      </c>
      <c r="V81" s="1" t="s">
        <v>979</v>
      </c>
      <c r="W81" s="1" t="s">
        <v>74</v>
      </c>
      <c r="X81" s="1" t="s">
        <v>74</v>
      </c>
      <c r="Y81" s="1" t="s">
        <v>74</v>
      </c>
      <c r="Z81" s="1" t="s">
        <v>74</v>
      </c>
      <c r="AA81" s="1" t="s">
        <v>980</v>
      </c>
      <c r="AB81" s="1" t="s">
        <v>981</v>
      </c>
      <c r="AC81" s="1" t="s">
        <v>74</v>
      </c>
      <c r="AD81" s="1" t="s">
        <v>74</v>
      </c>
      <c r="AE81" s="1" t="s">
        <v>74</v>
      </c>
      <c r="AF81" s="1" t="s">
        <v>74</v>
      </c>
      <c r="AG81" s="1" t="s">
        <v>74</v>
      </c>
      <c r="AH81" s="1" t="s">
        <v>74</v>
      </c>
      <c r="AI81" s="1" t="s">
        <v>74</v>
      </c>
      <c r="AJ81" s="1" t="s">
        <v>74</v>
      </c>
      <c r="AK81" s="1" t="s">
        <v>74</v>
      </c>
      <c r="AL81" s="1" t="s">
        <v>74</v>
      </c>
      <c r="AM81" s="1" t="s">
        <v>74</v>
      </c>
      <c r="AN81" s="1" t="s">
        <v>74</v>
      </c>
      <c r="AO81" s="1" t="s">
        <v>982</v>
      </c>
      <c r="AP81" s="1" t="s">
        <v>983</v>
      </c>
      <c r="AQ81" s="1" t="s">
        <v>74</v>
      </c>
      <c r="AR81" s="1" t="s">
        <v>74</v>
      </c>
      <c r="AS81" s="1" t="s">
        <v>74</v>
      </c>
      <c r="AT81" s="1" t="s">
        <v>201</v>
      </c>
      <c r="AU81" s="1">
        <v>2024.0</v>
      </c>
      <c r="AV81" s="1">
        <v>185.0</v>
      </c>
      <c r="AW81" s="1" t="s">
        <v>74</v>
      </c>
      <c r="AX81" s="1" t="s">
        <v>74</v>
      </c>
      <c r="AY81" s="1" t="s">
        <v>74</v>
      </c>
      <c r="AZ81" s="1" t="s">
        <v>74</v>
      </c>
      <c r="BA81" s="1" t="s">
        <v>74</v>
      </c>
      <c r="BB81" s="1" t="s">
        <v>74</v>
      </c>
      <c r="BC81" s="1" t="s">
        <v>74</v>
      </c>
      <c r="BD81" s="1">
        <v>108308.0</v>
      </c>
      <c r="BE81" s="1" t="s">
        <v>984</v>
      </c>
      <c r="BF81" s="2" t="str">
        <f>HYPERLINK("http://dx.doi.org/10.1016/j.compositesa.2024.108308","http://dx.doi.org/10.1016/j.compositesa.2024.108308")</f>
        <v>http://dx.doi.org/10.1016/j.compositesa.2024.108308</v>
      </c>
      <c r="BG81" s="1" t="s">
        <v>74</v>
      </c>
      <c r="BH81" s="1" t="s">
        <v>985</v>
      </c>
      <c r="BI81" s="1" t="s">
        <v>74</v>
      </c>
      <c r="BJ81" s="1" t="s">
        <v>74</v>
      </c>
      <c r="BK81" s="1" t="s">
        <v>74</v>
      </c>
      <c r="BL81" s="1" t="s">
        <v>74</v>
      </c>
      <c r="BM81" s="1" t="s">
        <v>74</v>
      </c>
      <c r="BN81" s="1" t="s">
        <v>74</v>
      </c>
      <c r="BO81" s="1" t="s">
        <v>74</v>
      </c>
      <c r="BP81" s="1" t="s">
        <v>74</v>
      </c>
      <c r="BQ81" s="1" t="s">
        <v>74</v>
      </c>
      <c r="BR81" s="1" t="s">
        <v>74</v>
      </c>
      <c r="BS81" s="1" t="s">
        <v>986</v>
      </c>
      <c r="BT81" s="1" t="str">
        <f>HYPERLINK("https%3A%2F%2Fwww.webofscience.com%2Fwos%2Fwoscc%2Ffull-record%2FWOS:001259168500001","View Full Record in Web of Science")</f>
        <v>View Full Record in Web of Science</v>
      </c>
    </row>
    <row r="82" ht="12.75" customHeight="1">
      <c r="A82" s="1" t="s">
        <v>72</v>
      </c>
      <c r="B82" s="1" t="s">
        <v>987</v>
      </c>
      <c r="C82" s="1" t="s">
        <v>74</v>
      </c>
      <c r="D82" s="1" t="s">
        <v>74</v>
      </c>
      <c r="E82" s="1" t="s">
        <v>74</v>
      </c>
      <c r="F82" s="1" t="s">
        <v>988</v>
      </c>
      <c r="G82" s="1" t="s">
        <v>74</v>
      </c>
      <c r="H82" s="1" t="s">
        <v>74</v>
      </c>
      <c r="I82" s="1" t="s">
        <v>989</v>
      </c>
      <c r="J82" s="1" t="s">
        <v>990</v>
      </c>
      <c r="K82" s="1" t="s">
        <v>74</v>
      </c>
      <c r="L82" s="1" t="s">
        <v>74</v>
      </c>
      <c r="M82" s="1" t="s">
        <v>74</v>
      </c>
      <c r="N82" s="1" t="s">
        <v>74</v>
      </c>
      <c r="O82" s="1" t="s">
        <v>74</v>
      </c>
      <c r="P82" s="1" t="s">
        <v>74</v>
      </c>
      <c r="Q82" s="1" t="s">
        <v>74</v>
      </c>
      <c r="R82" s="1" t="s">
        <v>74</v>
      </c>
      <c r="S82" s="1" t="s">
        <v>74</v>
      </c>
      <c r="T82" s="1" t="s">
        <v>74</v>
      </c>
      <c r="U82" s="1" t="s">
        <v>74</v>
      </c>
      <c r="V82" s="1" t="s">
        <v>991</v>
      </c>
      <c r="W82" s="1" t="s">
        <v>74</v>
      </c>
      <c r="X82" s="1" t="s">
        <v>74</v>
      </c>
      <c r="Y82" s="1" t="s">
        <v>74</v>
      </c>
      <c r="Z82" s="1" t="s">
        <v>74</v>
      </c>
      <c r="AA82" s="1" t="s">
        <v>992</v>
      </c>
      <c r="AB82" s="1" t="s">
        <v>993</v>
      </c>
      <c r="AC82" s="1" t="s">
        <v>74</v>
      </c>
      <c r="AD82" s="1" t="s">
        <v>74</v>
      </c>
      <c r="AE82" s="1" t="s">
        <v>74</v>
      </c>
      <c r="AF82" s="1" t="s">
        <v>74</v>
      </c>
      <c r="AG82" s="1" t="s">
        <v>74</v>
      </c>
      <c r="AH82" s="1" t="s">
        <v>74</v>
      </c>
      <c r="AI82" s="1" t="s">
        <v>74</v>
      </c>
      <c r="AJ82" s="1" t="s">
        <v>74</v>
      </c>
      <c r="AK82" s="1" t="s">
        <v>74</v>
      </c>
      <c r="AL82" s="1" t="s">
        <v>74</v>
      </c>
      <c r="AM82" s="1" t="s">
        <v>74</v>
      </c>
      <c r="AN82" s="1" t="s">
        <v>74</v>
      </c>
      <c r="AO82" s="1" t="s">
        <v>994</v>
      </c>
      <c r="AP82" s="1" t="s">
        <v>74</v>
      </c>
      <c r="AQ82" s="1" t="s">
        <v>74</v>
      </c>
      <c r="AR82" s="1" t="s">
        <v>74</v>
      </c>
      <c r="AS82" s="1" t="s">
        <v>74</v>
      </c>
      <c r="AT82" s="1" t="s">
        <v>995</v>
      </c>
      <c r="AU82" s="1">
        <v>2023.0</v>
      </c>
      <c r="AV82" s="1">
        <v>14.0</v>
      </c>
      <c r="AW82" s="1" t="s">
        <v>74</v>
      </c>
      <c r="AX82" s="1" t="s">
        <v>74</v>
      </c>
      <c r="AY82" s="1" t="s">
        <v>74</v>
      </c>
      <c r="AZ82" s="1" t="s">
        <v>74</v>
      </c>
      <c r="BA82" s="1" t="s">
        <v>74</v>
      </c>
      <c r="BB82" s="1" t="s">
        <v>74</v>
      </c>
      <c r="BC82" s="1" t="s">
        <v>74</v>
      </c>
      <c r="BD82" s="1">
        <v>1264599.0</v>
      </c>
      <c r="BE82" s="1" t="s">
        <v>996</v>
      </c>
      <c r="BF82" s="2" t="str">
        <f>HYPERLINK("http://dx.doi.org/10.3389/fimmu.2023.1264599","http://dx.doi.org/10.3389/fimmu.2023.1264599")</f>
        <v>http://dx.doi.org/10.3389/fimmu.2023.1264599</v>
      </c>
      <c r="BG82" s="1" t="s">
        <v>74</v>
      </c>
      <c r="BH82" s="1" t="s">
        <v>74</v>
      </c>
      <c r="BI82" s="1" t="s">
        <v>74</v>
      </c>
      <c r="BJ82" s="1" t="s">
        <v>74</v>
      </c>
      <c r="BK82" s="1" t="s">
        <v>74</v>
      </c>
      <c r="BL82" s="1" t="s">
        <v>74</v>
      </c>
      <c r="BM82" s="1" t="s">
        <v>74</v>
      </c>
      <c r="BN82" s="1">
        <v>3.8162669E7</v>
      </c>
      <c r="BO82" s="1" t="s">
        <v>74</v>
      </c>
      <c r="BP82" s="1" t="s">
        <v>74</v>
      </c>
      <c r="BQ82" s="1" t="s">
        <v>74</v>
      </c>
      <c r="BR82" s="1" t="s">
        <v>74</v>
      </c>
      <c r="BS82" s="1" t="s">
        <v>997</v>
      </c>
      <c r="BT82" s="1" t="str">
        <f>HYPERLINK("https%3A%2F%2Fwww.webofscience.com%2Fwos%2Fwoscc%2Ffull-record%2FWOS:001133140300001","View Full Record in Web of Science")</f>
        <v>View Full Record in Web of Science</v>
      </c>
    </row>
    <row r="83" ht="12.75" customHeight="1">
      <c r="A83" s="1" t="s">
        <v>72</v>
      </c>
      <c r="B83" s="1" t="s">
        <v>998</v>
      </c>
      <c r="C83" s="1" t="s">
        <v>74</v>
      </c>
      <c r="D83" s="1" t="s">
        <v>74</v>
      </c>
      <c r="E83" s="1" t="s">
        <v>74</v>
      </c>
      <c r="F83" s="1" t="s">
        <v>999</v>
      </c>
      <c r="G83" s="1" t="s">
        <v>74</v>
      </c>
      <c r="H83" s="1" t="s">
        <v>74</v>
      </c>
      <c r="I83" s="1" t="s">
        <v>1000</v>
      </c>
      <c r="J83" s="1" t="s">
        <v>1001</v>
      </c>
      <c r="K83" s="1" t="s">
        <v>74</v>
      </c>
      <c r="L83" s="1" t="s">
        <v>74</v>
      </c>
      <c r="M83" s="1" t="s">
        <v>74</v>
      </c>
      <c r="N83" s="1" t="s">
        <v>74</v>
      </c>
      <c r="O83" s="1" t="s">
        <v>74</v>
      </c>
      <c r="P83" s="1" t="s">
        <v>74</v>
      </c>
      <c r="Q83" s="1" t="s">
        <v>74</v>
      </c>
      <c r="R83" s="1" t="s">
        <v>74</v>
      </c>
      <c r="S83" s="1" t="s">
        <v>74</v>
      </c>
      <c r="T83" s="1" t="s">
        <v>74</v>
      </c>
      <c r="U83" s="1" t="s">
        <v>74</v>
      </c>
      <c r="V83" s="1" t="s">
        <v>1002</v>
      </c>
      <c r="W83" s="1" t="s">
        <v>74</v>
      </c>
      <c r="X83" s="1" t="s">
        <v>74</v>
      </c>
      <c r="Y83" s="1" t="s">
        <v>74</v>
      </c>
      <c r="Z83" s="1" t="s">
        <v>74</v>
      </c>
      <c r="AA83" s="1" t="s">
        <v>74</v>
      </c>
      <c r="AB83" s="1" t="s">
        <v>1003</v>
      </c>
      <c r="AC83" s="1" t="s">
        <v>74</v>
      </c>
      <c r="AD83" s="1" t="s">
        <v>74</v>
      </c>
      <c r="AE83" s="1" t="s">
        <v>74</v>
      </c>
      <c r="AF83" s="1" t="s">
        <v>74</v>
      </c>
      <c r="AG83" s="1" t="s">
        <v>74</v>
      </c>
      <c r="AH83" s="1" t="s">
        <v>74</v>
      </c>
      <c r="AI83" s="1" t="s">
        <v>74</v>
      </c>
      <c r="AJ83" s="1" t="s">
        <v>74</v>
      </c>
      <c r="AK83" s="1" t="s">
        <v>74</v>
      </c>
      <c r="AL83" s="1" t="s">
        <v>74</v>
      </c>
      <c r="AM83" s="1" t="s">
        <v>74</v>
      </c>
      <c r="AN83" s="1" t="s">
        <v>74</v>
      </c>
      <c r="AO83" s="1" t="s">
        <v>1004</v>
      </c>
      <c r="AP83" s="1" t="s">
        <v>1005</v>
      </c>
      <c r="AQ83" s="1" t="s">
        <v>74</v>
      </c>
      <c r="AR83" s="1" t="s">
        <v>74</v>
      </c>
      <c r="AS83" s="1" t="s">
        <v>74</v>
      </c>
      <c r="AT83" s="1" t="s">
        <v>1006</v>
      </c>
      <c r="AU83" s="1">
        <v>2023.0</v>
      </c>
      <c r="AV83" s="1">
        <v>140.0</v>
      </c>
      <c r="AW83" s="1">
        <v>46.0</v>
      </c>
      <c r="AX83" s="1" t="s">
        <v>74</v>
      </c>
      <c r="AY83" s="1" t="s">
        <v>74</v>
      </c>
      <c r="AZ83" s="1" t="s">
        <v>74</v>
      </c>
      <c r="BA83" s="1" t="s">
        <v>74</v>
      </c>
      <c r="BB83" s="1" t="s">
        <v>74</v>
      </c>
      <c r="BC83" s="1" t="s">
        <v>74</v>
      </c>
      <c r="BD83" s="1" t="s">
        <v>74</v>
      </c>
      <c r="BE83" s="1" t="s">
        <v>1007</v>
      </c>
      <c r="BF83" s="2" t="str">
        <f>HYPERLINK("http://dx.doi.org/10.1002/app.54688","http://dx.doi.org/10.1002/app.54688")</f>
        <v>http://dx.doi.org/10.1002/app.54688</v>
      </c>
      <c r="BG83" s="1" t="s">
        <v>74</v>
      </c>
      <c r="BH83" s="1" t="s">
        <v>566</v>
      </c>
      <c r="BI83" s="1" t="s">
        <v>74</v>
      </c>
      <c r="BJ83" s="1" t="s">
        <v>74</v>
      </c>
      <c r="BK83" s="1" t="s">
        <v>74</v>
      </c>
      <c r="BL83" s="1" t="s">
        <v>74</v>
      </c>
      <c r="BM83" s="1" t="s">
        <v>74</v>
      </c>
      <c r="BN83" s="1" t="s">
        <v>74</v>
      </c>
      <c r="BO83" s="1" t="s">
        <v>74</v>
      </c>
      <c r="BP83" s="1" t="s">
        <v>74</v>
      </c>
      <c r="BQ83" s="1" t="s">
        <v>74</v>
      </c>
      <c r="BR83" s="1" t="s">
        <v>74</v>
      </c>
      <c r="BS83" s="1" t="s">
        <v>1008</v>
      </c>
      <c r="BT83" s="1" t="str">
        <f>HYPERLINK("https%3A%2F%2Fwww.webofscience.com%2Fwos%2Fwoscc%2Ffull-record%2FWOS:001067519500001","View Full Record in Web of Science")</f>
        <v>View Full Record in Web of Science</v>
      </c>
    </row>
    <row r="84" ht="12.75" customHeight="1">
      <c r="A84" s="1" t="s">
        <v>72</v>
      </c>
      <c r="B84" s="1" t="s">
        <v>1009</v>
      </c>
      <c r="C84" s="1" t="s">
        <v>74</v>
      </c>
      <c r="D84" s="1" t="s">
        <v>74</v>
      </c>
      <c r="E84" s="1" t="s">
        <v>74</v>
      </c>
      <c r="F84" s="1" t="s">
        <v>1010</v>
      </c>
      <c r="G84" s="1" t="s">
        <v>74</v>
      </c>
      <c r="H84" s="1" t="s">
        <v>74</v>
      </c>
      <c r="I84" s="1" t="s">
        <v>1011</v>
      </c>
      <c r="J84" s="1" t="s">
        <v>1012</v>
      </c>
      <c r="K84" s="1" t="s">
        <v>74</v>
      </c>
      <c r="L84" s="1" t="s">
        <v>74</v>
      </c>
      <c r="M84" s="1" t="s">
        <v>74</v>
      </c>
      <c r="N84" s="1" t="s">
        <v>74</v>
      </c>
      <c r="O84" s="1" t="s">
        <v>74</v>
      </c>
      <c r="P84" s="1" t="s">
        <v>74</v>
      </c>
      <c r="Q84" s="1" t="s">
        <v>74</v>
      </c>
      <c r="R84" s="1" t="s">
        <v>74</v>
      </c>
      <c r="S84" s="1" t="s">
        <v>74</v>
      </c>
      <c r="T84" s="1" t="s">
        <v>74</v>
      </c>
      <c r="U84" s="1" t="s">
        <v>74</v>
      </c>
      <c r="V84" s="1" t="s">
        <v>1013</v>
      </c>
      <c r="W84" s="1" t="s">
        <v>74</v>
      </c>
      <c r="X84" s="1" t="s">
        <v>74</v>
      </c>
      <c r="Y84" s="1" t="s">
        <v>74</v>
      </c>
      <c r="Z84" s="1" t="s">
        <v>74</v>
      </c>
      <c r="AA84" s="1" t="s">
        <v>1014</v>
      </c>
      <c r="AB84" s="1" t="s">
        <v>1015</v>
      </c>
      <c r="AC84" s="1" t="s">
        <v>74</v>
      </c>
      <c r="AD84" s="1" t="s">
        <v>74</v>
      </c>
      <c r="AE84" s="1" t="s">
        <v>74</v>
      </c>
      <c r="AF84" s="1" t="s">
        <v>74</v>
      </c>
      <c r="AG84" s="1" t="s">
        <v>74</v>
      </c>
      <c r="AH84" s="1" t="s">
        <v>74</v>
      </c>
      <c r="AI84" s="1" t="s">
        <v>74</v>
      </c>
      <c r="AJ84" s="1" t="s">
        <v>74</v>
      </c>
      <c r="AK84" s="1" t="s">
        <v>74</v>
      </c>
      <c r="AL84" s="1" t="s">
        <v>74</v>
      </c>
      <c r="AM84" s="1" t="s">
        <v>74</v>
      </c>
      <c r="AN84" s="1" t="s">
        <v>74</v>
      </c>
      <c r="AO84" s="1" t="s">
        <v>1016</v>
      </c>
      <c r="AP84" s="1" t="s">
        <v>1017</v>
      </c>
      <c r="AQ84" s="1" t="s">
        <v>74</v>
      </c>
      <c r="AR84" s="1" t="s">
        <v>74</v>
      </c>
      <c r="AS84" s="1" t="s">
        <v>74</v>
      </c>
      <c r="AT84" s="1" t="s">
        <v>1018</v>
      </c>
      <c r="AU84" s="1">
        <v>2022.0</v>
      </c>
      <c r="AV84" s="1">
        <v>559.0</v>
      </c>
      <c r="AW84" s="1" t="s">
        <v>74</v>
      </c>
      <c r="AX84" s="1" t="s">
        <v>74</v>
      </c>
      <c r="AY84" s="1" t="s">
        <v>74</v>
      </c>
      <c r="AZ84" s="1" t="s">
        <v>74</v>
      </c>
      <c r="BA84" s="1" t="s">
        <v>74</v>
      </c>
      <c r="BB84" s="1" t="s">
        <v>74</v>
      </c>
      <c r="BC84" s="1" t="s">
        <v>74</v>
      </c>
      <c r="BD84" s="1">
        <v>113471.0</v>
      </c>
      <c r="BE84" s="1" t="s">
        <v>1019</v>
      </c>
      <c r="BF84" s="2" t="str">
        <f>HYPERLINK("http://dx.doi.org/10.1016/j.fluid.2022.113471","http://dx.doi.org/10.1016/j.fluid.2022.113471")</f>
        <v>http://dx.doi.org/10.1016/j.fluid.2022.113471</v>
      </c>
      <c r="BG84" s="1" t="s">
        <v>74</v>
      </c>
      <c r="BH84" s="1" t="s">
        <v>1020</v>
      </c>
      <c r="BI84" s="1" t="s">
        <v>74</v>
      </c>
      <c r="BJ84" s="1" t="s">
        <v>74</v>
      </c>
      <c r="BK84" s="1" t="s">
        <v>74</v>
      </c>
      <c r="BL84" s="1" t="s">
        <v>74</v>
      </c>
      <c r="BM84" s="1" t="s">
        <v>74</v>
      </c>
      <c r="BN84" s="1" t="s">
        <v>74</v>
      </c>
      <c r="BO84" s="1" t="s">
        <v>74</v>
      </c>
      <c r="BP84" s="1" t="s">
        <v>74</v>
      </c>
      <c r="BQ84" s="1" t="s">
        <v>74</v>
      </c>
      <c r="BR84" s="1" t="s">
        <v>74</v>
      </c>
      <c r="BS84" s="1" t="s">
        <v>1021</v>
      </c>
      <c r="BT84" s="1" t="str">
        <f>HYPERLINK("https%3A%2F%2Fwww.webofscience.com%2Fwos%2Fwoscc%2Ffull-record%2FWOS:000821431400007","View Full Record in Web of Science")</f>
        <v>View Full Record in Web of Science</v>
      </c>
    </row>
    <row r="85" ht="12.75" customHeight="1">
      <c r="A85" s="1" t="s">
        <v>72</v>
      </c>
      <c r="B85" s="1" t="s">
        <v>1022</v>
      </c>
      <c r="C85" s="1" t="s">
        <v>74</v>
      </c>
      <c r="D85" s="1" t="s">
        <v>74</v>
      </c>
      <c r="E85" s="1" t="s">
        <v>74</v>
      </c>
      <c r="F85" s="1" t="s">
        <v>1023</v>
      </c>
      <c r="G85" s="1" t="s">
        <v>74</v>
      </c>
      <c r="H85" s="1" t="s">
        <v>74</v>
      </c>
      <c r="I85" s="1" t="s">
        <v>1024</v>
      </c>
      <c r="J85" s="1" t="s">
        <v>1025</v>
      </c>
      <c r="K85" s="1" t="s">
        <v>74</v>
      </c>
      <c r="L85" s="1" t="s">
        <v>74</v>
      </c>
      <c r="M85" s="1" t="s">
        <v>74</v>
      </c>
      <c r="N85" s="1" t="s">
        <v>74</v>
      </c>
      <c r="O85" s="1" t="s">
        <v>74</v>
      </c>
      <c r="P85" s="1" t="s">
        <v>74</v>
      </c>
      <c r="Q85" s="1" t="s">
        <v>74</v>
      </c>
      <c r="R85" s="1" t="s">
        <v>74</v>
      </c>
      <c r="S85" s="1" t="s">
        <v>74</v>
      </c>
      <c r="T85" s="1" t="s">
        <v>74</v>
      </c>
      <c r="U85" s="1" t="s">
        <v>74</v>
      </c>
      <c r="V85" s="1" t="s">
        <v>1026</v>
      </c>
      <c r="W85" s="1" t="s">
        <v>74</v>
      </c>
      <c r="X85" s="1" t="s">
        <v>74</v>
      </c>
      <c r="Y85" s="1" t="s">
        <v>74</v>
      </c>
      <c r="Z85" s="1" t="s">
        <v>74</v>
      </c>
      <c r="AA85" s="1" t="s">
        <v>171</v>
      </c>
      <c r="AB85" s="1" t="s">
        <v>1027</v>
      </c>
      <c r="AC85" s="1" t="s">
        <v>74</v>
      </c>
      <c r="AD85" s="1" t="s">
        <v>74</v>
      </c>
      <c r="AE85" s="1" t="s">
        <v>74</v>
      </c>
      <c r="AF85" s="1" t="s">
        <v>74</v>
      </c>
      <c r="AG85" s="1" t="s">
        <v>74</v>
      </c>
      <c r="AH85" s="1" t="s">
        <v>74</v>
      </c>
      <c r="AI85" s="1" t="s">
        <v>74</v>
      </c>
      <c r="AJ85" s="1" t="s">
        <v>74</v>
      </c>
      <c r="AK85" s="1" t="s">
        <v>74</v>
      </c>
      <c r="AL85" s="1" t="s">
        <v>74</v>
      </c>
      <c r="AM85" s="1" t="s">
        <v>74</v>
      </c>
      <c r="AN85" s="1" t="s">
        <v>74</v>
      </c>
      <c r="AO85" s="1" t="s">
        <v>74</v>
      </c>
      <c r="AP85" s="1" t="s">
        <v>1028</v>
      </c>
      <c r="AQ85" s="1" t="s">
        <v>74</v>
      </c>
      <c r="AR85" s="1" t="s">
        <v>74</v>
      </c>
      <c r="AS85" s="1" t="s">
        <v>74</v>
      </c>
      <c r="AT85" s="1" t="s">
        <v>318</v>
      </c>
      <c r="AU85" s="1">
        <v>2022.0</v>
      </c>
      <c r="AV85" s="1">
        <v>8.0</v>
      </c>
      <c r="AW85" s="1">
        <v>2.0</v>
      </c>
      <c r="AX85" s="1" t="s">
        <v>74</v>
      </c>
      <c r="AY85" s="1" t="s">
        <v>74</v>
      </c>
      <c r="AZ85" s="1" t="s">
        <v>74</v>
      </c>
      <c r="BA85" s="1" t="s">
        <v>74</v>
      </c>
      <c r="BB85" s="1" t="s">
        <v>74</v>
      </c>
      <c r="BC85" s="1" t="s">
        <v>74</v>
      </c>
      <c r="BD85" s="1">
        <v>116.0</v>
      </c>
      <c r="BE85" s="1" t="s">
        <v>1029</v>
      </c>
      <c r="BF85" s="2" t="str">
        <f>HYPERLINK("http://dx.doi.org/10.3390/universe8020116","http://dx.doi.org/10.3390/universe8020116")</f>
        <v>http://dx.doi.org/10.3390/universe8020116</v>
      </c>
      <c r="BG85" s="1" t="s">
        <v>74</v>
      </c>
      <c r="BH85" s="1" t="s">
        <v>74</v>
      </c>
      <c r="BI85" s="1" t="s">
        <v>74</v>
      </c>
      <c r="BJ85" s="1" t="s">
        <v>74</v>
      </c>
      <c r="BK85" s="1" t="s">
        <v>74</v>
      </c>
      <c r="BL85" s="1" t="s">
        <v>74</v>
      </c>
      <c r="BM85" s="1" t="s">
        <v>74</v>
      </c>
      <c r="BN85" s="1" t="s">
        <v>74</v>
      </c>
      <c r="BO85" s="1" t="s">
        <v>74</v>
      </c>
      <c r="BP85" s="1" t="s">
        <v>74</v>
      </c>
      <c r="BQ85" s="1" t="s">
        <v>74</v>
      </c>
      <c r="BR85" s="1" t="s">
        <v>74</v>
      </c>
      <c r="BS85" s="1" t="s">
        <v>1030</v>
      </c>
      <c r="BT85" s="1" t="str">
        <f>HYPERLINK("https%3A%2F%2Fwww.webofscience.com%2Fwos%2Fwoscc%2Ffull-record%2FWOS:000761985400001","View Full Record in Web of Science")</f>
        <v>View Full Record in Web of Science</v>
      </c>
    </row>
    <row r="86" ht="12.75" customHeight="1">
      <c r="A86" s="1" t="s">
        <v>72</v>
      </c>
      <c r="B86" s="1" t="s">
        <v>1031</v>
      </c>
      <c r="C86" s="1" t="s">
        <v>74</v>
      </c>
      <c r="D86" s="1" t="s">
        <v>74</v>
      </c>
      <c r="E86" s="1" t="s">
        <v>74</v>
      </c>
      <c r="F86" s="1" t="s">
        <v>1032</v>
      </c>
      <c r="G86" s="1" t="s">
        <v>74</v>
      </c>
      <c r="H86" s="1" t="s">
        <v>74</v>
      </c>
      <c r="I86" s="1" t="s">
        <v>1033</v>
      </c>
      <c r="J86" s="1" t="s">
        <v>1034</v>
      </c>
      <c r="K86" s="1" t="s">
        <v>74</v>
      </c>
      <c r="L86" s="1" t="s">
        <v>74</v>
      </c>
      <c r="M86" s="1" t="s">
        <v>74</v>
      </c>
      <c r="N86" s="1" t="s">
        <v>74</v>
      </c>
      <c r="O86" s="1" t="s">
        <v>74</v>
      </c>
      <c r="P86" s="1" t="s">
        <v>74</v>
      </c>
      <c r="Q86" s="1" t="s">
        <v>74</v>
      </c>
      <c r="R86" s="1" t="s">
        <v>74</v>
      </c>
      <c r="S86" s="1" t="s">
        <v>74</v>
      </c>
      <c r="T86" s="1" t="s">
        <v>74</v>
      </c>
      <c r="U86" s="1" t="s">
        <v>74</v>
      </c>
      <c r="V86" s="1" t="s">
        <v>1035</v>
      </c>
      <c r="W86" s="1" t="s">
        <v>74</v>
      </c>
      <c r="X86" s="1" t="s">
        <v>74</v>
      </c>
      <c r="Y86" s="1" t="s">
        <v>74</v>
      </c>
      <c r="Z86" s="1" t="s">
        <v>74</v>
      </c>
      <c r="AA86" s="1" t="s">
        <v>1036</v>
      </c>
      <c r="AB86" s="1" t="s">
        <v>1037</v>
      </c>
      <c r="AC86" s="1" t="s">
        <v>74</v>
      </c>
      <c r="AD86" s="1" t="s">
        <v>74</v>
      </c>
      <c r="AE86" s="1" t="s">
        <v>74</v>
      </c>
      <c r="AF86" s="1" t="s">
        <v>74</v>
      </c>
      <c r="AG86" s="1" t="s">
        <v>74</v>
      </c>
      <c r="AH86" s="1" t="s">
        <v>74</v>
      </c>
      <c r="AI86" s="1" t="s">
        <v>74</v>
      </c>
      <c r="AJ86" s="1" t="s">
        <v>74</v>
      </c>
      <c r="AK86" s="1" t="s">
        <v>74</v>
      </c>
      <c r="AL86" s="1" t="s">
        <v>74</v>
      </c>
      <c r="AM86" s="1" t="s">
        <v>74</v>
      </c>
      <c r="AN86" s="1" t="s">
        <v>74</v>
      </c>
      <c r="AO86" s="1" t="s">
        <v>74</v>
      </c>
      <c r="AP86" s="1" t="s">
        <v>1038</v>
      </c>
      <c r="AQ86" s="1" t="s">
        <v>74</v>
      </c>
      <c r="AR86" s="1" t="s">
        <v>74</v>
      </c>
      <c r="AS86" s="1" t="s">
        <v>74</v>
      </c>
      <c r="AT86" s="1" t="s">
        <v>201</v>
      </c>
      <c r="AU86" s="1">
        <v>2021.0</v>
      </c>
      <c r="AV86" s="1">
        <v>18.0</v>
      </c>
      <c r="AW86" s="1">
        <v>19.0</v>
      </c>
      <c r="AX86" s="1" t="s">
        <v>74</v>
      </c>
      <c r="AY86" s="1" t="s">
        <v>74</v>
      </c>
      <c r="AZ86" s="1" t="s">
        <v>74</v>
      </c>
      <c r="BA86" s="1" t="s">
        <v>74</v>
      </c>
      <c r="BB86" s="1" t="s">
        <v>74</v>
      </c>
      <c r="BC86" s="1" t="s">
        <v>74</v>
      </c>
      <c r="BD86" s="1">
        <v>10434.0</v>
      </c>
      <c r="BE86" s="1" t="s">
        <v>1039</v>
      </c>
      <c r="BF86" s="2" t="str">
        <f>HYPERLINK("http://dx.doi.org/10.3390/ijerph181910434","http://dx.doi.org/10.3390/ijerph181910434")</f>
        <v>http://dx.doi.org/10.3390/ijerph181910434</v>
      </c>
      <c r="BG86" s="1" t="s">
        <v>74</v>
      </c>
      <c r="BH86" s="1" t="s">
        <v>74</v>
      </c>
      <c r="BI86" s="1" t="s">
        <v>74</v>
      </c>
      <c r="BJ86" s="1" t="s">
        <v>74</v>
      </c>
      <c r="BK86" s="1" t="s">
        <v>74</v>
      </c>
      <c r="BL86" s="1" t="s">
        <v>74</v>
      </c>
      <c r="BM86" s="1" t="s">
        <v>74</v>
      </c>
      <c r="BN86" s="1">
        <v>3.4639733E7</v>
      </c>
      <c r="BO86" s="1" t="s">
        <v>74</v>
      </c>
      <c r="BP86" s="1" t="s">
        <v>74</v>
      </c>
      <c r="BQ86" s="1" t="s">
        <v>74</v>
      </c>
      <c r="BR86" s="1" t="s">
        <v>74</v>
      </c>
      <c r="BS86" s="1" t="s">
        <v>1040</v>
      </c>
      <c r="BT86" s="1" t="str">
        <f>HYPERLINK("https%3A%2F%2Fwww.webofscience.com%2Fwos%2Fwoscc%2Ffull-record%2FWOS:000706511800001","View Full Record in Web of Science")</f>
        <v>View Full Record in Web of Science</v>
      </c>
    </row>
    <row r="87" ht="12.75" customHeight="1">
      <c r="A87" s="1" t="s">
        <v>72</v>
      </c>
      <c r="B87" s="1" t="s">
        <v>1041</v>
      </c>
      <c r="C87" s="1" t="s">
        <v>74</v>
      </c>
      <c r="D87" s="1" t="s">
        <v>74</v>
      </c>
      <c r="E87" s="1" t="s">
        <v>74</v>
      </c>
      <c r="F87" s="1" t="s">
        <v>1042</v>
      </c>
      <c r="G87" s="1" t="s">
        <v>74</v>
      </c>
      <c r="H87" s="1" t="s">
        <v>74</v>
      </c>
      <c r="I87" s="1" t="s">
        <v>1043</v>
      </c>
      <c r="J87" s="1" t="s">
        <v>1044</v>
      </c>
      <c r="K87" s="1" t="s">
        <v>74</v>
      </c>
      <c r="L87" s="1" t="s">
        <v>74</v>
      </c>
      <c r="M87" s="1" t="s">
        <v>74</v>
      </c>
      <c r="N87" s="1" t="s">
        <v>74</v>
      </c>
      <c r="O87" s="1" t="s">
        <v>74</v>
      </c>
      <c r="P87" s="1" t="s">
        <v>74</v>
      </c>
      <c r="Q87" s="1" t="s">
        <v>74</v>
      </c>
      <c r="R87" s="1" t="s">
        <v>74</v>
      </c>
      <c r="S87" s="1" t="s">
        <v>74</v>
      </c>
      <c r="T87" s="1" t="s">
        <v>74</v>
      </c>
      <c r="U87" s="1" t="s">
        <v>74</v>
      </c>
      <c r="V87" s="1" t="s">
        <v>1045</v>
      </c>
      <c r="W87" s="1" t="s">
        <v>74</v>
      </c>
      <c r="X87" s="1" t="s">
        <v>74</v>
      </c>
      <c r="Y87" s="1" t="s">
        <v>74</v>
      </c>
      <c r="Z87" s="1" t="s">
        <v>74</v>
      </c>
      <c r="AA87" s="1" t="s">
        <v>1046</v>
      </c>
      <c r="AB87" s="1" t="s">
        <v>1047</v>
      </c>
      <c r="AC87" s="1" t="s">
        <v>74</v>
      </c>
      <c r="AD87" s="1" t="s">
        <v>74</v>
      </c>
      <c r="AE87" s="1" t="s">
        <v>74</v>
      </c>
      <c r="AF87" s="1" t="s">
        <v>74</v>
      </c>
      <c r="AG87" s="1" t="s">
        <v>74</v>
      </c>
      <c r="AH87" s="1" t="s">
        <v>74</v>
      </c>
      <c r="AI87" s="1" t="s">
        <v>74</v>
      </c>
      <c r="AJ87" s="1" t="s">
        <v>74</v>
      </c>
      <c r="AK87" s="1" t="s">
        <v>74</v>
      </c>
      <c r="AL87" s="1" t="s">
        <v>74</v>
      </c>
      <c r="AM87" s="1" t="s">
        <v>74</v>
      </c>
      <c r="AN87" s="1" t="s">
        <v>74</v>
      </c>
      <c r="AO87" s="1" t="s">
        <v>1048</v>
      </c>
      <c r="AP87" s="1" t="s">
        <v>1049</v>
      </c>
      <c r="AQ87" s="1" t="s">
        <v>74</v>
      </c>
      <c r="AR87" s="1" t="s">
        <v>74</v>
      </c>
      <c r="AS87" s="1" t="s">
        <v>74</v>
      </c>
      <c r="AT87" s="1" t="s">
        <v>1050</v>
      </c>
      <c r="AU87" s="1">
        <v>2021.0</v>
      </c>
      <c r="AV87" s="1">
        <v>2021.0</v>
      </c>
      <c r="AW87" s="1" t="s">
        <v>74</v>
      </c>
      <c r="AX87" s="1" t="s">
        <v>74</v>
      </c>
      <c r="AY87" s="1" t="s">
        <v>74</v>
      </c>
      <c r="AZ87" s="1" t="s">
        <v>74</v>
      </c>
      <c r="BA87" s="1" t="s">
        <v>74</v>
      </c>
      <c r="BB87" s="1" t="s">
        <v>74</v>
      </c>
      <c r="BC87" s="1" t="s">
        <v>74</v>
      </c>
      <c r="BD87" s="1">
        <v>4847941.0</v>
      </c>
      <c r="BE87" s="1" t="s">
        <v>1051</v>
      </c>
      <c r="BF87" s="2" t="str">
        <f>HYPERLINK("http://dx.doi.org/10.1155/2021/4847941","http://dx.doi.org/10.1155/2021/4847941")</f>
        <v>http://dx.doi.org/10.1155/2021/4847941</v>
      </c>
      <c r="BG87" s="1" t="s">
        <v>74</v>
      </c>
      <c r="BH87" s="1" t="s">
        <v>74</v>
      </c>
      <c r="BI87" s="1" t="s">
        <v>74</v>
      </c>
      <c r="BJ87" s="1" t="s">
        <v>74</v>
      </c>
      <c r="BK87" s="1" t="s">
        <v>74</v>
      </c>
      <c r="BL87" s="1" t="s">
        <v>74</v>
      </c>
      <c r="BM87" s="1" t="s">
        <v>74</v>
      </c>
      <c r="BN87" s="1">
        <v>3.4527174E7</v>
      </c>
      <c r="BO87" s="1" t="s">
        <v>74</v>
      </c>
      <c r="BP87" s="1" t="s">
        <v>74</v>
      </c>
      <c r="BQ87" s="1" t="s">
        <v>74</v>
      </c>
      <c r="BR87" s="1" t="s">
        <v>74</v>
      </c>
      <c r="BS87" s="1" t="s">
        <v>1052</v>
      </c>
      <c r="BT87" s="1" t="str">
        <f>HYPERLINK("https%3A%2F%2Fwww.webofscience.com%2Fwos%2Fwoscc%2Ffull-record%2FWOS:000697318900007","View Full Record in Web of Science")</f>
        <v>View Full Record in Web of Science</v>
      </c>
    </row>
    <row r="88" ht="12.75" customHeight="1">
      <c r="A88" s="1" t="s">
        <v>72</v>
      </c>
      <c r="B88" s="1" t="s">
        <v>1053</v>
      </c>
      <c r="C88" s="1" t="s">
        <v>74</v>
      </c>
      <c r="D88" s="1" t="s">
        <v>74</v>
      </c>
      <c r="E88" s="1" t="s">
        <v>74</v>
      </c>
      <c r="F88" s="1" t="s">
        <v>1054</v>
      </c>
      <c r="G88" s="1" t="s">
        <v>74</v>
      </c>
      <c r="H88" s="1" t="s">
        <v>74</v>
      </c>
      <c r="I88" s="1" t="s">
        <v>1055</v>
      </c>
      <c r="J88" s="1" t="s">
        <v>302</v>
      </c>
      <c r="K88" s="1" t="s">
        <v>74</v>
      </c>
      <c r="L88" s="1" t="s">
        <v>74</v>
      </c>
      <c r="M88" s="1" t="s">
        <v>74</v>
      </c>
      <c r="N88" s="1" t="s">
        <v>74</v>
      </c>
      <c r="O88" s="1" t="s">
        <v>74</v>
      </c>
      <c r="P88" s="1" t="s">
        <v>74</v>
      </c>
      <c r="Q88" s="1" t="s">
        <v>74</v>
      </c>
      <c r="R88" s="1" t="s">
        <v>74</v>
      </c>
      <c r="S88" s="1" t="s">
        <v>74</v>
      </c>
      <c r="T88" s="1" t="s">
        <v>74</v>
      </c>
      <c r="U88" s="1" t="s">
        <v>74</v>
      </c>
      <c r="V88" s="1" t="s">
        <v>1056</v>
      </c>
      <c r="W88" s="1" t="s">
        <v>74</v>
      </c>
      <c r="X88" s="1" t="s">
        <v>74</v>
      </c>
      <c r="Y88" s="1" t="s">
        <v>74</v>
      </c>
      <c r="Z88" s="1" t="s">
        <v>74</v>
      </c>
      <c r="AA88" s="1" t="s">
        <v>74</v>
      </c>
      <c r="AB88" s="1" t="s">
        <v>1057</v>
      </c>
      <c r="AC88" s="1" t="s">
        <v>74</v>
      </c>
      <c r="AD88" s="1" t="s">
        <v>74</v>
      </c>
      <c r="AE88" s="1" t="s">
        <v>74</v>
      </c>
      <c r="AF88" s="1" t="s">
        <v>74</v>
      </c>
      <c r="AG88" s="1" t="s">
        <v>74</v>
      </c>
      <c r="AH88" s="1" t="s">
        <v>74</v>
      </c>
      <c r="AI88" s="1" t="s">
        <v>74</v>
      </c>
      <c r="AJ88" s="1" t="s">
        <v>74</v>
      </c>
      <c r="AK88" s="1" t="s">
        <v>74</v>
      </c>
      <c r="AL88" s="1" t="s">
        <v>74</v>
      </c>
      <c r="AM88" s="1" t="s">
        <v>74</v>
      </c>
      <c r="AN88" s="1" t="s">
        <v>74</v>
      </c>
      <c r="AO88" s="1" t="s">
        <v>305</v>
      </c>
      <c r="AP88" s="1" t="s">
        <v>306</v>
      </c>
      <c r="AQ88" s="1" t="s">
        <v>74</v>
      </c>
      <c r="AR88" s="1" t="s">
        <v>74</v>
      </c>
      <c r="AS88" s="1" t="s">
        <v>74</v>
      </c>
      <c r="AT88" s="1" t="s">
        <v>537</v>
      </c>
      <c r="AU88" s="1">
        <v>2020.0</v>
      </c>
      <c r="AV88" s="1">
        <v>148.0</v>
      </c>
      <c r="AW88" s="1">
        <v>11.0</v>
      </c>
      <c r="AX88" s="1" t="s">
        <v>74</v>
      </c>
      <c r="AY88" s="1" t="s">
        <v>74</v>
      </c>
      <c r="AZ88" s="1" t="s">
        <v>74</v>
      </c>
      <c r="BA88" s="1" t="s">
        <v>74</v>
      </c>
      <c r="BB88" s="1">
        <v>1558.0</v>
      </c>
      <c r="BC88" s="1">
        <v>1567.0</v>
      </c>
      <c r="BD88" s="1" t="s">
        <v>74</v>
      </c>
      <c r="BE88" s="1" t="s">
        <v>74</v>
      </c>
      <c r="BF88" s="1" t="s">
        <v>74</v>
      </c>
      <c r="BG88" s="1" t="s">
        <v>74</v>
      </c>
      <c r="BH88" s="1" t="s">
        <v>74</v>
      </c>
      <c r="BI88" s="1" t="s">
        <v>74</v>
      </c>
      <c r="BJ88" s="1" t="s">
        <v>74</v>
      </c>
      <c r="BK88" s="1" t="s">
        <v>74</v>
      </c>
      <c r="BL88" s="1" t="s">
        <v>74</v>
      </c>
      <c r="BM88" s="1" t="s">
        <v>74</v>
      </c>
      <c r="BN88" s="1">
        <v>3.3844761E7</v>
      </c>
      <c r="BO88" s="1" t="s">
        <v>74</v>
      </c>
      <c r="BP88" s="1" t="s">
        <v>74</v>
      </c>
      <c r="BQ88" s="1" t="s">
        <v>74</v>
      </c>
      <c r="BR88" s="1" t="s">
        <v>74</v>
      </c>
      <c r="BS88" s="1" t="s">
        <v>1058</v>
      </c>
      <c r="BT88" s="1" t="str">
        <f>HYPERLINK("https%3A%2F%2Fwww.webofscience.com%2Fwos%2Fwoscc%2Ffull-record%2FWOS:000637311000003","View Full Record in Web of Science")</f>
        <v>View Full Record in Web of Science</v>
      </c>
    </row>
    <row r="89" ht="12.75" customHeight="1">
      <c r="A89" s="1" t="s">
        <v>86</v>
      </c>
      <c r="B89" s="1" t="s">
        <v>1059</v>
      </c>
      <c r="C89" s="1" t="s">
        <v>74</v>
      </c>
      <c r="D89" s="1" t="s">
        <v>74</v>
      </c>
      <c r="E89" s="1" t="s">
        <v>1060</v>
      </c>
      <c r="F89" s="1" t="s">
        <v>1061</v>
      </c>
      <c r="G89" s="1" t="s">
        <v>74</v>
      </c>
      <c r="H89" s="1" t="s">
        <v>74</v>
      </c>
      <c r="I89" s="1" t="s">
        <v>1062</v>
      </c>
      <c r="J89" s="1" t="s">
        <v>1063</v>
      </c>
      <c r="K89" s="1" t="s">
        <v>1064</v>
      </c>
      <c r="L89" s="1" t="s">
        <v>74</v>
      </c>
      <c r="M89" s="1" t="s">
        <v>74</v>
      </c>
      <c r="N89" s="1" t="s">
        <v>74</v>
      </c>
      <c r="O89" s="1" t="s">
        <v>1065</v>
      </c>
      <c r="P89" s="1" t="s">
        <v>1066</v>
      </c>
      <c r="Q89" s="1" t="s">
        <v>1067</v>
      </c>
      <c r="R89" s="1" t="s">
        <v>1068</v>
      </c>
      <c r="S89" s="1" t="s">
        <v>74</v>
      </c>
      <c r="T89" s="1" t="s">
        <v>74</v>
      </c>
      <c r="U89" s="1" t="s">
        <v>74</v>
      </c>
      <c r="V89" s="1" t="s">
        <v>1069</v>
      </c>
      <c r="W89" s="1" t="s">
        <v>74</v>
      </c>
      <c r="X89" s="1" t="s">
        <v>74</v>
      </c>
      <c r="Y89" s="1" t="s">
        <v>74</v>
      </c>
      <c r="Z89" s="1" t="s">
        <v>74</v>
      </c>
      <c r="AA89" s="1" t="s">
        <v>1070</v>
      </c>
      <c r="AB89" s="1" t="s">
        <v>1071</v>
      </c>
      <c r="AC89" s="1" t="s">
        <v>74</v>
      </c>
      <c r="AD89" s="1" t="s">
        <v>74</v>
      </c>
      <c r="AE89" s="1" t="s">
        <v>74</v>
      </c>
      <c r="AF89" s="1" t="s">
        <v>74</v>
      </c>
      <c r="AG89" s="1" t="s">
        <v>74</v>
      </c>
      <c r="AH89" s="1" t="s">
        <v>74</v>
      </c>
      <c r="AI89" s="1" t="s">
        <v>74</v>
      </c>
      <c r="AJ89" s="1" t="s">
        <v>74</v>
      </c>
      <c r="AK89" s="1" t="s">
        <v>74</v>
      </c>
      <c r="AL89" s="1" t="s">
        <v>74</v>
      </c>
      <c r="AM89" s="1" t="s">
        <v>74</v>
      </c>
      <c r="AN89" s="1" t="s">
        <v>74</v>
      </c>
      <c r="AO89" s="1" t="s">
        <v>1072</v>
      </c>
      <c r="AP89" s="1" t="s">
        <v>74</v>
      </c>
      <c r="AQ89" s="1" t="s">
        <v>1073</v>
      </c>
      <c r="AR89" s="1" t="s">
        <v>74</v>
      </c>
      <c r="AS89" s="1" t="s">
        <v>74</v>
      </c>
      <c r="AT89" s="1" t="s">
        <v>74</v>
      </c>
      <c r="AU89" s="1">
        <v>2020.0</v>
      </c>
      <c r="AV89" s="1" t="s">
        <v>74</v>
      </c>
      <c r="AW89" s="1" t="s">
        <v>74</v>
      </c>
      <c r="AX89" s="1" t="s">
        <v>74</v>
      </c>
      <c r="AY89" s="1" t="s">
        <v>74</v>
      </c>
      <c r="AZ89" s="1" t="s">
        <v>74</v>
      </c>
      <c r="BA89" s="1" t="s">
        <v>74</v>
      </c>
      <c r="BB89" s="1">
        <v>331.0</v>
      </c>
      <c r="BC89" s="1">
        <v>338.0</v>
      </c>
      <c r="BD89" s="1" t="s">
        <v>74</v>
      </c>
      <c r="BE89" s="1" t="s">
        <v>1074</v>
      </c>
      <c r="BF89" s="2" t="str">
        <f>HYPERLINK("http://dx.doi.org/10.1109/PDP50117.2020.00057","http://dx.doi.org/10.1109/PDP50117.2020.00057")</f>
        <v>http://dx.doi.org/10.1109/PDP50117.2020.00057</v>
      </c>
      <c r="BG89" s="1" t="s">
        <v>74</v>
      </c>
      <c r="BH89" s="1" t="s">
        <v>74</v>
      </c>
      <c r="BI89" s="1" t="s">
        <v>74</v>
      </c>
      <c r="BJ89" s="1" t="s">
        <v>74</v>
      </c>
      <c r="BK89" s="1" t="s">
        <v>74</v>
      </c>
      <c r="BL89" s="1" t="s">
        <v>74</v>
      </c>
      <c r="BM89" s="1" t="s">
        <v>74</v>
      </c>
      <c r="BN89" s="1" t="s">
        <v>74</v>
      </c>
      <c r="BO89" s="1" t="s">
        <v>74</v>
      </c>
      <c r="BP89" s="1" t="s">
        <v>74</v>
      </c>
      <c r="BQ89" s="1" t="s">
        <v>74</v>
      </c>
      <c r="BR89" s="1" t="s">
        <v>74</v>
      </c>
      <c r="BS89" s="1" t="s">
        <v>1075</v>
      </c>
      <c r="BT89" s="1" t="str">
        <f>HYPERLINK("https%3A%2F%2Fwww.webofscience.com%2Fwos%2Fwoscc%2Ffull-record%2FWOS:000582555800050","View Full Record in Web of Science")</f>
        <v>View Full Record in Web of Science</v>
      </c>
    </row>
    <row r="90" ht="12.75" customHeight="1">
      <c r="A90" s="1" t="s">
        <v>72</v>
      </c>
      <c r="B90" s="1" t="s">
        <v>1076</v>
      </c>
      <c r="C90" s="1" t="s">
        <v>74</v>
      </c>
      <c r="D90" s="1" t="s">
        <v>74</v>
      </c>
      <c r="E90" s="1" t="s">
        <v>74</v>
      </c>
      <c r="F90" s="1" t="s">
        <v>1077</v>
      </c>
      <c r="G90" s="1" t="s">
        <v>74</v>
      </c>
      <c r="H90" s="1" t="s">
        <v>74</v>
      </c>
      <c r="I90" s="1" t="s">
        <v>1078</v>
      </c>
      <c r="J90" s="1" t="s">
        <v>1079</v>
      </c>
      <c r="K90" s="1" t="s">
        <v>74</v>
      </c>
      <c r="L90" s="1" t="s">
        <v>74</v>
      </c>
      <c r="M90" s="1" t="s">
        <v>74</v>
      </c>
      <c r="N90" s="1" t="s">
        <v>74</v>
      </c>
      <c r="O90" s="1" t="s">
        <v>74</v>
      </c>
      <c r="P90" s="1" t="s">
        <v>74</v>
      </c>
      <c r="Q90" s="1" t="s">
        <v>74</v>
      </c>
      <c r="R90" s="1" t="s">
        <v>74</v>
      </c>
      <c r="S90" s="1" t="s">
        <v>74</v>
      </c>
      <c r="T90" s="1" t="s">
        <v>74</v>
      </c>
      <c r="U90" s="1" t="s">
        <v>74</v>
      </c>
      <c r="V90" s="1" t="s">
        <v>1080</v>
      </c>
      <c r="W90" s="1" t="s">
        <v>74</v>
      </c>
      <c r="X90" s="1" t="s">
        <v>74</v>
      </c>
      <c r="Y90" s="1" t="s">
        <v>74</v>
      </c>
      <c r="Z90" s="1" t="s">
        <v>74</v>
      </c>
      <c r="AA90" s="1" t="s">
        <v>1081</v>
      </c>
      <c r="AB90" s="1" t="s">
        <v>1082</v>
      </c>
      <c r="AC90" s="1" t="s">
        <v>74</v>
      </c>
      <c r="AD90" s="1" t="s">
        <v>74</v>
      </c>
      <c r="AE90" s="1" t="s">
        <v>74</v>
      </c>
      <c r="AF90" s="1" t="s">
        <v>74</v>
      </c>
      <c r="AG90" s="1" t="s">
        <v>74</v>
      </c>
      <c r="AH90" s="1" t="s">
        <v>74</v>
      </c>
      <c r="AI90" s="1" t="s">
        <v>74</v>
      </c>
      <c r="AJ90" s="1" t="s">
        <v>74</v>
      </c>
      <c r="AK90" s="1" t="s">
        <v>74</v>
      </c>
      <c r="AL90" s="1" t="s">
        <v>74</v>
      </c>
      <c r="AM90" s="1" t="s">
        <v>74</v>
      </c>
      <c r="AN90" s="1" t="s">
        <v>74</v>
      </c>
      <c r="AO90" s="1" t="s">
        <v>1083</v>
      </c>
      <c r="AP90" s="1" t="s">
        <v>74</v>
      </c>
      <c r="AQ90" s="1" t="s">
        <v>74</v>
      </c>
      <c r="AR90" s="1" t="s">
        <v>74</v>
      </c>
      <c r="AS90" s="1" t="s">
        <v>74</v>
      </c>
      <c r="AT90" s="1" t="s">
        <v>1084</v>
      </c>
      <c r="AU90" s="1">
        <v>2018.0</v>
      </c>
      <c r="AV90" s="1">
        <v>12.0</v>
      </c>
      <c r="AW90" s="1" t="s">
        <v>74</v>
      </c>
      <c r="AX90" s="1" t="s">
        <v>74</v>
      </c>
      <c r="AY90" s="1" t="s">
        <v>74</v>
      </c>
      <c r="AZ90" s="1" t="s">
        <v>74</v>
      </c>
      <c r="BA90" s="1" t="s">
        <v>74</v>
      </c>
      <c r="BB90" s="1" t="s">
        <v>74</v>
      </c>
      <c r="BC90" s="1" t="s">
        <v>74</v>
      </c>
      <c r="BD90" s="1">
        <v>58.0</v>
      </c>
      <c r="BE90" s="1" t="s">
        <v>1085</v>
      </c>
      <c r="BF90" s="2" t="str">
        <f>HYPERLINK("http://dx.doi.org/10.3389/fnins.2018.00058","http://dx.doi.org/10.3389/fnins.2018.00058")</f>
        <v>http://dx.doi.org/10.3389/fnins.2018.00058</v>
      </c>
      <c r="BG90" s="1" t="s">
        <v>74</v>
      </c>
      <c r="BH90" s="1" t="s">
        <v>74</v>
      </c>
      <c r="BI90" s="1" t="s">
        <v>74</v>
      </c>
      <c r="BJ90" s="1" t="s">
        <v>74</v>
      </c>
      <c r="BK90" s="1" t="s">
        <v>74</v>
      </c>
      <c r="BL90" s="1" t="s">
        <v>74</v>
      </c>
      <c r="BM90" s="1" t="s">
        <v>74</v>
      </c>
      <c r="BN90" s="1">
        <v>2.9472838E7</v>
      </c>
      <c r="BO90" s="1" t="s">
        <v>74</v>
      </c>
      <c r="BP90" s="1" t="s">
        <v>74</v>
      </c>
      <c r="BQ90" s="1" t="s">
        <v>74</v>
      </c>
      <c r="BR90" s="1" t="s">
        <v>74</v>
      </c>
      <c r="BS90" s="1" t="s">
        <v>1086</v>
      </c>
      <c r="BT90" s="1" t="str">
        <f>HYPERLINK("https%3A%2F%2Fwww.webofscience.com%2Fwos%2Fwoscc%2Ffull-record%2FWOS:000424477200002","View Full Record in Web of Science")</f>
        <v>View Full Record in Web of Science</v>
      </c>
    </row>
    <row r="91" ht="12.75" customHeight="1">
      <c r="A91" s="1" t="s">
        <v>86</v>
      </c>
      <c r="B91" s="1" t="s">
        <v>1087</v>
      </c>
      <c r="C91" s="1" t="s">
        <v>74</v>
      </c>
      <c r="D91" s="1" t="s">
        <v>1088</v>
      </c>
      <c r="E91" s="1" t="s">
        <v>74</v>
      </c>
      <c r="F91" s="1" t="s">
        <v>1089</v>
      </c>
      <c r="G91" s="1" t="s">
        <v>74</v>
      </c>
      <c r="H91" s="1" t="s">
        <v>74</v>
      </c>
      <c r="I91" s="1" t="s">
        <v>1090</v>
      </c>
      <c r="J91" s="1" t="s">
        <v>1091</v>
      </c>
      <c r="K91" s="1" t="s">
        <v>1092</v>
      </c>
      <c r="L91" s="1" t="s">
        <v>74</v>
      </c>
      <c r="M91" s="1" t="s">
        <v>74</v>
      </c>
      <c r="N91" s="1" t="s">
        <v>74</v>
      </c>
      <c r="O91" s="1" t="s">
        <v>1093</v>
      </c>
      <c r="P91" s="1" t="s">
        <v>1094</v>
      </c>
      <c r="Q91" s="1" t="s">
        <v>1095</v>
      </c>
      <c r="R91" s="1" t="s">
        <v>1096</v>
      </c>
      <c r="S91" s="1" t="s">
        <v>74</v>
      </c>
      <c r="T91" s="1" t="s">
        <v>74</v>
      </c>
      <c r="U91" s="1" t="s">
        <v>74</v>
      </c>
      <c r="V91" s="1" t="s">
        <v>1097</v>
      </c>
      <c r="W91" s="1" t="s">
        <v>74</v>
      </c>
      <c r="X91" s="1" t="s">
        <v>74</v>
      </c>
      <c r="Y91" s="1" t="s">
        <v>74</v>
      </c>
      <c r="Z91" s="1" t="s">
        <v>74</v>
      </c>
      <c r="AA91" s="1" t="s">
        <v>1098</v>
      </c>
      <c r="AB91" s="1" t="s">
        <v>1099</v>
      </c>
      <c r="AC91" s="1" t="s">
        <v>74</v>
      </c>
      <c r="AD91" s="1" t="s">
        <v>74</v>
      </c>
      <c r="AE91" s="1" t="s">
        <v>74</v>
      </c>
      <c r="AF91" s="1" t="s">
        <v>74</v>
      </c>
      <c r="AG91" s="1" t="s">
        <v>74</v>
      </c>
      <c r="AH91" s="1" t="s">
        <v>74</v>
      </c>
      <c r="AI91" s="1" t="s">
        <v>74</v>
      </c>
      <c r="AJ91" s="1" t="s">
        <v>74</v>
      </c>
      <c r="AK91" s="1" t="s">
        <v>74</v>
      </c>
      <c r="AL91" s="1" t="s">
        <v>74</v>
      </c>
      <c r="AM91" s="1" t="s">
        <v>74</v>
      </c>
      <c r="AN91" s="1" t="s">
        <v>74</v>
      </c>
      <c r="AO91" s="1" t="s">
        <v>1100</v>
      </c>
      <c r="AP91" s="1" t="s">
        <v>74</v>
      </c>
      <c r="AQ91" s="1" t="s">
        <v>74</v>
      </c>
      <c r="AR91" s="1" t="s">
        <v>74</v>
      </c>
      <c r="AS91" s="1" t="s">
        <v>74</v>
      </c>
      <c r="AT91" s="1" t="s">
        <v>74</v>
      </c>
      <c r="AU91" s="1">
        <v>2017.0</v>
      </c>
      <c r="AV91" s="1">
        <v>122.0</v>
      </c>
      <c r="AW91" s="1" t="s">
        <v>74</v>
      </c>
      <c r="AX91" s="1" t="s">
        <v>74</v>
      </c>
      <c r="AY91" s="1" t="s">
        <v>74</v>
      </c>
      <c r="AZ91" s="1" t="s">
        <v>74</v>
      </c>
      <c r="BA91" s="1" t="s">
        <v>74</v>
      </c>
      <c r="BB91" s="1">
        <v>857.0</v>
      </c>
      <c r="BC91" s="1">
        <v>864.0</v>
      </c>
      <c r="BD91" s="1" t="s">
        <v>74</v>
      </c>
      <c r="BE91" s="1" t="s">
        <v>1101</v>
      </c>
      <c r="BF91" s="2" t="str">
        <f>HYPERLINK("http://dx.doi.org/10.1016/j.procs.2017.11.447","http://dx.doi.org/10.1016/j.procs.2017.11.447")</f>
        <v>http://dx.doi.org/10.1016/j.procs.2017.11.447</v>
      </c>
      <c r="BG91" s="1" t="s">
        <v>74</v>
      </c>
      <c r="BH91" s="1" t="s">
        <v>74</v>
      </c>
      <c r="BI91" s="1" t="s">
        <v>74</v>
      </c>
      <c r="BJ91" s="1" t="s">
        <v>74</v>
      </c>
      <c r="BK91" s="1" t="s">
        <v>74</v>
      </c>
      <c r="BL91" s="1" t="s">
        <v>74</v>
      </c>
      <c r="BM91" s="1" t="s">
        <v>74</v>
      </c>
      <c r="BN91" s="1" t="s">
        <v>74</v>
      </c>
      <c r="BO91" s="1" t="s">
        <v>74</v>
      </c>
      <c r="BP91" s="1" t="s">
        <v>74</v>
      </c>
      <c r="BQ91" s="1" t="s">
        <v>74</v>
      </c>
      <c r="BR91" s="1" t="s">
        <v>74</v>
      </c>
      <c r="BS91" s="1" t="s">
        <v>1102</v>
      </c>
      <c r="BT91" s="1" t="str">
        <f>HYPERLINK("https%3A%2F%2Fwww.webofscience.com%2Fwos%2Fwoscc%2Ffull-record%2FWOS:000426698300114","View Full Record in Web of Science")</f>
        <v>View Full Record in Web of Science</v>
      </c>
    </row>
    <row r="92" ht="12.75" customHeight="1">
      <c r="A92" s="1" t="s">
        <v>72</v>
      </c>
      <c r="B92" s="1" t="s">
        <v>1103</v>
      </c>
      <c r="C92" s="1" t="s">
        <v>74</v>
      </c>
      <c r="D92" s="1" t="s">
        <v>74</v>
      </c>
      <c r="E92" s="1" t="s">
        <v>74</v>
      </c>
      <c r="F92" s="1" t="s">
        <v>1104</v>
      </c>
      <c r="G92" s="1" t="s">
        <v>74</v>
      </c>
      <c r="H92" s="1" t="s">
        <v>74</v>
      </c>
      <c r="I92" s="1" t="s">
        <v>1105</v>
      </c>
      <c r="J92" s="1" t="s">
        <v>1106</v>
      </c>
      <c r="K92" s="1" t="s">
        <v>74</v>
      </c>
      <c r="L92" s="1" t="s">
        <v>74</v>
      </c>
      <c r="M92" s="1" t="s">
        <v>74</v>
      </c>
      <c r="N92" s="1" t="s">
        <v>74</v>
      </c>
      <c r="O92" s="1" t="s">
        <v>74</v>
      </c>
      <c r="P92" s="1" t="s">
        <v>74</v>
      </c>
      <c r="Q92" s="1" t="s">
        <v>74</v>
      </c>
      <c r="R92" s="1" t="s">
        <v>74</v>
      </c>
      <c r="S92" s="1" t="s">
        <v>74</v>
      </c>
      <c r="T92" s="1" t="s">
        <v>74</v>
      </c>
      <c r="U92" s="1" t="s">
        <v>74</v>
      </c>
      <c r="V92" s="1" t="s">
        <v>1107</v>
      </c>
      <c r="W92" s="1" t="s">
        <v>74</v>
      </c>
      <c r="X92" s="1" t="s">
        <v>74</v>
      </c>
      <c r="Y92" s="1" t="s">
        <v>74</v>
      </c>
      <c r="Z92" s="1" t="s">
        <v>74</v>
      </c>
      <c r="AA92" s="1" t="s">
        <v>1108</v>
      </c>
      <c r="AB92" s="1" t="s">
        <v>74</v>
      </c>
      <c r="AC92" s="1" t="s">
        <v>74</v>
      </c>
      <c r="AD92" s="1" t="s">
        <v>74</v>
      </c>
      <c r="AE92" s="1" t="s">
        <v>74</v>
      </c>
      <c r="AF92" s="1" t="s">
        <v>74</v>
      </c>
      <c r="AG92" s="1" t="s">
        <v>74</v>
      </c>
      <c r="AH92" s="1" t="s">
        <v>74</v>
      </c>
      <c r="AI92" s="1" t="s">
        <v>74</v>
      </c>
      <c r="AJ92" s="1" t="s">
        <v>74</v>
      </c>
      <c r="AK92" s="1" t="s">
        <v>74</v>
      </c>
      <c r="AL92" s="1" t="s">
        <v>74</v>
      </c>
      <c r="AM92" s="1" t="s">
        <v>74</v>
      </c>
      <c r="AN92" s="1" t="s">
        <v>74</v>
      </c>
      <c r="AO92" s="1" t="s">
        <v>1109</v>
      </c>
      <c r="AP92" s="1" t="s">
        <v>1110</v>
      </c>
      <c r="AQ92" s="1" t="s">
        <v>74</v>
      </c>
      <c r="AR92" s="1" t="s">
        <v>74</v>
      </c>
      <c r="AS92" s="1" t="s">
        <v>74</v>
      </c>
      <c r="AT92" s="1" t="s">
        <v>422</v>
      </c>
      <c r="AU92" s="1">
        <v>2017.0</v>
      </c>
      <c r="AV92" s="1">
        <v>31.0</v>
      </c>
      <c r="AW92" s="1">
        <v>1.0</v>
      </c>
      <c r="AX92" s="1" t="s">
        <v>74</v>
      </c>
      <c r="AY92" s="1" t="s">
        <v>74</v>
      </c>
      <c r="AZ92" s="1" t="s">
        <v>74</v>
      </c>
      <c r="BA92" s="1" t="s">
        <v>74</v>
      </c>
      <c r="BB92" s="1" t="s">
        <v>74</v>
      </c>
      <c r="BC92" s="1" t="s">
        <v>74</v>
      </c>
      <c r="BD92" s="1" t="s">
        <v>1111</v>
      </c>
      <c r="BE92" s="1" t="s">
        <v>1112</v>
      </c>
      <c r="BF92" s="2" t="str">
        <f>HYPERLINK("http://dx.doi.org/10.1016/j.jvoice.2016.01.003","http://dx.doi.org/10.1016/j.jvoice.2016.01.003")</f>
        <v>http://dx.doi.org/10.1016/j.jvoice.2016.01.003</v>
      </c>
      <c r="BG92" s="1" t="s">
        <v>74</v>
      </c>
      <c r="BH92" s="1" t="s">
        <v>74</v>
      </c>
      <c r="BI92" s="1" t="s">
        <v>74</v>
      </c>
      <c r="BJ92" s="1" t="s">
        <v>74</v>
      </c>
      <c r="BK92" s="1" t="s">
        <v>74</v>
      </c>
      <c r="BL92" s="1" t="s">
        <v>74</v>
      </c>
      <c r="BM92" s="1" t="s">
        <v>74</v>
      </c>
      <c r="BN92" s="1">
        <v>2.6852823E7</v>
      </c>
      <c r="BO92" s="1" t="s">
        <v>74</v>
      </c>
      <c r="BP92" s="1" t="s">
        <v>74</v>
      </c>
      <c r="BQ92" s="1" t="s">
        <v>74</v>
      </c>
      <c r="BR92" s="1" t="s">
        <v>74</v>
      </c>
      <c r="BS92" s="1" t="s">
        <v>1113</v>
      </c>
      <c r="BT92" s="1" t="str">
        <f>HYPERLINK("https%3A%2F%2Fwww.webofscience.com%2Fwos%2Fwoscc%2Ffull-record%2FWOS:000392619900057","View Full Record in Web of Science")</f>
        <v>View Full Record in Web of Science</v>
      </c>
    </row>
    <row r="93" ht="12.75" customHeight="1">
      <c r="A93" s="1" t="s">
        <v>72</v>
      </c>
      <c r="B93" s="1" t="s">
        <v>1114</v>
      </c>
      <c r="C93" s="1" t="s">
        <v>74</v>
      </c>
      <c r="D93" s="1" t="s">
        <v>74</v>
      </c>
      <c r="E93" s="1" t="s">
        <v>74</v>
      </c>
      <c r="F93" s="1" t="s">
        <v>1115</v>
      </c>
      <c r="G93" s="1" t="s">
        <v>74</v>
      </c>
      <c r="H93" s="1" t="s">
        <v>74</v>
      </c>
      <c r="I93" s="1" t="s">
        <v>1116</v>
      </c>
      <c r="J93" s="1" t="s">
        <v>1117</v>
      </c>
      <c r="K93" s="1" t="s">
        <v>74</v>
      </c>
      <c r="L93" s="1" t="s">
        <v>74</v>
      </c>
      <c r="M93" s="1" t="s">
        <v>74</v>
      </c>
      <c r="N93" s="1" t="s">
        <v>74</v>
      </c>
      <c r="O93" s="1" t="s">
        <v>74</v>
      </c>
      <c r="P93" s="1" t="s">
        <v>74</v>
      </c>
      <c r="Q93" s="1" t="s">
        <v>74</v>
      </c>
      <c r="R93" s="1" t="s">
        <v>74</v>
      </c>
      <c r="S93" s="1" t="s">
        <v>74</v>
      </c>
      <c r="T93" s="1" t="s">
        <v>74</v>
      </c>
      <c r="U93" s="1" t="s">
        <v>74</v>
      </c>
      <c r="V93" s="1" t="s">
        <v>1118</v>
      </c>
      <c r="W93" s="1" t="s">
        <v>74</v>
      </c>
      <c r="X93" s="1" t="s">
        <v>74</v>
      </c>
      <c r="Y93" s="1" t="s">
        <v>74</v>
      </c>
      <c r="Z93" s="1" t="s">
        <v>74</v>
      </c>
      <c r="AA93" s="1" t="s">
        <v>1119</v>
      </c>
      <c r="AB93" s="1" t="s">
        <v>1120</v>
      </c>
      <c r="AC93" s="1" t="s">
        <v>74</v>
      </c>
      <c r="AD93" s="1" t="s">
        <v>74</v>
      </c>
      <c r="AE93" s="1" t="s">
        <v>74</v>
      </c>
      <c r="AF93" s="1" t="s">
        <v>74</v>
      </c>
      <c r="AG93" s="1" t="s">
        <v>74</v>
      </c>
      <c r="AH93" s="1" t="s">
        <v>74</v>
      </c>
      <c r="AI93" s="1" t="s">
        <v>74</v>
      </c>
      <c r="AJ93" s="1" t="s">
        <v>74</v>
      </c>
      <c r="AK93" s="1" t="s">
        <v>74</v>
      </c>
      <c r="AL93" s="1" t="s">
        <v>74</v>
      </c>
      <c r="AM93" s="1" t="s">
        <v>74</v>
      </c>
      <c r="AN93" s="1" t="s">
        <v>74</v>
      </c>
      <c r="AO93" s="1" t="s">
        <v>1121</v>
      </c>
      <c r="AP93" s="1" t="s">
        <v>1122</v>
      </c>
      <c r="AQ93" s="1" t="s">
        <v>74</v>
      </c>
      <c r="AR93" s="1" t="s">
        <v>74</v>
      </c>
      <c r="AS93" s="1" t="s">
        <v>74</v>
      </c>
      <c r="AT93" s="1" t="s">
        <v>1123</v>
      </c>
      <c r="AU93" s="1">
        <v>2016.0</v>
      </c>
      <c r="AV93" s="1">
        <v>390.0</v>
      </c>
      <c r="AW93" s="1" t="s">
        <v>74</v>
      </c>
      <c r="AX93" s="1" t="s">
        <v>74</v>
      </c>
      <c r="AY93" s="1" t="s">
        <v>74</v>
      </c>
      <c r="AZ93" s="1" t="s">
        <v>74</v>
      </c>
      <c r="BA93" s="1" t="s">
        <v>74</v>
      </c>
      <c r="BB93" s="1">
        <v>97.0</v>
      </c>
      <c r="BC93" s="1">
        <v>105.0</v>
      </c>
      <c r="BD93" s="1" t="s">
        <v>74</v>
      </c>
      <c r="BE93" s="1" t="s">
        <v>1124</v>
      </c>
      <c r="BF93" s="2" t="str">
        <f>HYPERLINK("http://dx.doi.org/10.1016/j.jtbi.2015.10.009","http://dx.doi.org/10.1016/j.jtbi.2015.10.009")</f>
        <v>http://dx.doi.org/10.1016/j.jtbi.2015.10.009</v>
      </c>
      <c r="BG93" s="1" t="s">
        <v>74</v>
      </c>
      <c r="BH93" s="1" t="s">
        <v>74</v>
      </c>
      <c r="BI93" s="1" t="s">
        <v>74</v>
      </c>
      <c r="BJ93" s="1" t="s">
        <v>74</v>
      </c>
      <c r="BK93" s="1" t="s">
        <v>74</v>
      </c>
      <c r="BL93" s="1" t="s">
        <v>74</v>
      </c>
      <c r="BM93" s="1" t="s">
        <v>74</v>
      </c>
      <c r="BN93" s="1">
        <v>2.6598329E7</v>
      </c>
      <c r="BO93" s="1" t="s">
        <v>74</v>
      </c>
      <c r="BP93" s="1" t="s">
        <v>74</v>
      </c>
      <c r="BQ93" s="1" t="s">
        <v>74</v>
      </c>
      <c r="BR93" s="1" t="s">
        <v>74</v>
      </c>
      <c r="BS93" s="1" t="s">
        <v>1125</v>
      </c>
      <c r="BT93" s="1" t="str">
        <f>HYPERLINK("https%3A%2F%2Fwww.webofscience.com%2Fwos%2Fwoscc%2Ffull-record%2FWOS:000367770400010","View Full Record in Web of Science")</f>
        <v>View Full Record in Web of Science</v>
      </c>
    </row>
    <row r="94" ht="12.75" customHeight="1">
      <c r="A94" s="1" t="s">
        <v>86</v>
      </c>
      <c r="B94" s="1" t="s">
        <v>1126</v>
      </c>
      <c r="C94" s="1" t="s">
        <v>74</v>
      </c>
      <c r="D94" s="1" t="s">
        <v>74</v>
      </c>
      <c r="E94" s="1" t="s">
        <v>248</v>
      </c>
      <c r="F94" s="1" t="s">
        <v>1127</v>
      </c>
      <c r="G94" s="1" t="s">
        <v>74</v>
      </c>
      <c r="H94" s="1" t="s">
        <v>74</v>
      </c>
      <c r="I94" s="1" t="s">
        <v>1128</v>
      </c>
      <c r="J94" s="1" t="s">
        <v>1129</v>
      </c>
      <c r="K94" s="1" t="s">
        <v>1130</v>
      </c>
      <c r="L94" s="1" t="s">
        <v>74</v>
      </c>
      <c r="M94" s="1" t="s">
        <v>74</v>
      </c>
      <c r="N94" s="1" t="s">
        <v>74</v>
      </c>
      <c r="O94" s="1" t="s">
        <v>1131</v>
      </c>
      <c r="P94" s="1" t="s">
        <v>1132</v>
      </c>
      <c r="Q94" s="1" t="s">
        <v>1133</v>
      </c>
      <c r="R94" s="1" t="s">
        <v>74</v>
      </c>
      <c r="S94" s="1" t="s">
        <v>74</v>
      </c>
      <c r="T94" s="1" t="s">
        <v>74</v>
      </c>
      <c r="U94" s="1" t="s">
        <v>74</v>
      </c>
      <c r="V94" s="1" t="s">
        <v>1134</v>
      </c>
      <c r="W94" s="1" t="s">
        <v>74</v>
      </c>
      <c r="X94" s="1" t="s">
        <v>74</v>
      </c>
      <c r="Y94" s="1" t="s">
        <v>74</v>
      </c>
      <c r="Z94" s="1" t="s">
        <v>74</v>
      </c>
      <c r="AA94" s="1" t="s">
        <v>1135</v>
      </c>
      <c r="AB94" s="1" t="s">
        <v>1136</v>
      </c>
      <c r="AC94" s="1" t="s">
        <v>74</v>
      </c>
      <c r="AD94" s="1" t="s">
        <v>74</v>
      </c>
      <c r="AE94" s="1" t="s">
        <v>74</v>
      </c>
      <c r="AF94" s="1" t="s">
        <v>74</v>
      </c>
      <c r="AG94" s="1" t="s">
        <v>74</v>
      </c>
      <c r="AH94" s="1" t="s">
        <v>74</v>
      </c>
      <c r="AI94" s="1" t="s">
        <v>74</v>
      </c>
      <c r="AJ94" s="1" t="s">
        <v>74</v>
      </c>
      <c r="AK94" s="1" t="s">
        <v>74</v>
      </c>
      <c r="AL94" s="1" t="s">
        <v>74</v>
      </c>
      <c r="AM94" s="1" t="s">
        <v>74</v>
      </c>
      <c r="AN94" s="1" t="s">
        <v>74</v>
      </c>
      <c r="AO94" s="1" t="s">
        <v>1137</v>
      </c>
      <c r="AP94" s="1" t="s">
        <v>74</v>
      </c>
      <c r="AQ94" s="1" t="s">
        <v>1138</v>
      </c>
      <c r="AR94" s="1" t="s">
        <v>74</v>
      </c>
      <c r="AS94" s="1" t="s">
        <v>74</v>
      </c>
      <c r="AT94" s="1" t="s">
        <v>74</v>
      </c>
      <c r="AU94" s="1">
        <v>2015.0</v>
      </c>
      <c r="AV94" s="1" t="s">
        <v>74</v>
      </c>
      <c r="AW94" s="1" t="s">
        <v>74</v>
      </c>
      <c r="AX94" s="1" t="s">
        <v>74</v>
      </c>
      <c r="AY94" s="1" t="s">
        <v>74</v>
      </c>
      <c r="AZ94" s="1" t="s">
        <v>74</v>
      </c>
      <c r="BA94" s="1" t="s">
        <v>74</v>
      </c>
      <c r="BB94" s="1">
        <v>264.0</v>
      </c>
      <c r="BC94" s="1">
        <v>268.0</v>
      </c>
      <c r="BD94" s="1" t="s">
        <v>74</v>
      </c>
      <c r="BE94" s="1" t="s">
        <v>74</v>
      </c>
      <c r="BF94" s="1" t="s">
        <v>74</v>
      </c>
      <c r="BG94" s="1" t="s">
        <v>74</v>
      </c>
      <c r="BH94" s="1" t="s">
        <v>74</v>
      </c>
      <c r="BI94" s="1" t="s">
        <v>74</v>
      </c>
      <c r="BJ94" s="1" t="s">
        <v>74</v>
      </c>
      <c r="BK94" s="1" t="s">
        <v>74</v>
      </c>
      <c r="BL94" s="1" t="s">
        <v>74</v>
      </c>
      <c r="BM94" s="1" t="s">
        <v>74</v>
      </c>
      <c r="BN94" s="1" t="s">
        <v>74</v>
      </c>
      <c r="BO94" s="1" t="s">
        <v>74</v>
      </c>
      <c r="BP94" s="1" t="s">
        <v>74</v>
      </c>
      <c r="BQ94" s="1" t="s">
        <v>74</v>
      </c>
      <c r="BR94" s="1" t="s">
        <v>74</v>
      </c>
      <c r="BS94" s="1" t="s">
        <v>1139</v>
      </c>
      <c r="BT94" s="1" t="str">
        <f>HYPERLINK("https%3A%2F%2Fwww.webofscience.com%2Fwos%2Fwoscc%2Ffull-record%2FWOS:000380436100033","View Full Record in Web of Science")</f>
        <v>View Full Record in Web of Science</v>
      </c>
    </row>
    <row r="95" ht="12.75" customHeight="1">
      <c r="A95" s="1" t="s">
        <v>72</v>
      </c>
      <c r="B95" s="1" t="s">
        <v>1140</v>
      </c>
      <c r="C95" s="1" t="s">
        <v>74</v>
      </c>
      <c r="D95" s="1" t="s">
        <v>74</v>
      </c>
      <c r="E95" s="1" t="s">
        <v>74</v>
      </c>
      <c r="F95" s="1" t="s">
        <v>1141</v>
      </c>
      <c r="G95" s="1" t="s">
        <v>74</v>
      </c>
      <c r="H95" s="1" t="s">
        <v>74</v>
      </c>
      <c r="I95" s="1" t="s">
        <v>1142</v>
      </c>
      <c r="J95" s="1" t="s">
        <v>1143</v>
      </c>
      <c r="K95" s="1" t="s">
        <v>74</v>
      </c>
      <c r="L95" s="1" t="s">
        <v>74</v>
      </c>
      <c r="M95" s="1" t="s">
        <v>74</v>
      </c>
      <c r="N95" s="1" t="s">
        <v>74</v>
      </c>
      <c r="O95" s="1" t="s">
        <v>74</v>
      </c>
      <c r="P95" s="1" t="s">
        <v>74</v>
      </c>
      <c r="Q95" s="1" t="s">
        <v>74</v>
      </c>
      <c r="R95" s="1" t="s">
        <v>74</v>
      </c>
      <c r="S95" s="1" t="s">
        <v>74</v>
      </c>
      <c r="T95" s="1" t="s">
        <v>74</v>
      </c>
      <c r="U95" s="1" t="s">
        <v>74</v>
      </c>
      <c r="V95" s="1" t="s">
        <v>1144</v>
      </c>
      <c r="W95" s="1" t="s">
        <v>74</v>
      </c>
      <c r="X95" s="1" t="s">
        <v>74</v>
      </c>
      <c r="Y95" s="1" t="s">
        <v>74</v>
      </c>
      <c r="Z95" s="1" t="s">
        <v>74</v>
      </c>
      <c r="AA95" s="1" t="s">
        <v>1145</v>
      </c>
      <c r="AB95" s="1" t="s">
        <v>1146</v>
      </c>
      <c r="AC95" s="1" t="s">
        <v>74</v>
      </c>
      <c r="AD95" s="1" t="s">
        <v>74</v>
      </c>
      <c r="AE95" s="1" t="s">
        <v>74</v>
      </c>
      <c r="AF95" s="1" t="s">
        <v>74</v>
      </c>
      <c r="AG95" s="1" t="s">
        <v>74</v>
      </c>
      <c r="AH95" s="1" t="s">
        <v>74</v>
      </c>
      <c r="AI95" s="1" t="s">
        <v>74</v>
      </c>
      <c r="AJ95" s="1" t="s">
        <v>74</v>
      </c>
      <c r="AK95" s="1" t="s">
        <v>74</v>
      </c>
      <c r="AL95" s="1" t="s">
        <v>74</v>
      </c>
      <c r="AM95" s="1" t="s">
        <v>74</v>
      </c>
      <c r="AN95" s="1" t="s">
        <v>74</v>
      </c>
      <c r="AO95" s="1" t="s">
        <v>1147</v>
      </c>
      <c r="AP95" s="1" t="s">
        <v>1148</v>
      </c>
      <c r="AQ95" s="1" t="s">
        <v>74</v>
      </c>
      <c r="AR95" s="1" t="s">
        <v>74</v>
      </c>
      <c r="AS95" s="1" t="s">
        <v>74</v>
      </c>
      <c r="AT95" s="1" t="s">
        <v>307</v>
      </c>
      <c r="AU95" s="1">
        <v>2014.0</v>
      </c>
      <c r="AV95" s="1">
        <v>16.0</v>
      </c>
      <c r="AW95" s="1">
        <v>12.0</v>
      </c>
      <c r="AX95" s="1" t="s">
        <v>74</v>
      </c>
      <c r="AY95" s="1" t="s">
        <v>74</v>
      </c>
      <c r="AZ95" s="1" t="s">
        <v>74</v>
      </c>
      <c r="BA95" s="1" t="s">
        <v>74</v>
      </c>
      <c r="BB95" s="1" t="s">
        <v>74</v>
      </c>
      <c r="BC95" s="1" t="s">
        <v>74</v>
      </c>
      <c r="BD95" s="1">
        <v>2803.0</v>
      </c>
      <c r="BE95" s="1" t="s">
        <v>1149</v>
      </c>
      <c r="BF95" s="2" t="str">
        <f>HYPERLINK("http://dx.doi.org/10.1007/s11051-014-2803-6","http://dx.doi.org/10.1007/s11051-014-2803-6")</f>
        <v>http://dx.doi.org/10.1007/s11051-014-2803-6</v>
      </c>
      <c r="BG95" s="1" t="s">
        <v>74</v>
      </c>
      <c r="BH95" s="1" t="s">
        <v>74</v>
      </c>
      <c r="BI95" s="1" t="s">
        <v>74</v>
      </c>
      <c r="BJ95" s="1" t="s">
        <v>74</v>
      </c>
      <c r="BK95" s="1" t="s">
        <v>74</v>
      </c>
      <c r="BL95" s="1" t="s">
        <v>74</v>
      </c>
      <c r="BM95" s="1" t="s">
        <v>74</v>
      </c>
      <c r="BN95" s="1" t="s">
        <v>74</v>
      </c>
      <c r="BO95" s="1" t="s">
        <v>74</v>
      </c>
      <c r="BP95" s="1" t="s">
        <v>74</v>
      </c>
      <c r="BQ95" s="1" t="s">
        <v>74</v>
      </c>
      <c r="BR95" s="1" t="s">
        <v>74</v>
      </c>
      <c r="BS95" s="1" t="s">
        <v>1150</v>
      </c>
      <c r="BT95" s="1" t="str">
        <f>HYPERLINK("https%3A%2F%2Fwww.webofscience.com%2Fwos%2Fwoscc%2Ffull-record%2FWOS:000346697000062","View Full Record in Web of Science")</f>
        <v>View Full Record in Web of Science</v>
      </c>
    </row>
    <row r="96" ht="12.75" customHeight="1">
      <c r="A96" s="1" t="s">
        <v>72</v>
      </c>
      <c r="B96" s="1" t="s">
        <v>1151</v>
      </c>
      <c r="C96" s="1" t="s">
        <v>74</v>
      </c>
      <c r="D96" s="1" t="s">
        <v>74</v>
      </c>
      <c r="E96" s="1" t="s">
        <v>74</v>
      </c>
      <c r="F96" s="1" t="s">
        <v>1152</v>
      </c>
      <c r="G96" s="1" t="s">
        <v>74</v>
      </c>
      <c r="H96" s="1" t="s">
        <v>74</v>
      </c>
      <c r="I96" s="1" t="s">
        <v>1153</v>
      </c>
      <c r="J96" s="1" t="s">
        <v>1154</v>
      </c>
      <c r="K96" s="1" t="s">
        <v>74</v>
      </c>
      <c r="L96" s="1" t="s">
        <v>74</v>
      </c>
      <c r="M96" s="1" t="s">
        <v>74</v>
      </c>
      <c r="N96" s="1" t="s">
        <v>74</v>
      </c>
      <c r="O96" s="1" t="s">
        <v>74</v>
      </c>
      <c r="P96" s="1" t="s">
        <v>74</v>
      </c>
      <c r="Q96" s="1" t="s">
        <v>74</v>
      </c>
      <c r="R96" s="1" t="s">
        <v>74</v>
      </c>
      <c r="S96" s="1" t="s">
        <v>74</v>
      </c>
      <c r="T96" s="1" t="s">
        <v>74</v>
      </c>
      <c r="U96" s="1" t="s">
        <v>74</v>
      </c>
      <c r="V96" s="1" t="s">
        <v>1155</v>
      </c>
      <c r="W96" s="1" t="s">
        <v>74</v>
      </c>
      <c r="X96" s="1" t="s">
        <v>74</v>
      </c>
      <c r="Y96" s="1" t="s">
        <v>74</v>
      </c>
      <c r="Z96" s="1" t="s">
        <v>74</v>
      </c>
      <c r="AA96" s="1" t="s">
        <v>74</v>
      </c>
      <c r="AB96" s="1" t="s">
        <v>1156</v>
      </c>
      <c r="AC96" s="1" t="s">
        <v>74</v>
      </c>
      <c r="AD96" s="1" t="s">
        <v>74</v>
      </c>
      <c r="AE96" s="1" t="s">
        <v>74</v>
      </c>
      <c r="AF96" s="1" t="s">
        <v>74</v>
      </c>
      <c r="AG96" s="1" t="s">
        <v>74</v>
      </c>
      <c r="AH96" s="1" t="s">
        <v>74</v>
      </c>
      <c r="AI96" s="1" t="s">
        <v>74</v>
      </c>
      <c r="AJ96" s="1" t="s">
        <v>74</v>
      </c>
      <c r="AK96" s="1" t="s">
        <v>74</v>
      </c>
      <c r="AL96" s="1" t="s">
        <v>74</v>
      </c>
      <c r="AM96" s="1" t="s">
        <v>74</v>
      </c>
      <c r="AN96" s="1" t="s">
        <v>74</v>
      </c>
      <c r="AO96" s="1" t="s">
        <v>1157</v>
      </c>
      <c r="AP96" s="1" t="s">
        <v>1158</v>
      </c>
      <c r="AQ96" s="1" t="s">
        <v>74</v>
      </c>
      <c r="AR96" s="1" t="s">
        <v>74</v>
      </c>
      <c r="AS96" s="1" t="s">
        <v>74</v>
      </c>
      <c r="AT96" s="1" t="s">
        <v>201</v>
      </c>
      <c r="AU96" s="1">
        <v>2014.0</v>
      </c>
      <c r="AV96" s="1">
        <v>8.0</v>
      </c>
      <c r="AW96" s="1">
        <v>5.0</v>
      </c>
      <c r="AX96" s="1" t="s">
        <v>74</v>
      </c>
      <c r="AY96" s="1" t="s">
        <v>74</v>
      </c>
      <c r="AZ96" s="1" t="s">
        <v>74</v>
      </c>
      <c r="BA96" s="1" t="s">
        <v>74</v>
      </c>
      <c r="BB96" s="1">
        <v>411.0</v>
      </c>
      <c r="BC96" s="1">
        <v>419.0</v>
      </c>
      <c r="BD96" s="1" t="s">
        <v>74</v>
      </c>
      <c r="BE96" s="1" t="s">
        <v>1159</v>
      </c>
      <c r="BF96" s="2" t="str">
        <f>HYPERLINK("http://dx.doi.org/10.1007/s11829-014-9328-x","http://dx.doi.org/10.1007/s11829-014-9328-x")</f>
        <v>http://dx.doi.org/10.1007/s11829-014-9328-x</v>
      </c>
      <c r="BG96" s="1" t="s">
        <v>74</v>
      </c>
      <c r="BH96" s="1" t="s">
        <v>74</v>
      </c>
      <c r="BI96" s="1" t="s">
        <v>74</v>
      </c>
      <c r="BJ96" s="1" t="s">
        <v>74</v>
      </c>
      <c r="BK96" s="1" t="s">
        <v>74</v>
      </c>
      <c r="BL96" s="1" t="s">
        <v>74</v>
      </c>
      <c r="BM96" s="1" t="s">
        <v>74</v>
      </c>
      <c r="BN96" s="1" t="s">
        <v>74</v>
      </c>
      <c r="BO96" s="1" t="s">
        <v>74</v>
      </c>
      <c r="BP96" s="1" t="s">
        <v>74</v>
      </c>
      <c r="BQ96" s="1" t="s">
        <v>74</v>
      </c>
      <c r="BR96" s="1" t="s">
        <v>74</v>
      </c>
      <c r="BS96" s="1" t="s">
        <v>1160</v>
      </c>
      <c r="BT96" s="1" t="str">
        <f>HYPERLINK("https%3A%2F%2Fwww.webofscience.com%2Fwos%2Fwoscc%2Ffull-record%2FWOS:000344733300005","View Full Record in Web of Science")</f>
        <v>View Full Record in Web of Science</v>
      </c>
    </row>
    <row r="97" ht="12.75" customHeight="1">
      <c r="A97" s="1" t="s">
        <v>72</v>
      </c>
      <c r="B97" s="1" t="s">
        <v>855</v>
      </c>
      <c r="C97" s="1" t="s">
        <v>74</v>
      </c>
      <c r="D97" s="1" t="s">
        <v>74</v>
      </c>
      <c r="E97" s="1" t="s">
        <v>74</v>
      </c>
      <c r="F97" s="1" t="s">
        <v>856</v>
      </c>
      <c r="G97" s="1" t="s">
        <v>74</v>
      </c>
      <c r="H97" s="1" t="s">
        <v>74</v>
      </c>
      <c r="I97" s="1" t="s">
        <v>1161</v>
      </c>
      <c r="J97" s="1" t="s">
        <v>858</v>
      </c>
      <c r="K97" s="1" t="s">
        <v>74</v>
      </c>
      <c r="L97" s="1" t="s">
        <v>74</v>
      </c>
      <c r="M97" s="1" t="s">
        <v>74</v>
      </c>
      <c r="N97" s="1" t="s">
        <v>74</v>
      </c>
      <c r="O97" s="1" t="s">
        <v>74</v>
      </c>
      <c r="P97" s="1" t="s">
        <v>74</v>
      </c>
      <c r="Q97" s="1" t="s">
        <v>74</v>
      </c>
      <c r="R97" s="1" t="s">
        <v>74</v>
      </c>
      <c r="S97" s="1" t="s">
        <v>74</v>
      </c>
      <c r="T97" s="1" t="s">
        <v>74</v>
      </c>
      <c r="U97" s="1" t="s">
        <v>74</v>
      </c>
      <c r="V97" s="1" t="s">
        <v>1162</v>
      </c>
      <c r="W97" s="1" t="s">
        <v>74</v>
      </c>
      <c r="X97" s="1" t="s">
        <v>74</v>
      </c>
      <c r="Y97" s="1" t="s">
        <v>74</v>
      </c>
      <c r="Z97" s="1" t="s">
        <v>74</v>
      </c>
      <c r="AA97" s="1" t="s">
        <v>1163</v>
      </c>
      <c r="AB97" s="1" t="s">
        <v>861</v>
      </c>
      <c r="AC97" s="1" t="s">
        <v>74</v>
      </c>
      <c r="AD97" s="1" t="s">
        <v>74</v>
      </c>
      <c r="AE97" s="1" t="s">
        <v>74</v>
      </c>
      <c r="AF97" s="1" t="s">
        <v>74</v>
      </c>
      <c r="AG97" s="1" t="s">
        <v>74</v>
      </c>
      <c r="AH97" s="1" t="s">
        <v>74</v>
      </c>
      <c r="AI97" s="1" t="s">
        <v>74</v>
      </c>
      <c r="AJ97" s="1" t="s">
        <v>74</v>
      </c>
      <c r="AK97" s="1" t="s">
        <v>74</v>
      </c>
      <c r="AL97" s="1" t="s">
        <v>74</v>
      </c>
      <c r="AM97" s="1" t="s">
        <v>74</v>
      </c>
      <c r="AN97" s="1" t="s">
        <v>74</v>
      </c>
      <c r="AO97" s="1" t="s">
        <v>862</v>
      </c>
      <c r="AP97" s="1" t="s">
        <v>863</v>
      </c>
      <c r="AQ97" s="1" t="s">
        <v>74</v>
      </c>
      <c r="AR97" s="1" t="s">
        <v>74</v>
      </c>
      <c r="AS97" s="1" t="s">
        <v>74</v>
      </c>
      <c r="AT97" s="1" t="s">
        <v>1164</v>
      </c>
      <c r="AU97" s="1">
        <v>2014.0</v>
      </c>
      <c r="AV97" s="1">
        <v>89.0</v>
      </c>
      <c r="AW97" s="1">
        <v>6.0</v>
      </c>
      <c r="AX97" s="1" t="s">
        <v>74</v>
      </c>
      <c r="AY97" s="1" t="s">
        <v>74</v>
      </c>
      <c r="AZ97" s="1" t="s">
        <v>74</v>
      </c>
      <c r="BA97" s="1" t="s">
        <v>74</v>
      </c>
      <c r="BB97" s="1" t="s">
        <v>74</v>
      </c>
      <c r="BC97" s="1" t="s">
        <v>74</v>
      </c>
      <c r="BD97" s="1">
        <v>62205.0</v>
      </c>
      <c r="BE97" s="1" t="s">
        <v>1165</v>
      </c>
      <c r="BF97" s="2" t="str">
        <f>HYPERLINK("http://dx.doi.org/10.1103/PhysRevE.89.062205","http://dx.doi.org/10.1103/PhysRevE.89.062205")</f>
        <v>http://dx.doi.org/10.1103/PhysRevE.89.062205</v>
      </c>
      <c r="BG97" s="1" t="s">
        <v>74</v>
      </c>
      <c r="BH97" s="1" t="s">
        <v>74</v>
      </c>
      <c r="BI97" s="1" t="s">
        <v>74</v>
      </c>
      <c r="BJ97" s="1" t="s">
        <v>74</v>
      </c>
      <c r="BK97" s="1" t="s">
        <v>74</v>
      </c>
      <c r="BL97" s="1" t="s">
        <v>74</v>
      </c>
      <c r="BM97" s="1" t="s">
        <v>74</v>
      </c>
      <c r="BN97" s="1">
        <v>2.5019768E7</v>
      </c>
      <c r="BO97" s="1" t="s">
        <v>74</v>
      </c>
      <c r="BP97" s="1" t="s">
        <v>74</v>
      </c>
      <c r="BQ97" s="1" t="s">
        <v>74</v>
      </c>
      <c r="BR97" s="1" t="s">
        <v>74</v>
      </c>
      <c r="BS97" s="1" t="s">
        <v>1166</v>
      </c>
      <c r="BT97" s="1" t="str">
        <f>HYPERLINK("https%3A%2F%2Fwww.webofscience.com%2Fwos%2Fwoscc%2Ffull-record%2FWOS:000337733900003","View Full Record in Web of Science")</f>
        <v>View Full Record in Web of Science</v>
      </c>
    </row>
    <row r="98" ht="12.75" customHeight="1">
      <c r="A98" s="1" t="s">
        <v>72</v>
      </c>
      <c r="B98" s="1" t="s">
        <v>1167</v>
      </c>
      <c r="C98" s="1" t="s">
        <v>74</v>
      </c>
      <c r="D98" s="1" t="s">
        <v>74</v>
      </c>
      <c r="E98" s="1" t="s">
        <v>74</v>
      </c>
      <c r="F98" s="1" t="s">
        <v>1168</v>
      </c>
      <c r="G98" s="1" t="s">
        <v>74</v>
      </c>
      <c r="H98" s="1" t="s">
        <v>74</v>
      </c>
      <c r="I98" s="1" t="s">
        <v>1169</v>
      </c>
      <c r="J98" s="1" t="s">
        <v>847</v>
      </c>
      <c r="K98" s="1" t="s">
        <v>74</v>
      </c>
      <c r="L98" s="1" t="s">
        <v>74</v>
      </c>
      <c r="M98" s="1" t="s">
        <v>74</v>
      </c>
      <c r="N98" s="1" t="s">
        <v>74</v>
      </c>
      <c r="O98" s="1" t="s">
        <v>74</v>
      </c>
      <c r="P98" s="1" t="s">
        <v>74</v>
      </c>
      <c r="Q98" s="1" t="s">
        <v>74</v>
      </c>
      <c r="R98" s="1" t="s">
        <v>74</v>
      </c>
      <c r="S98" s="1" t="s">
        <v>74</v>
      </c>
      <c r="T98" s="1" t="s">
        <v>74</v>
      </c>
      <c r="U98" s="1" t="s">
        <v>74</v>
      </c>
      <c r="V98" s="1" t="s">
        <v>1170</v>
      </c>
      <c r="W98" s="1" t="s">
        <v>74</v>
      </c>
      <c r="X98" s="1" t="s">
        <v>74</v>
      </c>
      <c r="Y98" s="1" t="s">
        <v>74</v>
      </c>
      <c r="Z98" s="1" t="s">
        <v>74</v>
      </c>
      <c r="AA98" s="1" t="s">
        <v>1171</v>
      </c>
      <c r="AB98" s="1" t="s">
        <v>1172</v>
      </c>
      <c r="AC98" s="1" t="s">
        <v>74</v>
      </c>
      <c r="AD98" s="1" t="s">
        <v>74</v>
      </c>
      <c r="AE98" s="1" t="s">
        <v>74</v>
      </c>
      <c r="AF98" s="1" t="s">
        <v>74</v>
      </c>
      <c r="AG98" s="1" t="s">
        <v>74</v>
      </c>
      <c r="AH98" s="1" t="s">
        <v>74</v>
      </c>
      <c r="AI98" s="1" t="s">
        <v>74</v>
      </c>
      <c r="AJ98" s="1" t="s">
        <v>74</v>
      </c>
      <c r="AK98" s="1" t="s">
        <v>74</v>
      </c>
      <c r="AL98" s="1" t="s">
        <v>74</v>
      </c>
      <c r="AM98" s="1" t="s">
        <v>74</v>
      </c>
      <c r="AN98" s="1" t="s">
        <v>74</v>
      </c>
      <c r="AO98" s="1" t="s">
        <v>851</v>
      </c>
      <c r="AP98" s="1" t="s">
        <v>852</v>
      </c>
      <c r="AQ98" s="1" t="s">
        <v>74</v>
      </c>
      <c r="AR98" s="1" t="s">
        <v>74</v>
      </c>
      <c r="AS98" s="1" t="s">
        <v>74</v>
      </c>
      <c r="AT98" s="1" t="s">
        <v>235</v>
      </c>
      <c r="AU98" s="1">
        <v>2014.0</v>
      </c>
      <c r="AV98" s="1">
        <v>355.0</v>
      </c>
      <c r="AW98" s="1" t="s">
        <v>74</v>
      </c>
      <c r="AX98" s="1" t="s">
        <v>74</v>
      </c>
      <c r="AY98" s="1" t="s">
        <v>74</v>
      </c>
      <c r="AZ98" s="1" t="s">
        <v>74</v>
      </c>
      <c r="BA98" s="1" t="s">
        <v>74</v>
      </c>
      <c r="BB98" s="1">
        <v>197.0</v>
      </c>
      <c r="BC98" s="1">
        <v>200.0</v>
      </c>
      <c r="BD98" s="1" t="s">
        <v>74</v>
      </c>
      <c r="BE98" s="1" t="s">
        <v>1173</v>
      </c>
      <c r="BF98" s="2" t="str">
        <f>HYPERLINK("http://dx.doi.org/10.1016/j.jmmm.2013.11.034","http://dx.doi.org/10.1016/j.jmmm.2013.11.034")</f>
        <v>http://dx.doi.org/10.1016/j.jmmm.2013.11.034</v>
      </c>
      <c r="BG98" s="1" t="s">
        <v>74</v>
      </c>
      <c r="BH98" s="1" t="s">
        <v>74</v>
      </c>
      <c r="BI98" s="1" t="s">
        <v>74</v>
      </c>
      <c r="BJ98" s="1" t="s">
        <v>74</v>
      </c>
      <c r="BK98" s="1" t="s">
        <v>74</v>
      </c>
      <c r="BL98" s="1" t="s">
        <v>74</v>
      </c>
      <c r="BM98" s="1" t="s">
        <v>74</v>
      </c>
      <c r="BN98" s="1" t="s">
        <v>74</v>
      </c>
      <c r="BO98" s="1" t="s">
        <v>74</v>
      </c>
      <c r="BP98" s="1" t="s">
        <v>74</v>
      </c>
      <c r="BQ98" s="1" t="s">
        <v>74</v>
      </c>
      <c r="BR98" s="1" t="s">
        <v>74</v>
      </c>
      <c r="BS98" s="1" t="s">
        <v>1174</v>
      </c>
      <c r="BT98" s="1" t="str">
        <f>HYPERLINK("https%3A%2F%2Fwww.webofscience.com%2Fwos%2Fwoscc%2Ffull-record%2FWOS:000330194600031","View Full Record in Web of Science")</f>
        <v>View Full Record in Web of Science</v>
      </c>
    </row>
    <row r="99" ht="12.75" customHeight="1">
      <c r="A99" s="1" t="s">
        <v>72</v>
      </c>
      <c r="B99" s="1" t="s">
        <v>1175</v>
      </c>
      <c r="C99" s="1" t="s">
        <v>74</v>
      </c>
      <c r="D99" s="1" t="s">
        <v>74</v>
      </c>
      <c r="E99" s="1" t="s">
        <v>74</v>
      </c>
      <c r="F99" s="1" t="s">
        <v>1176</v>
      </c>
      <c r="G99" s="1" t="s">
        <v>74</v>
      </c>
      <c r="H99" s="1" t="s">
        <v>74</v>
      </c>
      <c r="I99" s="1" t="s">
        <v>1177</v>
      </c>
      <c r="J99" s="1" t="s">
        <v>1178</v>
      </c>
      <c r="K99" s="1" t="s">
        <v>74</v>
      </c>
      <c r="L99" s="1" t="s">
        <v>74</v>
      </c>
      <c r="M99" s="1" t="s">
        <v>74</v>
      </c>
      <c r="N99" s="1" t="s">
        <v>74</v>
      </c>
      <c r="O99" s="1" t="s">
        <v>74</v>
      </c>
      <c r="P99" s="1" t="s">
        <v>74</v>
      </c>
      <c r="Q99" s="1" t="s">
        <v>74</v>
      </c>
      <c r="R99" s="1" t="s">
        <v>74</v>
      </c>
      <c r="S99" s="1" t="s">
        <v>74</v>
      </c>
      <c r="T99" s="1" t="s">
        <v>74</v>
      </c>
      <c r="U99" s="1" t="s">
        <v>74</v>
      </c>
      <c r="V99" s="1" t="s">
        <v>1179</v>
      </c>
      <c r="W99" s="1" t="s">
        <v>74</v>
      </c>
      <c r="X99" s="1" t="s">
        <v>74</v>
      </c>
      <c r="Y99" s="1" t="s">
        <v>74</v>
      </c>
      <c r="Z99" s="1" t="s">
        <v>74</v>
      </c>
      <c r="AA99" s="1" t="s">
        <v>1180</v>
      </c>
      <c r="AB99" s="1" t="s">
        <v>1181</v>
      </c>
      <c r="AC99" s="1" t="s">
        <v>74</v>
      </c>
      <c r="AD99" s="1" t="s">
        <v>74</v>
      </c>
      <c r="AE99" s="1" t="s">
        <v>74</v>
      </c>
      <c r="AF99" s="1" t="s">
        <v>74</v>
      </c>
      <c r="AG99" s="1" t="s">
        <v>74</v>
      </c>
      <c r="AH99" s="1" t="s">
        <v>74</v>
      </c>
      <c r="AI99" s="1" t="s">
        <v>74</v>
      </c>
      <c r="AJ99" s="1" t="s">
        <v>74</v>
      </c>
      <c r="AK99" s="1" t="s">
        <v>74</v>
      </c>
      <c r="AL99" s="1" t="s">
        <v>74</v>
      </c>
      <c r="AM99" s="1" t="s">
        <v>74</v>
      </c>
      <c r="AN99" s="1" t="s">
        <v>74</v>
      </c>
      <c r="AO99" s="1" t="s">
        <v>1182</v>
      </c>
      <c r="AP99" s="1" t="s">
        <v>1183</v>
      </c>
      <c r="AQ99" s="1" t="s">
        <v>74</v>
      </c>
      <c r="AR99" s="1" t="s">
        <v>74</v>
      </c>
      <c r="AS99" s="1" t="s">
        <v>74</v>
      </c>
      <c r="AT99" s="1" t="s">
        <v>201</v>
      </c>
      <c r="AU99" s="1">
        <v>2013.0</v>
      </c>
      <c r="AV99" s="1">
        <v>63.0</v>
      </c>
      <c r="AW99" s="1" t="s">
        <v>74</v>
      </c>
      <c r="AX99" s="1">
        <v>10.0</v>
      </c>
      <c r="AY99" s="1" t="s">
        <v>74</v>
      </c>
      <c r="AZ99" s="1" t="s">
        <v>74</v>
      </c>
      <c r="BA99" s="1" t="s">
        <v>74</v>
      </c>
      <c r="BB99" s="1">
        <v>3884.0</v>
      </c>
      <c r="BC99" s="1">
        <v>3891.0</v>
      </c>
      <c r="BD99" s="1" t="s">
        <v>74</v>
      </c>
      <c r="BE99" s="1" t="s">
        <v>1184</v>
      </c>
      <c r="BF99" s="2" t="str">
        <f>HYPERLINK("http://dx.doi.org/10.1099/ijs.0.052753-0","http://dx.doi.org/10.1099/ijs.0.052753-0")</f>
        <v>http://dx.doi.org/10.1099/ijs.0.052753-0</v>
      </c>
      <c r="BG99" s="1" t="s">
        <v>74</v>
      </c>
      <c r="BH99" s="1" t="s">
        <v>74</v>
      </c>
      <c r="BI99" s="1" t="s">
        <v>74</v>
      </c>
      <c r="BJ99" s="1" t="s">
        <v>74</v>
      </c>
      <c r="BK99" s="1" t="s">
        <v>74</v>
      </c>
      <c r="BL99" s="1" t="s">
        <v>74</v>
      </c>
      <c r="BM99" s="1" t="s">
        <v>74</v>
      </c>
      <c r="BN99" s="1">
        <v>2.3934251E7</v>
      </c>
      <c r="BO99" s="1" t="s">
        <v>74</v>
      </c>
      <c r="BP99" s="1" t="s">
        <v>74</v>
      </c>
      <c r="BQ99" s="1" t="s">
        <v>74</v>
      </c>
      <c r="BR99" s="1" t="s">
        <v>74</v>
      </c>
      <c r="BS99" s="1" t="s">
        <v>1185</v>
      </c>
      <c r="BT99" s="1" t="str">
        <f>HYPERLINK("https%3A%2F%2Fwww.webofscience.com%2Fwos%2Fwoscc%2Ffull-record%2FWOS:000327910200056","View Full Record in Web of Science")</f>
        <v>View Full Record in Web of Science</v>
      </c>
    </row>
    <row r="100" ht="12.75" customHeight="1">
      <c r="A100" s="1" t="s">
        <v>72</v>
      </c>
      <c r="B100" s="1" t="s">
        <v>1186</v>
      </c>
      <c r="C100" s="1" t="s">
        <v>74</v>
      </c>
      <c r="D100" s="1" t="s">
        <v>74</v>
      </c>
      <c r="E100" s="1" t="s">
        <v>74</v>
      </c>
      <c r="F100" s="1" t="s">
        <v>1187</v>
      </c>
      <c r="G100" s="1" t="s">
        <v>74</v>
      </c>
      <c r="H100" s="1" t="s">
        <v>74</v>
      </c>
      <c r="I100" s="1" t="s">
        <v>1188</v>
      </c>
      <c r="J100" s="1" t="s">
        <v>1189</v>
      </c>
      <c r="K100" s="1" t="s">
        <v>74</v>
      </c>
      <c r="L100" s="1" t="s">
        <v>74</v>
      </c>
      <c r="M100" s="1" t="s">
        <v>74</v>
      </c>
      <c r="N100" s="1" t="s">
        <v>74</v>
      </c>
      <c r="O100" s="1" t="s">
        <v>74</v>
      </c>
      <c r="P100" s="1" t="s">
        <v>74</v>
      </c>
      <c r="Q100" s="1" t="s">
        <v>74</v>
      </c>
      <c r="R100" s="1" t="s">
        <v>74</v>
      </c>
      <c r="S100" s="1" t="s">
        <v>74</v>
      </c>
      <c r="T100" s="1" t="s">
        <v>74</v>
      </c>
      <c r="U100" s="1" t="s">
        <v>74</v>
      </c>
      <c r="V100" s="1" t="s">
        <v>1190</v>
      </c>
      <c r="W100" s="1" t="s">
        <v>74</v>
      </c>
      <c r="X100" s="1" t="s">
        <v>74</v>
      </c>
      <c r="Y100" s="1" t="s">
        <v>74</v>
      </c>
      <c r="Z100" s="1" t="s">
        <v>74</v>
      </c>
      <c r="AA100" s="1" t="s">
        <v>74</v>
      </c>
      <c r="AB100" s="1" t="s">
        <v>1191</v>
      </c>
      <c r="AC100" s="1" t="s">
        <v>74</v>
      </c>
      <c r="AD100" s="1" t="s">
        <v>74</v>
      </c>
      <c r="AE100" s="1" t="s">
        <v>74</v>
      </c>
      <c r="AF100" s="1" t="s">
        <v>74</v>
      </c>
      <c r="AG100" s="1" t="s">
        <v>74</v>
      </c>
      <c r="AH100" s="1" t="s">
        <v>74</v>
      </c>
      <c r="AI100" s="1" t="s">
        <v>74</v>
      </c>
      <c r="AJ100" s="1" t="s">
        <v>74</v>
      </c>
      <c r="AK100" s="1" t="s">
        <v>74</v>
      </c>
      <c r="AL100" s="1" t="s">
        <v>74</v>
      </c>
      <c r="AM100" s="1" t="s">
        <v>74</v>
      </c>
      <c r="AN100" s="1" t="s">
        <v>74</v>
      </c>
      <c r="AO100" s="1" t="s">
        <v>1192</v>
      </c>
      <c r="AP100" s="1" t="s">
        <v>1193</v>
      </c>
      <c r="AQ100" s="1" t="s">
        <v>74</v>
      </c>
      <c r="AR100" s="1" t="s">
        <v>74</v>
      </c>
      <c r="AS100" s="1" t="s">
        <v>74</v>
      </c>
      <c r="AT100" s="1" t="s">
        <v>485</v>
      </c>
      <c r="AU100" s="1">
        <v>2010.0</v>
      </c>
      <c r="AV100" s="1">
        <v>19.0</v>
      </c>
      <c r="AW100" s="1">
        <v>5.0</v>
      </c>
      <c r="AX100" s="1" t="s">
        <v>74</v>
      </c>
      <c r="AY100" s="1" t="s">
        <v>74</v>
      </c>
      <c r="AZ100" s="1" t="s">
        <v>74</v>
      </c>
      <c r="BA100" s="1" t="s">
        <v>74</v>
      </c>
      <c r="BB100" s="1">
        <v>573.0</v>
      </c>
      <c r="BC100" s="1">
        <v>586.0</v>
      </c>
      <c r="BD100" s="1" t="s">
        <v>74</v>
      </c>
      <c r="BE100" s="1" t="s">
        <v>1194</v>
      </c>
      <c r="BF100" s="2" t="str">
        <f>HYPERLINK("http://dx.doi.org/10.1142/S0218271810016580","http://dx.doi.org/10.1142/S0218271810016580")</f>
        <v>http://dx.doi.org/10.1142/S0218271810016580</v>
      </c>
      <c r="BG100" s="1" t="s">
        <v>74</v>
      </c>
      <c r="BH100" s="1" t="s">
        <v>74</v>
      </c>
      <c r="BI100" s="1" t="s">
        <v>74</v>
      </c>
      <c r="BJ100" s="1" t="s">
        <v>74</v>
      </c>
      <c r="BK100" s="1" t="s">
        <v>74</v>
      </c>
      <c r="BL100" s="1" t="s">
        <v>74</v>
      </c>
      <c r="BM100" s="1" t="s">
        <v>74</v>
      </c>
      <c r="BN100" s="1" t="s">
        <v>74</v>
      </c>
      <c r="BO100" s="1" t="s">
        <v>74</v>
      </c>
      <c r="BP100" s="1" t="s">
        <v>74</v>
      </c>
      <c r="BQ100" s="1" t="s">
        <v>74</v>
      </c>
      <c r="BR100" s="1" t="s">
        <v>74</v>
      </c>
      <c r="BS100" s="1" t="s">
        <v>1195</v>
      </c>
      <c r="BT100" s="1" t="str">
        <f>HYPERLINK("https%3A%2F%2Fwww.webofscience.com%2Fwos%2Fwoscc%2Ffull-record%2FWOS:000278700000005","View Full Record in Web of Science")</f>
        <v>View Full Record in Web of Science</v>
      </c>
    </row>
    <row r="101" ht="12.75" customHeight="1">
      <c r="A101" s="1" t="s">
        <v>72</v>
      </c>
      <c r="B101" s="1" t="s">
        <v>1196</v>
      </c>
      <c r="C101" s="1" t="s">
        <v>74</v>
      </c>
      <c r="D101" s="1" t="s">
        <v>74</v>
      </c>
      <c r="E101" s="1" t="s">
        <v>74</v>
      </c>
      <c r="F101" s="1" t="s">
        <v>1197</v>
      </c>
      <c r="G101" s="1" t="s">
        <v>74</v>
      </c>
      <c r="H101" s="1" t="s">
        <v>74</v>
      </c>
      <c r="I101" s="1" t="s">
        <v>1198</v>
      </c>
      <c r="J101" s="1" t="s">
        <v>1199</v>
      </c>
      <c r="K101" s="1" t="s">
        <v>74</v>
      </c>
      <c r="L101" s="1" t="s">
        <v>74</v>
      </c>
      <c r="M101" s="1" t="s">
        <v>74</v>
      </c>
      <c r="N101" s="1" t="s">
        <v>74</v>
      </c>
      <c r="O101" s="1" t="s">
        <v>74</v>
      </c>
      <c r="P101" s="1" t="s">
        <v>74</v>
      </c>
      <c r="Q101" s="1" t="s">
        <v>74</v>
      </c>
      <c r="R101" s="1" t="s">
        <v>74</v>
      </c>
      <c r="S101" s="1" t="s">
        <v>74</v>
      </c>
      <c r="T101" s="1" t="s">
        <v>74</v>
      </c>
      <c r="U101" s="1" t="s">
        <v>74</v>
      </c>
      <c r="V101" s="1" t="s">
        <v>1200</v>
      </c>
      <c r="W101" s="1" t="s">
        <v>74</v>
      </c>
      <c r="X101" s="1" t="s">
        <v>74</v>
      </c>
      <c r="Y101" s="1" t="s">
        <v>74</v>
      </c>
      <c r="Z101" s="1" t="s">
        <v>74</v>
      </c>
      <c r="AA101" s="1" t="s">
        <v>1201</v>
      </c>
      <c r="AB101" s="1" t="s">
        <v>1202</v>
      </c>
      <c r="AC101" s="1" t="s">
        <v>74</v>
      </c>
      <c r="AD101" s="1" t="s">
        <v>74</v>
      </c>
      <c r="AE101" s="1" t="s">
        <v>74</v>
      </c>
      <c r="AF101" s="1" t="s">
        <v>74</v>
      </c>
      <c r="AG101" s="1" t="s">
        <v>74</v>
      </c>
      <c r="AH101" s="1" t="s">
        <v>74</v>
      </c>
      <c r="AI101" s="1" t="s">
        <v>74</v>
      </c>
      <c r="AJ101" s="1" t="s">
        <v>74</v>
      </c>
      <c r="AK101" s="1" t="s">
        <v>74</v>
      </c>
      <c r="AL101" s="1" t="s">
        <v>74</v>
      </c>
      <c r="AM101" s="1" t="s">
        <v>74</v>
      </c>
      <c r="AN101" s="1" t="s">
        <v>74</v>
      </c>
      <c r="AO101" s="1" t="s">
        <v>1203</v>
      </c>
      <c r="AP101" s="1" t="s">
        <v>74</v>
      </c>
      <c r="AQ101" s="1" t="s">
        <v>74</v>
      </c>
      <c r="AR101" s="1" t="s">
        <v>74</v>
      </c>
      <c r="AS101" s="1" t="s">
        <v>74</v>
      </c>
      <c r="AT101" s="1" t="s">
        <v>235</v>
      </c>
      <c r="AU101" s="1">
        <v>2010.0</v>
      </c>
      <c r="AV101" s="1">
        <v>33.0</v>
      </c>
      <c r="AW101" s="1">
        <v>4.0</v>
      </c>
      <c r="AX101" s="1" t="s">
        <v>74</v>
      </c>
      <c r="AY101" s="1" t="s">
        <v>74</v>
      </c>
      <c r="AZ101" s="1" t="s">
        <v>74</v>
      </c>
      <c r="BA101" s="1" t="s">
        <v>74</v>
      </c>
      <c r="BB101" s="1">
        <v>477.0</v>
      </c>
      <c r="BC101" s="1">
        <v>483.0</v>
      </c>
      <c r="BD101" s="1" t="s">
        <v>74</v>
      </c>
      <c r="BE101" s="1" t="s">
        <v>1204</v>
      </c>
      <c r="BF101" s="2" t="str">
        <f>HYPERLINK("http://dx.doi.org/10.1007/s00300-009-0723-1","http://dx.doi.org/10.1007/s00300-009-0723-1")</f>
        <v>http://dx.doi.org/10.1007/s00300-009-0723-1</v>
      </c>
      <c r="BG101" s="1" t="s">
        <v>74</v>
      </c>
      <c r="BH101" s="1" t="s">
        <v>74</v>
      </c>
      <c r="BI101" s="1" t="s">
        <v>74</v>
      </c>
      <c r="BJ101" s="1" t="s">
        <v>74</v>
      </c>
      <c r="BK101" s="1" t="s">
        <v>74</v>
      </c>
      <c r="BL101" s="1" t="s">
        <v>74</v>
      </c>
      <c r="BM101" s="1" t="s">
        <v>74</v>
      </c>
      <c r="BN101" s="1" t="s">
        <v>74</v>
      </c>
      <c r="BO101" s="1" t="s">
        <v>74</v>
      </c>
      <c r="BP101" s="1" t="s">
        <v>74</v>
      </c>
      <c r="BQ101" s="1" t="s">
        <v>74</v>
      </c>
      <c r="BR101" s="1" t="s">
        <v>74</v>
      </c>
      <c r="BS101" s="1" t="s">
        <v>1205</v>
      </c>
      <c r="BT101" s="1" t="str">
        <f>HYPERLINK("https%3A%2F%2Fwww.webofscience.com%2Fwos%2Fwoscc%2Ffull-record%2FWOS:000275750100006","View Full Record in Web of Science")</f>
        <v>View Full Record in Web of Science</v>
      </c>
    </row>
    <row r="102" ht="12.75" customHeight="1">
      <c r="A102" s="1" t="s">
        <v>72</v>
      </c>
      <c r="B102" s="1" t="s">
        <v>1206</v>
      </c>
      <c r="C102" s="1" t="s">
        <v>74</v>
      </c>
      <c r="D102" s="1" t="s">
        <v>74</v>
      </c>
      <c r="E102" s="1" t="s">
        <v>74</v>
      </c>
      <c r="F102" s="1" t="s">
        <v>1207</v>
      </c>
      <c r="G102" s="1" t="s">
        <v>74</v>
      </c>
      <c r="H102" s="1" t="s">
        <v>74</v>
      </c>
      <c r="I102" s="1" t="s">
        <v>1208</v>
      </c>
      <c r="J102" s="1" t="s">
        <v>1209</v>
      </c>
      <c r="K102" s="1" t="s">
        <v>74</v>
      </c>
      <c r="L102" s="1" t="s">
        <v>74</v>
      </c>
      <c r="M102" s="1" t="s">
        <v>74</v>
      </c>
      <c r="N102" s="1" t="s">
        <v>74</v>
      </c>
      <c r="O102" s="1" t="s">
        <v>74</v>
      </c>
      <c r="P102" s="1" t="s">
        <v>74</v>
      </c>
      <c r="Q102" s="1" t="s">
        <v>74</v>
      </c>
      <c r="R102" s="1" t="s">
        <v>74</v>
      </c>
      <c r="S102" s="1" t="s">
        <v>74</v>
      </c>
      <c r="T102" s="1" t="s">
        <v>74</v>
      </c>
      <c r="U102" s="1" t="s">
        <v>74</v>
      </c>
      <c r="V102" s="1" t="s">
        <v>1210</v>
      </c>
      <c r="W102" s="1" t="s">
        <v>74</v>
      </c>
      <c r="X102" s="1" t="s">
        <v>74</v>
      </c>
      <c r="Y102" s="1" t="s">
        <v>74</v>
      </c>
      <c r="Z102" s="1" t="s">
        <v>74</v>
      </c>
      <c r="AA102" s="1" t="s">
        <v>1211</v>
      </c>
      <c r="AB102" s="1" t="s">
        <v>74</v>
      </c>
      <c r="AC102" s="1" t="s">
        <v>74</v>
      </c>
      <c r="AD102" s="1" t="s">
        <v>74</v>
      </c>
      <c r="AE102" s="1" t="s">
        <v>74</v>
      </c>
      <c r="AF102" s="1" t="s">
        <v>74</v>
      </c>
      <c r="AG102" s="1" t="s">
        <v>74</v>
      </c>
      <c r="AH102" s="1" t="s">
        <v>74</v>
      </c>
      <c r="AI102" s="1" t="s">
        <v>74</v>
      </c>
      <c r="AJ102" s="1" t="s">
        <v>74</v>
      </c>
      <c r="AK102" s="1" t="s">
        <v>74</v>
      </c>
      <c r="AL102" s="1" t="s">
        <v>74</v>
      </c>
      <c r="AM102" s="1" t="s">
        <v>74</v>
      </c>
      <c r="AN102" s="1" t="s">
        <v>74</v>
      </c>
      <c r="AO102" s="1" t="s">
        <v>1212</v>
      </c>
      <c r="AP102" s="1" t="s">
        <v>74</v>
      </c>
      <c r="AQ102" s="1" t="s">
        <v>74</v>
      </c>
      <c r="AR102" s="1" t="s">
        <v>74</v>
      </c>
      <c r="AS102" s="1" t="s">
        <v>74</v>
      </c>
      <c r="AT102" s="1" t="s">
        <v>1213</v>
      </c>
      <c r="AU102" s="1">
        <v>2010.0</v>
      </c>
      <c r="AV102" s="1">
        <v>162.0</v>
      </c>
      <c r="AW102" s="1" t="s">
        <v>1214</v>
      </c>
      <c r="AX102" s="1" t="s">
        <v>74</v>
      </c>
      <c r="AY102" s="1" t="s">
        <v>74</v>
      </c>
      <c r="AZ102" s="1" t="s">
        <v>74</v>
      </c>
      <c r="BA102" s="1" t="s">
        <v>74</v>
      </c>
      <c r="BB102" s="1">
        <v>209.0</v>
      </c>
      <c r="BC102" s="1">
        <v>217.0</v>
      </c>
      <c r="BD102" s="1" t="s">
        <v>74</v>
      </c>
      <c r="BE102" s="1" t="s">
        <v>1215</v>
      </c>
      <c r="BF102" s="2" t="str">
        <f>HYPERLINK("http://dx.doi.org/10.1007/s10661-009-0789-9","http://dx.doi.org/10.1007/s10661-009-0789-9")</f>
        <v>http://dx.doi.org/10.1007/s10661-009-0789-9</v>
      </c>
      <c r="BG102" s="1" t="s">
        <v>74</v>
      </c>
      <c r="BH102" s="1" t="s">
        <v>74</v>
      </c>
      <c r="BI102" s="1" t="s">
        <v>74</v>
      </c>
      <c r="BJ102" s="1" t="s">
        <v>74</v>
      </c>
      <c r="BK102" s="1" t="s">
        <v>74</v>
      </c>
      <c r="BL102" s="1" t="s">
        <v>74</v>
      </c>
      <c r="BM102" s="1" t="s">
        <v>74</v>
      </c>
      <c r="BN102" s="1">
        <v>1.9241129E7</v>
      </c>
      <c r="BO102" s="1" t="s">
        <v>74</v>
      </c>
      <c r="BP102" s="1" t="s">
        <v>74</v>
      </c>
      <c r="BQ102" s="1" t="s">
        <v>74</v>
      </c>
      <c r="BR102" s="1" t="s">
        <v>74</v>
      </c>
      <c r="BS102" s="1" t="s">
        <v>1216</v>
      </c>
      <c r="BT102" s="1" t="str">
        <f>HYPERLINK("https%3A%2F%2Fwww.webofscience.com%2Fwos%2Fwoscc%2Ffull-record%2FWOS:000274331700019","View Full Record in Web of Science")</f>
        <v>View Full Record in Web of Science</v>
      </c>
    </row>
    <row r="103" ht="12.75" customHeight="1">
      <c r="A103" s="1" t="s">
        <v>86</v>
      </c>
      <c r="B103" s="1" t="s">
        <v>1217</v>
      </c>
      <c r="C103" s="1" t="s">
        <v>74</v>
      </c>
      <c r="D103" s="1" t="s">
        <v>1218</v>
      </c>
      <c r="E103" s="1" t="s">
        <v>74</v>
      </c>
      <c r="F103" s="1" t="s">
        <v>1219</v>
      </c>
      <c r="G103" s="1" t="s">
        <v>74</v>
      </c>
      <c r="H103" s="1" t="s">
        <v>74</v>
      </c>
      <c r="I103" s="1" t="s">
        <v>1220</v>
      </c>
      <c r="J103" s="1" t="s">
        <v>1221</v>
      </c>
      <c r="K103" s="1" t="s">
        <v>1222</v>
      </c>
      <c r="L103" s="1" t="s">
        <v>74</v>
      </c>
      <c r="M103" s="1" t="s">
        <v>74</v>
      </c>
      <c r="N103" s="1" t="s">
        <v>74</v>
      </c>
      <c r="O103" s="1" t="s">
        <v>1223</v>
      </c>
      <c r="P103" s="1" t="s">
        <v>1224</v>
      </c>
      <c r="Q103" s="1" t="s">
        <v>1225</v>
      </c>
      <c r="R103" s="1" t="s">
        <v>1226</v>
      </c>
      <c r="S103" s="1" t="s">
        <v>74</v>
      </c>
      <c r="T103" s="1" t="s">
        <v>74</v>
      </c>
      <c r="U103" s="1" t="s">
        <v>74</v>
      </c>
      <c r="V103" s="1" t="s">
        <v>1227</v>
      </c>
      <c r="W103" s="1" t="s">
        <v>74</v>
      </c>
      <c r="X103" s="1" t="s">
        <v>74</v>
      </c>
      <c r="Y103" s="1" t="s">
        <v>74</v>
      </c>
      <c r="Z103" s="1" t="s">
        <v>74</v>
      </c>
      <c r="AA103" s="1" t="s">
        <v>1228</v>
      </c>
      <c r="AB103" s="1" t="s">
        <v>1229</v>
      </c>
      <c r="AC103" s="1" t="s">
        <v>74</v>
      </c>
      <c r="AD103" s="1" t="s">
        <v>74</v>
      </c>
      <c r="AE103" s="1" t="s">
        <v>74</v>
      </c>
      <c r="AF103" s="1" t="s">
        <v>74</v>
      </c>
      <c r="AG103" s="1" t="s">
        <v>74</v>
      </c>
      <c r="AH103" s="1" t="s">
        <v>74</v>
      </c>
      <c r="AI103" s="1" t="s">
        <v>74</v>
      </c>
      <c r="AJ103" s="1" t="s">
        <v>74</v>
      </c>
      <c r="AK103" s="1" t="s">
        <v>74</v>
      </c>
      <c r="AL103" s="1" t="s">
        <v>74</v>
      </c>
      <c r="AM103" s="1" t="s">
        <v>74</v>
      </c>
      <c r="AN103" s="1" t="s">
        <v>74</v>
      </c>
      <c r="AO103" s="1" t="s">
        <v>1230</v>
      </c>
      <c r="AP103" s="1" t="s">
        <v>1231</v>
      </c>
      <c r="AQ103" s="1" t="s">
        <v>1232</v>
      </c>
      <c r="AR103" s="1" t="s">
        <v>74</v>
      </c>
      <c r="AS103" s="1" t="s">
        <v>74</v>
      </c>
      <c r="AT103" s="1" t="s">
        <v>74</v>
      </c>
      <c r="AU103" s="1">
        <v>2008.0</v>
      </c>
      <c r="AV103" s="1">
        <v>7025.0</v>
      </c>
      <c r="AW103" s="1" t="s">
        <v>74</v>
      </c>
      <c r="AX103" s="1" t="s">
        <v>74</v>
      </c>
      <c r="AY103" s="1" t="s">
        <v>74</v>
      </c>
      <c r="AZ103" s="1" t="s">
        <v>74</v>
      </c>
      <c r="BA103" s="1" t="s">
        <v>74</v>
      </c>
      <c r="BB103" s="1" t="s">
        <v>74</v>
      </c>
      <c r="BC103" s="1" t="s">
        <v>74</v>
      </c>
      <c r="BD103" s="1" t="s">
        <v>1233</v>
      </c>
      <c r="BE103" s="1" t="s">
        <v>1234</v>
      </c>
      <c r="BF103" s="2" t="str">
        <f>HYPERLINK("http://dx.doi.org/10.1117/12.802411","http://dx.doi.org/10.1117/12.802411")</f>
        <v>http://dx.doi.org/10.1117/12.802411</v>
      </c>
      <c r="BG103" s="1" t="s">
        <v>74</v>
      </c>
      <c r="BH103" s="1" t="s">
        <v>74</v>
      </c>
      <c r="BI103" s="1" t="s">
        <v>74</v>
      </c>
      <c r="BJ103" s="1" t="s">
        <v>74</v>
      </c>
      <c r="BK103" s="1" t="s">
        <v>74</v>
      </c>
      <c r="BL103" s="1" t="s">
        <v>74</v>
      </c>
      <c r="BM103" s="1" t="s">
        <v>74</v>
      </c>
      <c r="BN103" s="1" t="s">
        <v>74</v>
      </c>
      <c r="BO103" s="1" t="s">
        <v>74</v>
      </c>
      <c r="BP103" s="1" t="s">
        <v>74</v>
      </c>
      <c r="BQ103" s="1" t="s">
        <v>74</v>
      </c>
      <c r="BR103" s="1" t="s">
        <v>74</v>
      </c>
      <c r="BS103" s="1" t="s">
        <v>1235</v>
      </c>
      <c r="BT103" s="1" t="str">
        <f>HYPERLINK("https%3A%2F%2Fwww.webofscience.com%2Fwos%2Fwoscc%2Ffull-record%2FWOS:000259055900020","View Full Record in Web of Science")</f>
        <v>View Full Record in Web of Science</v>
      </c>
    </row>
    <row r="104" ht="12.75" customHeight="1">
      <c r="A104" s="1" t="s">
        <v>72</v>
      </c>
      <c r="B104" s="1" t="s">
        <v>1236</v>
      </c>
      <c r="C104" s="1" t="s">
        <v>74</v>
      </c>
      <c r="D104" s="1" t="s">
        <v>74</v>
      </c>
      <c r="E104" s="1" t="s">
        <v>74</v>
      </c>
      <c r="F104" s="1" t="s">
        <v>1237</v>
      </c>
      <c r="G104" s="1" t="s">
        <v>74</v>
      </c>
      <c r="H104" s="1" t="s">
        <v>74</v>
      </c>
      <c r="I104" s="1" t="s">
        <v>1238</v>
      </c>
      <c r="J104" s="1" t="s">
        <v>1239</v>
      </c>
      <c r="K104" s="1" t="s">
        <v>74</v>
      </c>
      <c r="L104" s="1" t="s">
        <v>74</v>
      </c>
      <c r="M104" s="1" t="s">
        <v>74</v>
      </c>
      <c r="N104" s="1" t="s">
        <v>74</v>
      </c>
      <c r="O104" s="1" t="s">
        <v>74</v>
      </c>
      <c r="P104" s="1" t="s">
        <v>74</v>
      </c>
      <c r="Q104" s="1" t="s">
        <v>74</v>
      </c>
      <c r="R104" s="1" t="s">
        <v>74</v>
      </c>
      <c r="S104" s="1" t="s">
        <v>74</v>
      </c>
      <c r="T104" s="1" t="s">
        <v>74</v>
      </c>
      <c r="U104" s="1" t="s">
        <v>74</v>
      </c>
      <c r="V104" s="1" t="s">
        <v>1240</v>
      </c>
      <c r="W104" s="1" t="s">
        <v>74</v>
      </c>
      <c r="X104" s="1" t="s">
        <v>74</v>
      </c>
      <c r="Y104" s="1" t="s">
        <v>74</v>
      </c>
      <c r="Z104" s="1" t="s">
        <v>74</v>
      </c>
      <c r="AA104" s="1" t="s">
        <v>1241</v>
      </c>
      <c r="AB104" s="1" t="s">
        <v>1242</v>
      </c>
      <c r="AC104" s="1" t="s">
        <v>74</v>
      </c>
      <c r="AD104" s="1" t="s">
        <v>74</v>
      </c>
      <c r="AE104" s="1" t="s">
        <v>74</v>
      </c>
      <c r="AF104" s="1" t="s">
        <v>74</v>
      </c>
      <c r="AG104" s="1" t="s">
        <v>74</v>
      </c>
      <c r="AH104" s="1" t="s">
        <v>74</v>
      </c>
      <c r="AI104" s="1" t="s">
        <v>74</v>
      </c>
      <c r="AJ104" s="1" t="s">
        <v>74</v>
      </c>
      <c r="AK104" s="1" t="s">
        <v>74</v>
      </c>
      <c r="AL104" s="1" t="s">
        <v>74</v>
      </c>
      <c r="AM104" s="1" t="s">
        <v>74</v>
      </c>
      <c r="AN104" s="1" t="s">
        <v>74</v>
      </c>
      <c r="AO104" s="1" t="s">
        <v>1243</v>
      </c>
      <c r="AP104" s="1" t="s">
        <v>1244</v>
      </c>
      <c r="AQ104" s="1" t="s">
        <v>74</v>
      </c>
      <c r="AR104" s="1" t="s">
        <v>74</v>
      </c>
      <c r="AS104" s="1" t="s">
        <v>74</v>
      </c>
      <c r="AT104" s="1" t="s">
        <v>164</v>
      </c>
      <c r="AU104" s="1">
        <v>2007.0</v>
      </c>
      <c r="AV104" s="1">
        <v>322.0</v>
      </c>
      <c r="AW104" s="1">
        <v>7.0</v>
      </c>
      <c r="AX104" s="1" t="s">
        <v>74</v>
      </c>
      <c r="AY104" s="1" t="s">
        <v>74</v>
      </c>
      <c r="AZ104" s="1" t="s">
        <v>74</v>
      </c>
      <c r="BA104" s="1" t="s">
        <v>74</v>
      </c>
      <c r="BB104" s="1">
        <v>1556.0</v>
      </c>
      <c r="BC104" s="1">
        <v>1586.0</v>
      </c>
      <c r="BD104" s="1" t="s">
        <v>74</v>
      </c>
      <c r="BE104" s="1" t="s">
        <v>1245</v>
      </c>
      <c r="BF104" s="2" t="str">
        <f>HYPERLINK("http://dx.doi.org/10.1016/j.aop.2007.03.002","http://dx.doi.org/10.1016/j.aop.2007.03.002")</f>
        <v>http://dx.doi.org/10.1016/j.aop.2007.03.002</v>
      </c>
      <c r="BG104" s="1" t="s">
        <v>74</v>
      </c>
      <c r="BH104" s="1" t="s">
        <v>74</v>
      </c>
      <c r="BI104" s="1" t="s">
        <v>74</v>
      </c>
      <c r="BJ104" s="1" t="s">
        <v>74</v>
      </c>
      <c r="BK104" s="1" t="s">
        <v>74</v>
      </c>
      <c r="BL104" s="1" t="s">
        <v>74</v>
      </c>
      <c r="BM104" s="1" t="s">
        <v>74</v>
      </c>
      <c r="BN104" s="1" t="s">
        <v>74</v>
      </c>
      <c r="BO104" s="1" t="s">
        <v>74</v>
      </c>
      <c r="BP104" s="1" t="s">
        <v>74</v>
      </c>
      <c r="BQ104" s="1" t="s">
        <v>74</v>
      </c>
      <c r="BR104" s="1" t="s">
        <v>74</v>
      </c>
      <c r="BS104" s="1" t="s">
        <v>1246</v>
      </c>
      <c r="BT104" s="1" t="str">
        <f>HYPERLINK("https%3A%2F%2Fwww.webofscience.com%2Fwos%2Fwoscc%2Ffull-record%2FWOS:000248197100005","View Full Record in Web of Science")</f>
        <v>View Full Record in Web of Science</v>
      </c>
    </row>
    <row r="105" ht="12.75" customHeight="1">
      <c r="A105" s="1" t="s">
        <v>72</v>
      </c>
      <c r="B105" s="1" t="s">
        <v>1247</v>
      </c>
      <c r="C105" s="1" t="s">
        <v>74</v>
      </c>
      <c r="D105" s="1" t="s">
        <v>74</v>
      </c>
      <c r="E105" s="1" t="s">
        <v>74</v>
      </c>
      <c r="F105" s="1" t="s">
        <v>1248</v>
      </c>
      <c r="G105" s="1" t="s">
        <v>74</v>
      </c>
      <c r="H105" s="1" t="s">
        <v>74</v>
      </c>
      <c r="I105" s="1" t="s">
        <v>1249</v>
      </c>
      <c r="J105" s="1" t="s">
        <v>1250</v>
      </c>
      <c r="K105" s="1" t="s">
        <v>74</v>
      </c>
      <c r="L105" s="1" t="s">
        <v>74</v>
      </c>
      <c r="M105" s="1" t="s">
        <v>74</v>
      </c>
      <c r="N105" s="1" t="s">
        <v>74</v>
      </c>
      <c r="O105" s="1" t="s">
        <v>1251</v>
      </c>
      <c r="P105" s="1" t="s">
        <v>1252</v>
      </c>
      <c r="Q105" s="1" t="s">
        <v>1253</v>
      </c>
      <c r="R105" s="1" t="s">
        <v>1254</v>
      </c>
      <c r="S105" s="1" t="s">
        <v>74</v>
      </c>
      <c r="T105" s="1" t="s">
        <v>74</v>
      </c>
      <c r="U105" s="1" t="s">
        <v>74</v>
      </c>
      <c r="V105" s="1" t="s">
        <v>74</v>
      </c>
      <c r="W105" s="1" t="s">
        <v>74</v>
      </c>
      <c r="X105" s="1" t="s">
        <v>74</v>
      </c>
      <c r="Y105" s="1" t="s">
        <v>74</v>
      </c>
      <c r="Z105" s="1" t="s">
        <v>74</v>
      </c>
      <c r="AA105" s="1" t="s">
        <v>74</v>
      </c>
      <c r="AB105" s="1" t="s">
        <v>74</v>
      </c>
      <c r="AC105" s="1" t="s">
        <v>74</v>
      </c>
      <c r="AD105" s="1" t="s">
        <v>74</v>
      </c>
      <c r="AE105" s="1" t="s">
        <v>74</v>
      </c>
      <c r="AF105" s="1" t="s">
        <v>74</v>
      </c>
      <c r="AG105" s="1" t="s">
        <v>74</v>
      </c>
      <c r="AH105" s="1" t="s">
        <v>74</v>
      </c>
      <c r="AI105" s="1" t="s">
        <v>74</v>
      </c>
      <c r="AJ105" s="1" t="s">
        <v>74</v>
      </c>
      <c r="AK105" s="1" t="s">
        <v>74</v>
      </c>
      <c r="AL105" s="1" t="s">
        <v>74</v>
      </c>
      <c r="AM105" s="1" t="s">
        <v>74</v>
      </c>
      <c r="AN105" s="1" t="s">
        <v>74</v>
      </c>
      <c r="AO105" s="1" t="s">
        <v>1255</v>
      </c>
      <c r="AP105" s="1" t="s">
        <v>74</v>
      </c>
      <c r="AQ105" s="1" t="s">
        <v>74</v>
      </c>
      <c r="AR105" s="1" t="s">
        <v>74</v>
      </c>
      <c r="AS105" s="1" t="s">
        <v>74</v>
      </c>
      <c r="AT105" s="1" t="s">
        <v>1256</v>
      </c>
      <c r="AU105" s="1">
        <v>2007.0</v>
      </c>
      <c r="AV105" s="1">
        <v>233.0</v>
      </c>
      <c r="AW105" s="1" t="s">
        <v>74</v>
      </c>
      <c r="AX105" s="1" t="s">
        <v>74</v>
      </c>
      <c r="AY105" s="1" t="s">
        <v>74</v>
      </c>
      <c r="AZ105" s="1" t="s">
        <v>74</v>
      </c>
      <c r="BA105" s="1" t="s">
        <v>1257</v>
      </c>
      <c r="BB105" s="1">
        <v>569.0</v>
      </c>
      <c r="BC105" s="1">
        <v>569.0</v>
      </c>
      <c r="BD105" s="1" t="s">
        <v>74</v>
      </c>
      <c r="BE105" s="1" t="s">
        <v>74</v>
      </c>
      <c r="BF105" s="1" t="s">
        <v>74</v>
      </c>
      <c r="BG105" s="1" t="s">
        <v>74</v>
      </c>
      <c r="BH105" s="1" t="s">
        <v>74</v>
      </c>
      <c r="BI105" s="1" t="s">
        <v>74</v>
      </c>
      <c r="BJ105" s="1" t="s">
        <v>74</v>
      </c>
      <c r="BK105" s="1" t="s">
        <v>74</v>
      </c>
      <c r="BL105" s="1" t="s">
        <v>74</v>
      </c>
      <c r="BM105" s="1" t="s">
        <v>74</v>
      </c>
      <c r="BN105" s="1" t="s">
        <v>74</v>
      </c>
      <c r="BO105" s="1" t="s">
        <v>74</v>
      </c>
      <c r="BP105" s="1" t="s">
        <v>74</v>
      </c>
      <c r="BQ105" s="1" t="s">
        <v>74</v>
      </c>
      <c r="BR105" s="1" t="s">
        <v>74</v>
      </c>
      <c r="BS105" s="1" t="s">
        <v>1258</v>
      </c>
      <c r="BT105" s="1" t="str">
        <f>HYPERLINK("https%3A%2F%2Fwww.webofscience.com%2Fwos%2Fwoscc%2Ffull-record%2FWOS:000207722805557","View Full Record in Web of Science")</f>
        <v>View Full Record in Web of Science</v>
      </c>
    </row>
    <row r="106" ht="12.75" customHeight="1">
      <c r="A106" s="1" t="s">
        <v>72</v>
      </c>
      <c r="B106" s="1" t="s">
        <v>1259</v>
      </c>
      <c r="C106" s="1" t="s">
        <v>74</v>
      </c>
      <c r="D106" s="1" t="s">
        <v>74</v>
      </c>
      <c r="E106" s="1" t="s">
        <v>74</v>
      </c>
      <c r="F106" s="1" t="s">
        <v>1260</v>
      </c>
      <c r="G106" s="1" t="s">
        <v>74</v>
      </c>
      <c r="H106" s="1" t="s">
        <v>74</v>
      </c>
      <c r="I106" s="1" t="s">
        <v>1261</v>
      </c>
      <c r="J106" s="1" t="s">
        <v>1262</v>
      </c>
      <c r="K106" s="1" t="s">
        <v>74</v>
      </c>
      <c r="L106" s="1" t="s">
        <v>74</v>
      </c>
      <c r="M106" s="1" t="s">
        <v>74</v>
      </c>
      <c r="N106" s="1" t="s">
        <v>74</v>
      </c>
      <c r="O106" s="1" t="s">
        <v>74</v>
      </c>
      <c r="P106" s="1" t="s">
        <v>74</v>
      </c>
      <c r="Q106" s="1" t="s">
        <v>74</v>
      </c>
      <c r="R106" s="1" t="s">
        <v>74</v>
      </c>
      <c r="S106" s="1" t="s">
        <v>74</v>
      </c>
      <c r="T106" s="1" t="s">
        <v>74</v>
      </c>
      <c r="U106" s="1" t="s">
        <v>74</v>
      </c>
      <c r="V106" s="1" t="s">
        <v>1263</v>
      </c>
      <c r="W106" s="1" t="s">
        <v>74</v>
      </c>
      <c r="X106" s="1" t="s">
        <v>74</v>
      </c>
      <c r="Y106" s="1" t="s">
        <v>74</v>
      </c>
      <c r="Z106" s="1" t="s">
        <v>74</v>
      </c>
      <c r="AA106" s="1" t="s">
        <v>1264</v>
      </c>
      <c r="AB106" s="1" t="s">
        <v>1265</v>
      </c>
      <c r="AC106" s="1" t="s">
        <v>74</v>
      </c>
      <c r="AD106" s="1" t="s">
        <v>74</v>
      </c>
      <c r="AE106" s="1" t="s">
        <v>74</v>
      </c>
      <c r="AF106" s="1" t="s">
        <v>74</v>
      </c>
      <c r="AG106" s="1" t="s">
        <v>74</v>
      </c>
      <c r="AH106" s="1" t="s">
        <v>74</v>
      </c>
      <c r="AI106" s="1" t="s">
        <v>74</v>
      </c>
      <c r="AJ106" s="1" t="s">
        <v>74</v>
      </c>
      <c r="AK106" s="1" t="s">
        <v>74</v>
      </c>
      <c r="AL106" s="1" t="s">
        <v>74</v>
      </c>
      <c r="AM106" s="1" t="s">
        <v>74</v>
      </c>
      <c r="AN106" s="1" t="s">
        <v>74</v>
      </c>
      <c r="AO106" s="1" t="s">
        <v>1266</v>
      </c>
      <c r="AP106" s="1" t="s">
        <v>1267</v>
      </c>
      <c r="AQ106" s="1" t="s">
        <v>74</v>
      </c>
      <c r="AR106" s="1" t="s">
        <v>74</v>
      </c>
      <c r="AS106" s="1" t="s">
        <v>74</v>
      </c>
      <c r="AT106" s="1" t="s">
        <v>939</v>
      </c>
      <c r="AU106" s="1">
        <v>2006.0</v>
      </c>
      <c r="AV106" s="1">
        <v>20.0</v>
      </c>
      <c r="AW106" s="1">
        <v>6.0</v>
      </c>
      <c r="AX106" s="1" t="s">
        <v>74</v>
      </c>
      <c r="AY106" s="1" t="s">
        <v>74</v>
      </c>
      <c r="AZ106" s="1" t="s">
        <v>74</v>
      </c>
      <c r="BA106" s="1" t="s">
        <v>74</v>
      </c>
      <c r="BB106" s="1">
        <v>462.0</v>
      </c>
      <c r="BC106" s="1">
        <v>467.0</v>
      </c>
      <c r="BD106" s="1" t="s">
        <v>74</v>
      </c>
      <c r="BE106" s="1" t="s">
        <v>1268</v>
      </c>
      <c r="BF106" s="2" t="str">
        <f>HYPERLINK("http://dx.doi.org/10.1002/ptr.1878","http://dx.doi.org/10.1002/ptr.1878")</f>
        <v>http://dx.doi.org/10.1002/ptr.1878</v>
      </c>
      <c r="BG106" s="1" t="s">
        <v>74</v>
      </c>
      <c r="BH106" s="1" t="s">
        <v>74</v>
      </c>
      <c r="BI106" s="1" t="s">
        <v>74</v>
      </c>
      <c r="BJ106" s="1" t="s">
        <v>74</v>
      </c>
      <c r="BK106" s="1" t="s">
        <v>74</v>
      </c>
      <c r="BL106" s="1" t="s">
        <v>74</v>
      </c>
      <c r="BM106" s="1" t="s">
        <v>74</v>
      </c>
      <c r="BN106" s="1">
        <v>1.6619353E7</v>
      </c>
      <c r="BO106" s="1" t="s">
        <v>74</v>
      </c>
      <c r="BP106" s="1" t="s">
        <v>74</v>
      </c>
      <c r="BQ106" s="1" t="s">
        <v>74</v>
      </c>
      <c r="BR106" s="1" t="s">
        <v>74</v>
      </c>
      <c r="BS106" s="1" t="s">
        <v>1269</v>
      </c>
      <c r="BT106" s="1" t="str">
        <f>HYPERLINK("https%3A%2F%2Fwww.webofscience.com%2Fwos%2Fwoscc%2Ffull-record%2FWOS:000238370200007","View Full Record in Web of Science")</f>
        <v>View Full Record in Web of Science</v>
      </c>
    </row>
    <row r="107" ht="12.75" customHeight="1">
      <c r="A107" s="1" t="s">
        <v>72</v>
      </c>
      <c r="B107" s="1" t="s">
        <v>1270</v>
      </c>
      <c r="C107" s="1" t="s">
        <v>74</v>
      </c>
      <c r="D107" s="1" t="s">
        <v>74</v>
      </c>
      <c r="E107" s="1" t="s">
        <v>74</v>
      </c>
      <c r="F107" s="1" t="s">
        <v>1270</v>
      </c>
      <c r="G107" s="1" t="s">
        <v>74</v>
      </c>
      <c r="H107" s="1" t="s">
        <v>74</v>
      </c>
      <c r="I107" s="1" t="s">
        <v>1271</v>
      </c>
      <c r="J107" s="1" t="s">
        <v>1272</v>
      </c>
      <c r="K107" s="1" t="s">
        <v>74</v>
      </c>
      <c r="L107" s="1" t="s">
        <v>74</v>
      </c>
      <c r="M107" s="1" t="s">
        <v>74</v>
      </c>
      <c r="N107" s="1" t="s">
        <v>74</v>
      </c>
      <c r="O107" s="1" t="s">
        <v>74</v>
      </c>
      <c r="P107" s="1" t="s">
        <v>74</v>
      </c>
      <c r="Q107" s="1" t="s">
        <v>74</v>
      </c>
      <c r="R107" s="1" t="s">
        <v>74</v>
      </c>
      <c r="S107" s="1" t="s">
        <v>74</v>
      </c>
      <c r="T107" s="1" t="s">
        <v>74</v>
      </c>
      <c r="U107" s="1" t="s">
        <v>74</v>
      </c>
      <c r="V107" s="1" t="s">
        <v>1273</v>
      </c>
      <c r="W107" s="1" t="s">
        <v>74</v>
      </c>
      <c r="X107" s="1" t="s">
        <v>74</v>
      </c>
      <c r="Y107" s="1" t="s">
        <v>74</v>
      </c>
      <c r="Z107" s="1" t="s">
        <v>74</v>
      </c>
      <c r="AA107" s="1" t="s">
        <v>1274</v>
      </c>
      <c r="AB107" s="1" t="s">
        <v>1275</v>
      </c>
      <c r="AC107" s="1" t="s">
        <v>74</v>
      </c>
      <c r="AD107" s="1" t="s">
        <v>74</v>
      </c>
      <c r="AE107" s="1" t="s">
        <v>74</v>
      </c>
      <c r="AF107" s="1" t="s">
        <v>74</v>
      </c>
      <c r="AG107" s="1" t="s">
        <v>74</v>
      </c>
      <c r="AH107" s="1" t="s">
        <v>74</v>
      </c>
      <c r="AI107" s="1" t="s">
        <v>74</v>
      </c>
      <c r="AJ107" s="1" t="s">
        <v>74</v>
      </c>
      <c r="AK107" s="1" t="s">
        <v>74</v>
      </c>
      <c r="AL107" s="1" t="s">
        <v>74</v>
      </c>
      <c r="AM107" s="1" t="s">
        <v>74</v>
      </c>
      <c r="AN107" s="1" t="s">
        <v>74</v>
      </c>
      <c r="AO107" s="1" t="s">
        <v>1276</v>
      </c>
      <c r="AP107" s="1" t="s">
        <v>1277</v>
      </c>
      <c r="AQ107" s="1" t="s">
        <v>74</v>
      </c>
      <c r="AR107" s="1" t="s">
        <v>74</v>
      </c>
      <c r="AS107" s="1" t="s">
        <v>74</v>
      </c>
      <c r="AT107" s="1" t="s">
        <v>939</v>
      </c>
      <c r="AU107" s="1">
        <v>2005.0</v>
      </c>
      <c r="AV107" s="1">
        <v>20.0</v>
      </c>
      <c r="AW107" s="1">
        <v>2.0</v>
      </c>
      <c r="AX107" s="1" t="s">
        <v>74</v>
      </c>
      <c r="AY107" s="1" t="s">
        <v>74</v>
      </c>
      <c r="AZ107" s="1" t="s">
        <v>74</v>
      </c>
      <c r="BA107" s="1" t="s">
        <v>74</v>
      </c>
      <c r="BB107" s="1">
        <v>155.0</v>
      </c>
      <c r="BC107" s="1">
        <v>167.0</v>
      </c>
      <c r="BD107" s="1" t="s">
        <v>74</v>
      </c>
      <c r="BE107" s="1" t="s">
        <v>1278</v>
      </c>
      <c r="BF107" s="2" t="str">
        <f>HYPERLINK("http://dx.doi.org/10.1007/s11011-005-4152-8","http://dx.doi.org/10.1007/s11011-005-4152-8")</f>
        <v>http://dx.doi.org/10.1007/s11011-005-4152-8</v>
      </c>
      <c r="BG107" s="1" t="s">
        <v>74</v>
      </c>
      <c r="BH107" s="1" t="s">
        <v>74</v>
      </c>
      <c r="BI107" s="1" t="s">
        <v>74</v>
      </c>
      <c r="BJ107" s="1" t="s">
        <v>74</v>
      </c>
      <c r="BK107" s="1" t="s">
        <v>74</v>
      </c>
      <c r="BL107" s="1" t="s">
        <v>74</v>
      </c>
      <c r="BM107" s="1" t="s">
        <v>74</v>
      </c>
      <c r="BN107" s="1">
        <v>1.5938133E7</v>
      </c>
      <c r="BO107" s="1" t="s">
        <v>74</v>
      </c>
      <c r="BP107" s="1" t="s">
        <v>74</v>
      </c>
      <c r="BQ107" s="1" t="s">
        <v>74</v>
      </c>
      <c r="BR107" s="1" t="s">
        <v>74</v>
      </c>
      <c r="BS107" s="1" t="s">
        <v>1279</v>
      </c>
      <c r="BT107" s="1" t="str">
        <f>HYPERLINK("https%3A%2F%2Fwww.webofscience.com%2Fwos%2Fwoscc%2Ffull-record%2FWOS:000229220000006","View Full Record in Web of Science")</f>
        <v>View Full Record in Web of Science</v>
      </c>
    </row>
    <row r="108" ht="12.75" customHeight="1">
      <c r="A108" s="1" t="s">
        <v>72</v>
      </c>
      <c r="B108" s="1" t="s">
        <v>1280</v>
      </c>
      <c r="C108" s="1" t="s">
        <v>74</v>
      </c>
      <c r="D108" s="1" t="s">
        <v>74</v>
      </c>
      <c r="E108" s="1" t="s">
        <v>74</v>
      </c>
      <c r="F108" s="1" t="s">
        <v>1280</v>
      </c>
      <c r="G108" s="1" t="s">
        <v>74</v>
      </c>
      <c r="H108" s="1" t="s">
        <v>74</v>
      </c>
      <c r="I108" s="1" t="s">
        <v>1281</v>
      </c>
      <c r="J108" s="1" t="s">
        <v>1282</v>
      </c>
      <c r="K108" s="1" t="s">
        <v>74</v>
      </c>
      <c r="L108" s="1" t="s">
        <v>74</v>
      </c>
      <c r="M108" s="1" t="s">
        <v>74</v>
      </c>
      <c r="N108" s="1" t="s">
        <v>74</v>
      </c>
      <c r="O108" s="1" t="s">
        <v>74</v>
      </c>
      <c r="P108" s="1" t="s">
        <v>74</v>
      </c>
      <c r="Q108" s="1" t="s">
        <v>74</v>
      </c>
      <c r="R108" s="1" t="s">
        <v>74</v>
      </c>
      <c r="S108" s="1" t="s">
        <v>74</v>
      </c>
      <c r="T108" s="1" t="s">
        <v>74</v>
      </c>
      <c r="U108" s="1" t="s">
        <v>74</v>
      </c>
      <c r="V108" s="1" t="s">
        <v>1283</v>
      </c>
      <c r="W108" s="1" t="s">
        <v>74</v>
      </c>
      <c r="X108" s="1" t="s">
        <v>74</v>
      </c>
      <c r="Y108" s="1" t="s">
        <v>74</v>
      </c>
      <c r="Z108" s="1" t="s">
        <v>74</v>
      </c>
      <c r="AA108" s="1" t="s">
        <v>1284</v>
      </c>
      <c r="AB108" s="1" t="s">
        <v>1285</v>
      </c>
      <c r="AC108" s="1" t="s">
        <v>74</v>
      </c>
      <c r="AD108" s="1" t="s">
        <v>74</v>
      </c>
      <c r="AE108" s="1" t="s">
        <v>74</v>
      </c>
      <c r="AF108" s="1" t="s">
        <v>74</v>
      </c>
      <c r="AG108" s="1" t="s">
        <v>74</v>
      </c>
      <c r="AH108" s="1" t="s">
        <v>74</v>
      </c>
      <c r="AI108" s="1" t="s">
        <v>74</v>
      </c>
      <c r="AJ108" s="1" t="s">
        <v>74</v>
      </c>
      <c r="AK108" s="1" t="s">
        <v>74</v>
      </c>
      <c r="AL108" s="1" t="s">
        <v>74</v>
      </c>
      <c r="AM108" s="1" t="s">
        <v>74</v>
      </c>
      <c r="AN108" s="1" t="s">
        <v>74</v>
      </c>
      <c r="AO108" s="1" t="s">
        <v>1286</v>
      </c>
      <c r="AP108" s="1" t="s">
        <v>74</v>
      </c>
      <c r="AQ108" s="1" t="s">
        <v>74</v>
      </c>
      <c r="AR108" s="1" t="s">
        <v>74</v>
      </c>
      <c r="AS108" s="1" t="s">
        <v>74</v>
      </c>
      <c r="AT108" s="1" t="s">
        <v>235</v>
      </c>
      <c r="AU108" s="1">
        <v>2001.0</v>
      </c>
      <c r="AV108" s="1">
        <v>39.0</v>
      </c>
      <c r="AW108" s="1">
        <v>4.0</v>
      </c>
      <c r="AX108" s="1" t="s">
        <v>74</v>
      </c>
      <c r="AY108" s="1" t="s">
        <v>74</v>
      </c>
      <c r="AZ108" s="1" t="s">
        <v>74</v>
      </c>
      <c r="BA108" s="1" t="s">
        <v>74</v>
      </c>
      <c r="BB108" s="1">
        <v>539.0</v>
      </c>
      <c r="BC108" s="1">
        <v>553.0</v>
      </c>
      <c r="BD108" s="1" t="s">
        <v>74</v>
      </c>
      <c r="BE108" s="1" t="s">
        <v>1287</v>
      </c>
      <c r="BF108" s="2" t="str">
        <f>HYPERLINK("http://dx.doi.org/10.1016/S0041-0101(00)00166-5","http://dx.doi.org/10.1016/S0041-0101(00)00166-5")</f>
        <v>http://dx.doi.org/10.1016/S0041-0101(00)00166-5</v>
      </c>
      <c r="BG108" s="1" t="s">
        <v>74</v>
      </c>
      <c r="BH108" s="1" t="s">
        <v>74</v>
      </c>
      <c r="BI108" s="1" t="s">
        <v>74</v>
      </c>
      <c r="BJ108" s="1" t="s">
        <v>74</v>
      </c>
      <c r="BK108" s="1" t="s">
        <v>74</v>
      </c>
      <c r="BL108" s="1" t="s">
        <v>74</v>
      </c>
      <c r="BM108" s="1" t="s">
        <v>74</v>
      </c>
      <c r="BN108" s="1">
        <v>1.1024494E7</v>
      </c>
      <c r="BO108" s="1" t="s">
        <v>74</v>
      </c>
      <c r="BP108" s="1" t="s">
        <v>74</v>
      </c>
      <c r="BQ108" s="1" t="s">
        <v>74</v>
      </c>
      <c r="BR108" s="1" t="s">
        <v>74</v>
      </c>
      <c r="BS108" s="1" t="s">
        <v>1288</v>
      </c>
      <c r="BT108" s="1" t="str">
        <f>HYPERLINK("https%3A%2F%2Fwww.webofscience.com%2Fwos%2Fwoscc%2Ffull-record%2FWOS:000090096000010","View Full Record in Web of Science")</f>
        <v>View Full Record in Web of Science</v>
      </c>
    </row>
    <row r="109" ht="12.75" customHeight="1">
      <c r="A109" s="1" t="s">
        <v>72</v>
      </c>
      <c r="B109" s="1" t="s">
        <v>1289</v>
      </c>
      <c r="C109" s="1" t="s">
        <v>74</v>
      </c>
      <c r="D109" s="1" t="s">
        <v>74</v>
      </c>
      <c r="E109" s="1" t="s">
        <v>74</v>
      </c>
      <c r="F109" s="1" t="s">
        <v>1289</v>
      </c>
      <c r="G109" s="1" t="s">
        <v>74</v>
      </c>
      <c r="H109" s="1" t="s">
        <v>74</v>
      </c>
      <c r="I109" s="1" t="s">
        <v>1290</v>
      </c>
      <c r="J109" s="1" t="s">
        <v>1291</v>
      </c>
      <c r="K109" s="1" t="s">
        <v>74</v>
      </c>
      <c r="L109" s="1" t="s">
        <v>74</v>
      </c>
      <c r="M109" s="1" t="s">
        <v>74</v>
      </c>
      <c r="N109" s="1" t="s">
        <v>74</v>
      </c>
      <c r="O109" s="1" t="s">
        <v>74</v>
      </c>
      <c r="P109" s="1" t="s">
        <v>74</v>
      </c>
      <c r="Q109" s="1" t="s">
        <v>74</v>
      </c>
      <c r="R109" s="1" t="s">
        <v>74</v>
      </c>
      <c r="S109" s="1" t="s">
        <v>74</v>
      </c>
      <c r="T109" s="1" t="s">
        <v>74</v>
      </c>
      <c r="U109" s="1" t="s">
        <v>74</v>
      </c>
      <c r="V109" s="1" t="s">
        <v>1292</v>
      </c>
      <c r="W109" s="1" t="s">
        <v>74</v>
      </c>
      <c r="X109" s="1" t="s">
        <v>74</v>
      </c>
      <c r="Y109" s="1" t="s">
        <v>74</v>
      </c>
      <c r="Z109" s="1" t="s">
        <v>74</v>
      </c>
      <c r="AA109" s="1" t="s">
        <v>74</v>
      </c>
      <c r="AB109" s="1" t="s">
        <v>1293</v>
      </c>
      <c r="AC109" s="1" t="s">
        <v>74</v>
      </c>
      <c r="AD109" s="1" t="s">
        <v>74</v>
      </c>
      <c r="AE109" s="1" t="s">
        <v>74</v>
      </c>
      <c r="AF109" s="1" t="s">
        <v>74</v>
      </c>
      <c r="AG109" s="1" t="s">
        <v>74</v>
      </c>
      <c r="AH109" s="1" t="s">
        <v>74</v>
      </c>
      <c r="AI109" s="1" t="s">
        <v>74</v>
      </c>
      <c r="AJ109" s="1" t="s">
        <v>74</v>
      </c>
      <c r="AK109" s="1" t="s">
        <v>74</v>
      </c>
      <c r="AL109" s="1" t="s">
        <v>74</v>
      </c>
      <c r="AM109" s="1" t="s">
        <v>74</v>
      </c>
      <c r="AN109" s="1" t="s">
        <v>74</v>
      </c>
      <c r="AO109" s="1" t="s">
        <v>1294</v>
      </c>
      <c r="AP109" s="1" t="s">
        <v>74</v>
      </c>
      <c r="AQ109" s="1" t="s">
        <v>74</v>
      </c>
      <c r="AR109" s="1" t="s">
        <v>74</v>
      </c>
      <c r="AS109" s="1" t="s">
        <v>74</v>
      </c>
      <c r="AT109" s="1" t="s">
        <v>175</v>
      </c>
      <c r="AU109" s="1">
        <v>2000.0</v>
      </c>
      <c r="AV109" s="1">
        <v>19.0</v>
      </c>
      <c r="AW109" s="1" t="s">
        <v>1295</v>
      </c>
      <c r="AX109" s="1" t="s">
        <v>74</v>
      </c>
      <c r="AY109" s="1" t="s">
        <v>74</v>
      </c>
      <c r="AZ109" s="1" t="s">
        <v>74</v>
      </c>
      <c r="BA109" s="1" t="s">
        <v>74</v>
      </c>
      <c r="BB109" s="1">
        <v>2373.0</v>
      </c>
      <c r="BC109" s="1">
        <v>2381.0</v>
      </c>
      <c r="BD109" s="1" t="s">
        <v>74</v>
      </c>
      <c r="BE109" s="1" t="s">
        <v>1296</v>
      </c>
      <c r="BF109" s="2" t="str">
        <f>HYPERLINK("http://dx.doi.org/10.1016/S0277-5387(00)00574-X","http://dx.doi.org/10.1016/S0277-5387(00)00574-X")</f>
        <v>http://dx.doi.org/10.1016/S0277-5387(00)00574-X</v>
      </c>
      <c r="BG109" s="1" t="s">
        <v>74</v>
      </c>
      <c r="BH109" s="1" t="s">
        <v>74</v>
      </c>
      <c r="BI109" s="1" t="s">
        <v>74</v>
      </c>
      <c r="BJ109" s="1" t="s">
        <v>74</v>
      </c>
      <c r="BK109" s="1" t="s">
        <v>74</v>
      </c>
      <c r="BL109" s="1" t="s">
        <v>74</v>
      </c>
      <c r="BM109" s="1" t="s">
        <v>74</v>
      </c>
      <c r="BN109" s="1" t="s">
        <v>74</v>
      </c>
      <c r="BO109" s="1" t="s">
        <v>74</v>
      </c>
      <c r="BP109" s="1" t="s">
        <v>74</v>
      </c>
      <c r="BQ109" s="1" t="s">
        <v>74</v>
      </c>
      <c r="BR109" s="1" t="s">
        <v>74</v>
      </c>
      <c r="BS109" s="1" t="s">
        <v>1297</v>
      </c>
      <c r="BT109" s="1" t="str">
        <f>HYPERLINK("https%3A%2F%2Fwww.webofscience.com%2Fwos%2Fwoscc%2Ffull-record%2FWOS:000166064800019","View Full Record in Web of Science")</f>
        <v>View Full Record in Web of Science</v>
      </c>
    </row>
    <row r="110" ht="12.75" customHeight="1">
      <c r="A110" s="1" t="s">
        <v>72</v>
      </c>
      <c r="B110" s="1" t="s">
        <v>1298</v>
      </c>
      <c r="C110" s="1" t="s">
        <v>74</v>
      </c>
      <c r="D110" s="1" t="s">
        <v>74</v>
      </c>
      <c r="E110" s="1" t="s">
        <v>74</v>
      </c>
      <c r="F110" s="1" t="s">
        <v>1298</v>
      </c>
      <c r="G110" s="1" t="s">
        <v>74</v>
      </c>
      <c r="H110" s="1" t="s">
        <v>74</v>
      </c>
      <c r="I110" s="1" t="s">
        <v>1299</v>
      </c>
      <c r="J110" s="1" t="s">
        <v>1300</v>
      </c>
      <c r="K110" s="1" t="s">
        <v>74</v>
      </c>
      <c r="L110" s="1" t="s">
        <v>74</v>
      </c>
      <c r="M110" s="1" t="s">
        <v>74</v>
      </c>
      <c r="N110" s="1" t="s">
        <v>74</v>
      </c>
      <c r="O110" s="1" t="s">
        <v>74</v>
      </c>
      <c r="P110" s="1" t="s">
        <v>74</v>
      </c>
      <c r="Q110" s="1" t="s">
        <v>74</v>
      </c>
      <c r="R110" s="1" t="s">
        <v>74</v>
      </c>
      <c r="S110" s="1" t="s">
        <v>74</v>
      </c>
      <c r="T110" s="1" t="s">
        <v>74</v>
      </c>
      <c r="U110" s="1" t="s">
        <v>74</v>
      </c>
      <c r="V110" s="1" t="s">
        <v>1301</v>
      </c>
      <c r="W110" s="1" t="s">
        <v>74</v>
      </c>
      <c r="X110" s="1" t="s">
        <v>74</v>
      </c>
      <c r="Y110" s="1" t="s">
        <v>74</v>
      </c>
      <c r="Z110" s="1" t="s">
        <v>74</v>
      </c>
      <c r="AA110" s="1" t="s">
        <v>1302</v>
      </c>
      <c r="AB110" s="1" t="s">
        <v>1303</v>
      </c>
      <c r="AC110" s="1" t="s">
        <v>74</v>
      </c>
      <c r="AD110" s="1" t="s">
        <v>74</v>
      </c>
      <c r="AE110" s="1" t="s">
        <v>74</v>
      </c>
      <c r="AF110" s="1" t="s">
        <v>74</v>
      </c>
      <c r="AG110" s="1" t="s">
        <v>74</v>
      </c>
      <c r="AH110" s="1" t="s">
        <v>74</v>
      </c>
      <c r="AI110" s="1" t="s">
        <v>74</v>
      </c>
      <c r="AJ110" s="1" t="s">
        <v>74</v>
      </c>
      <c r="AK110" s="1" t="s">
        <v>74</v>
      </c>
      <c r="AL110" s="1" t="s">
        <v>74</v>
      </c>
      <c r="AM110" s="1" t="s">
        <v>74</v>
      </c>
      <c r="AN110" s="1" t="s">
        <v>74</v>
      </c>
      <c r="AO110" s="1" t="s">
        <v>1304</v>
      </c>
      <c r="AP110" s="1" t="s">
        <v>74</v>
      </c>
      <c r="AQ110" s="1" t="s">
        <v>74</v>
      </c>
      <c r="AR110" s="1" t="s">
        <v>74</v>
      </c>
      <c r="AS110" s="1" t="s">
        <v>74</v>
      </c>
      <c r="AT110" s="1" t="s">
        <v>1305</v>
      </c>
      <c r="AU110" s="1">
        <v>2000.0</v>
      </c>
      <c r="AV110" s="1">
        <v>84.0</v>
      </c>
      <c r="AW110" s="1">
        <v>8.0</v>
      </c>
      <c r="AX110" s="1" t="s">
        <v>74</v>
      </c>
      <c r="AY110" s="1" t="s">
        <v>74</v>
      </c>
      <c r="AZ110" s="1" t="s">
        <v>74</v>
      </c>
      <c r="BA110" s="1" t="s">
        <v>74</v>
      </c>
      <c r="BB110" s="1">
        <v>1647.0</v>
      </c>
      <c r="BC110" s="1">
        <v>1650.0</v>
      </c>
      <c r="BD110" s="1" t="s">
        <v>74</v>
      </c>
      <c r="BE110" s="1" t="s">
        <v>1306</v>
      </c>
      <c r="BF110" s="2" t="str">
        <f>HYPERLINK("http://dx.doi.org/10.1103/PhysRevLett.84.1647","http://dx.doi.org/10.1103/PhysRevLett.84.1647")</f>
        <v>http://dx.doi.org/10.1103/PhysRevLett.84.1647</v>
      </c>
      <c r="BG110" s="1" t="s">
        <v>74</v>
      </c>
      <c r="BH110" s="1" t="s">
        <v>74</v>
      </c>
      <c r="BI110" s="1" t="s">
        <v>74</v>
      </c>
      <c r="BJ110" s="1" t="s">
        <v>74</v>
      </c>
      <c r="BK110" s="1" t="s">
        <v>74</v>
      </c>
      <c r="BL110" s="1" t="s">
        <v>74</v>
      </c>
      <c r="BM110" s="1" t="s">
        <v>74</v>
      </c>
      <c r="BN110" s="1">
        <v>1.1017591E7</v>
      </c>
      <c r="BO110" s="1" t="s">
        <v>74</v>
      </c>
      <c r="BP110" s="1" t="s">
        <v>74</v>
      </c>
      <c r="BQ110" s="1" t="s">
        <v>74</v>
      </c>
      <c r="BR110" s="1" t="s">
        <v>74</v>
      </c>
      <c r="BS110" s="1" t="s">
        <v>1307</v>
      </c>
      <c r="BT110" s="1" t="str">
        <f>HYPERLINK("https%3A%2F%2Fwww.webofscience.com%2Fwos%2Fwoscc%2Ffull-record%2FWOS:000085383500003","View Full Record in Web of Science")</f>
        <v>View Full Record in Web of Science</v>
      </c>
    </row>
    <row r="111" ht="12.75" customHeight="1">
      <c r="A111" s="1" t="s">
        <v>72</v>
      </c>
      <c r="B111" s="1" t="s">
        <v>1308</v>
      </c>
      <c r="C111" s="1" t="s">
        <v>74</v>
      </c>
      <c r="D111" s="1" t="s">
        <v>74</v>
      </c>
      <c r="E111" s="1" t="s">
        <v>74</v>
      </c>
      <c r="F111" s="1" t="s">
        <v>1308</v>
      </c>
      <c r="G111" s="1" t="s">
        <v>74</v>
      </c>
      <c r="H111" s="1" t="s">
        <v>74</v>
      </c>
      <c r="I111" s="1" t="s">
        <v>1309</v>
      </c>
      <c r="J111" s="1" t="s">
        <v>1310</v>
      </c>
      <c r="K111" s="1" t="s">
        <v>74</v>
      </c>
      <c r="L111" s="1" t="s">
        <v>74</v>
      </c>
      <c r="M111" s="1" t="s">
        <v>74</v>
      </c>
      <c r="N111" s="1" t="s">
        <v>74</v>
      </c>
      <c r="O111" s="1" t="s">
        <v>74</v>
      </c>
      <c r="P111" s="1" t="s">
        <v>74</v>
      </c>
      <c r="Q111" s="1" t="s">
        <v>74</v>
      </c>
      <c r="R111" s="1" t="s">
        <v>74</v>
      </c>
      <c r="S111" s="1" t="s">
        <v>74</v>
      </c>
      <c r="T111" s="1" t="s">
        <v>74</v>
      </c>
      <c r="U111" s="1" t="s">
        <v>74</v>
      </c>
      <c r="V111" s="1" t="s">
        <v>74</v>
      </c>
      <c r="W111" s="1" t="s">
        <v>74</v>
      </c>
      <c r="X111" s="1" t="s">
        <v>74</v>
      </c>
      <c r="Y111" s="1" t="s">
        <v>74</v>
      </c>
      <c r="Z111" s="1" t="s">
        <v>74</v>
      </c>
      <c r="AA111" s="1" t="s">
        <v>74</v>
      </c>
      <c r="AB111" s="1" t="s">
        <v>74</v>
      </c>
      <c r="AC111" s="1" t="s">
        <v>74</v>
      </c>
      <c r="AD111" s="1" t="s">
        <v>74</v>
      </c>
      <c r="AE111" s="1" t="s">
        <v>74</v>
      </c>
      <c r="AF111" s="1" t="s">
        <v>74</v>
      </c>
      <c r="AG111" s="1" t="s">
        <v>74</v>
      </c>
      <c r="AH111" s="1" t="s">
        <v>74</v>
      </c>
      <c r="AI111" s="1" t="s">
        <v>74</v>
      </c>
      <c r="AJ111" s="1" t="s">
        <v>74</v>
      </c>
      <c r="AK111" s="1" t="s">
        <v>74</v>
      </c>
      <c r="AL111" s="1" t="s">
        <v>74</v>
      </c>
      <c r="AM111" s="1" t="s">
        <v>74</v>
      </c>
      <c r="AN111" s="1" t="s">
        <v>74</v>
      </c>
      <c r="AO111" s="1" t="s">
        <v>1311</v>
      </c>
      <c r="AP111" s="1" t="s">
        <v>74</v>
      </c>
      <c r="AQ111" s="1" t="s">
        <v>74</v>
      </c>
      <c r="AR111" s="1" t="s">
        <v>74</v>
      </c>
      <c r="AS111" s="1" t="s">
        <v>74</v>
      </c>
      <c r="AT111" s="1" t="s">
        <v>1312</v>
      </c>
      <c r="AU111" s="1">
        <v>1997.0</v>
      </c>
      <c r="AV111" s="1">
        <v>11.0</v>
      </c>
      <c r="AW111" s="1">
        <v>9.0</v>
      </c>
      <c r="AX111" s="1" t="s">
        <v>74</v>
      </c>
      <c r="AY111" s="1" t="s">
        <v>1313</v>
      </c>
      <c r="AZ111" s="1" t="s">
        <v>74</v>
      </c>
      <c r="BA111" s="1">
        <v>1633.0</v>
      </c>
      <c r="BB111" s="1" t="s">
        <v>1314</v>
      </c>
      <c r="BC111" s="1" t="s">
        <v>1314</v>
      </c>
      <c r="BD111" s="1" t="s">
        <v>74</v>
      </c>
      <c r="BE111" s="1" t="s">
        <v>74</v>
      </c>
      <c r="BF111" s="1" t="s">
        <v>74</v>
      </c>
      <c r="BG111" s="1" t="s">
        <v>74</v>
      </c>
      <c r="BH111" s="1" t="s">
        <v>74</v>
      </c>
      <c r="BI111" s="1" t="s">
        <v>74</v>
      </c>
      <c r="BJ111" s="1" t="s">
        <v>74</v>
      </c>
      <c r="BK111" s="1" t="s">
        <v>74</v>
      </c>
      <c r="BL111" s="1" t="s">
        <v>74</v>
      </c>
      <c r="BM111" s="1" t="s">
        <v>74</v>
      </c>
      <c r="BN111" s="1" t="s">
        <v>74</v>
      </c>
      <c r="BO111" s="1" t="s">
        <v>74</v>
      </c>
      <c r="BP111" s="1" t="s">
        <v>74</v>
      </c>
      <c r="BQ111" s="1" t="s">
        <v>74</v>
      </c>
      <c r="BR111" s="1" t="s">
        <v>74</v>
      </c>
      <c r="BS111" s="1" t="s">
        <v>1315</v>
      </c>
      <c r="BT111" s="1" t="str">
        <f>HYPERLINK("https%3A%2F%2Fwww.webofscience.com%2Fwos%2Fwoscc%2Ffull-record%2FWOS:000073305602120","View Full Record in Web of Science")</f>
        <v>View Full Record in Web of Science</v>
      </c>
    </row>
    <row r="112" ht="12.75" customHeight="1">
      <c r="A112" s="1" t="s">
        <v>72</v>
      </c>
      <c r="B112" s="1" t="s">
        <v>1316</v>
      </c>
      <c r="C112" s="1" t="s">
        <v>74</v>
      </c>
      <c r="D112" s="1" t="s">
        <v>74</v>
      </c>
      <c r="E112" s="1" t="s">
        <v>74</v>
      </c>
      <c r="F112" s="1" t="s">
        <v>1316</v>
      </c>
      <c r="G112" s="1" t="s">
        <v>74</v>
      </c>
      <c r="H112" s="1" t="s">
        <v>74</v>
      </c>
      <c r="I112" s="1" t="s">
        <v>1317</v>
      </c>
      <c r="J112" s="1" t="s">
        <v>1318</v>
      </c>
      <c r="K112" s="1" t="s">
        <v>74</v>
      </c>
      <c r="L112" s="1" t="s">
        <v>74</v>
      </c>
      <c r="M112" s="1" t="s">
        <v>74</v>
      </c>
      <c r="N112" s="1" t="s">
        <v>74</v>
      </c>
      <c r="O112" s="1" t="s">
        <v>74</v>
      </c>
      <c r="P112" s="1" t="s">
        <v>74</v>
      </c>
      <c r="Q112" s="1" t="s">
        <v>74</v>
      </c>
      <c r="R112" s="1" t="s">
        <v>74</v>
      </c>
      <c r="S112" s="1" t="s">
        <v>74</v>
      </c>
      <c r="T112" s="1" t="s">
        <v>74</v>
      </c>
      <c r="U112" s="1" t="s">
        <v>74</v>
      </c>
      <c r="V112" s="1" t="s">
        <v>1319</v>
      </c>
      <c r="W112" s="1" t="s">
        <v>74</v>
      </c>
      <c r="X112" s="1" t="s">
        <v>74</v>
      </c>
      <c r="Y112" s="1" t="s">
        <v>74</v>
      </c>
      <c r="Z112" s="1" t="s">
        <v>74</v>
      </c>
      <c r="AA112" s="1" t="s">
        <v>1320</v>
      </c>
      <c r="AB112" s="1" t="s">
        <v>74</v>
      </c>
      <c r="AC112" s="1" t="s">
        <v>74</v>
      </c>
      <c r="AD112" s="1" t="s">
        <v>74</v>
      </c>
      <c r="AE112" s="1" t="s">
        <v>74</v>
      </c>
      <c r="AF112" s="1" t="s">
        <v>74</v>
      </c>
      <c r="AG112" s="1" t="s">
        <v>74</v>
      </c>
      <c r="AH112" s="1" t="s">
        <v>74</v>
      </c>
      <c r="AI112" s="1" t="s">
        <v>74</v>
      </c>
      <c r="AJ112" s="1" t="s">
        <v>74</v>
      </c>
      <c r="AK112" s="1" t="s">
        <v>74</v>
      </c>
      <c r="AL112" s="1" t="s">
        <v>74</v>
      </c>
      <c r="AM112" s="1" t="s">
        <v>74</v>
      </c>
      <c r="AN112" s="1" t="s">
        <v>74</v>
      </c>
      <c r="AO112" s="1" t="s">
        <v>1321</v>
      </c>
      <c r="AP112" s="1" t="s">
        <v>74</v>
      </c>
      <c r="AQ112" s="1" t="s">
        <v>74</v>
      </c>
      <c r="AR112" s="1" t="s">
        <v>74</v>
      </c>
      <c r="AS112" s="1" t="s">
        <v>74</v>
      </c>
      <c r="AT112" s="1" t="s">
        <v>348</v>
      </c>
      <c r="AU112" s="1">
        <v>1996.0</v>
      </c>
      <c r="AV112" s="1">
        <v>108.0</v>
      </c>
      <c r="AW112" s="1">
        <v>3.0</v>
      </c>
      <c r="AX112" s="1" t="s">
        <v>74</v>
      </c>
      <c r="AY112" s="1" t="s">
        <v>74</v>
      </c>
      <c r="AZ112" s="1" t="s">
        <v>74</v>
      </c>
      <c r="BA112" s="1" t="s">
        <v>74</v>
      </c>
      <c r="BB112" s="1">
        <v>1187.0</v>
      </c>
      <c r="BC112" s="1">
        <v>1194.0</v>
      </c>
      <c r="BD112" s="1" t="s">
        <v>74</v>
      </c>
      <c r="BE112" s="1" t="s">
        <v>1322</v>
      </c>
      <c r="BF112" s="2" t="str">
        <f>HYPERLINK("http://dx.doi.org/10.1007/BF02070245","http://dx.doi.org/10.1007/BF02070245")</f>
        <v>http://dx.doi.org/10.1007/BF02070245</v>
      </c>
      <c r="BG112" s="1" t="s">
        <v>74</v>
      </c>
      <c r="BH112" s="1" t="s">
        <v>74</v>
      </c>
      <c r="BI112" s="1" t="s">
        <v>74</v>
      </c>
      <c r="BJ112" s="1" t="s">
        <v>74</v>
      </c>
      <c r="BK112" s="1" t="s">
        <v>74</v>
      </c>
      <c r="BL112" s="1" t="s">
        <v>74</v>
      </c>
      <c r="BM112" s="1" t="s">
        <v>74</v>
      </c>
      <c r="BN112" s="1" t="s">
        <v>74</v>
      </c>
      <c r="BO112" s="1" t="s">
        <v>74</v>
      </c>
      <c r="BP112" s="1" t="s">
        <v>74</v>
      </c>
      <c r="BQ112" s="1" t="s">
        <v>74</v>
      </c>
      <c r="BR112" s="1" t="s">
        <v>74</v>
      </c>
      <c r="BS112" s="1" t="s">
        <v>1323</v>
      </c>
      <c r="BT112" s="1" t="str">
        <f>HYPERLINK("https%3A%2F%2Fwww.webofscience.com%2Fwos%2Fwoscc%2Ffull-record%2FWOS:A1996XE83400006","View Full Record in Web of Science")</f>
        <v>View Full Record in Web of Science</v>
      </c>
    </row>
    <row r="113" ht="12.75" customHeight="1">
      <c r="A113" s="1" t="s">
        <v>72</v>
      </c>
      <c r="B113" s="1" t="s">
        <v>1324</v>
      </c>
      <c r="C113" s="1" t="s">
        <v>74</v>
      </c>
      <c r="D113" s="1" t="s">
        <v>74</v>
      </c>
      <c r="E113" s="1" t="s">
        <v>74</v>
      </c>
      <c r="F113" s="1" t="s">
        <v>1324</v>
      </c>
      <c r="G113" s="1" t="s">
        <v>74</v>
      </c>
      <c r="H113" s="1" t="s">
        <v>74</v>
      </c>
      <c r="I113" s="1" t="s">
        <v>1325</v>
      </c>
      <c r="J113" s="1" t="s">
        <v>1326</v>
      </c>
      <c r="K113" s="1" t="s">
        <v>74</v>
      </c>
      <c r="L113" s="1" t="s">
        <v>74</v>
      </c>
      <c r="M113" s="1" t="s">
        <v>74</v>
      </c>
      <c r="N113" s="1" t="s">
        <v>74</v>
      </c>
      <c r="O113" s="1" t="s">
        <v>74</v>
      </c>
      <c r="P113" s="1" t="s">
        <v>74</v>
      </c>
      <c r="Q113" s="1" t="s">
        <v>74</v>
      </c>
      <c r="R113" s="1" t="s">
        <v>74</v>
      </c>
      <c r="S113" s="1" t="s">
        <v>74</v>
      </c>
      <c r="T113" s="1" t="s">
        <v>74</v>
      </c>
      <c r="U113" s="1" t="s">
        <v>74</v>
      </c>
      <c r="V113" s="1" t="s">
        <v>1327</v>
      </c>
      <c r="W113" s="1" t="s">
        <v>74</v>
      </c>
      <c r="X113" s="1" t="s">
        <v>74</v>
      </c>
      <c r="Y113" s="1" t="s">
        <v>74</v>
      </c>
      <c r="Z113" s="1" t="s">
        <v>74</v>
      </c>
      <c r="AA113" s="1" t="s">
        <v>1328</v>
      </c>
      <c r="AB113" s="1" t="s">
        <v>1329</v>
      </c>
      <c r="AC113" s="1" t="s">
        <v>74</v>
      </c>
      <c r="AD113" s="1" t="s">
        <v>74</v>
      </c>
      <c r="AE113" s="1" t="s">
        <v>74</v>
      </c>
      <c r="AF113" s="1" t="s">
        <v>74</v>
      </c>
      <c r="AG113" s="1" t="s">
        <v>74</v>
      </c>
      <c r="AH113" s="1" t="s">
        <v>74</v>
      </c>
      <c r="AI113" s="1" t="s">
        <v>74</v>
      </c>
      <c r="AJ113" s="1" t="s">
        <v>74</v>
      </c>
      <c r="AK113" s="1" t="s">
        <v>74</v>
      </c>
      <c r="AL113" s="1" t="s">
        <v>74</v>
      </c>
      <c r="AM113" s="1" t="s">
        <v>74</v>
      </c>
      <c r="AN113" s="1" t="s">
        <v>74</v>
      </c>
      <c r="AO113" s="1" t="s">
        <v>1330</v>
      </c>
      <c r="AP113" s="1" t="s">
        <v>1331</v>
      </c>
      <c r="AQ113" s="1" t="s">
        <v>74</v>
      </c>
      <c r="AR113" s="1" t="s">
        <v>74</v>
      </c>
      <c r="AS113" s="1" t="s">
        <v>74</v>
      </c>
      <c r="AT113" s="1" t="s">
        <v>1332</v>
      </c>
      <c r="AU113" s="1">
        <v>1992.0</v>
      </c>
      <c r="AV113" s="1">
        <v>339.0</v>
      </c>
      <c r="AW113" s="1" t="s">
        <v>527</v>
      </c>
      <c r="AX113" s="1" t="s">
        <v>74</v>
      </c>
      <c r="AY113" s="1" t="s">
        <v>74</v>
      </c>
      <c r="AZ113" s="1" t="s">
        <v>74</v>
      </c>
      <c r="BA113" s="1" t="s">
        <v>74</v>
      </c>
      <c r="BB113" s="1">
        <v>13.0</v>
      </c>
      <c r="BC113" s="1">
        <v>30.0</v>
      </c>
      <c r="BD113" s="1" t="s">
        <v>74</v>
      </c>
      <c r="BE113" s="1" t="s">
        <v>1333</v>
      </c>
      <c r="BF113" s="2" t="str">
        <f>HYPERLINK("http://dx.doi.org/10.1016/0022-0728(92)80442-7","http://dx.doi.org/10.1016/0022-0728(92)80442-7")</f>
        <v>http://dx.doi.org/10.1016/0022-0728(92)80442-7</v>
      </c>
      <c r="BG113" s="1" t="s">
        <v>74</v>
      </c>
      <c r="BH113" s="1" t="s">
        <v>74</v>
      </c>
      <c r="BI113" s="1" t="s">
        <v>74</v>
      </c>
      <c r="BJ113" s="1" t="s">
        <v>74</v>
      </c>
      <c r="BK113" s="1" t="s">
        <v>74</v>
      </c>
      <c r="BL113" s="1" t="s">
        <v>74</v>
      </c>
      <c r="BM113" s="1" t="s">
        <v>74</v>
      </c>
      <c r="BN113" s="1" t="s">
        <v>74</v>
      </c>
      <c r="BO113" s="1" t="s">
        <v>74</v>
      </c>
      <c r="BP113" s="1" t="s">
        <v>74</v>
      </c>
      <c r="BQ113" s="1" t="s">
        <v>74</v>
      </c>
      <c r="BR113" s="1" t="s">
        <v>74</v>
      </c>
      <c r="BS113" s="1" t="s">
        <v>1334</v>
      </c>
      <c r="BT113" s="1" t="str">
        <f>HYPERLINK("https%3A%2F%2Fwww.webofscience.com%2Fwos%2Fwoscc%2Ffull-record%2FWOS:A1992JZ18800003","View Full Record in Web of Science")</f>
        <v>View Full Record in Web of Science</v>
      </c>
    </row>
    <row r="114" ht="12.75" customHeight="1">
      <c r="A114" s="1" t="s">
        <v>72</v>
      </c>
      <c r="B114" s="1" t="s">
        <v>1335</v>
      </c>
      <c r="C114" s="1" t="s">
        <v>74</v>
      </c>
      <c r="D114" s="1" t="s">
        <v>74</v>
      </c>
      <c r="E114" s="1" t="s">
        <v>74</v>
      </c>
      <c r="F114" s="1" t="s">
        <v>1335</v>
      </c>
      <c r="G114" s="1" t="s">
        <v>74</v>
      </c>
      <c r="H114" s="1" t="s">
        <v>74</v>
      </c>
      <c r="I114" s="1" t="s">
        <v>1336</v>
      </c>
      <c r="J114" s="1" t="s">
        <v>1337</v>
      </c>
      <c r="K114" s="1" t="s">
        <v>74</v>
      </c>
      <c r="L114" s="1" t="s">
        <v>74</v>
      </c>
      <c r="M114" s="1" t="s">
        <v>74</v>
      </c>
      <c r="N114" s="1" t="s">
        <v>74</v>
      </c>
      <c r="O114" s="1" t="s">
        <v>74</v>
      </c>
      <c r="P114" s="1" t="s">
        <v>74</v>
      </c>
      <c r="Q114" s="1" t="s">
        <v>74</v>
      </c>
      <c r="R114" s="1" t="s">
        <v>74</v>
      </c>
      <c r="S114" s="1" t="s">
        <v>74</v>
      </c>
      <c r="T114" s="1" t="s">
        <v>74</v>
      </c>
      <c r="U114" s="1" t="s">
        <v>74</v>
      </c>
      <c r="V114" s="1" t="s">
        <v>74</v>
      </c>
      <c r="W114" s="1" t="s">
        <v>74</v>
      </c>
      <c r="X114" s="1" t="s">
        <v>74</v>
      </c>
      <c r="Y114" s="1" t="s">
        <v>74</v>
      </c>
      <c r="Z114" s="1" t="s">
        <v>74</v>
      </c>
      <c r="AA114" s="1" t="s">
        <v>74</v>
      </c>
      <c r="AB114" s="1" t="s">
        <v>74</v>
      </c>
      <c r="AC114" s="1" t="s">
        <v>74</v>
      </c>
      <c r="AD114" s="1" t="s">
        <v>74</v>
      </c>
      <c r="AE114" s="1" t="s">
        <v>74</v>
      </c>
      <c r="AF114" s="1" t="s">
        <v>74</v>
      </c>
      <c r="AG114" s="1" t="s">
        <v>74</v>
      </c>
      <c r="AH114" s="1" t="s">
        <v>74</v>
      </c>
      <c r="AI114" s="1" t="s">
        <v>74</v>
      </c>
      <c r="AJ114" s="1" t="s">
        <v>74</v>
      </c>
      <c r="AK114" s="1" t="s">
        <v>74</v>
      </c>
      <c r="AL114" s="1" t="s">
        <v>74</v>
      </c>
      <c r="AM114" s="1" t="s">
        <v>74</v>
      </c>
      <c r="AN114" s="1" t="s">
        <v>74</v>
      </c>
      <c r="AO114" s="1" t="s">
        <v>1338</v>
      </c>
      <c r="AP114" s="1" t="s">
        <v>74</v>
      </c>
      <c r="AQ114" s="1" t="s">
        <v>74</v>
      </c>
      <c r="AR114" s="1" t="s">
        <v>74</v>
      </c>
      <c r="AS114" s="1" t="s">
        <v>74</v>
      </c>
      <c r="AT114" s="1" t="s">
        <v>74</v>
      </c>
      <c r="AU114" s="1">
        <v>1981.0</v>
      </c>
      <c r="AV114" s="1">
        <v>16.0</v>
      </c>
      <c r="AW114" s="1">
        <v>3.0</v>
      </c>
      <c r="AX114" s="1" t="s">
        <v>74</v>
      </c>
      <c r="AY114" s="1" t="s">
        <v>74</v>
      </c>
      <c r="AZ114" s="1" t="s">
        <v>74</v>
      </c>
      <c r="BA114" s="1" t="s">
        <v>74</v>
      </c>
      <c r="BB114" s="1">
        <v>291.0</v>
      </c>
      <c r="BC114" s="1">
        <v>298.0</v>
      </c>
      <c r="BD114" s="1" t="s">
        <v>74</v>
      </c>
      <c r="BE114" s="1" t="s">
        <v>74</v>
      </c>
      <c r="BF114" s="1" t="s">
        <v>74</v>
      </c>
      <c r="BG114" s="1" t="s">
        <v>74</v>
      </c>
      <c r="BH114" s="1" t="s">
        <v>74</v>
      </c>
      <c r="BI114" s="1" t="s">
        <v>74</v>
      </c>
      <c r="BJ114" s="1" t="s">
        <v>74</v>
      </c>
      <c r="BK114" s="1" t="s">
        <v>74</v>
      </c>
      <c r="BL114" s="1" t="s">
        <v>74</v>
      </c>
      <c r="BM114" s="1" t="s">
        <v>74</v>
      </c>
      <c r="BN114" s="1" t="s">
        <v>74</v>
      </c>
      <c r="BO114" s="1" t="s">
        <v>74</v>
      </c>
      <c r="BP114" s="1" t="s">
        <v>74</v>
      </c>
      <c r="BQ114" s="1" t="s">
        <v>74</v>
      </c>
      <c r="BR114" s="1" t="s">
        <v>74</v>
      </c>
      <c r="BS114" s="1" t="s">
        <v>1339</v>
      </c>
      <c r="BT114" s="1" t="str">
        <f>HYPERLINK("https%3A%2F%2Fwww.webofscience.com%2Fwos%2Fwoscc%2Ffull-record%2FWOS:A1981LX29900005","View Full Record in Web of Science")</f>
        <v>View Full Record in Web of Science</v>
      </c>
    </row>
    <row r="115" ht="12.75" customHeight="1">
      <c r="A115" s="1" t="s">
        <v>72</v>
      </c>
      <c r="B115" s="1" t="s">
        <v>1340</v>
      </c>
      <c r="C115" s="1" t="s">
        <v>74</v>
      </c>
      <c r="D115" s="1" t="s">
        <v>74</v>
      </c>
      <c r="E115" s="1" t="s">
        <v>74</v>
      </c>
      <c r="F115" s="1" t="s">
        <v>1341</v>
      </c>
      <c r="G115" s="1" t="s">
        <v>74</v>
      </c>
      <c r="H115" s="1" t="s">
        <v>74</v>
      </c>
      <c r="I115" s="1" t="s">
        <v>1342</v>
      </c>
      <c r="J115" s="1" t="s">
        <v>1343</v>
      </c>
      <c r="K115" s="1" t="s">
        <v>74</v>
      </c>
      <c r="L115" s="1" t="s">
        <v>74</v>
      </c>
      <c r="M115" s="1" t="s">
        <v>74</v>
      </c>
      <c r="N115" s="1" t="s">
        <v>74</v>
      </c>
      <c r="O115" s="1" t="s">
        <v>74</v>
      </c>
      <c r="P115" s="1" t="s">
        <v>74</v>
      </c>
      <c r="Q115" s="1" t="s">
        <v>74</v>
      </c>
      <c r="R115" s="1" t="s">
        <v>74</v>
      </c>
      <c r="S115" s="1" t="s">
        <v>74</v>
      </c>
      <c r="T115" s="1" t="s">
        <v>74</v>
      </c>
      <c r="U115" s="1" t="s">
        <v>74</v>
      </c>
      <c r="V115" s="1" t="s">
        <v>1344</v>
      </c>
      <c r="W115" s="1" t="s">
        <v>74</v>
      </c>
      <c r="X115" s="1" t="s">
        <v>74</v>
      </c>
      <c r="Y115" s="1" t="s">
        <v>74</v>
      </c>
      <c r="Z115" s="1" t="s">
        <v>74</v>
      </c>
      <c r="AA115" s="1" t="s">
        <v>74</v>
      </c>
      <c r="AB115" s="1" t="s">
        <v>74</v>
      </c>
      <c r="AC115" s="1" t="s">
        <v>74</v>
      </c>
      <c r="AD115" s="1" t="s">
        <v>74</v>
      </c>
      <c r="AE115" s="1" t="s">
        <v>74</v>
      </c>
      <c r="AF115" s="1" t="s">
        <v>74</v>
      </c>
      <c r="AG115" s="1" t="s">
        <v>74</v>
      </c>
      <c r="AH115" s="1" t="s">
        <v>74</v>
      </c>
      <c r="AI115" s="1" t="s">
        <v>74</v>
      </c>
      <c r="AJ115" s="1" t="s">
        <v>74</v>
      </c>
      <c r="AK115" s="1" t="s">
        <v>74</v>
      </c>
      <c r="AL115" s="1" t="s">
        <v>74</v>
      </c>
      <c r="AM115" s="1" t="s">
        <v>74</v>
      </c>
      <c r="AN115" s="1" t="s">
        <v>74</v>
      </c>
      <c r="AO115" s="1" t="s">
        <v>1345</v>
      </c>
      <c r="AP115" s="1" t="s">
        <v>1346</v>
      </c>
      <c r="AQ115" s="1" t="s">
        <v>74</v>
      </c>
      <c r="AR115" s="1" t="s">
        <v>74</v>
      </c>
      <c r="AS115" s="1" t="s">
        <v>74</v>
      </c>
      <c r="AT115" s="1" t="s">
        <v>1347</v>
      </c>
      <c r="AU115" s="1">
        <v>2025.0</v>
      </c>
      <c r="AV115" s="1">
        <v>441.0</v>
      </c>
      <c r="AW115" s="1" t="s">
        <v>74</v>
      </c>
      <c r="AX115" s="1" t="s">
        <v>74</v>
      </c>
      <c r="AY115" s="1" t="s">
        <v>74</v>
      </c>
      <c r="AZ115" s="1" t="s">
        <v>74</v>
      </c>
      <c r="BA115" s="1" t="s">
        <v>74</v>
      </c>
      <c r="BB115" s="1" t="s">
        <v>74</v>
      </c>
      <c r="BC115" s="1" t="s">
        <v>74</v>
      </c>
      <c r="BD115" s="1">
        <v>117981.0</v>
      </c>
      <c r="BE115" s="1" t="s">
        <v>1348</v>
      </c>
      <c r="BF115" s="2" t="str">
        <f>HYPERLINK("http://dx.doi.org/10.1016/j.cma.2025.117981","http://dx.doi.org/10.1016/j.cma.2025.117981")</f>
        <v>http://dx.doi.org/10.1016/j.cma.2025.117981</v>
      </c>
      <c r="BG115" s="1" t="s">
        <v>74</v>
      </c>
      <c r="BH115" s="1" t="s">
        <v>74</v>
      </c>
      <c r="BI115" s="1" t="s">
        <v>74</v>
      </c>
      <c r="BJ115" s="1" t="s">
        <v>74</v>
      </c>
      <c r="BK115" s="1" t="s">
        <v>74</v>
      </c>
      <c r="BL115" s="1" t="s">
        <v>74</v>
      </c>
      <c r="BM115" s="1" t="s">
        <v>74</v>
      </c>
      <c r="BN115" s="1" t="s">
        <v>74</v>
      </c>
      <c r="BO115" s="1" t="s">
        <v>74</v>
      </c>
      <c r="BP115" s="1" t="s">
        <v>74</v>
      </c>
      <c r="BQ115" s="1" t="s">
        <v>74</v>
      </c>
      <c r="BR115" s="1" t="s">
        <v>74</v>
      </c>
      <c r="BS115" s="1" t="s">
        <v>1349</v>
      </c>
      <c r="BT115" s="1" t="str">
        <f>HYPERLINK("https%3A%2F%2Fwww.webofscience.com%2Fwos%2Fwoscc%2Ffull-record%2FWOS:001476450700001","View Full Record in Web of Science")</f>
        <v>View Full Record in Web of Science</v>
      </c>
    </row>
    <row r="116" ht="12.75" customHeight="1">
      <c r="A116" s="1" t="s">
        <v>72</v>
      </c>
      <c r="B116" s="1" t="s">
        <v>1350</v>
      </c>
      <c r="C116" s="1" t="s">
        <v>74</v>
      </c>
      <c r="D116" s="1" t="s">
        <v>74</v>
      </c>
      <c r="E116" s="1" t="s">
        <v>74</v>
      </c>
      <c r="F116" s="1" t="s">
        <v>1351</v>
      </c>
      <c r="G116" s="1" t="s">
        <v>74</v>
      </c>
      <c r="H116" s="1" t="s">
        <v>74</v>
      </c>
      <c r="I116" s="1" t="s">
        <v>1352</v>
      </c>
      <c r="J116" s="1" t="s">
        <v>1353</v>
      </c>
      <c r="K116" s="1" t="s">
        <v>74</v>
      </c>
      <c r="L116" s="1" t="s">
        <v>74</v>
      </c>
      <c r="M116" s="1" t="s">
        <v>74</v>
      </c>
      <c r="N116" s="1" t="s">
        <v>74</v>
      </c>
      <c r="O116" s="1" t="s">
        <v>74</v>
      </c>
      <c r="P116" s="1" t="s">
        <v>74</v>
      </c>
      <c r="Q116" s="1" t="s">
        <v>74</v>
      </c>
      <c r="R116" s="1" t="s">
        <v>74</v>
      </c>
      <c r="S116" s="1" t="s">
        <v>74</v>
      </c>
      <c r="T116" s="1" t="s">
        <v>74</v>
      </c>
      <c r="U116" s="1" t="s">
        <v>74</v>
      </c>
      <c r="V116" s="1" t="s">
        <v>1354</v>
      </c>
      <c r="W116" s="1" t="s">
        <v>74</v>
      </c>
      <c r="X116" s="1" t="s">
        <v>74</v>
      </c>
      <c r="Y116" s="1" t="s">
        <v>74</v>
      </c>
      <c r="Z116" s="1" t="s">
        <v>74</v>
      </c>
      <c r="AA116" s="1" t="s">
        <v>1355</v>
      </c>
      <c r="AB116" s="1" t="s">
        <v>1356</v>
      </c>
      <c r="AC116" s="1" t="s">
        <v>74</v>
      </c>
      <c r="AD116" s="1" t="s">
        <v>74</v>
      </c>
      <c r="AE116" s="1" t="s">
        <v>74</v>
      </c>
      <c r="AF116" s="1" t="s">
        <v>74</v>
      </c>
      <c r="AG116" s="1" t="s">
        <v>74</v>
      </c>
      <c r="AH116" s="1" t="s">
        <v>74</v>
      </c>
      <c r="AI116" s="1" t="s">
        <v>74</v>
      </c>
      <c r="AJ116" s="1" t="s">
        <v>74</v>
      </c>
      <c r="AK116" s="1" t="s">
        <v>74</v>
      </c>
      <c r="AL116" s="1" t="s">
        <v>74</v>
      </c>
      <c r="AM116" s="1" t="s">
        <v>74</v>
      </c>
      <c r="AN116" s="1" t="s">
        <v>74</v>
      </c>
      <c r="AO116" s="1" t="s">
        <v>1357</v>
      </c>
      <c r="AP116" s="1" t="s">
        <v>1358</v>
      </c>
      <c r="AQ116" s="1" t="s">
        <v>74</v>
      </c>
      <c r="AR116" s="1" t="s">
        <v>74</v>
      </c>
      <c r="AS116" s="1" t="s">
        <v>74</v>
      </c>
      <c r="AT116" s="1" t="s">
        <v>318</v>
      </c>
      <c r="AU116" s="1">
        <v>2025.0</v>
      </c>
      <c r="AV116" s="1">
        <v>26.0</v>
      </c>
      <c r="AW116" s="1">
        <v>4.0</v>
      </c>
      <c r="AX116" s="1" t="s">
        <v>74</v>
      </c>
      <c r="AY116" s="1" t="s">
        <v>74</v>
      </c>
      <c r="AZ116" s="1" t="s">
        <v>74</v>
      </c>
      <c r="BA116" s="1" t="s">
        <v>74</v>
      </c>
      <c r="BB116" s="1" t="s">
        <v>74</v>
      </c>
      <c r="BC116" s="1" t="s">
        <v>74</v>
      </c>
      <c r="BD116" s="1">
        <v>1549.0</v>
      </c>
      <c r="BE116" s="1" t="s">
        <v>1359</v>
      </c>
      <c r="BF116" s="2" t="str">
        <f>HYPERLINK("http://dx.doi.org/10.3390/ijms26041549","http://dx.doi.org/10.3390/ijms26041549")</f>
        <v>http://dx.doi.org/10.3390/ijms26041549</v>
      </c>
      <c r="BG116" s="1" t="s">
        <v>74</v>
      </c>
      <c r="BH116" s="1" t="s">
        <v>74</v>
      </c>
      <c r="BI116" s="1" t="s">
        <v>74</v>
      </c>
      <c r="BJ116" s="1" t="s">
        <v>74</v>
      </c>
      <c r="BK116" s="1" t="s">
        <v>74</v>
      </c>
      <c r="BL116" s="1" t="s">
        <v>74</v>
      </c>
      <c r="BM116" s="1" t="s">
        <v>74</v>
      </c>
      <c r="BN116" s="1">
        <v>4.0004015E7</v>
      </c>
      <c r="BO116" s="1" t="s">
        <v>74</v>
      </c>
      <c r="BP116" s="1" t="s">
        <v>74</v>
      </c>
      <c r="BQ116" s="1" t="s">
        <v>74</v>
      </c>
      <c r="BR116" s="1" t="s">
        <v>74</v>
      </c>
      <c r="BS116" s="1" t="s">
        <v>1360</v>
      </c>
      <c r="BT116" s="1" t="str">
        <f>HYPERLINK("https%3A%2F%2Fwww.webofscience.com%2Fwos%2Fwoscc%2Ffull-record%2FWOS:001430075000001","View Full Record in Web of Science")</f>
        <v>View Full Record in Web of Science</v>
      </c>
    </row>
    <row r="117" ht="12.75" customHeight="1">
      <c r="A117" s="1" t="s">
        <v>72</v>
      </c>
      <c r="B117" s="1" t="s">
        <v>1361</v>
      </c>
      <c r="C117" s="1" t="s">
        <v>74</v>
      </c>
      <c r="D117" s="1" t="s">
        <v>74</v>
      </c>
      <c r="E117" s="1" t="s">
        <v>74</v>
      </c>
      <c r="F117" s="1" t="s">
        <v>1362</v>
      </c>
      <c r="G117" s="1" t="s">
        <v>74</v>
      </c>
      <c r="H117" s="1" t="s">
        <v>74</v>
      </c>
      <c r="I117" s="1" t="s">
        <v>1363</v>
      </c>
      <c r="J117" s="1" t="s">
        <v>1364</v>
      </c>
      <c r="K117" s="1" t="s">
        <v>74</v>
      </c>
      <c r="L117" s="1" t="s">
        <v>74</v>
      </c>
      <c r="M117" s="1" t="s">
        <v>74</v>
      </c>
      <c r="N117" s="1" t="s">
        <v>74</v>
      </c>
      <c r="O117" s="1" t="s">
        <v>74</v>
      </c>
      <c r="P117" s="1" t="s">
        <v>74</v>
      </c>
      <c r="Q117" s="1" t="s">
        <v>74</v>
      </c>
      <c r="R117" s="1" t="s">
        <v>74</v>
      </c>
      <c r="S117" s="1" t="s">
        <v>74</v>
      </c>
      <c r="T117" s="1" t="s">
        <v>74</v>
      </c>
      <c r="U117" s="1" t="s">
        <v>74</v>
      </c>
      <c r="V117" s="1" t="s">
        <v>1365</v>
      </c>
      <c r="W117" s="1" t="s">
        <v>74</v>
      </c>
      <c r="X117" s="1" t="s">
        <v>74</v>
      </c>
      <c r="Y117" s="1" t="s">
        <v>74</v>
      </c>
      <c r="Z117" s="1" t="s">
        <v>74</v>
      </c>
      <c r="AA117" s="1" t="s">
        <v>1366</v>
      </c>
      <c r="AB117" s="1" t="s">
        <v>1367</v>
      </c>
      <c r="AC117" s="1" t="s">
        <v>74</v>
      </c>
      <c r="AD117" s="1" t="s">
        <v>74</v>
      </c>
      <c r="AE117" s="1" t="s">
        <v>74</v>
      </c>
      <c r="AF117" s="1" t="s">
        <v>74</v>
      </c>
      <c r="AG117" s="1" t="s">
        <v>74</v>
      </c>
      <c r="AH117" s="1" t="s">
        <v>74</v>
      </c>
      <c r="AI117" s="1" t="s">
        <v>74</v>
      </c>
      <c r="AJ117" s="1" t="s">
        <v>74</v>
      </c>
      <c r="AK117" s="1" t="s">
        <v>74</v>
      </c>
      <c r="AL117" s="1" t="s">
        <v>74</v>
      </c>
      <c r="AM117" s="1" t="s">
        <v>74</v>
      </c>
      <c r="AN117" s="1" t="s">
        <v>74</v>
      </c>
      <c r="AO117" s="1" t="s">
        <v>1368</v>
      </c>
      <c r="AP117" s="1" t="s">
        <v>1369</v>
      </c>
      <c r="AQ117" s="1" t="s">
        <v>74</v>
      </c>
      <c r="AR117" s="1" t="s">
        <v>74</v>
      </c>
      <c r="AS117" s="1" t="s">
        <v>74</v>
      </c>
      <c r="AT117" s="1" t="s">
        <v>1370</v>
      </c>
      <c r="AU117" s="1">
        <v>2025.0</v>
      </c>
      <c r="AV117" s="1">
        <v>42.0</v>
      </c>
      <c r="AW117" s="1">
        <v>2.0</v>
      </c>
      <c r="AX117" s="1" t="s">
        <v>74</v>
      </c>
      <c r="AY117" s="1" t="s">
        <v>74</v>
      </c>
      <c r="AZ117" s="1" t="s">
        <v>74</v>
      </c>
      <c r="BA117" s="1" t="s">
        <v>74</v>
      </c>
      <c r="BB117" s="1">
        <v>92.0</v>
      </c>
      <c r="BC117" s="1">
        <v>103.0</v>
      </c>
      <c r="BD117" s="1" t="s">
        <v>74</v>
      </c>
      <c r="BE117" s="1" t="s">
        <v>1371</v>
      </c>
      <c r="BF117" s="2" t="str">
        <f>HYPERLINK("http://dx.doi.org/10.1080/08880018.2025.2451843","http://dx.doi.org/10.1080/08880018.2025.2451843")</f>
        <v>http://dx.doi.org/10.1080/08880018.2025.2451843</v>
      </c>
      <c r="BG117" s="1" t="s">
        <v>74</v>
      </c>
      <c r="BH117" s="1" t="s">
        <v>1372</v>
      </c>
      <c r="BI117" s="1" t="s">
        <v>74</v>
      </c>
      <c r="BJ117" s="1" t="s">
        <v>74</v>
      </c>
      <c r="BK117" s="1" t="s">
        <v>74</v>
      </c>
      <c r="BL117" s="1" t="s">
        <v>74</v>
      </c>
      <c r="BM117" s="1" t="s">
        <v>74</v>
      </c>
      <c r="BN117" s="1">
        <v>3.9819371E7</v>
      </c>
      <c r="BO117" s="1" t="s">
        <v>74</v>
      </c>
      <c r="BP117" s="1" t="s">
        <v>74</v>
      </c>
      <c r="BQ117" s="1" t="s">
        <v>74</v>
      </c>
      <c r="BR117" s="1" t="s">
        <v>74</v>
      </c>
      <c r="BS117" s="1" t="s">
        <v>1373</v>
      </c>
      <c r="BT117" s="1" t="str">
        <f>HYPERLINK("https%3A%2F%2Fwww.webofscience.com%2Fwos%2Fwoscc%2Ffull-record%2FWOS:001398879000001","View Full Record in Web of Science")</f>
        <v>View Full Record in Web of Science</v>
      </c>
    </row>
    <row r="118" ht="12.75" customHeight="1">
      <c r="A118" s="1" t="s">
        <v>72</v>
      </c>
      <c r="B118" s="1" t="s">
        <v>1374</v>
      </c>
      <c r="C118" s="1" t="s">
        <v>74</v>
      </c>
      <c r="D118" s="1" t="s">
        <v>74</v>
      </c>
      <c r="E118" s="1" t="s">
        <v>74</v>
      </c>
      <c r="F118" s="1" t="s">
        <v>1375</v>
      </c>
      <c r="G118" s="1" t="s">
        <v>74</v>
      </c>
      <c r="H118" s="1" t="s">
        <v>74</v>
      </c>
      <c r="I118" s="1" t="s">
        <v>1376</v>
      </c>
      <c r="J118" s="1" t="s">
        <v>1377</v>
      </c>
      <c r="K118" s="1" t="s">
        <v>74</v>
      </c>
      <c r="L118" s="1" t="s">
        <v>74</v>
      </c>
      <c r="M118" s="1" t="s">
        <v>74</v>
      </c>
      <c r="N118" s="1" t="s">
        <v>74</v>
      </c>
      <c r="O118" s="1" t="s">
        <v>74</v>
      </c>
      <c r="P118" s="1" t="s">
        <v>74</v>
      </c>
      <c r="Q118" s="1" t="s">
        <v>74</v>
      </c>
      <c r="R118" s="1" t="s">
        <v>74</v>
      </c>
      <c r="S118" s="1" t="s">
        <v>74</v>
      </c>
      <c r="T118" s="1" t="s">
        <v>74</v>
      </c>
      <c r="U118" s="1" t="s">
        <v>74</v>
      </c>
      <c r="V118" s="1" t="s">
        <v>1378</v>
      </c>
      <c r="W118" s="1" t="s">
        <v>74</v>
      </c>
      <c r="X118" s="1" t="s">
        <v>74</v>
      </c>
      <c r="Y118" s="1" t="s">
        <v>74</v>
      </c>
      <c r="Z118" s="1" t="s">
        <v>74</v>
      </c>
      <c r="AA118" s="1" t="s">
        <v>1379</v>
      </c>
      <c r="AB118" s="1" t="s">
        <v>1380</v>
      </c>
      <c r="AC118" s="1" t="s">
        <v>74</v>
      </c>
      <c r="AD118" s="1" t="s">
        <v>74</v>
      </c>
      <c r="AE118" s="1" t="s">
        <v>74</v>
      </c>
      <c r="AF118" s="1" t="s">
        <v>74</v>
      </c>
      <c r="AG118" s="1" t="s">
        <v>74</v>
      </c>
      <c r="AH118" s="1" t="s">
        <v>74</v>
      </c>
      <c r="AI118" s="1" t="s">
        <v>74</v>
      </c>
      <c r="AJ118" s="1" t="s">
        <v>74</v>
      </c>
      <c r="AK118" s="1" t="s">
        <v>74</v>
      </c>
      <c r="AL118" s="1" t="s">
        <v>74</v>
      </c>
      <c r="AM118" s="1" t="s">
        <v>74</v>
      </c>
      <c r="AN118" s="1" t="s">
        <v>74</v>
      </c>
      <c r="AO118" s="1" t="s">
        <v>74</v>
      </c>
      <c r="AP118" s="1" t="s">
        <v>1381</v>
      </c>
      <c r="AQ118" s="1" t="s">
        <v>74</v>
      </c>
      <c r="AR118" s="1" t="s">
        <v>74</v>
      </c>
      <c r="AS118" s="1" t="s">
        <v>74</v>
      </c>
      <c r="AT118" s="1" t="s">
        <v>164</v>
      </c>
      <c r="AU118" s="1">
        <v>2024.0</v>
      </c>
      <c r="AV118" s="1">
        <v>12.0</v>
      </c>
      <c r="AW118" s="1">
        <v>7.0</v>
      </c>
      <c r="AX118" s="1" t="s">
        <v>74</v>
      </c>
      <c r="AY118" s="1" t="s">
        <v>74</v>
      </c>
      <c r="AZ118" s="1" t="s">
        <v>74</v>
      </c>
      <c r="BA118" s="1" t="s">
        <v>74</v>
      </c>
      <c r="BB118" s="1" t="s">
        <v>74</v>
      </c>
      <c r="BC118" s="1" t="s">
        <v>74</v>
      </c>
      <c r="BD118" s="1">
        <v>1441.0</v>
      </c>
      <c r="BE118" s="1" t="s">
        <v>1382</v>
      </c>
      <c r="BF118" s="2" t="str">
        <f>HYPERLINK("http://dx.doi.org/10.3390/microorganisms12071441","http://dx.doi.org/10.3390/microorganisms12071441")</f>
        <v>http://dx.doi.org/10.3390/microorganisms12071441</v>
      </c>
      <c r="BG118" s="1" t="s">
        <v>74</v>
      </c>
      <c r="BH118" s="1" t="s">
        <v>74</v>
      </c>
      <c r="BI118" s="1" t="s">
        <v>74</v>
      </c>
      <c r="BJ118" s="1" t="s">
        <v>74</v>
      </c>
      <c r="BK118" s="1" t="s">
        <v>74</v>
      </c>
      <c r="BL118" s="1" t="s">
        <v>74</v>
      </c>
      <c r="BM118" s="1" t="s">
        <v>74</v>
      </c>
      <c r="BN118" s="1">
        <v>3.9065209E7</v>
      </c>
      <c r="BO118" s="1" t="s">
        <v>74</v>
      </c>
      <c r="BP118" s="1" t="s">
        <v>74</v>
      </c>
      <c r="BQ118" s="1" t="s">
        <v>74</v>
      </c>
      <c r="BR118" s="1" t="s">
        <v>74</v>
      </c>
      <c r="BS118" s="1" t="s">
        <v>1383</v>
      </c>
      <c r="BT118" s="1" t="str">
        <f>HYPERLINK("https%3A%2F%2Fwww.webofscience.com%2Fwos%2Fwoscc%2Ffull-record%2FWOS:001278696900001","View Full Record in Web of Science")</f>
        <v>View Full Record in Web of Science</v>
      </c>
    </row>
    <row r="119" ht="12.75" customHeight="1">
      <c r="A119" s="1" t="s">
        <v>72</v>
      </c>
      <c r="B119" s="1" t="s">
        <v>1384</v>
      </c>
      <c r="C119" s="1" t="s">
        <v>74</v>
      </c>
      <c r="D119" s="1" t="s">
        <v>74</v>
      </c>
      <c r="E119" s="1" t="s">
        <v>74</v>
      </c>
      <c r="F119" s="1" t="s">
        <v>1385</v>
      </c>
      <c r="G119" s="1" t="s">
        <v>74</v>
      </c>
      <c r="H119" s="1" t="s">
        <v>74</v>
      </c>
      <c r="I119" s="1" t="s">
        <v>1386</v>
      </c>
      <c r="J119" s="1" t="s">
        <v>1387</v>
      </c>
      <c r="K119" s="1" t="s">
        <v>74</v>
      </c>
      <c r="L119" s="1" t="s">
        <v>74</v>
      </c>
      <c r="M119" s="1" t="s">
        <v>74</v>
      </c>
      <c r="N119" s="1" t="s">
        <v>74</v>
      </c>
      <c r="O119" s="1" t="s">
        <v>74</v>
      </c>
      <c r="P119" s="1" t="s">
        <v>74</v>
      </c>
      <c r="Q119" s="1" t="s">
        <v>74</v>
      </c>
      <c r="R119" s="1" t="s">
        <v>74</v>
      </c>
      <c r="S119" s="1" t="s">
        <v>74</v>
      </c>
      <c r="T119" s="1" t="s">
        <v>74</v>
      </c>
      <c r="U119" s="1" t="s">
        <v>74</v>
      </c>
      <c r="V119" s="1" t="s">
        <v>1388</v>
      </c>
      <c r="W119" s="1" t="s">
        <v>74</v>
      </c>
      <c r="X119" s="1" t="s">
        <v>74</v>
      </c>
      <c r="Y119" s="1" t="s">
        <v>74</v>
      </c>
      <c r="Z119" s="1" t="s">
        <v>74</v>
      </c>
      <c r="AA119" s="1" t="s">
        <v>1389</v>
      </c>
      <c r="AB119" s="1" t="s">
        <v>1390</v>
      </c>
      <c r="AC119" s="1" t="s">
        <v>74</v>
      </c>
      <c r="AD119" s="1" t="s">
        <v>74</v>
      </c>
      <c r="AE119" s="1" t="s">
        <v>74</v>
      </c>
      <c r="AF119" s="1" t="s">
        <v>74</v>
      </c>
      <c r="AG119" s="1" t="s">
        <v>74</v>
      </c>
      <c r="AH119" s="1" t="s">
        <v>74</v>
      </c>
      <c r="AI119" s="1" t="s">
        <v>74</v>
      </c>
      <c r="AJ119" s="1" t="s">
        <v>74</v>
      </c>
      <c r="AK119" s="1" t="s">
        <v>74</v>
      </c>
      <c r="AL119" s="1" t="s">
        <v>74</v>
      </c>
      <c r="AM119" s="1" t="s">
        <v>74</v>
      </c>
      <c r="AN119" s="1" t="s">
        <v>74</v>
      </c>
      <c r="AO119" s="1" t="s">
        <v>1391</v>
      </c>
      <c r="AP119" s="1" t="s">
        <v>1392</v>
      </c>
      <c r="AQ119" s="1" t="s">
        <v>74</v>
      </c>
      <c r="AR119" s="1" t="s">
        <v>74</v>
      </c>
      <c r="AS119" s="1" t="s">
        <v>74</v>
      </c>
      <c r="AT119" s="1" t="s">
        <v>1393</v>
      </c>
      <c r="AU119" s="1">
        <v>2022.0</v>
      </c>
      <c r="AV119" s="1">
        <v>156.0</v>
      </c>
      <c r="AW119" s="1">
        <v>11.0</v>
      </c>
      <c r="AX119" s="1" t="s">
        <v>74</v>
      </c>
      <c r="AY119" s="1" t="s">
        <v>74</v>
      </c>
      <c r="AZ119" s="1" t="s">
        <v>74</v>
      </c>
      <c r="BA119" s="1" t="s">
        <v>74</v>
      </c>
      <c r="BB119" s="1" t="s">
        <v>74</v>
      </c>
      <c r="BC119" s="1" t="s">
        <v>74</v>
      </c>
      <c r="BD119" s="1">
        <v>114702.0</v>
      </c>
      <c r="BE119" s="1" t="s">
        <v>1394</v>
      </c>
      <c r="BF119" s="2" t="str">
        <f>HYPERLINK("http://dx.doi.org/10.1063/5.0080063","http://dx.doi.org/10.1063/5.0080063")</f>
        <v>http://dx.doi.org/10.1063/5.0080063</v>
      </c>
      <c r="BG119" s="1" t="s">
        <v>74</v>
      </c>
      <c r="BH119" s="1" t="s">
        <v>74</v>
      </c>
      <c r="BI119" s="1" t="s">
        <v>74</v>
      </c>
      <c r="BJ119" s="1" t="s">
        <v>74</v>
      </c>
      <c r="BK119" s="1" t="s">
        <v>74</v>
      </c>
      <c r="BL119" s="1" t="s">
        <v>74</v>
      </c>
      <c r="BM119" s="1" t="s">
        <v>74</v>
      </c>
      <c r="BN119" s="1">
        <v>3.5317564E7</v>
      </c>
      <c r="BO119" s="1" t="s">
        <v>74</v>
      </c>
      <c r="BP119" s="1" t="s">
        <v>74</v>
      </c>
      <c r="BQ119" s="1" t="s">
        <v>74</v>
      </c>
      <c r="BR119" s="1" t="s">
        <v>74</v>
      </c>
      <c r="BS119" s="1" t="s">
        <v>1395</v>
      </c>
      <c r="BT119" s="1" t="str">
        <f>HYPERLINK("https%3A%2F%2Fwww.webofscience.com%2Fwos%2Fwoscc%2Ffull-record%2FWOS:000781048500008","View Full Record in Web of Science")</f>
        <v>View Full Record in Web of Science</v>
      </c>
    </row>
    <row r="120" ht="12.75" customHeight="1">
      <c r="A120" s="1" t="s">
        <v>72</v>
      </c>
      <c r="B120" s="1" t="s">
        <v>1396</v>
      </c>
      <c r="C120" s="1" t="s">
        <v>74</v>
      </c>
      <c r="D120" s="1" t="s">
        <v>74</v>
      </c>
      <c r="E120" s="1" t="s">
        <v>74</v>
      </c>
      <c r="F120" s="1" t="s">
        <v>1397</v>
      </c>
      <c r="G120" s="1" t="s">
        <v>74</v>
      </c>
      <c r="H120" s="1" t="s">
        <v>74</v>
      </c>
      <c r="I120" s="1" t="s">
        <v>325</v>
      </c>
      <c r="J120" s="1" t="s">
        <v>1398</v>
      </c>
      <c r="K120" s="1" t="s">
        <v>74</v>
      </c>
      <c r="L120" s="1" t="s">
        <v>74</v>
      </c>
      <c r="M120" s="1" t="s">
        <v>74</v>
      </c>
      <c r="N120" s="1" t="s">
        <v>74</v>
      </c>
      <c r="O120" s="1" t="s">
        <v>74</v>
      </c>
      <c r="P120" s="1" t="s">
        <v>74</v>
      </c>
      <c r="Q120" s="1" t="s">
        <v>74</v>
      </c>
      <c r="R120" s="1" t="s">
        <v>74</v>
      </c>
      <c r="S120" s="1" t="s">
        <v>74</v>
      </c>
      <c r="T120" s="1" t="s">
        <v>74</v>
      </c>
      <c r="U120" s="1" t="s">
        <v>74</v>
      </c>
      <c r="V120" s="1" t="s">
        <v>1399</v>
      </c>
      <c r="W120" s="1" t="s">
        <v>74</v>
      </c>
      <c r="X120" s="1" t="s">
        <v>74</v>
      </c>
      <c r="Y120" s="1" t="s">
        <v>74</v>
      </c>
      <c r="Z120" s="1" t="s">
        <v>74</v>
      </c>
      <c r="AA120" s="1" t="s">
        <v>1400</v>
      </c>
      <c r="AB120" s="1" t="s">
        <v>1401</v>
      </c>
      <c r="AC120" s="1" t="s">
        <v>74</v>
      </c>
      <c r="AD120" s="1" t="s">
        <v>74</v>
      </c>
      <c r="AE120" s="1" t="s">
        <v>74</v>
      </c>
      <c r="AF120" s="1" t="s">
        <v>74</v>
      </c>
      <c r="AG120" s="1" t="s">
        <v>74</v>
      </c>
      <c r="AH120" s="1" t="s">
        <v>74</v>
      </c>
      <c r="AI120" s="1" t="s">
        <v>74</v>
      </c>
      <c r="AJ120" s="1" t="s">
        <v>74</v>
      </c>
      <c r="AK120" s="1" t="s">
        <v>74</v>
      </c>
      <c r="AL120" s="1" t="s">
        <v>74</v>
      </c>
      <c r="AM120" s="1" t="s">
        <v>74</v>
      </c>
      <c r="AN120" s="1" t="s">
        <v>74</v>
      </c>
      <c r="AO120" s="1" t="s">
        <v>1402</v>
      </c>
      <c r="AP120" s="1" t="s">
        <v>1403</v>
      </c>
      <c r="AQ120" s="1" t="s">
        <v>74</v>
      </c>
      <c r="AR120" s="1" t="s">
        <v>74</v>
      </c>
      <c r="AS120" s="1" t="s">
        <v>74</v>
      </c>
      <c r="AT120" s="1" t="s">
        <v>307</v>
      </c>
      <c r="AU120" s="1">
        <v>2021.0</v>
      </c>
      <c r="AV120" s="1">
        <v>83.0</v>
      </c>
      <c r="AW120" s="1">
        <v>12.0</v>
      </c>
      <c r="AX120" s="1" t="s">
        <v>74</v>
      </c>
      <c r="AY120" s="1" t="s">
        <v>74</v>
      </c>
      <c r="AZ120" s="1" t="s">
        <v>74</v>
      </c>
      <c r="BA120" s="1" t="s">
        <v>74</v>
      </c>
      <c r="BB120" s="1">
        <v>3741.0</v>
      </c>
      <c r="BC120" s="1">
        <v>3765.0</v>
      </c>
      <c r="BD120" s="1" t="s">
        <v>74</v>
      </c>
      <c r="BE120" s="1" t="s">
        <v>1404</v>
      </c>
      <c r="BF120" s="2" t="str">
        <f>HYPERLINK("http://dx.doi.org/10.1007/s00453-021-00882-z","http://dx.doi.org/10.1007/s00453-021-00882-z")</f>
        <v>http://dx.doi.org/10.1007/s00453-021-00882-z</v>
      </c>
      <c r="BG120" s="1" t="s">
        <v>74</v>
      </c>
      <c r="BH120" s="1" t="s">
        <v>1405</v>
      </c>
      <c r="BI120" s="1" t="s">
        <v>74</v>
      </c>
      <c r="BJ120" s="1" t="s">
        <v>74</v>
      </c>
      <c r="BK120" s="1" t="s">
        <v>74</v>
      </c>
      <c r="BL120" s="1" t="s">
        <v>74</v>
      </c>
      <c r="BM120" s="1" t="s">
        <v>74</v>
      </c>
      <c r="BN120" s="1" t="s">
        <v>74</v>
      </c>
      <c r="BO120" s="1" t="s">
        <v>74</v>
      </c>
      <c r="BP120" s="1" t="s">
        <v>74</v>
      </c>
      <c r="BQ120" s="1" t="s">
        <v>74</v>
      </c>
      <c r="BR120" s="1" t="s">
        <v>74</v>
      </c>
      <c r="BS120" s="1" t="s">
        <v>1406</v>
      </c>
      <c r="BT120" s="1" t="str">
        <f>HYPERLINK("https%3A%2F%2Fwww.webofscience.com%2Fwos%2Fwoscc%2Ffull-record%2FWOS:000712209000003","View Full Record in Web of Science")</f>
        <v>View Full Record in Web of Science</v>
      </c>
    </row>
    <row r="121" ht="12.75" customHeight="1">
      <c r="A121" s="1" t="s">
        <v>72</v>
      </c>
      <c r="B121" s="1" t="s">
        <v>1407</v>
      </c>
      <c r="C121" s="1" t="s">
        <v>74</v>
      </c>
      <c r="D121" s="1" t="s">
        <v>74</v>
      </c>
      <c r="E121" s="1" t="s">
        <v>74</v>
      </c>
      <c r="F121" s="1" t="s">
        <v>1408</v>
      </c>
      <c r="G121" s="1" t="s">
        <v>74</v>
      </c>
      <c r="H121" s="1" t="s">
        <v>74</v>
      </c>
      <c r="I121" s="1" t="s">
        <v>1409</v>
      </c>
      <c r="J121" s="1" t="s">
        <v>1410</v>
      </c>
      <c r="K121" s="1" t="s">
        <v>74</v>
      </c>
      <c r="L121" s="1" t="s">
        <v>74</v>
      </c>
      <c r="M121" s="1" t="s">
        <v>74</v>
      </c>
      <c r="N121" s="1" t="s">
        <v>74</v>
      </c>
      <c r="O121" s="1" t="s">
        <v>74</v>
      </c>
      <c r="P121" s="1" t="s">
        <v>74</v>
      </c>
      <c r="Q121" s="1" t="s">
        <v>74</v>
      </c>
      <c r="R121" s="1" t="s">
        <v>74</v>
      </c>
      <c r="S121" s="1" t="s">
        <v>74</v>
      </c>
      <c r="T121" s="1" t="s">
        <v>74</v>
      </c>
      <c r="U121" s="1" t="s">
        <v>74</v>
      </c>
      <c r="V121" s="1" t="s">
        <v>1411</v>
      </c>
      <c r="W121" s="1" t="s">
        <v>74</v>
      </c>
      <c r="X121" s="1" t="s">
        <v>74</v>
      </c>
      <c r="Y121" s="1" t="s">
        <v>74</v>
      </c>
      <c r="Z121" s="1" t="s">
        <v>74</v>
      </c>
      <c r="AA121" s="1" t="s">
        <v>1412</v>
      </c>
      <c r="AB121" s="1" t="s">
        <v>1413</v>
      </c>
      <c r="AC121" s="1" t="s">
        <v>74</v>
      </c>
      <c r="AD121" s="1" t="s">
        <v>74</v>
      </c>
      <c r="AE121" s="1" t="s">
        <v>74</v>
      </c>
      <c r="AF121" s="1" t="s">
        <v>74</v>
      </c>
      <c r="AG121" s="1" t="s">
        <v>74</v>
      </c>
      <c r="AH121" s="1" t="s">
        <v>74</v>
      </c>
      <c r="AI121" s="1" t="s">
        <v>74</v>
      </c>
      <c r="AJ121" s="1" t="s">
        <v>74</v>
      </c>
      <c r="AK121" s="1" t="s">
        <v>74</v>
      </c>
      <c r="AL121" s="1" t="s">
        <v>74</v>
      </c>
      <c r="AM121" s="1" t="s">
        <v>74</v>
      </c>
      <c r="AN121" s="1" t="s">
        <v>74</v>
      </c>
      <c r="AO121" s="1" t="s">
        <v>1414</v>
      </c>
      <c r="AP121" s="1" t="s">
        <v>1415</v>
      </c>
      <c r="AQ121" s="1" t="s">
        <v>74</v>
      </c>
      <c r="AR121" s="1" t="s">
        <v>74</v>
      </c>
      <c r="AS121" s="1" t="s">
        <v>74</v>
      </c>
      <c r="AT121" s="1" t="s">
        <v>422</v>
      </c>
      <c r="AU121" s="1">
        <v>2022.0</v>
      </c>
      <c r="AV121" s="1">
        <v>39.0</v>
      </c>
      <c r="AW121" s="1" t="s">
        <v>527</v>
      </c>
      <c r="AX121" s="1" t="s">
        <v>74</v>
      </c>
      <c r="AY121" s="1" t="s">
        <v>74</v>
      </c>
      <c r="AZ121" s="1" t="s">
        <v>1416</v>
      </c>
      <c r="BA121" s="1" t="s">
        <v>74</v>
      </c>
      <c r="BB121" s="1">
        <v>128.0</v>
      </c>
      <c r="BC121" s="1">
        <v>140.0</v>
      </c>
      <c r="BD121" s="1" t="s">
        <v>74</v>
      </c>
      <c r="BE121" s="1" t="s">
        <v>1417</v>
      </c>
      <c r="BF121" s="2" t="str">
        <f>HYPERLINK("http://dx.doi.org/10.1002/yea.3662","http://dx.doi.org/10.1002/yea.3662")</f>
        <v>http://dx.doi.org/10.1002/yea.3662</v>
      </c>
      <c r="BG121" s="1" t="s">
        <v>74</v>
      </c>
      <c r="BH121" s="1" t="s">
        <v>1418</v>
      </c>
      <c r="BI121" s="1" t="s">
        <v>74</v>
      </c>
      <c r="BJ121" s="1" t="s">
        <v>74</v>
      </c>
      <c r="BK121" s="1" t="s">
        <v>74</v>
      </c>
      <c r="BL121" s="1" t="s">
        <v>74</v>
      </c>
      <c r="BM121" s="1" t="s">
        <v>74</v>
      </c>
      <c r="BN121" s="1">
        <v>3.4406697E7</v>
      </c>
      <c r="BO121" s="1" t="s">
        <v>74</v>
      </c>
      <c r="BP121" s="1" t="s">
        <v>74</v>
      </c>
      <c r="BQ121" s="1" t="s">
        <v>74</v>
      </c>
      <c r="BR121" s="1" t="s">
        <v>74</v>
      </c>
      <c r="BS121" s="1" t="s">
        <v>1419</v>
      </c>
      <c r="BT121" s="1" t="str">
        <f>HYPERLINK("https%3A%2F%2Fwww.webofscience.com%2Fwos%2Fwoscc%2Ffull-record%2FWOS:000693914200001","View Full Record in Web of Science")</f>
        <v>View Full Record in Web of Science</v>
      </c>
    </row>
    <row r="122" ht="12.75" customHeight="1">
      <c r="A122" s="1" t="s">
        <v>72</v>
      </c>
      <c r="B122" s="1" t="s">
        <v>1420</v>
      </c>
      <c r="C122" s="1" t="s">
        <v>74</v>
      </c>
      <c r="D122" s="1" t="s">
        <v>74</v>
      </c>
      <c r="E122" s="1" t="s">
        <v>74</v>
      </c>
      <c r="F122" s="1" t="s">
        <v>1421</v>
      </c>
      <c r="G122" s="1" t="s">
        <v>74</v>
      </c>
      <c r="H122" s="1" t="s">
        <v>74</v>
      </c>
      <c r="I122" s="1" t="s">
        <v>1422</v>
      </c>
      <c r="J122" s="1" t="s">
        <v>1423</v>
      </c>
      <c r="K122" s="1" t="s">
        <v>74</v>
      </c>
      <c r="L122" s="1" t="s">
        <v>74</v>
      </c>
      <c r="M122" s="1" t="s">
        <v>74</v>
      </c>
      <c r="N122" s="1" t="s">
        <v>74</v>
      </c>
      <c r="O122" s="1" t="s">
        <v>74</v>
      </c>
      <c r="P122" s="1" t="s">
        <v>74</v>
      </c>
      <c r="Q122" s="1" t="s">
        <v>74</v>
      </c>
      <c r="R122" s="1" t="s">
        <v>74</v>
      </c>
      <c r="S122" s="1" t="s">
        <v>74</v>
      </c>
      <c r="T122" s="1" t="s">
        <v>74</v>
      </c>
      <c r="U122" s="1" t="s">
        <v>74</v>
      </c>
      <c r="V122" s="1" t="s">
        <v>1424</v>
      </c>
      <c r="W122" s="1" t="s">
        <v>74</v>
      </c>
      <c r="X122" s="1" t="s">
        <v>74</v>
      </c>
      <c r="Y122" s="1" t="s">
        <v>74</v>
      </c>
      <c r="Z122" s="1" t="s">
        <v>74</v>
      </c>
      <c r="AA122" s="1" t="s">
        <v>1425</v>
      </c>
      <c r="AB122" s="1" t="s">
        <v>74</v>
      </c>
      <c r="AC122" s="1" t="s">
        <v>74</v>
      </c>
      <c r="AD122" s="1" t="s">
        <v>74</v>
      </c>
      <c r="AE122" s="1" t="s">
        <v>74</v>
      </c>
      <c r="AF122" s="1" t="s">
        <v>74</v>
      </c>
      <c r="AG122" s="1" t="s">
        <v>74</v>
      </c>
      <c r="AH122" s="1" t="s">
        <v>74</v>
      </c>
      <c r="AI122" s="1" t="s">
        <v>74</v>
      </c>
      <c r="AJ122" s="1" t="s">
        <v>74</v>
      </c>
      <c r="AK122" s="1" t="s">
        <v>74</v>
      </c>
      <c r="AL122" s="1" t="s">
        <v>74</v>
      </c>
      <c r="AM122" s="1" t="s">
        <v>74</v>
      </c>
      <c r="AN122" s="1" t="s">
        <v>74</v>
      </c>
      <c r="AO122" s="1" t="s">
        <v>1426</v>
      </c>
      <c r="AP122" s="1" t="s">
        <v>74</v>
      </c>
      <c r="AQ122" s="1" t="s">
        <v>74</v>
      </c>
      <c r="AR122" s="1" t="s">
        <v>74</v>
      </c>
      <c r="AS122" s="1" t="s">
        <v>74</v>
      </c>
      <c r="AT122" s="1" t="s">
        <v>1213</v>
      </c>
      <c r="AU122" s="1">
        <v>2021.0</v>
      </c>
      <c r="AV122" s="1">
        <v>26.0</v>
      </c>
      <c r="AW122" s="1">
        <v>1.0</v>
      </c>
      <c r="AX122" s="1" t="s">
        <v>74</v>
      </c>
      <c r="AY122" s="1" t="s">
        <v>74</v>
      </c>
      <c r="AZ122" s="1" t="s">
        <v>74</v>
      </c>
      <c r="BA122" s="1" t="s">
        <v>74</v>
      </c>
      <c r="BB122" s="1">
        <v>64.0</v>
      </c>
      <c r="BC122" s="1">
        <v>69.0</v>
      </c>
      <c r="BD122" s="1" t="s">
        <v>74</v>
      </c>
      <c r="BE122" s="1" t="s">
        <v>1427</v>
      </c>
      <c r="BF122" s="2" t="str">
        <f>HYPERLINK("http://dx.doi.org/10.20855/ijav.2020.25.11732","http://dx.doi.org/10.20855/ijav.2020.25.11732")</f>
        <v>http://dx.doi.org/10.20855/ijav.2020.25.11732</v>
      </c>
      <c r="BG122" s="1" t="s">
        <v>74</v>
      </c>
      <c r="BH122" s="1" t="s">
        <v>74</v>
      </c>
      <c r="BI122" s="1" t="s">
        <v>74</v>
      </c>
      <c r="BJ122" s="1" t="s">
        <v>74</v>
      </c>
      <c r="BK122" s="1" t="s">
        <v>74</v>
      </c>
      <c r="BL122" s="1" t="s">
        <v>74</v>
      </c>
      <c r="BM122" s="1" t="s">
        <v>74</v>
      </c>
      <c r="BN122" s="1" t="s">
        <v>74</v>
      </c>
      <c r="BO122" s="1" t="s">
        <v>74</v>
      </c>
      <c r="BP122" s="1" t="s">
        <v>74</v>
      </c>
      <c r="BQ122" s="1" t="s">
        <v>74</v>
      </c>
      <c r="BR122" s="1" t="s">
        <v>74</v>
      </c>
      <c r="BS122" s="1" t="s">
        <v>1428</v>
      </c>
      <c r="BT122" s="1" t="str">
        <f>HYPERLINK("https%3A%2F%2Fwww.webofscience.com%2Fwos%2Fwoscc%2Ffull-record%2FWOS:000631908200010","View Full Record in Web of Science")</f>
        <v>View Full Record in Web of Science</v>
      </c>
    </row>
    <row r="123" ht="12.75" customHeight="1">
      <c r="A123" s="1" t="s">
        <v>72</v>
      </c>
      <c r="B123" s="1" t="s">
        <v>1429</v>
      </c>
      <c r="C123" s="1" t="s">
        <v>74</v>
      </c>
      <c r="D123" s="1" t="s">
        <v>74</v>
      </c>
      <c r="E123" s="1" t="s">
        <v>74</v>
      </c>
      <c r="F123" s="1" t="s">
        <v>1430</v>
      </c>
      <c r="G123" s="1" t="s">
        <v>74</v>
      </c>
      <c r="H123" s="1" t="s">
        <v>74</v>
      </c>
      <c r="I123" s="1" t="s">
        <v>1431</v>
      </c>
      <c r="J123" s="1" t="s">
        <v>1432</v>
      </c>
      <c r="K123" s="1" t="s">
        <v>74</v>
      </c>
      <c r="L123" s="1" t="s">
        <v>74</v>
      </c>
      <c r="M123" s="1" t="s">
        <v>74</v>
      </c>
      <c r="N123" s="1" t="s">
        <v>74</v>
      </c>
      <c r="O123" s="1" t="s">
        <v>74</v>
      </c>
      <c r="P123" s="1" t="s">
        <v>74</v>
      </c>
      <c r="Q123" s="1" t="s">
        <v>74</v>
      </c>
      <c r="R123" s="1" t="s">
        <v>74</v>
      </c>
      <c r="S123" s="1" t="s">
        <v>74</v>
      </c>
      <c r="T123" s="1" t="s">
        <v>74</v>
      </c>
      <c r="U123" s="1" t="s">
        <v>74</v>
      </c>
      <c r="V123" s="1" t="s">
        <v>1433</v>
      </c>
      <c r="W123" s="1" t="s">
        <v>74</v>
      </c>
      <c r="X123" s="1" t="s">
        <v>74</v>
      </c>
      <c r="Y123" s="1" t="s">
        <v>74</v>
      </c>
      <c r="Z123" s="1" t="s">
        <v>74</v>
      </c>
      <c r="AA123" s="1" t="s">
        <v>1434</v>
      </c>
      <c r="AB123" s="1" t="s">
        <v>1435</v>
      </c>
      <c r="AC123" s="1" t="s">
        <v>74</v>
      </c>
      <c r="AD123" s="1" t="s">
        <v>74</v>
      </c>
      <c r="AE123" s="1" t="s">
        <v>74</v>
      </c>
      <c r="AF123" s="1" t="s">
        <v>74</v>
      </c>
      <c r="AG123" s="1" t="s">
        <v>74</v>
      </c>
      <c r="AH123" s="1" t="s">
        <v>74</v>
      </c>
      <c r="AI123" s="1" t="s">
        <v>74</v>
      </c>
      <c r="AJ123" s="1" t="s">
        <v>74</v>
      </c>
      <c r="AK123" s="1" t="s">
        <v>74</v>
      </c>
      <c r="AL123" s="1" t="s">
        <v>74</v>
      </c>
      <c r="AM123" s="1" t="s">
        <v>74</v>
      </c>
      <c r="AN123" s="1" t="s">
        <v>74</v>
      </c>
      <c r="AO123" s="1" t="s">
        <v>1436</v>
      </c>
      <c r="AP123" s="1" t="s">
        <v>1437</v>
      </c>
      <c r="AQ123" s="1" t="s">
        <v>74</v>
      </c>
      <c r="AR123" s="1" t="s">
        <v>74</v>
      </c>
      <c r="AS123" s="1" t="s">
        <v>74</v>
      </c>
      <c r="AT123" s="1" t="s">
        <v>537</v>
      </c>
      <c r="AU123" s="1">
        <v>2020.0</v>
      </c>
      <c r="AV123" s="1">
        <v>118.0</v>
      </c>
      <c r="AW123" s="1" t="s">
        <v>74</v>
      </c>
      <c r="AX123" s="1" t="s">
        <v>74</v>
      </c>
      <c r="AY123" s="1" t="s">
        <v>74</v>
      </c>
      <c r="AZ123" s="1" t="s">
        <v>74</v>
      </c>
      <c r="BA123" s="1" t="s">
        <v>74</v>
      </c>
      <c r="BB123" s="1" t="s">
        <v>74</v>
      </c>
      <c r="BC123" s="1" t="s">
        <v>74</v>
      </c>
      <c r="BD123" s="1">
        <v>104840.0</v>
      </c>
      <c r="BE123" s="1" t="s">
        <v>1438</v>
      </c>
      <c r="BF123" s="2" t="str">
        <f>HYPERLINK("http://dx.doi.org/10.1016/j.icheatmasstransfer.2020.104840","http://dx.doi.org/10.1016/j.icheatmasstransfer.2020.104840")</f>
        <v>http://dx.doi.org/10.1016/j.icheatmasstransfer.2020.104840</v>
      </c>
      <c r="BG123" s="1" t="s">
        <v>74</v>
      </c>
      <c r="BH123" s="1" t="s">
        <v>74</v>
      </c>
      <c r="BI123" s="1" t="s">
        <v>74</v>
      </c>
      <c r="BJ123" s="1" t="s">
        <v>74</v>
      </c>
      <c r="BK123" s="1" t="s">
        <v>74</v>
      </c>
      <c r="BL123" s="1" t="s">
        <v>74</v>
      </c>
      <c r="BM123" s="1" t="s">
        <v>74</v>
      </c>
      <c r="BN123" s="1" t="s">
        <v>74</v>
      </c>
      <c r="BO123" s="1" t="s">
        <v>74</v>
      </c>
      <c r="BP123" s="1" t="s">
        <v>74</v>
      </c>
      <c r="BQ123" s="1" t="s">
        <v>74</v>
      </c>
      <c r="BR123" s="1" t="s">
        <v>74</v>
      </c>
      <c r="BS123" s="1" t="s">
        <v>1439</v>
      </c>
      <c r="BT123" s="1" t="str">
        <f>HYPERLINK("https%3A%2F%2Fwww.webofscience.com%2Fwos%2Fwoscc%2Ffull-record%2FWOS:000589864800026","View Full Record in Web of Science")</f>
        <v>View Full Record in Web of Science</v>
      </c>
    </row>
    <row r="124" ht="12.75" customHeight="1">
      <c r="A124" s="1" t="s">
        <v>72</v>
      </c>
      <c r="B124" s="1" t="s">
        <v>1440</v>
      </c>
      <c r="C124" s="1" t="s">
        <v>74</v>
      </c>
      <c r="D124" s="1" t="s">
        <v>74</v>
      </c>
      <c r="E124" s="1" t="s">
        <v>74</v>
      </c>
      <c r="F124" s="1" t="s">
        <v>1441</v>
      </c>
      <c r="G124" s="1" t="s">
        <v>74</v>
      </c>
      <c r="H124" s="1" t="s">
        <v>74</v>
      </c>
      <c r="I124" s="1" t="s">
        <v>1442</v>
      </c>
      <c r="J124" s="1" t="s">
        <v>1443</v>
      </c>
      <c r="K124" s="1" t="s">
        <v>74</v>
      </c>
      <c r="L124" s="1" t="s">
        <v>74</v>
      </c>
      <c r="M124" s="1" t="s">
        <v>74</v>
      </c>
      <c r="N124" s="1" t="s">
        <v>74</v>
      </c>
      <c r="O124" s="1" t="s">
        <v>74</v>
      </c>
      <c r="P124" s="1" t="s">
        <v>74</v>
      </c>
      <c r="Q124" s="1" t="s">
        <v>74</v>
      </c>
      <c r="R124" s="1" t="s">
        <v>74</v>
      </c>
      <c r="S124" s="1" t="s">
        <v>74</v>
      </c>
      <c r="T124" s="1" t="s">
        <v>74</v>
      </c>
      <c r="U124" s="1" t="s">
        <v>74</v>
      </c>
      <c r="V124" s="1" t="s">
        <v>1444</v>
      </c>
      <c r="W124" s="1" t="s">
        <v>74</v>
      </c>
      <c r="X124" s="1" t="s">
        <v>74</v>
      </c>
      <c r="Y124" s="1" t="s">
        <v>74</v>
      </c>
      <c r="Z124" s="1" t="s">
        <v>74</v>
      </c>
      <c r="AA124" s="1" t="s">
        <v>1445</v>
      </c>
      <c r="AB124" s="1" t="s">
        <v>1446</v>
      </c>
      <c r="AC124" s="1" t="s">
        <v>74</v>
      </c>
      <c r="AD124" s="1" t="s">
        <v>74</v>
      </c>
      <c r="AE124" s="1" t="s">
        <v>74</v>
      </c>
      <c r="AF124" s="1" t="s">
        <v>74</v>
      </c>
      <c r="AG124" s="1" t="s">
        <v>74</v>
      </c>
      <c r="AH124" s="1" t="s">
        <v>74</v>
      </c>
      <c r="AI124" s="1" t="s">
        <v>74</v>
      </c>
      <c r="AJ124" s="1" t="s">
        <v>74</v>
      </c>
      <c r="AK124" s="1" t="s">
        <v>74</v>
      </c>
      <c r="AL124" s="1" t="s">
        <v>74</v>
      </c>
      <c r="AM124" s="1" t="s">
        <v>74</v>
      </c>
      <c r="AN124" s="1" t="s">
        <v>74</v>
      </c>
      <c r="AO124" s="1" t="s">
        <v>1447</v>
      </c>
      <c r="AP124" s="1" t="s">
        <v>1448</v>
      </c>
      <c r="AQ124" s="1" t="s">
        <v>74</v>
      </c>
      <c r="AR124" s="1" t="s">
        <v>74</v>
      </c>
      <c r="AS124" s="1" t="s">
        <v>74</v>
      </c>
      <c r="AT124" s="1" t="s">
        <v>1256</v>
      </c>
      <c r="AU124" s="1">
        <v>2020.0</v>
      </c>
      <c r="AV124" s="1">
        <v>12.0</v>
      </c>
      <c r="AW124" s="1">
        <v>12.0</v>
      </c>
      <c r="AX124" s="1" t="s">
        <v>74</v>
      </c>
      <c r="AY124" s="1" t="s">
        <v>74</v>
      </c>
      <c r="AZ124" s="1" t="s">
        <v>74</v>
      </c>
      <c r="BA124" s="1" t="s">
        <v>74</v>
      </c>
      <c r="BB124" s="1">
        <v>14507.0</v>
      </c>
      <c r="BC124" s="1">
        <v>14517.0</v>
      </c>
      <c r="BD124" s="1" t="s">
        <v>74</v>
      </c>
      <c r="BE124" s="1" t="s">
        <v>1449</v>
      </c>
      <c r="BF124" s="2" t="str">
        <f>HYPERLINK("http://dx.doi.org/10.1021/acsami.9b21060","http://dx.doi.org/10.1021/acsami.9b21060")</f>
        <v>http://dx.doi.org/10.1021/acsami.9b21060</v>
      </c>
      <c r="BG124" s="1" t="s">
        <v>74</v>
      </c>
      <c r="BH124" s="1" t="s">
        <v>74</v>
      </c>
      <c r="BI124" s="1" t="s">
        <v>74</v>
      </c>
      <c r="BJ124" s="1" t="s">
        <v>74</v>
      </c>
      <c r="BK124" s="1" t="s">
        <v>74</v>
      </c>
      <c r="BL124" s="1" t="s">
        <v>74</v>
      </c>
      <c r="BM124" s="1" t="s">
        <v>74</v>
      </c>
      <c r="BN124" s="1">
        <v>3.2118396E7</v>
      </c>
      <c r="BO124" s="1" t="s">
        <v>74</v>
      </c>
      <c r="BP124" s="1" t="s">
        <v>74</v>
      </c>
      <c r="BQ124" s="1" t="s">
        <v>74</v>
      </c>
      <c r="BR124" s="1" t="s">
        <v>74</v>
      </c>
      <c r="BS124" s="1" t="s">
        <v>1450</v>
      </c>
      <c r="BT124" s="1" t="str">
        <f>HYPERLINK("https%3A%2F%2Fwww.webofscience.com%2Fwos%2Fwoscc%2Ffull-record%2FWOS:000526552100095","View Full Record in Web of Science")</f>
        <v>View Full Record in Web of Science</v>
      </c>
    </row>
    <row r="125" ht="12.75" customHeight="1">
      <c r="A125" s="1" t="s">
        <v>72</v>
      </c>
      <c r="B125" s="1" t="s">
        <v>1451</v>
      </c>
      <c r="C125" s="1" t="s">
        <v>74</v>
      </c>
      <c r="D125" s="1" t="s">
        <v>74</v>
      </c>
      <c r="E125" s="1" t="s">
        <v>74</v>
      </c>
      <c r="F125" s="1" t="s">
        <v>1452</v>
      </c>
      <c r="G125" s="1" t="s">
        <v>74</v>
      </c>
      <c r="H125" s="1" t="s">
        <v>74</v>
      </c>
      <c r="I125" s="1" t="s">
        <v>1453</v>
      </c>
      <c r="J125" s="1" t="s">
        <v>229</v>
      </c>
      <c r="K125" s="1" t="s">
        <v>74</v>
      </c>
      <c r="L125" s="1" t="s">
        <v>74</v>
      </c>
      <c r="M125" s="1" t="s">
        <v>74</v>
      </c>
      <c r="N125" s="1" t="s">
        <v>74</v>
      </c>
      <c r="O125" s="1" t="s">
        <v>74</v>
      </c>
      <c r="P125" s="1" t="s">
        <v>74</v>
      </c>
      <c r="Q125" s="1" t="s">
        <v>74</v>
      </c>
      <c r="R125" s="1" t="s">
        <v>74</v>
      </c>
      <c r="S125" s="1" t="s">
        <v>74</v>
      </c>
      <c r="T125" s="1" t="s">
        <v>74</v>
      </c>
      <c r="U125" s="1" t="s">
        <v>74</v>
      </c>
      <c r="V125" s="1" t="s">
        <v>1454</v>
      </c>
      <c r="W125" s="1" t="s">
        <v>74</v>
      </c>
      <c r="X125" s="1" t="s">
        <v>74</v>
      </c>
      <c r="Y125" s="1" t="s">
        <v>74</v>
      </c>
      <c r="Z125" s="1" t="s">
        <v>74</v>
      </c>
      <c r="AA125" s="1" t="s">
        <v>1455</v>
      </c>
      <c r="AB125" s="1" t="s">
        <v>1456</v>
      </c>
      <c r="AC125" s="1" t="s">
        <v>74</v>
      </c>
      <c r="AD125" s="1" t="s">
        <v>74</v>
      </c>
      <c r="AE125" s="1" t="s">
        <v>74</v>
      </c>
      <c r="AF125" s="1" t="s">
        <v>74</v>
      </c>
      <c r="AG125" s="1" t="s">
        <v>74</v>
      </c>
      <c r="AH125" s="1" t="s">
        <v>74</v>
      </c>
      <c r="AI125" s="1" t="s">
        <v>74</v>
      </c>
      <c r="AJ125" s="1" t="s">
        <v>74</v>
      </c>
      <c r="AK125" s="1" t="s">
        <v>74</v>
      </c>
      <c r="AL125" s="1" t="s">
        <v>74</v>
      </c>
      <c r="AM125" s="1" t="s">
        <v>74</v>
      </c>
      <c r="AN125" s="1" t="s">
        <v>74</v>
      </c>
      <c r="AO125" s="1" t="s">
        <v>233</v>
      </c>
      <c r="AP125" s="1" t="s">
        <v>234</v>
      </c>
      <c r="AQ125" s="1" t="s">
        <v>74</v>
      </c>
      <c r="AR125" s="1" t="s">
        <v>74</v>
      </c>
      <c r="AS125" s="1" t="s">
        <v>74</v>
      </c>
      <c r="AT125" s="1" t="s">
        <v>348</v>
      </c>
      <c r="AU125" s="1">
        <v>2019.0</v>
      </c>
      <c r="AV125" s="1">
        <v>37.0</v>
      </c>
      <c r="AW125" s="1">
        <v>3.0</v>
      </c>
      <c r="AX125" s="1" t="s">
        <v>74</v>
      </c>
      <c r="AY125" s="1" t="s">
        <v>74</v>
      </c>
      <c r="AZ125" s="1" t="s">
        <v>74</v>
      </c>
      <c r="BA125" s="1" t="s">
        <v>74</v>
      </c>
      <c r="BB125" s="1">
        <v>1111.0</v>
      </c>
      <c r="BC125" s="1">
        <v>1117.0</v>
      </c>
      <c r="BD125" s="1" t="s">
        <v>74</v>
      </c>
      <c r="BE125" s="1" t="s">
        <v>1457</v>
      </c>
      <c r="BF125" s="2" t="str">
        <f>HYPERLINK("http://dx.doi.org/10.4067/S0717-95022019000301111","http://dx.doi.org/10.4067/S0717-95022019000301111")</f>
        <v>http://dx.doi.org/10.4067/S0717-95022019000301111</v>
      </c>
      <c r="BG125" s="1" t="s">
        <v>74</v>
      </c>
      <c r="BH125" s="1" t="s">
        <v>74</v>
      </c>
      <c r="BI125" s="1" t="s">
        <v>74</v>
      </c>
      <c r="BJ125" s="1" t="s">
        <v>74</v>
      </c>
      <c r="BK125" s="1" t="s">
        <v>74</v>
      </c>
      <c r="BL125" s="1" t="s">
        <v>74</v>
      </c>
      <c r="BM125" s="1" t="s">
        <v>74</v>
      </c>
      <c r="BN125" s="1" t="s">
        <v>74</v>
      </c>
      <c r="BO125" s="1" t="s">
        <v>74</v>
      </c>
      <c r="BP125" s="1" t="s">
        <v>74</v>
      </c>
      <c r="BQ125" s="1" t="s">
        <v>74</v>
      </c>
      <c r="BR125" s="1" t="s">
        <v>74</v>
      </c>
      <c r="BS125" s="1" t="s">
        <v>1458</v>
      </c>
      <c r="BT125" s="1" t="str">
        <f>HYPERLINK("https%3A%2F%2Fwww.webofscience.com%2Fwos%2Fwoscc%2Ffull-record%2FWOS:000476478000052","View Full Record in Web of Science")</f>
        <v>View Full Record in Web of Science</v>
      </c>
    </row>
    <row r="126" ht="12.75" customHeight="1">
      <c r="A126" s="1" t="s">
        <v>86</v>
      </c>
      <c r="B126" s="1" t="s">
        <v>1459</v>
      </c>
      <c r="C126" s="1" t="s">
        <v>74</v>
      </c>
      <c r="D126" s="1" t="s">
        <v>74</v>
      </c>
      <c r="E126" s="1" t="s">
        <v>248</v>
      </c>
      <c r="F126" s="1" t="s">
        <v>1460</v>
      </c>
      <c r="G126" s="1" t="s">
        <v>74</v>
      </c>
      <c r="H126" s="1" t="s">
        <v>74</v>
      </c>
      <c r="I126" s="1" t="s">
        <v>1461</v>
      </c>
      <c r="J126" s="1" t="s">
        <v>1462</v>
      </c>
      <c r="K126" s="1" t="s">
        <v>74</v>
      </c>
      <c r="L126" s="1" t="s">
        <v>74</v>
      </c>
      <c r="M126" s="1" t="s">
        <v>74</v>
      </c>
      <c r="N126" s="1" t="s">
        <v>74</v>
      </c>
      <c r="O126" s="1" t="s">
        <v>1463</v>
      </c>
      <c r="P126" s="1" t="s">
        <v>1464</v>
      </c>
      <c r="Q126" s="1" t="s">
        <v>1465</v>
      </c>
      <c r="R126" s="1" t="s">
        <v>1466</v>
      </c>
      <c r="S126" s="1" t="s">
        <v>74</v>
      </c>
      <c r="T126" s="1" t="s">
        <v>74</v>
      </c>
      <c r="U126" s="1" t="s">
        <v>74</v>
      </c>
      <c r="V126" s="1" t="s">
        <v>1467</v>
      </c>
      <c r="W126" s="1" t="s">
        <v>74</v>
      </c>
      <c r="X126" s="1" t="s">
        <v>74</v>
      </c>
      <c r="Y126" s="1" t="s">
        <v>74</v>
      </c>
      <c r="Z126" s="1" t="s">
        <v>74</v>
      </c>
      <c r="AA126" s="1" t="s">
        <v>1468</v>
      </c>
      <c r="AB126" s="1" t="s">
        <v>1469</v>
      </c>
      <c r="AC126" s="1" t="s">
        <v>74</v>
      </c>
      <c r="AD126" s="1" t="s">
        <v>74</v>
      </c>
      <c r="AE126" s="1" t="s">
        <v>74</v>
      </c>
      <c r="AF126" s="1" t="s">
        <v>74</v>
      </c>
      <c r="AG126" s="1" t="s">
        <v>74</v>
      </c>
      <c r="AH126" s="1" t="s">
        <v>74</v>
      </c>
      <c r="AI126" s="1" t="s">
        <v>74</v>
      </c>
      <c r="AJ126" s="1" t="s">
        <v>74</v>
      </c>
      <c r="AK126" s="1" t="s">
        <v>74</v>
      </c>
      <c r="AL126" s="1" t="s">
        <v>74</v>
      </c>
      <c r="AM126" s="1" t="s">
        <v>74</v>
      </c>
      <c r="AN126" s="1" t="s">
        <v>74</v>
      </c>
      <c r="AO126" s="1" t="s">
        <v>74</v>
      </c>
      <c r="AP126" s="1" t="s">
        <v>74</v>
      </c>
      <c r="AQ126" s="1" t="s">
        <v>1470</v>
      </c>
      <c r="AR126" s="1" t="s">
        <v>74</v>
      </c>
      <c r="AS126" s="1" t="s">
        <v>74</v>
      </c>
      <c r="AT126" s="1" t="s">
        <v>74</v>
      </c>
      <c r="AU126" s="1">
        <v>2019.0</v>
      </c>
      <c r="AV126" s="1" t="s">
        <v>74</v>
      </c>
      <c r="AW126" s="1" t="s">
        <v>74</v>
      </c>
      <c r="AX126" s="1" t="s">
        <v>74</v>
      </c>
      <c r="AY126" s="1" t="s">
        <v>74</v>
      </c>
      <c r="AZ126" s="1" t="s">
        <v>74</v>
      </c>
      <c r="BA126" s="1" t="s">
        <v>74</v>
      </c>
      <c r="BB126" s="1" t="s">
        <v>74</v>
      </c>
      <c r="BC126" s="1" t="s">
        <v>74</v>
      </c>
      <c r="BD126" s="1" t="s">
        <v>74</v>
      </c>
      <c r="BE126" s="1" t="s">
        <v>74</v>
      </c>
      <c r="BF126" s="1" t="s">
        <v>74</v>
      </c>
      <c r="BG126" s="1" t="s">
        <v>74</v>
      </c>
      <c r="BH126" s="1" t="s">
        <v>74</v>
      </c>
      <c r="BI126" s="1" t="s">
        <v>74</v>
      </c>
      <c r="BJ126" s="1" t="s">
        <v>74</v>
      </c>
      <c r="BK126" s="1" t="s">
        <v>74</v>
      </c>
      <c r="BL126" s="1" t="s">
        <v>74</v>
      </c>
      <c r="BM126" s="1" t="s">
        <v>74</v>
      </c>
      <c r="BN126" s="1" t="s">
        <v>74</v>
      </c>
      <c r="BO126" s="1" t="s">
        <v>74</v>
      </c>
      <c r="BP126" s="1" t="s">
        <v>74</v>
      </c>
      <c r="BQ126" s="1" t="s">
        <v>74</v>
      </c>
      <c r="BR126" s="1" t="s">
        <v>74</v>
      </c>
      <c r="BS126" s="1" t="s">
        <v>1471</v>
      </c>
      <c r="BT126" s="1" t="str">
        <f>HYPERLINK("https%3A%2F%2Fwww.webofscience.com%2Fwos%2Fwoscc%2Ffull-record%2FWOS:000542919100061","View Full Record in Web of Science")</f>
        <v>View Full Record in Web of Science</v>
      </c>
    </row>
    <row r="127" ht="12.75" customHeight="1">
      <c r="A127" s="1" t="s">
        <v>72</v>
      </c>
      <c r="B127" s="1" t="s">
        <v>1472</v>
      </c>
      <c r="C127" s="1" t="s">
        <v>74</v>
      </c>
      <c r="D127" s="1" t="s">
        <v>74</v>
      </c>
      <c r="E127" s="1" t="s">
        <v>74</v>
      </c>
      <c r="F127" s="1" t="s">
        <v>1473</v>
      </c>
      <c r="G127" s="1" t="s">
        <v>74</v>
      </c>
      <c r="H127" s="1" t="s">
        <v>74</v>
      </c>
      <c r="I127" s="1" t="s">
        <v>1474</v>
      </c>
      <c r="J127" s="1" t="s">
        <v>1475</v>
      </c>
      <c r="K127" s="1" t="s">
        <v>74</v>
      </c>
      <c r="L127" s="1" t="s">
        <v>74</v>
      </c>
      <c r="M127" s="1" t="s">
        <v>74</v>
      </c>
      <c r="N127" s="1" t="s">
        <v>74</v>
      </c>
      <c r="O127" s="1" t="s">
        <v>74</v>
      </c>
      <c r="P127" s="1" t="s">
        <v>74</v>
      </c>
      <c r="Q127" s="1" t="s">
        <v>74</v>
      </c>
      <c r="R127" s="1" t="s">
        <v>74</v>
      </c>
      <c r="S127" s="1" t="s">
        <v>74</v>
      </c>
      <c r="T127" s="1" t="s">
        <v>74</v>
      </c>
      <c r="U127" s="1" t="s">
        <v>74</v>
      </c>
      <c r="V127" s="1" t="s">
        <v>74</v>
      </c>
      <c r="W127" s="1" t="s">
        <v>74</v>
      </c>
      <c r="X127" s="1" t="s">
        <v>74</v>
      </c>
      <c r="Y127" s="1" t="s">
        <v>74</v>
      </c>
      <c r="Z127" s="1" t="s">
        <v>74</v>
      </c>
      <c r="AA127" s="1" t="s">
        <v>1476</v>
      </c>
      <c r="AB127" s="1" t="s">
        <v>1477</v>
      </c>
      <c r="AC127" s="1" t="s">
        <v>74</v>
      </c>
      <c r="AD127" s="1" t="s">
        <v>74</v>
      </c>
      <c r="AE127" s="1" t="s">
        <v>74</v>
      </c>
      <c r="AF127" s="1" t="s">
        <v>74</v>
      </c>
      <c r="AG127" s="1" t="s">
        <v>74</v>
      </c>
      <c r="AH127" s="1" t="s">
        <v>74</v>
      </c>
      <c r="AI127" s="1" t="s">
        <v>74</v>
      </c>
      <c r="AJ127" s="1" t="s">
        <v>74</v>
      </c>
      <c r="AK127" s="1" t="s">
        <v>74</v>
      </c>
      <c r="AL127" s="1" t="s">
        <v>74</v>
      </c>
      <c r="AM127" s="1" t="s">
        <v>74</v>
      </c>
      <c r="AN127" s="1" t="s">
        <v>74</v>
      </c>
      <c r="AO127" s="1" t="s">
        <v>1478</v>
      </c>
      <c r="AP127" s="1" t="s">
        <v>1479</v>
      </c>
      <c r="AQ127" s="1" t="s">
        <v>74</v>
      </c>
      <c r="AR127" s="1" t="s">
        <v>74</v>
      </c>
      <c r="AS127" s="1" t="s">
        <v>74</v>
      </c>
      <c r="AT127" s="1" t="s">
        <v>537</v>
      </c>
      <c r="AU127" s="1">
        <v>2018.0</v>
      </c>
      <c r="AV127" s="1">
        <v>99.0</v>
      </c>
      <c r="AW127" s="1">
        <v>11.0</v>
      </c>
      <c r="AX127" s="1" t="s">
        <v>74</v>
      </c>
      <c r="AY127" s="1" t="s">
        <v>74</v>
      </c>
      <c r="AZ127" s="1" t="s">
        <v>74</v>
      </c>
      <c r="BA127" s="1" t="s">
        <v>74</v>
      </c>
      <c r="BB127" s="1">
        <v>2617.0</v>
      </c>
      <c r="BC127" s="1">
        <v>2620.0</v>
      </c>
      <c r="BD127" s="1" t="s">
        <v>74</v>
      </c>
      <c r="BE127" s="1" t="s">
        <v>1480</v>
      </c>
      <c r="BF127" s="2" t="str">
        <f>HYPERLINK("http://dx.doi.org/10.1002/ecy.2454","http://dx.doi.org/10.1002/ecy.2454")</f>
        <v>http://dx.doi.org/10.1002/ecy.2454</v>
      </c>
      <c r="BG127" s="1" t="s">
        <v>74</v>
      </c>
      <c r="BH127" s="1" t="s">
        <v>74</v>
      </c>
      <c r="BI127" s="1" t="s">
        <v>74</v>
      </c>
      <c r="BJ127" s="1" t="s">
        <v>74</v>
      </c>
      <c r="BK127" s="1" t="s">
        <v>74</v>
      </c>
      <c r="BL127" s="1" t="s">
        <v>74</v>
      </c>
      <c r="BM127" s="1" t="s">
        <v>74</v>
      </c>
      <c r="BN127" s="1">
        <v>3.0022477E7</v>
      </c>
      <c r="BO127" s="1" t="s">
        <v>74</v>
      </c>
      <c r="BP127" s="1" t="s">
        <v>74</v>
      </c>
      <c r="BQ127" s="1" t="s">
        <v>74</v>
      </c>
      <c r="BR127" s="1" t="s">
        <v>74</v>
      </c>
      <c r="BS127" s="1" t="s">
        <v>1481</v>
      </c>
      <c r="BT127" s="1" t="str">
        <f>HYPERLINK("https%3A%2F%2Fwww.webofscience.com%2Fwos%2Fwoscc%2Ffull-record%2FWOS:000449937900021","View Full Record in Web of Science")</f>
        <v>View Full Record in Web of Science</v>
      </c>
    </row>
    <row r="128" ht="12.75" customHeight="1">
      <c r="A128" s="1" t="s">
        <v>86</v>
      </c>
      <c r="B128" s="1" t="s">
        <v>1482</v>
      </c>
      <c r="C128" s="1" t="s">
        <v>74</v>
      </c>
      <c r="D128" s="1" t="s">
        <v>74</v>
      </c>
      <c r="E128" s="1" t="s">
        <v>248</v>
      </c>
      <c r="F128" s="1" t="s">
        <v>1483</v>
      </c>
      <c r="G128" s="1" t="s">
        <v>74</v>
      </c>
      <c r="H128" s="1" t="s">
        <v>74</v>
      </c>
      <c r="I128" s="1" t="s">
        <v>1484</v>
      </c>
      <c r="J128" s="1" t="s">
        <v>1485</v>
      </c>
      <c r="K128" s="1" t="s">
        <v>1486</v>
      </c>
      <c r="L128" s="1" t="s">
        <v>74</v>
      </c>
      <c r="M128" s="1" t="s">
        <v>74</v>
      </c>
      <c r="N128" s="1" t="s">
        <v>74</v>
      </c>
      <c r="O128" s="1" t="s">
        <v>1487</v>
      </c>
      <c r="P128" s="1" t="s">
        <v>1488</v>
      </c>
      <c r="Q128" s="1" t="s">
        <v>1489</v>
      </c>
      <c r="R128" s="1" t="s">
        <v>1490</v>
      </c>
      <c r="S128" s="1" t="s">
        <v>74</v>
      </c>
      <c r="T128" s="1" t="s">
        <v>74</v>
      </c>
      <c r="U128" s="1" t="s">
        <v>74</v>
      </c>
      <c r="V128" s="1" t="s">
        <v>1491</v>
      </c>
      <c r="W128" s="1" t="s">
        <v>74</v>
      </c>
      <c r="X128" s="1" t="s">
        <v>74</v>
      </c>
      <c r="Y128" s="1" t="s">
        <v>74</v>
      </c>
      <c r="Z128" s="1" t="s">
        <v>74</v>
      </c>
      <c r="AA128" s="1" t="s">
        <v>1492</v>
      </c>
      <c r="AB128" s="1" t="s">
        <v>1493</v>
      </c>
      <c r="AC128" s="1" t="s">
        <v>74</v>
      </c>
      <c r="AD128" s="1" t="s">
        <v>74</v>
      </c>
      <c r="AE128" s="1" t="s">
        <v>74</v>
      </c>
      <c r="AF128" s="1" t="s">
        <v>74</v>
      </c>
      <c r="AG128" s="1" t="s">
        <v>74</v>
      </c>
      <c r="AH128" s="1" t="s">
        <v>74</v>
      </c>
      <c r="AI128" s="1" t="s">
        <v>74</v>
      </c>
      <c r="AJ128" s="1" t="s">
        <v>74</v>
      </c>
      <c r="AK128" s="1" t="s">
        <v>74</v>
      </c>
      <c r="AL128" s="1" t="s">
        <v>74</v>
      </c>
      <c r="AM128" s="1" t="s">
        <v>74</v>
      </c>
      <c r="AN128" s="1" t="s">
        <v>74</v>
      </c>
      <c r="AO128" s="1" t="s">
        <v>1494</v>
      </c>
      <c r="AP128" s="1" t="s">
        <v>74</v>
      </c>
      <c r="AQ128" s="1" t="s">
        <v>1495</v>
      </c>
      <c r="AR128" s="1" t="s">
        <v>74</v>
      </c>
      <c r="AS128" s="1" t="s">
        <v>74</v>
      </c>
      <c r="AT128" s="1" t="s">
        <v>74</v>
      </c>
      <c r="AU128" s="1">
        <v>2018.0</v>
      </c>
      <c r="AV128" s="1" t="s">
        <v>74</v>
      </c>
      <c r="AW128" s="1" t="s">
        <v>74</v>
      </c>
      <c r="AX128" s="1" t="s">
        <v>74</v>
      </c>
      <c r="AY128" s="1" t="s">
        <v>74</v>
      </c>
      <c r="AZ128" s="1" t="s">
        <v>74</v>
      </c>
      <c r="BA128" s="1" t="s">
        <v>74</v>
      </c>
      <c r="BB128" s="1" t="s">
        <v>74</v>
      </c>
      <c r="BC128" s="1" t="s">
        <v>74</v>
      </c>
      <c r="BD128" s="1" t="s">
        <v>74</v>
      </c>
      <c r="BE128" s="1" t="s">
        <v>74</v>
      </c>
      <c r="BF128" s="1" t="s">
        <v>74</v>
      </c>
      <c r="BG128" s="1" t="s">
        <v>74</v>
      </c>
      <c r="BH128" s="1" t="s">
        <v>74</v>
      </c>
      <c r="BI128" s="1" t="s">
        <v>74</v>
      </c>
      <c r="BJ128" s="1" t="s">
        <v>74</v>
      </c>
      <c r="BK128" s="1" t="s">
        <v>74</v>
      </c>
      <c r="BL128" s="1" t="s">
        <v>74</v>
      </c>
      <c r="BM128" s="1" t="s">
        <v>74</v>
      </c>
      <c r="BN128" s="1" t="s">
        <v>74</v>
      </c>
      <c r="BO128" s="1" t="s">
        <v>74</v>
      </c>
      <c r="BP128" s="1" t="s">
        <v>74</v>
      </c>
      <c r="BQ128" s="1" t="s">
        <v>74</v>
      </c>
      <c r="BR128" s="1" t="s">
        <v>74</v>
      </c>
      <c r="BS128" s="1" t="s">
        <v>1496</v>
      </c>
      <c r="BT128" s="1" t="str">
        <f>HYPERLINK("https%3A%2F%2Fwww.webofscience.com%2Fwos%2Fwoscc%2Ffull-record%2FWOS:000719813000121","View Full Record in Web of Science")</f>
        <v>View Full Record in Web of Science</v>
      </c>
    </row>
    <row r="129" ht="12.75" customHeight="1">
      <c r="A129" s="1" t="s">
        <v>72</v>
      </c>
      <c r="B129" s="1" t="s">
        <v>1497</v>
      </c>
      <c r="C129" s="1" t="s">
        <v>74</v>
      </c>
      <c r="D129" s="1" t="s">
        <v>74</v>
      </c>
      <c r="E129" s="1" t="s">
        <v>74</v>
      </c>
      <c r="F129" s="1" t="s">
        <v>1498</v>
      </c>
      <c r="G129" s="1" t="s">
        <v>74</v>
      </c>
      <c r="H129" s="1" t="s">
        <v>74</v>
      </c>
      <c r="I129" s="1" t="s">
        <v>1499</v>
      </c>
      <c r="J129" s="1" t="s">
        <v>1500</v>
      </c>
      <c r="K129" s="1" t="s">
        <v>74</v>
      </c>
      <c r="L129" s="1" t="s">
        <v>74</v>
      </c>
      <c r="M129" s="1" t="s">
        <v>74</v>
      </c>
      <c r="N129" s="1" t="s">
        <v>74</v>
      </c>
      <c r="O129" s="1" t="s">
        <v>74</v>
      </c>
      <c r="P129" s="1" t="s">
        <v>74</v>
      </c>
      <c r="Q129" s="1" t="s">
        <v>74</v>
      </c>
      <c r="R129" s="1" t="s">
        <v>74</v>
      </c>
      <c r="S129" s="1" t="s">
        <v>74</v>
      </c>
      <c r="T129" s="1" t="s">
        <v>74</v>
      </c>
      <c r="U129" s="1" t="s">
        <v>74</v>
      </c>
      <c r="V129" s="1" t="s">
        <v>1501</v>
      </c>
      <c r="W129" s="1" t="s">
        <v>74</v>
      </c>
      <c r="X129" s="1" t="s">
        <v>74</v>
      </c>
      <c r="Y129" s="1" t="s">
        <v>74</v>
      </c>
      <c r="Z129" s="1" t="s">
        <v>74</v>
      </c>
      <c r="AA129" s="1" t="s">
        <v>1502</v>
      </c>
      <c r="AB129" s="1" t="s">
        <v>1503</v>
      </c>
      <c r="AC129" s="1" t="s">
        <v>74</v>
      </c>
      <c r="AD129" s="1" t="s">
        <v>74</v>
      </c>
      <c r="AE129" s="1" t="s">
        <v>74</v>
      </c>
      <c r="AF129" s="1" t="s">
        <v>74</v>
      </c>
      <c r="AG129" s="1" t="s">
        <v>74</v>
      </c>
      <c r="AH129" s="1" t="s">
        <v>74</v>
      </c>
      <c r="AI129" s="1" t="s">
        <v>74</v>
      </c>
      <c r="AJ129" s="1" t="s">
        <v>74</v>
      </c>
      <c r="AK129" s="1" t="s">
        <v>74</v>
      </c>
      <c r="AL129" s="1" t="s">
        <v>74</v>
      </c>
      <c r="AM129" s="1" t="s">
        <v>74</v>
      </c>
      <c r="AN129" s="1" t="s">
        <v>74</v>
      </c>
      <c r="AO129" s="1" t="s">
        <v>1504</v>
      </c>
      <c r="AP129" s="1" t="s">
        <v>1505</v>
      </c>
      <c r="AQ129" s="1" t="s">
        <v>74</v>
      </c>
      <c r="AR129" s="1" t="s">
        <v>74</v>
      </c>
      <c r="AS129" s="1" t="s">
        <v>74</v>
      </c>
      <c r="AT129" s="1" t="s">
        <v>201</v>
      </c>
      <c r="AU129" s="1">
        <v>2017.0</v>
      </c>
      <c r="AV129" s="1">
        <v>35.0</v>
      </c>
      <c r="AW129" s="1">
        <v>10.0</v>
      </c>
      <c r="AX129" s="1" t="s">
        <v>74</v>
      </c>
      <c r="AY129" s="1" t="s">
        <v>74</v>
      </c>
      <c r="AZ129" s="1" t="s">
        <v>74</v>
      </c>
      <c r="BA129" s="1" t="s">
        <v>74</v>
      </c>
      <c r="BB129" s="1">
        <v>1975.0</v>
      </c>
      <c r="BC129" s="1">
        <v>1991.0</v>
      </c>
      <c r="BD129" s="1" t="s">
        <v>74</v>
      </c>
      <c r="BE129" s="1" t="s">
        <v>1506</v>
      </c>
      <c r="BF129" s="2" t="str">
        <f>HYPERLINK("http://dx.doi.org/10.1017/S0263574716000643","http://dx.doi.org/10.1017/S0263574716000643")</f>
        <v>http://dx.doi.org/10.1017/S0263574716000643</v>
      </c>
      <c r="BG129" s="1" t="s">
        <v>74</v>
      </c>
      <c r="BH129" s="1" t="s">
        <v>74</v>
      </c>
      <c r="BI129" s="1" t="s">
        <v>74</v>
      </c>
      <c r="BJ129" s="1" t="s">
        <v>74</v>
      </c>
      <c r="BK129" s="1" t="s">
        <v>74</v>
      </c>
      <c r="BL129" s="1" t="s">
        <v>74</v>
      </c>
      <c r="BM129" s="1" t="s">
        <v>74</v>
      </c>
      <c r="BN129" s="1" t="s">
        <v>74</v>
      </c>
      <c r="BO129" s="1" t="s">
        <v>74</v>
      </c>
      <c r="BP129" s="1" t="s">
        <v>74</v>
      </c>
      <c r="BQ129" s="1" t="s">
        <v>74</v>
      </c>
      <c r="BR129" s="1" t="s">
        <v>74</v>
      </c>
      <c r="BS129" s="1" t="s">
        <v>1507</v>
      </c>
      <c r="BT129" s="1" t="str">
        <f>HYPERLINK("https%3A%2F%2Fwww.webofscience.com%2Fwos%2Fwoscc%2Ffull-record%2FWOS:000409461200003","View Full Record in Web of Science")</f>
        <v>View Full Record in Web of Science</v>
      </c>
    </row>
    <row r="130" ht="12.75" customHeight="1">
      <c r="A130" s="1" t="s">
        <v>72</v>
      </c>
      <c r="B130" s="1" t="s">
        <v>1508</v>
      </c>
      <c r="C130" s="1" t="s">
        <v>74</v>
      </c>
      <c r="D130" s="1" t="s">
        <v>74</v>
      </c>
      <c r="E130" s="1" t="s">
        <v>74</v>
      </c>
      <c r="F130" s="1" t="s">
        <v>1509</v>
      </c>
      <c r="G130" s="1" t="s">
        <v>74</v>
      </c>
      <c r="H130" s="1" t="s">
        <v>74</v>
      </c>
      <c r="I130" s="1" t="s">
        <v>1510</v>
      </c>
      <c r="J130" s="1" t="s">
        <v>1511</v>
      </c>
      <c r="K130" s="1" t="s">
        <v>74</v>
      </c>
      <c r="L130" s="1" t="s">
        <v>74</v>
      </c>
      <c r="M130" s="1" t="s">
        <v>74</v>
      </c>
      <c r="N130" s="1" t="s">
        <v>74</v>
      </c>
      <c r="O130" s="1" t="s">
        <v>74</v>
      </c>
      <c r="P130" s="1" t="s">
        <v>74</v>
      </c>
      <c r="Q130" s="1" t="s">
        <v>74</v>
      </c>
      <c r="R130" s="1" t="s">
        <v>74</v>
      </c>
      <c r="S130" s="1" t="s">
        <v>74</v>
      </c>
      <c r="T130" s="1" t="s">
        <v>74</v>
      </c>
      <c r="U130" s="1" t="s">
        <v>74</v>
      </c>
      <c r="V130" s="1" t="s">
        <v>1512</v>
      </c>
      <c r="W130" s="1" t="s">
        <v>74</v>
      </c>
      <c r="X130" s="1" t="s">
        <v>74</v>
      </c>
      <c r="Y130" s="1" t="s">
        <v>74</v>
      </c>
      <c r="Z130" s="1" t="s">
        <v>74</v>
      </c>
      <c r="AA130" s="1" t="s">
        <v>1513</v>
      </c>
      <c r="AB130" s="1" t="s">
        <v>1514</v>
      </c>
      <c r="AC130" s="1" t="s">
        <v>74</v>
      </c>
      <c r="AD130" s="1" t="s">
        <v>74</v>
      </c>
      <c r="AE130" s="1" t="s">
        <v>74</v>
      </c>
      <c r="AF130" s="1" t="s">
        <v>74</v>
      </c>
      <c r="AG130" s="1" t="s">
        <v>74</v>
      </c>
      <c r="AH130" s="1" t="s">
        <v>74</v>
      </c>
      <c r="AI130" s="1" t="s">
        <v>74</v>
      </c>
      <c r="AJ130" s="1" t="s">
        <v>74</v>
      </c>
      <c r="AK130" s="1" t="s">
        <v>74</v>
      </c>
      <c r="AL130" s="1" t="s">
        <v>74</v>
      </c>
      <c r="AM130" s="1" t="s">
        <v>74</v>
      </c>
      <c r="AN130" s="1" t="s">
        <v>74</v>
      </c>
      <c r="AO130" s="1" t="s">
        <v>1515</v>
      </c>
      <c r="AP130" s="1" t="s">
        <v>1516</v>
      </c>
      <c r="AQ130" s="1" t="s">
        <v>74</v>
      </c>
      <c r="AR130" s="1" t="s">
        <v>74</v>
      </c>
      <c r="AS130" s="1" t="s">
        <v>74</v>
      </c>
      <c r="AT130" s="1" t="s">
        <v>348</v>
      </c>
      <c r="AU130" s="1">
        <v>2017.0</v>
      </c>
      <c r="AV130" s="1">
        <v>44.0</v>
      </c>
      <c r="AW130" s="1">
        <v>3.0</v>
      </c>
      <c r="AX130" s="1" t="s">
        <v>74</v>
      </c>
      <c r="AY130" s="1" t="s">
        <v>74</v>
      </c>
      <c r="AZ130" s="1" t="s">
        <v>74</v>
      </c>
      <c r="BA130" s="1" t="s">
        <v>74</v>
      </c>
      <c r="BB130" s="1">
        <v>200.0</v>
      </c>
      <c r="BC130" s="1">
        <v>208.0</v>
      </c>
      <c r="BD130" s="1" t="s">
        <v>74</v>
      </c>
      <c r="BE130" s="1" t="s">
        <v>1517</v>
      </c>
      <c r="BF130" s="2" t="str">
        <f>HYPERLINK("http://dx.doi.org/10.1111/birt.12294","http://dx.doi.org/10.1111/birt.12294")</f>
        <v>http://dx.doi.org/10.1111/birt.12294</v>
      </c>
      <c r="BG130" s="1" t="s">
        <v>74</v>
      </c>
      <c r="BH130" s="1" t="s">
        <v>74</v>
      </c>
      <c r="BI130" s="1" t="s">
        <v>74</v>
      </c>
      <c r="BJ130" s="1" t="s">
        <v>74</v>
      </c>
      <c r="BK130" s="1" t="s">
        <v>74</v>
      </c>
      <c r="BL130" s="1" t="s">
        <v>74</v>
      </c>
      <c r="BM130" s="1" t="s">
        <v>74</v>
      </c>
      <c r="BN130" s="1">
        <v>2.8589648E7</v>
      </c>
      <c r="BO130" s="1" t="s">
        <v>74</v>
      </c>
      <c r="BP130" s="1" t="s">
        <v>74</v>
      </c>
      <c r="BQ130" s="1" t="s">
        <v>74</v>
      </c>
      <c r="BR130" s="1" t="s">
        <v>74</v>
      </c>
      <c r="BS130" s="1" t="s">
        <v>1518</v>
      </c>
      <c r="BT130" s="1" t="str">
        <f>HYPERLINK("https%3A%2F%2Fwww.webofscience.com%2Fwos%2Fwoscc%2Ffull-record%2FWOS:000407784900002","View Full Record in Web of Science")</f>
        <v>View Full Record in Web of Science</v>
      </c>
    </row>
    <row r="131" ht="12.75" customHeight="1">
      <c r="A131" s="1" t="s">
        <v>86</v>
      </c>
      <c r="B131" s="1" t="s">
        <v>1519</v>
      </c>
      <c r="C131" s="1" t="s">
        <v>74</v>
      </c>
      <c r="D131" s="1" t="s">
        <v>74</v>
      </c>
      <c r="E131" s="1" t="s">
        <v>248</v>
      </c>
      <c r="F131" s="1" t="s">
        <v>1520</v>
      </c>
      <c r="G131" s="1" t="s">
        <v>74</v>
      </c>
      <c r="H131" s="1" t="s">
        <v>74</v>
      </c>
      <c r="I131" s="1" t="s">
        <v>1521</v>
      </c>
      <c r="J131" s="1" t="s">
        <v>1522</v>
      </c>
      <c r="K131" s="1" t="s">
        <v>74</v>
      </c>
      <c r="L131" s="1" t="s">
        <v>74</v>
      </c>
      <c r="M131" s="1" t="s">
        <v>74</v>
      </c>
      <c r="N131" s="1" t="s">
        <v>74</v>
      </c>
      <c r="O131" s="1" t="s">
        <v>1523</v>
      </c>
      <c r="P131" s="1" t="s">
        <v>1524</v>
      </c>
      <c r="Q131" s="1" t="s">
        <v>1525</v>
      </c>
      <c r="R131" s="1" t="s">
        <v>248</v>
      </c>
      <c r="S131" s="1" t="s">
        <v>74</v>
      </c>
      <c r="T131" s="1" t="s">
        <v>74</v>
      </c>
      <c r="U131" s="1" t="s">
        <v>74</v>
      </c>
      <c r="V131" s="1" t="s">
        <v>1526</v>
      </c>
      <c r="W131" s="1" t="s">
        <v>74</v>
      </c>
      <c r="X131" s="1" t="s">
        <v>74</v>
      </c>
      <c r="Y131" s="1" t="s">
        <v>74</v>
      </c>
      <c r="Z131" s="1" t="s">
        <v>74</v>
      </c>
      <c r="AA131" s="1" t="s">
        <v>1527</v>
      </c>
      <c r="AB131" s="1" t="s">
        <v>74</v>
      </c>
      <c r="AC131" s="1" t="s">
        <v>74</v>
      </c>
      <c r="AD131" s="1" t="s">
        <v>74</v>
      </c>
      <c r="AE131" s="1" t="s">
        <v>74</v>
      </c>
      <c r="AF131" s="1" t="s">
        <v>74</v>
      </c>
      <c r="AG131" s="1" t="s">
        <v>74</v>
      </c>
      <c r="AH131" s="1" t="s">
        <v>74</v>
      </c>
      <c r="AI131" s="1" t="s">
        <v>74</v>
      </c>
      <c r="AJ131" s="1" t="s">
        <v>74</v>
      </c>
      <c r="AK131" s="1" t="s">
        <v>74</v>
      </c>
      <c r="AL131" s="1" t="s">
        <v>74</v>
      </c>
      <c r="AM131" s="1" t="s">
        <v>74</v>
      </c>
      <c r="AN131" s="1" t="s">
        <v>74</v>
      </c>
      <c r="AO131" s="1" t="s">
        <v>74</v>
      </c>
      <c r="AP131" s="1" t="s">
        <v>74</v>
      </c>
      <c r="AQ131" s="1" t="s">
        <v>1528</v>
      </c>
      <c r="AR131" s="1" t="s">
        <v>74</v>
      </c>
      <c r="AS131" s="1" t="s">
        <v>74</v>
      </c>
      <c r="AT131" s="1" t="s">
        <v>74</v>
      </c>
      <c r="AU131" s="1">
        <v>2017.0</v>
      </c>
      <c r="AV131" s="1" t="s">
        <v>74</v>
      </c>
      <c r="AW131" s="1" t="s">
        <v>74</v>
      </c>
      <c r="AX131" s="1" t="s">
        <v>74</v>
      </c>
      <c r="AY131" s="1" t="s">
        <v>74</v>
      </c>
      <c r="AZ131" s="1" t="s">
        <v>74</v>
      </c>
      <c r="BA131" s="1" t="s">
        <v>74</v>
      </c>
      <c r="BB131" s="1" t="s">
        <v>74</v>
      </c>
      <c r="BC131" s="1" t="s">
        <v>74</v>
      </c>
      <c r="BD131" s="1" t="s">
        <v>74</v>
      </c>
      <c r="BE131" s="1" t="s">
        <v>74</v>
      </c>
      <c r="BF131" s="1" t="s">
        <v>74</v>
      </c>
      <c r="BG131" s="1" t="s">
        <v>74</v>
      </c>
      <c r="BH131" s="1" t="s">
        <v>74</v>
      </c>
      <c r="BI131" s="1" t="s">
        <v>74</v>
      </c>
      <c r="BJ131" s="1" t="s">
        <v>74</v>
      </c>
      <c r="BK131" s="1" t="s">
        <v>74</v>
      </c>
      <c r="BL131" s="1" t="s">
        <v>74</v>
      </c>
      <c r="BM131" s="1" t="s">
        <v>74</v>
      </c>
      <c r="BN131" s="1" t="s">
        <v>74</v>
      </c>
      <c r="BO131" s="1" t="s">
        <v>74</v>
      </c>
      <c r="BP131" s="1" t="s">
        <v>74</v>
      </c>
      <c r="BQ131" s="1" t="s">
        <v>74</v>
      </c>
      <c r="BR131" s="1" t="s">
        <v>74</v>
      </c>
      <c r="BS131" s="1" t="s">
        <v>1529</v>
      </c>
      <c r="BT131" s="1" t="str">
        <f>HYPERLINK("https%3A%2F%2Fwww.webofscience.com%2Fwos%2Fwoscc%2Ffull-record%2FWOS:000411142500013","View Full Record in Web of Science")</f>
        <v>View Full Record in Web of Science</v>
      </c>
    </row>
    <row r="132" ht="12.75" customHeight="1">
      <c r="A132" s="1" t="s">
        <v>72</v>
      </c>
      <c r="B132" s="1" t="s">
        <v>1530</v>
      </c>
      <c r="C132" s="1" t="s">
        <v>74</v>
      </c>
      <c r="D132" s="1" t="s">
        <v>74</v>
      </c>
      <c r="E132" s="1" t="s">
        <v>74</v>
      </c>
      <c r="F132" s="1" t="s">
        <v>1531</v>
      </c>
      <c r="G132" s="1" t="s">
        <v>74</v>
      </c>
      <c r="H132" s="1" t="s">
        <v>74</v>
      </c>
      <c r="I132" s="1" t="s">
        <v>1532</v>
      </c>
      <c r="J132" s="1" t="s">
        <v>1533</v>
      </c>
      <c r="K132" s="1" t="s">
        <v>74</v>
      </c>
      <c r="L132" s="1" t="s">
        <v>74</v>
      </c>
      <c r="M132" s="1" t="s">
        <v>74</v>
      </c>
      <c r="N132" s="1" t="s">
        <v>74</v>
      </c>
      <c r="O132" s="1" t="s">
        <v>74</v>
      </c>
      <c r="P132" s="1" t="s">
        <v>74</v>
      </c>
      <c r="Q132" s="1" t="s">
        <v>74</v>
      </c>
      <c r="R132" s="1" t="s">
        <v>74</v>
      </c>
      <c r="S132" s="1" t="s">
        <v>74</v>
      </c>
      <c r="T132" s="1" t="s">
        <v>74</v>
      </c>
      <c r="U132" s="1" t="s">
        <v>74</v>
      </c>
      <c r="V132" s="1" t="s">
        <v>1534</v>
      </c>
      <c r="W132" s="1" t="s">
        <v>74</v>
      </c>
      <c r="X132" s="1" t="s">
        <v>74</v>
      </c>
      <c r="Y132" s="1" t="s">
        <v>74</v>
      </c>
      <c r="Z132" s="1" t="s">
        <v>74</v>
      </c>
      <c r="AA132" s="1" t="s">
        <v>1535</v>
      </c>
      <c r="AB132" s="1" t="s">
        <v>1536</v>
      </c>
      <c r="AC132" s="1" t="s">
        <v>74</v>
      </c>
      <c r="AD132" s="1" t="s">
        <v>74</v>
      </c>
      <c r="AE132" s="1" t="s">
        <v>74</v>
      </c>
      <c r="AF132" s="1" t="s">
        <v>74</v>
      </c>
      <c r="AG132" s="1" t="s">
        <v>74</v>
      </c>
      <c r="AH132" s="1" t="s">
        <v>74</v>
      </c>
      <c r="AI132" s="1" t="s">
        <v>74</v>
      </c>
      <c r="AJ132" s="1" t="s">
        <v>74</v>
      </c>
      <c r="AK132" s="1" t="s">
        <v>74</v>
      </c>
      <c r="AL132" s="1" t="s">
        <v>74</v>
      </c>
      <c r="AM132" s="1" t="s">
        <v>74</v>
      </c>
      <c r="AN132" s="1" t="s">
        <v>74</v>
      </c>
      <c r="AO132" s="1" t="s">
        <v>74</v>
      </c>
      <c r="AP132" s="1" t="s">
        <v>1537</v>
      </c>
      <c r="AQ132" s="1" t="s">
        <v>74</v>
      </c>
      <c r="AR132" s="1" t="s">
        <v>74</v>
      </c>
      <c r="AS132" s="1" t="s">
        <v>74</v>
      </c>
      <c r="AT132" s="1" t="s">
        <v>422</v>
      </c>
      <c r="AU132" s="1">
        <v>2017.0</v>
      </c>
      <c r="AV132" s="1">
        <v>7.0</v>
      </c>
      <c r="AW132" s="1">
        <v>1.0</v>
      </c>
      <c r="AX132" s="1" t="s">
        <v>74</v>
      </c>
      <c r="AY132" s="1" t="s">
        <v>74</v>
      </c>
      <c r="AZ132" s="1" t="s">
        <v>74</v>
      </c>
      <c r="BA132" s="1" t="s">
        <v>74</v>
      </c>
      <c r="BB132" s="1" t="s">
        <v>74</v>
      </c>
      <c r="BC132" s="1" t="s">
        <v>74</v>
      </c>
      <c r="BD132" s="1">
        <v>49.0</v>
      </c>
      <c r="BE132" s="1" t="s">
        <v>1538</v>
      </c>
      <c r="BF132" s="2" t="str">
        <f>HYPERLINK("http://dx.doi.org/10.3390/app7010049","http://dx.doi.org/10.3390/app7010049")</f>
        <v>http://dx.doi.org/10.3390/app7010049</v>
      </c>
      <c r="BG132" s="1" t="s">
        <v>74</v>
      </c>
      <c r="BH132" s="1" t="s">
        <v>74</v>
      </c>
      <c r="BI132" s="1" t="s">
        <v>74</v>
      </c>
      <c r="BJ132" s="1" t="s">
        <v>74</v>
      </c>
      <c r="BK132" s="1" t="s">
        <v>74</v>
      </c>
      <c r="BL132" s="1" t="s">
        <v>74</v>
      </c>
      <c r="BM132" s="1" t="s">
        <v>74</v>
      </c>
      <c r="BN132" s="1" t="s">
        <v>74</v>
      </c>
      <c r="BO132" s="1" t="s">
        <v>74</v>
      </c>
      <c r="BP132" s="1" t="s">
        <v>74</v>
      </c>
      <c r="BQ132" s="1" t="s">
        <v>74</v>
      </c>
      <c r="BR132" s="1" t="s">
        <v>74</v>
      </c>
      <c r="BS132" s="1" t="s">
        <v>1539</v>
      </c>
      <c r="BT132" s="1" t="str">
        <f>HYPERLINK("https%3A%2F%2Fwww.webofscience.com%2Fwos%2Fwoscc%2Ffull-record%2FWOS:000395485900049","View Full Record in Web of Science")</f>
        <v>View Full Record in Web of Science</v>
      </c>
    </row>
    <row r="133" ht="12.75" customHeight="1">
      <c r="A133" s="1" t="s">
        <v>72</v>
      </c>
      <c r="B133" s="1" t="s">
        <v>1540</v>
      </c>
      <c r="C133" s="1" t="s">
        <v>74</v>
      </c>
      <c r="D133" s="1" t="s">
        <v>74</v>
      </c>
      <c r="E133" s="1" t="s">
        <v>74</v>
      </c>
      <c r="F133" s="1" t="s">
        <v>1541</v>
      </c>
      <c r="G133" s="1" t="s">
        <v>74</v>
      </c>
      <c r="H133" s="1" t="s">
        <v>1542</v>
      </c>
      <c r="I133" s="1" t="s">
        <v>1543</v>
      </c>
      <c r="J133" s="1" t="s">
        <v>1544</v>
      </c>
      <c r="K133" s="1" t="s">
        <v>74</v>
      </c>
      <c r="L133" s="1" t="s">
        <v>74</v>
      </c>
      <c r="M133" s="1" t="s">
        <v>74</v>
      </c>
      <c r="N133" s="1" t="s">
        <v>74</v>
      </c>
      <c r="O133" s="1" t="s">
        <v>74</v>
      </c>
      <c r="P133" s="1" t="s">
        <v>74</v>
      </c>
      <c r="Q133" s="1" t="s">
        <v>74</v>
      </c>
      <c r="R133" s="1" t="s">
        <v>74</v>
      </c>
      <c r="S133" s="1" t="s">
        <v>74</v>
      </c>
      <c r="T133" s="1" t="s">
        <v>74</v>
      </c>
      <c r="U133" s="1" t="s">
        <v>74</v>
      </c>
      <c r="V133" s="1" t="s">
        <v>1545</v>
      </c>
      <c r="W133" s="1" t="s">
        <v>74</v>
      </c>
      <c r="X133" s="1" t="s">
        <v>74</v>
      </c>
      <c r="Y133" s="1" t="s">
        <v>74</v>
      </c>
      <c r="Z133" s="1" t="s">
        <v>74</v>
      </c>
      <c r="AA133" s="1" t="s">
        <v>1546</v>
      </c>
      <c r="AB133" s="1" t="s">
        <v>1547</v>
      </c>
      <c r="AC133" s="1" t="s">
        <v>74</v>
      </c>
      <c r="AD133" s="1" t="s">
        <v>74</v>
      </c>
      <c r="AE133" s="1" t="s">
        <v>74</v>
      </c>
      <c r="AF133" s="1" t="s">
        <v>74</v>
      </c>
      <c r="AG133" s="1" t="s">
        <v>74</v>
      </c>
      <c r="AH133" s="1" t="s">
        <v>74</v>
      </c>
      <c r="AI133" s="1" t="s">
        <v>74</v>
      </c>
      <c r="AJ133" s="1" t="s">
        <v>74</v>
      </c>
      <c r="AK133" s="1" t="s">
        <v>74</v>
      </c>
      <c r="AL133" s="1" t="s">
        <v>74</v>
      </c>
      <c r="AM133" s="1" t="s">
        <v>74</v>
      </c>
      <c r="AN133" s="1" t="s">
        <v>74</v>
      </c>
      <c r="AO133" s="1" t="s">
        <v>1548</v>
      </c>
      <c r="AP133" s="1" t="s">
        <v>1549</v>
      </c>
      <c r="AQ133" s="1" t="s">
        <v>74</v>
      </c>
      <c r="AR133" s="1" t="s">
        <v>74</v>
      </c>
      <c r="AS133" s="1" t="s">
        <v>74</v>
      </c>
      <c r="AT133" s="1" t="s">
        <v>422</v>
      </c>
      <c r="AU133" s="1">
        <v>2016.0</v>
      </c>
      <c r="AV133" s="1">
        <v>82.0</v>
      </c>
      <c r="AW133" s="1" t="s">
        <v>74</v>
      </c>
      <c r="AX133" s="1" t="s">
        <v>74</v>
      </c>
      <c r="AY133" s="1" t="s">
        <v>74</v>
      </c>
      <c r="AZ133" s="1" t="s">
        <v>74</v>
      </c>
      <c r="BA133" s="1" t="s">
        <v>74</v>
      </c>
      <c r="BB133" s="1">
        <v>59.0</v>
      </c>
      <c r="BC133" s="1">
        <v>64.0</v>
      </c>
      <c r="BD133" s="1" t="s">
        <v>74</v>
      </c>
      <c r="BE133" s="1" t="s">
        <v>1550</v>
      </c>
      <c r="BF133" s="2" t="str">
        <f>HYPERLINK("http://dx.doi.org/10.1016/j.ypmed.2015.11.012","http://dx.doi.org/10.1016/j.ypmed.2015.11.012")</f>
        <v>http://dx.doi.org/10.1016/j.ypmed.2015.11.012</v>
      </c>
      <c r="BG133" s="1" t="s">
        <v>74</v>
      </c>
      <c r="BH133" s="1" t="s">
        <v>74</v>
      </c>
      <c r="BI133" s="1" t="s">
        <v>74</v>
      </c>
      <c r="BJ133" s="1" t="s">
        <v>74</v>
      </c>
      <c r="BK133" s="1" t="s">
        <v>74</v>
      </c>
      <c r="BL133" s="1" t="s">
        <v>74</v>
      </c>
      <c r="BM133" s="1" t="s">
        <v>74</v>
      </c>
      <c r="BN133" s="1">
        <v>2.6601643E7</v>
      </c>
      <c r="BO133" s="1" t="s">
        <v>74</v>
      </c>
      <c r="BP133" s="1" t="s">
        <v>74</v>
      </c>
      <c r="BQ133" s="1" t="s">
        <v>74</v>
      </c>
      <c r="BR133" s="1" t="s">
        <v>74</v>
      </c>
      <c r="BS133" s="1" t="s">
        <v>1551</v>
      </c>
      <c r="BT133" s="1" t="str">
        <f>HYPERLINK("https%3A%2F%2Fwww.webofscience.com%2Fwos%2Fwoscc%2Ffull-record%2FWOS:000371932600009","View Full Record in Web of Science")</f>
        <v>View Full Record in Web of Science</v>
      </c>
    </row>
    <row r="134" ht="12.75" customHeight="1">
      <c r="A134" s="1" t="s">
        <v>742</v>
      </c>
      <c r="B134" s="1" t="s">
        <v>1552</v>
      </c>
      <c r="C134" s="1" t="s">
        <v>74</v>
      </c>
      <c r="D134" s="1" t="s">
        <v>1553</v>
      </c>
      <c r="E134" s="1" t="s">
        <v>74</v>
      </c>
      <c r="F134" s="1" t="s">
        <v>1554</v>
      </c>
      <c r="G134" s="1" t="s">
        <v>74</v>
      </c>
      <c r="H134" s="1" t="s">
        <v>74</v>
      </c>
      <c r="I134" s="1" t="s">
        <v>1555</v>
      </c>
      <c r="J134" s="1" t="s">
        <v>1556</v>
      </c>
      <c r="K134" s="1" t="s">
        <v>1557</v>
      </c>
      <c r="L134" s="1" t="s">
        <v>74</v>
      </c>
      <c r="M134" s="1" t="s">
        <v>74</v>
      </c>
      <c r="N134" s="1" t="s">
        <v>74</v>
      </c>
      <c r="O134" s="1" t="s">
        <v>74</v>
      </c>
      <c r="P134" s="1" t="s">
        <v>74</v>
      </c>
      <c r="Q134" s="1" t="s">
        <v>74</v>
      </c>
      <c r="R134" s="1" t="s">
        <v>74</v>
      </c>
      <c r="S134" s="1" t="s">
        <v>74</v>
      </c>
      <c r="T134" s="1" t="s">
        <v>74</v>
      </c>
      <c r="U134" s="1" t="s">
        <v>74</v>
      </c>
      <c r="V134" s="1" t="s">
        <v>74</v>
      </c>
      <c r="W134" s="1" t="s">
        <v>74</v>
      </c>
      <c r="X134" s="1" t="s">
        <v>74</v>
      </c>
      <c r="Y134" s="1" t="s">
        <v>74</v>
      </c>
      <c r="Z134" s="1" t="s">
        <v>74</v>
      </c>
      <c r="AA134" s="1" t="s">
        <v>1558</v>
      </c>
      <c r="AB134" s="1" t="s">
        <v>74</v>
      </c>
      <c r="AC134" s="1" t="s">
        <v>74</v>
      </c>
      <c r="AD134" s="1" t="s">
        <v>74</v>
      </c>
      <c r="AE134" s="1" t="s">
        <v>74</v>
      </c>
      <c r="AF134" s="1" t="s">
        <v>74</v>
      </c>
      <c r="AG134" s="1" t="s">
        <v>74</v>
      </c>
      <c r="AH134" s="1" t="s">
        <v>74</v>
      </c>
      <c r="AI134" s="1" t="s">
        <v>74</v>
      </c>
      <c r="AJ134" s="1" t="s">
        <v>74</v>
      </c>
      <c r="AK134" s="1" t="s">
        <v>74</v>
      </c>
      <c r="AL134" s="1" t="s">
        <v>74</v>
      </c>
      <c r="AM134" s="1" t="s">
        <v>74</v>
      </c>
      <c r="AN134" s="1" t="s">
        <v>74</v>
      </c>
      <c r="AO134" s="1" t="s">
        <v>74</v>
      </c>
      <c r="AP134" s="1" t="s">
        <v>74</v>
      </c>
      <c r="AQ134" s="1" t="s">
        <v>1559</v>
      </c>
      <c r="AR134" s="1" t="s">
        <v>74</v>
      </c>
      <c r="AS134" s="1" t="s">
        <v>74</v>
      </c>
      <c r="AT134" s="1" t="s">
        <v>74</v>
      </c>
      <c r="AU134" s="1">
        <v>2015.0</v>
      </c>
      <c r="AV134" s="1" t="s">
        <v>74</v>
      </c>
      <c r="AW134" s="1" t="s">
        <v>74</v>
      </c>
      <c r="AX134" s="1" t="s">
        <v>74</v>
      </c>
      <c r="AY134" s="1" t="s">
        <v>74</v>
      </c>
      <c r="AZ134" s="1" t="s">
        <v>74</v>
      </c>
      <c r="BA134" s="1" t="s">
        <v>74</v>
      </c>
      <c r="BB134" s="1">
        <v>137.0</v>
      </c>
      <c r="BC134" s="1">
        <v>164.0</v>
      </c>
      <c r="BD134" s="1" t="s">
        <v>74</v>
      </c>
      <c r="BE134" s="1" t="s">
        <v>74</v>
      </c>
      <c r="BF134" s="1" t="s">
        <v>74</v>
      </c>
      <c r="BG134" s="1" t="s">
        <v>74</v>
      </c>
      <c r="BH134" s="1" t="s">
        <v>74</v>
      </c>
      <c r="BI134" s="1" t="s">
        <v>74</v>
      </c>
      <c r="BJ134" s="1" t="s">
        <v>74</v>
      </c>
      <c r="BK134" s="1" t="s">
        <v>74</v>
      </c>
      <c r="BL134" s="1" t="s">
        <v>74</v>
      </c>
      <c r="BM134" s="1" t="s">
        <v>74</v>
      </c>
      <c r="BN134" s="1" t="s">
        <v>74</v>
      </c>
      <c r="BO134" s="1" t="s">
        <v>74</v>
      </c>
      <c r="BP134" s="1" t="s">
        <v>74</v>
      </c>
      <c r="BQ134" s="1" t="s">
        <v>74</v>
      </c>
      <c r="BR134" s="1" t="s">
        <v>74</v>
      </c>
      <c r="BS134" s="1" t="s">
        <v>1560</v>
      </c>
      <c r="BT134" s="1" t="str">
        <f>HYPERLINK("https%3A%2F%2Fwww.webofscience.com%2Fwos%2Fwoscc%2Ffull-record%2FWOS:000358803900008","View Full Record in Web of Science")</f>
        <v>View Full Record in Web of Science</v>
      </c>
    </row>
    <row r="135" ht="12.75" customHeight="1">
      <c r="A135" s="1" t="s">
        <v>72</v>
      </c>
      <c r="B135" s="1" t="s">
        <v>1561</v>
      </c>
      <c r="C135" s="1" t="s">
        <v>74</v>
      </c>
      <c r="D135" s="1" t="s">
        <v>74</v>
      </c>
      <c r="E135" s="1" t="s">
        <v>74</v>
      </c>
      <c r="F135" s="1" t="s">
        <v>1562</v>
      </c>
      <c r="G135" s="1" t="s">
        <v>74</v>
      </c>
      <c r="H135" s="1" t="s">
        <v>74</v>
      </c>
      <c r="I135" s="1" t="s">
        <v>1563</v>
      </c>
      <c r="J135" s="1" t="s">
        <v>1564</v>
      </c>
      <c r="K135" s="1" t="s">
        <v>74</v>
      </c>
      <c r="L135" s="1" t="s">
        <v>74</v>
      </c>
      <c r="M135" s="1" t="s">
        <v>74</v>
      </c>
      <c r="N135" s="1" t="s">
        <v>74</v>
      </c>
      <c r="O135" s="1" t="s">
        <v>74</v>
      </c>
      <c r="P135" s="1" t="s">
        <v>74</v>
      </c>
      <c r="Q135" s="1" t="s">
        <v>74</v>
      </c>
      <c r="R135" s="1" t="s">
        <v>74</v>
      </c>
      <c r="S135" s="1" t="s">
        <v>74</v>
      </c>
      <c r="T135" s="1" t="s">
        <v>74</v>
      </c>
      <c r="U135" s="1" t="s">
        <v>74</v>
      </c>
      <c r="V135" s="1" t="s">
        <v>74</v>
      </c>
      <c r="W135" s="1" t="s">
        <v>74</v>
      </c>
      <c r="X135" s="1" t="s">
        <v>74</v>
      </c>
      <c r="Y135" s="1" t="s">
        <v>74</v>
      </c>
      <c r="Z135" s="1" t="s">
        <v>74</v>
      </c>
      <c r="AA135" s="1" t="s">
        <v>1565</v>
      </c>
      <c r="AB135" s="1" t="s">
        <v>1566</v>
      </c>
      <c r="AC135" s="1" t="s">
        <v>74</v>
      </c>
      <c r="AD135" s="1" t="s">
        <v>74</v>
      </c>
      <c r="AE135" s="1" t="s">
        <v>74</v>
      </c>
      <c r="AF135" s="1" t="s">
        <v>74</v>
      </c>
      <c r="AG135" s="1" t="s">
        <v>74</v>
      </c>
      <c r="AH135" s="1" t="s">
        <v>74</v>
      </c>
      <c r="AI135" s="1" t="s">
        <v>74</v>
      </c>
      <c r="AJ135" s="1" t="s">
        <v>74</v>
      </c>
      <c r="AK135" s="1" t="s">
        <v>74</v>
      </c>
      <c r="AL135" s="1" t="s">
        <v>74</v>
      </c>
      <c r="AM135" s="1" t="s">
        <v>74</v>
      </c>
      <c r="AN135" s="1" t="s">
        <v>74</v>
      </c>
      <c r="AO135" s="1" t="s">
        <v>1567</v>
      </c>
      <c r="AP135" s="1" t="s">
        <v>1568</v>
      </c>
      <c r="AQ135" s="1" t="s">
        <v>74</v>
      </c>
      <c r="AR135" s="1" t="s">
        <v>74</v>
      </c>
      <c r="AS135" s="1" t="s">
        <v>74</v>
      </c>
      <c r="AT135" s="1" t="s">
        <v>201</v>
      </c>
      <c r="AU135" s="1">
        <v>2014.0</v>
      </c>
      <c r="AV135" s="1">
        <v>75.0</v>
      </c>
      <c r="AW135" s="1" t="s">
        <v>74</v>
      </c>
      <c r="AX135" s="1" t="s">
        <v>74</v>
      </c>
      <c r="AY135" s="1">
        <v>1.0</v>
      </c>
      <c r="AZ135" s="1" t="s">
        <v>74</v>
      </c>
      <c r="BA135" s="1" t="s">
        <v>1569</v>
      </c>
      <c r="BB135" s="1" t="s">
        <v>1570</v>
      </c>
      <c r="BC135" s="1" t="s">
        <v>1570</v>
      </c>
      <c r="BD135" s="1" t="s">
        <v>74</v>
      </c>
      <c r="BE135" s="1" t="s">
        <v>1571</v>
      </c>
      <c r="BF135" s="2" t="str">
        <f>HYPERLINK("http://dx.doi.org/10.1016/j.freeradbiomed.2014.10.782","http://dx.doi.org/10.1016/j.freeradbiomed.2014.10.782")</f>
        <v>http://dx.doi.org/10.1016/j.freeradbiomed.2014.10.782</v>
      </c>
      <c r="BG135" s="1" t="s">
        <v>74</v>
      </c>
      <c r="BH135" s="1" t="s">
        <v>74</v>
      </c>
      <c r="BI135" s="1" t="s">
        <v>74</v>
      </c>
      <c r="BJ135" s="1" t="s">
        <v>74</v>
      </c>
      <c r="BK135" s="1" t="s">
        <v>74</v>
      </c>
      <c r="BL135" s="1" t="s">
        <v>74</v>
      </c>
      <c r="BM135" s="1" t="s">
        <v>74</v>
      </c>
      <c r="BN135" s="1">
        <v>2.6461359E7</v>
      </c>
      <c r="BO135" s="1" t="s">
        <v>74</v>
      </c>
      <c r="BP135" s="1" t="s">
        <v>74</v>
      </c>
      <c r="BQ135" s="1" t="s">
        <v>74</v>
      </c>
      <c r="BR135" s="1" t="s">
        <v>74</v>
      </c>
      <c r="BS135" s="1" t="s">
        <v>1572</v>
      </c>
      <c r="BT135" s="1" t="str">
        <f>HYPERLINK("https%3A%2F%2Fwww.webofscience.com%2Fwos%2Fwoscc%2Ffull-record%2FWOS:000359519800104","View Full Record in Web of Science")</f>
        <v>View Full Record in Web of Science</v>
      </c>
    </row>
    <row r="136" ht="12.75" customHeight="1">
      <c r="A136" s="1" t="s">
        <v>72</v>
      </c>
      <c r="B136" s="1" t="s">
        <v>1573</v>
      </c>
      <c r="C136" s="1" t="s">
        <v>74</v>
      </c>
      <c r="D136" s="1" t="s">
        <v>74</v>
      </c>
      <c r="E136" s="1" t="s">
        <v>74</v>
      </c>
      <c r="F136" s="1" t="s">
        <v>1574</v>
      </c>
      <c r="G136" s="1" t="s">
        <v>74</v>
      </c>
      <c r="H136" s="1" t="s">
        <v>74</v>
      </c>
      <c r="I136" s="1" t="s">
        <v>1575</v>
      </c>
      <c r="J136" s="1" t="s">
        <v>1576</v>
      </c>
      <c r="K136" s="1" t="s">
        <v>74</v>
      </c>
      <c r="L136" s="1" t="s">
        <v>74</v>
      </c>
      <c r="M136" s="1" t="s">
        <v>74</v>
      </c>
      <c r="N136" s="1" t="s">
        <v>74</v>
      </c>
      <c r="O136" s="1" t="s">
        <v>74</v>
      </c>
      <c r="P136" s="1" t="s">
        <v>74</v>
      </c>
      <c r="Q136" s="1" t="s">
        <v>74</v>
      </c>
      <c r="R136" s="1" t="s">
        <v>74</v>
      </c>
      <c r="S136" s="1" t="s">
        <v>74</v>
      </c>
      <c r="T136" s="1" t="s">
        <v>74</v>
      </c>
      <c r="U136" s="1" t="s">
        <v>74</v>
      </c>
      <c r="V136" s="1" t="s">
        <v>1577</v>
      </c>
      <c r="W136" s="1" t="s">
        <v>74</v>
      </c>
      <c r="X136" s="1" t="s">
        <v>74</v>
      </c>
      <c r="Y136" s="1" t="s">
        <v>74</v>
      </c>
      <c r="Z136" s="1" t="s">
        <v>74</v>
      </c>
      <c r="AA136" s="1" t="s">
        <v>1578</v>
      </c>
      <c r="AB136" s="1" t="s">
        <v>1579</v>
      </c>
      <c r="AC136" s="1" t="s">
        <v>74</v>
      </c>
      <c r="AD136" s="1" t="s">
        <v>74</v>
      </c>
      <c r="AE136" s="1" t="s">
        <v>74</v>
      </c>
      <c r="AF136" s="1" t="s">
        <v>74</v>
      </c>
      <c r="AG136" s="1" t="s">
        <v>74</v>
      </c>
      <c r="AH136" s="1" t="s">
        <v>74</v>
      </c>
      <c r="AI136" s="1" t="s">
        <v>74</v>
      </c>
      <c r="AJ136" s="1" t="s">
        <v>74</v>
      </c>
      <c r="AK136" s="1" t="s">
        <v>74</v>
      </c>
      <c r="AL136" s="1" t="s">
        <v>74</v>
      </c>
      <c r="AM136" s="1" t="s">
        <v>74</v>
      </c>
      <c r="AN136" s="1" t="s">
        <v>74</v>
      </c>
      <c r="AO136" s="1" t="s">
        <v>1580</v>
      </c>
      <c r="AP136" s="1" t="s">
        <v>74</v>
      </c>
      <c r="AQ136" s="1" t="s">
        <v>74</v>
      </c>
      <c r="AR136" s="1" t="s">
        <v>74</v>
      </c>
      <c r="AS136" s="1" t="s">
        <v>74</v>
      </c>
      <c r="AT136" s="1" t="s">
        <v>537</v>
      </c>
      <c r="AU136" s="1">
        <v>2013.0</v>
      </c>
      <c r="AV136" s="1">
        <v>117.0</v>
      </c>
      <c r="AW136" s="1">
        <v>1197.0</v>
      </c>
      <c r="AX136" s="1" t="s">
        <v>74</v>
      </c>
      <c r="AY136" s="1" t="s">
        <v>74</v>
      </c>
      <c r="AZ136" s="1" t="s">
        <v>74</v>
      </c>
      <c r="BA136" s="1" t="s">
        <v>74</v>
      </c>
      <c r="BB136" s="1">
        <v>1167.0</v>
      </c>
      <c r="BC136" s="1">
        <v>1176.0</v>
      </c>
      <c r="BD136" s="1" t="s">
        <v>74</v>
      </c>
      <c r="BE136" s="1" t="s">
        <v>1581</v>
      </c>
      <c r="BF136" s="2" t="str">
        <f>HYPERLINK("http://dx.doi.org/10.1017/S0001924000008769","http://dx.doi.org/10.1017/S0001924000008769")</f>
        <v>http://dx.doi.org/10.1017/S0001924000008769</v>
      </c>
      <c r="BG136" s="1" t="s">
        <v>74</v>
      </c>
      <c r="BH136" s="1" t="s">
        <v>74</v>
      </c>
      <c r="BI136" s="1" t="s">
        <v>74</v>
      </c>
      <c r="BJ136" s="1" t="s">
        <v>74</v>
      </c>
      <c r="BK136" s="1" t="s">
        <v>74</v>
      </c>
      <c r="BL136" s="1" t="s">
        <v>74</v>
      </c>
      <c r="BM136" s="1" t="s">
        <v>74</v>
      </c>
      <c r="BN136" s="1" t="s">
        <v>74</v>
      </c>
      <c r="BO136" s="1" t="s">
        <v>74</v>
      </c>
      <c r="BP136" s="1" t="s">
        <v>74</v>
      </c>
      <c r="BQ136" s="1" t="s">
        <v>74</v>
      </c>
      <c r="BR136" s="1" t="s">
        <v>74</v>
      </c>
      <c r="BS136" s="1" t="s">
        <v>1582</v>
      </c>
      <c r="BT136" s="1" t="str">
        <f>HYPERLINK("https%3A%2F%2Fwww.webofscience.com%2Fwos%2Fwoscc%2Ffull-record%2FWOS:000327557200006","View Full Record in Web of Science")</f>
        <v>View Full Record in Web of Science</v>
      </c>
    </row>
    <row r="137" ht="12.75" customHeight="1">
      <c r="A137" s="1" t="s">
        <v>72</v>
      </c>
      <c r="B137" s="1" t="s">
        <v>1583</v>
      </c>
      <c r="C137" s="1" t="s">
        <v>74</v>
      </c>
      <c r="D137" s="1" t="s">
        <v>74</v>
      </c>
      <c r="E137" s="1" t="s">
        <v>74</v>
      </c>
      <c r="F137" s="1" t="s">
        <v>1584</v>
      </c>
      <c r="G137" s="1" t="s">
        <v>74</v>
      </c>
      <c r="H137" s="1" t="s">
        <v>74</v>
      </c>
      <c r="I137" s="1" t="s">
        <v>1585</v>
      </c>
      <c r="J137" s="1" t="s">
        <v>1586</v>
      </c>
      <c r="K137" s="1" t="s">
        <v>74</v>
      </c>
      <c r="L137" s="1" t="s">
        <v>74</v>
      </c>
      <c r="M137" s="1" t="s">
        <v>74</v>
      </c>
      <c r="N137" s="1" t="s">
        <v>74</v>
      </c>
      <c r="O137" s="1" t="s">
        <v>74</v>
      </c>
      <c r="P137" s="1" t="s">
        <v>74</v>
      </c>
      <c r="Q137" s="1" t="s">
        <v>74</v>
      </c>
      <c r="R137" s="1" t="s">
        <v>74</v>
      </c>
      <c r="S137" s="1" t="s">
        <v>74</v>
      </c>
      <c r="T137" s="1" t="s">
        <v>74</v>
      </c>
      <c r="U137" s="1" t="s">
        <v>74</v>
      </c>
      <c r="V137" s="1" t="s">
        <v>1587</v>
      </c>
      <c r="W137" s="1" t="s">
        <v>74</v>
      </c>
      <c r="X137" s="1" t="s">
        <v>74</v>
      </c>
      <c r="Y137" s="1" t="s">
        <v>74</v>
      </c>
      <c r="Z137" s="1" t="s">
        <v>74</v>
      </c>
      <c r="AA137" s="1" t="s">
        <v>74</v>
      </c>
      <c r="AB137" s="1" t="s">
        <v>1588</v>
      </c>
      <c r="AC137" s="1" t="s">
        <v>74</v>
      </c>
      <c r="AD137" s="1" t="s">
        <v>74</v>
      </c>
      <c r="AE137" s="1" t="s">
        <v>74</v>
      </c>
      <c r="AF137" s="1" t="s">
        <v>74</v>
      </c>
      <c r="AG137" s="1" t="s">
        <v>74</v>
      </c>
      <c r="AH137" s="1" t="s">
        <v>74</v>
      </c>
      <c r="AI137" s="1" t="s">
        <v>74</v>
      </c>
      <c r="AJ137" s="1" t="s">
        <v>74</v>
      </c>
      <c r="AK137" s="1" t="s">
        <v>74</v>
      </c>
      <c r="AL137" s="1" t="s">
        <v>74</v>
      </c>
      <c r="AM137" s="1" t="s">
        <v>74</v>
      </c>
      <c r="AN137" s="1" t="s">
        <v>74</v>
      </c>
      <c r="AO137" s="1" t="s">
        <v>1589</v>
      </c>
      <c r="AP137" s="1" t="s">
        <v>1590</v>
      </c>
      <c r="AQ137" s="1" t="s">
        <v>74</v>
      </c>
      <c r="AR137" s="1" t="s">
        <v>74</v>
      </c>
      <c r="AS137" s="1" t="s">
        <v>74</v>
      </c>
      <c r="AT137" s="1" t="s">
        <v>74</v>
      </c>
      <c r="AU137" s="1">
        <v>2009.0</v>
      </c>
      <c r="AV137" s="1">
        <v>139.0</v>
      </c>
      <c r="AW137" s="1" t="s">
        <v>74</v>
      </c>
      <c r="AX137" s="1">
        <v>1.0</v>
      </c>
      <c r="AY137" s="1" t="s">
        <v>74</v>
      </c>
      <c r="AZ137" s="1" t="s">
        <v>74</v>
      </c>
      <c r="BA137" s="1" t="s">
        <v>74</v>
      </c>
      <c r="BB137" s="1">
        <v>183.0</v>
      </c>
      <c r="BC137" s="1">
        <v>192.0</v>
      </c>
      <c r="BD137" s="1" t="s">
        <v>74</v>
      </c>
      <c r="BE137" s="1" t="s">
        <v>1591</v>
      </c>
      <c r="BF137" s="2" t="str">
        <f>HYPERLINK("http://dx.doi.org/10.1017/S0308210507000583","http://dx.doi.org/10.1017/S0308210507000583")</f>
        <v>http://dx.doi.org/10.1017/S0308210507000583</v>
      </c>
      <c r="BG137" s="1" t="s">
        <v>74</v>
      </c>
      <c r="BH137" s="1" t="s">
        <v>74</v>
      </c>
      <c r="BI137" s="1" t="s">
        <v>74</v>
      </c>
      <c r="BJ137" s="1" t="s">
        <v>74</v>
      </c>
      <c r="BK137" s="1" t="s">
        <v>74</v>
      </c>
      <c r="BL137" s="1" t="s">
        <v>74</v>
      </c>
      <c r="BM137" s="1" t="s">
        <v>74</v>
      </c>
      <c r="BN137" s="1" t="s">
        <v>74</v>
      </c>
      <c r="BO137" s="1" t="s">
        <v>74</v>
      </c>
      <c r="BP137" s="1" t="s">
        <v>74</v>
      </c>
      <c r="BQ137" s="1" t="s">
        <v>74</v>
      </c>
      <c r="BR137" s="1" t="s">
        <v>74</v>
      </c>
      <c r="BS137" s="1" t="s">
        <v>1592</v>
      </c>
      <c r="BT137" s="1" t="str">
        <f>HYPERLINK("https%3A%2F%2Fwww.webofscience.com%2Fwos%2Fwoscc%2Ffull-record%2FWOS:000263853800008","View Full Record in Web of Science")</f>
        <v>View Full Record in Web of Science</v>
      </c>
    </row>
    <row r="138" ht="12.75" customHeight="1">
      <c r="A138" s="1" t="s">
        <v>72</v>
      </c>
      <c r="B138" s="1" t="s">
        <v>1593</v>
      </c>
      <c r="C138" s="1" t="s">
        <v>74</v>
      </c>
      <c r="D138" s="1" t="s">
        <v>74</v>
      </c>
      <c r="E138" s="1" t="s">
        <v>74</v>
      </c>
      <c r="F138" s="1" t="s">
        <v>1594</v>
      </c>
      <c r="G138" s="1" t="s">
        <v>74</v>
      </c>
      <c r="H138" s="1" t="s">
        <v>74</v>
      </c>
      <c r="I138" s="1" t="s">
        <v>1595</v>
      </c>
      <c r="J138" s="1" t="s">
        <v>1596</v>
      </c>
      <c r="K138" s="1" t="s">
        <v>74</v>
      </c>
      <c r="L138" s="1" t="s">
        <v>74</v>
      </c>
      <c r="M138" s="1" t="s">
        <v>74</v>
      </c>
      <c r="N138" s="1" t="s">
        <v>74</v>
      </c>
      <c r="O138" s="1" t="s">
        <v>74</v>
      </c>
      <c r="P138" s="1" t="s">
        <v>74</v>
      </c>
      <c r="Q138" s="1" t="s">
        <v>74</v>
      </c>
      <c r="R138" s="1" t="s">
        <v>74</v>
      </c>
      <c r="S138" s="1" t="s">
        <v>74</v>
      </c>
      <c r="T138" s="1" t="s">
        <v>74</v>
      </c>
      <c r="U138" s="1" t="s">
        <v>74</v>
      </c>
      <c r="V138" s="1" t="s">
        <v>1597</v>
      </c>
      <c r="W138" s="1" t="s">
        <v>74</v>
      </c>
      <c r="X138" s="1" t="s">
        <v>74</v>
      </c>
      <c r="Y138" s="1" t="s">
        <v>74</v>
      </c>
      <c r="Z138" s="1" t="s">
        <v>74</v>
      </c>
      <c r="AA138" s="1" t="s">
        <v>1598</v>
      </c>
      <c r="AB138" s="1" t="s">
        <v>1599</v>
      </c>
      <c r="AC138" s="1" t="s">
        <v>74</v>
      </c>
      <c r="AD138" s="1" t="s">
        <v>74</v>
      </c>
      <c r="AE138" s="1" t="s">
        <v>74</v>
      </c>
      <c r="AF138" s="1" t="s">
        <v>74</v>
      </c>
      <c r="AG138" s="1" t="s">
        <v>74</v>
      </c>
      <c r="AH138" s="1" t="s">
        <v>74</v>
      </c>
      <c r="AI138" s="1" t="s">
        <v>74</v>
      </c>
      <c r="AJ138" s="1" t="s">
        <v>74</v>
      </c>
      <c r="AK138" s="1" t="s">
        <v>74</v>
      </c>
      <c r="AL138" s="1" t="s">
        <v>74</v>
      </c>
      <c r="AM138" s="1" t="s">
        <v>74</v>
      </c>
      <c r="AN138" s="1" t="s">
        <v>74</v>
      </c>
      <c r="AO138" s="1" t="s">
        <v>1600</v>
      </c>
      <c r="AP138" s="1" t="s">
        <v>74</v>
      </c>
      <c r="AQ138" s="1" t="s">
        <v>74</v>
      </c>
      <c r="AR138" s="1" t="s">
        <v>74</v>
      </c>
      <c r="AS138" s="1" t="s">
        <v>74</v>
      </c>
      <c r="AT138" s="1" t="s">
        <v>307</v>
      </c>
      <c r="AU138" s="1">
        <v>2007.0</v>
      </c>
      <c r="AV138" s="1">
        <v>52.0</v>
      </c>
      <c r="AW138" s="1">
        <v>4.0</v>
      </c>
      <c r="AX138" s="1" t="s">
        <v>74</v>
      </c>
      <c r="AY138" s="1" t="s">
        <v>74</v>
      </c>
      <c r="AZ138" s="1" t="s">
        <v>74</v>
      </c>
      <c r="BA138" s="1" t="s">
        <v>74</v>
      </c>
      <c r="BB138" s="1">
        <v>1326.0</v>
      </c>
      <c r="BC138" s="1">
        <v>1329.0</v>
      </c>
      <c r="BD138" s="1" t="s">
        <v>74</v>
      </c>
      <c r="BE138" s="1" t="s">
        <v>74</v>
      </c>
      <c r="BF138" s="1" t="s">
        <v>74</v>
      </c>
      <c r="BG138" s="1" t="s">
        <v>74</v>
      </c>
      <c r="BH138" s="1" t="s">
        <v>74</v>
      </c>
      <c r="BI138" s="1" t="s">
        <v>74</v>
      </c>
      <c r="BJ138" s="1" t="s">
        <v>74</v>
      </c>
      <c r="BK138" s="1" t="s">
        <v>74</v>
      </c>
      <c r="BL138" s="1" t="s">
        <v>74</v>
      </c>
      <c r="BM138" s="1" t="s">
        <v>74</v>
      </c>
      <c r="BN138" s="1" t="s">
        <v>74</v>
      </c>
      <c r="BO138" s="1" t="s">
        <v>74</v>
      </c>
      <c r="BP138" s="1" t="s">
        <v>74</v>
      </c>
      <c r="BQ138" s="1" t="s">
        <v>74</v>
      </c>
      <c r="BR138" s="1" t="s">
        <v>74</v>
      </c>
      <c r="BS138" s="1" t="s">
        <v>1601</v>
      </c>
      <c r="BT138" s="1" t="str">
        <f>HYPERLINK("https%3A%2F%2Fwww.webofscience.com%2Fwos%2Fwoscc%2Ffull-record%2FWOS:000252154400013","View Full Record in Web of Science")</f>
        <v>View Full Record in Web of Science</v>
      </c>
    </row>
    <row r="139" ht="12.75" customHeight="1">
      <c r="A139" s="1" t="s">
        <v>72</v>
      </c>
      <c r="B139" s="1" t="s">
        <v>1602</v>
      </c>
      <c r="C139" s="1" t="s">
        <v>74</v>
      </c>
      <c r="D139" s="1" t="s">
        <v>74</v>
      </c>
      <c r="E139" s="1" t="s">
        <v>74</v>
      </c>
      <c r="F139" s="1" t="s">
        <v>1602</v>
      </c>
      <c r="G139" s="1" t="s">
        <v>74</v>
      </c>
      <c r="H139" s="1" t="s">
        <v>74</v>
      </c>
      <c r="I139" s="1" t="s">
        <v>1603</v>
      </c>
      <c r="J139" s="1" t="s">
        <v>1604</v>
      </c>
      <c r="K139" s="1" t="s">
        <v>74</v>
      </c>
      <c r="L139" s="1" t="s">
        <v>74</v>
      </c>
      <c r="M139" s="1" t="s">
        <v>74</v>
      </c>
      <c r="N139" s="1" t="s">
        <v>74</v>
      </c>
      <c r="O139" s="1" t="s">
        <v>74</v>
      </c>
      <c r="P139" s="1" t="s">
        <v>74</v>
      </c>
      <c r="Q139" s="1" t="s">
        <v>74</v>
      </c>
      <c r="R139" s="1" t="s">
        <v>74</v>
      </c>
      <c r="S139" s="1" t="s">
        <v>74</v>
      </c>
      <c r="T139" s="1" t="s">
        <v>74</v>
      </c>
      <c r="U139" s="1" t="s">
        <v>74</v>
      </c>
      <c r="V139" s="1" t="s">
        <v>1605</v>
      </c>
      <c r="W139" s="1" t="s">
        <v>74</v>
      </c>
      <c r="X139" s="1" t="s">
        <v>74</v>
      </c>
      <c r="Y139" s="1" t="s">
        <v>74</v>
      </c>
      <c r="Z139" s="1" t="s">
        <v>74</v>
      </c>
      <c r="AA139" s="1" t="s">
        <v>1606</v>
      </c>
      <c r="AB139" s="1" t="s">
        <v>1607</v>
      </c>
      <c r="AC139" s="1" t="s">
        <v>74</v>
      </c>
      <c r="AD139" s="1" t="s">
        <v>74</v>
      </c>
      <c r="AE139" s="1" t="s">
        <v>74</v>
      </c>
      <c r="AF139" s="1" t="s">
        <v>74</v>
      </c>
      <c r="AG139" s="1" t="s">
        <v>74</v>
      </c>
      <c r="AH139" s="1" t="s">
        <v>74</v>
      </c>
      <c r="AI139" s="1" t="s">
        <v>74</v>
      </c>
      <c r="AJ139" s="1" t="s">
        <v>74</v>
      </c>
      <c r="AK139" s="1" t="s">
        <v>74</v>
      </c>
      <c r="AL139" s="1" t="s">
        <v>74</v>
      </c>
      <c r="AM139" s="1" t="s">
        <v>74</v>
      </c>
      <c r="AN139" s="1" t="s">
        <v>74</v>
      </c>
      <c r="AO139" s="1" t="s">
        <v>1608</v>
      </c>
      <c r="AP139" s="1" t="s">
        <v>74</v>
      </c>
      <c r="AQ139" s="1" t="s">
        <v>74</v>
      </c>
      <c r="AR139" s="1" t="s">
        <v>74</v>
      </c>
      <c r="AS139" s="1" t="s">
        <v>74</v>
      </c>
      <c r="AT139" s="1" t="s">
        <v>1609</v>
      </c>
      <c r="AU139" s="1">
        <v>2005.0</v>
      </c>
      <c r="AV139" s="1">
        <v>391.0</v>
      </c>
      <c r="AW139" s="1" t="s">
        <v>527</v>
      </c>
      <c r="AX139" s="1" t="s">
        <v>74</v>
      </c>
      <c r="AY139" s="1" t="s">
        <v>74</v>
      </c>
      <c r="AZ139" s="1" t="s">
        <v>74</v>
      </c>
      <c r="BA139" s="1" t="s">
        <v>74</v>
      </c>
      <c r="BB139" s="1">
        <v>267.0</v>
      </c>
      <c r="BC139" s="1">
        <v>276.0</v>
      </c>
      <c r="BD139" s="1" t="s">
        <v>74</v>
      </c>
      <c r="BE139" s="1" t="s">
        <v>1610</v>
      </c>
      <c r="BF139" s="2" t="str">
        <f>HYPERLINK("http://dx.doi.org/10.1016/j.jallcom.2004.08.081","http://dx.doi.org/10.1016/j.jallcom.2004.08.081")</f>
        <v>http://dx.doi.org/10.1016/j.jallcom.2004.08.081</v>
      </c>
      <c r="BG139" s="1" t="s">
        <v>74</v>
      </c>
      <c r="BH139" s="1" t="s">
        <v>74</v>
      </c>
      <c r="BI139" s="1" t="s">
        <v>74</v>
      </c>
      <c r="BJ139" s="1" t="s">
        <v>74</v>
      </c>
      <c r="BK139" s="1" t="s">
        <v>74</v>
      </c>
      <c r="BL139" s="1" t="s">
        <v>74</v>
      </c>
      <c r="BM139" s="1" t="s">
        <v>74</v>
      </c>
      <c r="BN139" s="1" t="s">
        <v>74</v>
      </c>
      <c r="BO139" s="1" t="s">
        <v>74</v>
      </c>
      <c r="BP139" s="1" t="s">
        <v>74</v>
      </c>
      <c r="BQ139" s="1" t="s">
        <v>74</v>
      </c>
      <c r="BR139" s="1" t="s">
        <v>74</v>
      </c>
      <c r="BS139" s="1" t="s">
        <v>1611</v>
      </c>
      <c r="BT139" s="1" t="str">
        <f>HYPERLINK("https%3A%2F%2Fwww.webofscience.com%2Fwos%2Fwoscc%2Ffull-record%2FWOS:000227745500048","View Full Record in Web of Science")</f>
        <v>View Full Record in Web of Science</v>
      </c>
    </row>
    <row r="140" ht="12.75" customHeight="1">
      <c r="A140" s="1" t="s">
        <v>72</v>
      </c>
      <c r="B140" s="1" t="s">
        <v>1612</v>
      </c>
      <c r="C140" s="1" t="s">
        <v>74</v>
      </c>
      <c r="D140" s="1" t="s">
        <v>74</v>
      </c>
      <c r="E140" s="1" t="s">
        <v>74</v>
      </c>
      <c r="F140" s="1" t="s">
        <v>1612</v>
      </c>
      <c r="G140" s="1" t="s">
        <v>74</v>
      </c>
      <c r="H140" s="1" t="s">
        <v>74</v>
      </c>
      <c r="I140" s="1" t="s">
        <v>1613</v>
      </c>
      <c r="J140" s="1" t="s">
        <v>666</v>
      </c>
      <c r="K140" s="1" t="s">
        <v>74</v>
      </c>
      <c r="L140" s="1" t="s">
        <v>74</v>
      </c>
      <c r="M140" s="1" t="s">
        <v>74</v>
      </c>
      <c r="N140" s="1" t="s">
        <v>74</v>
      </c>
      <c r="O140" s="1" t="s">
        <v>74</v>
      </c>
      <c r="P140" s="1" t="s">
        <v>74</v>
      </c>
      <c r="Q140" s="1" t="s">
        <v>74</v>
      </c>
      <c r="R140" s="1" t="s">
        <v>74</v>
      </c>
      <c r="S140" s="1" t="s">
        <v>74</v>
      </c>
      <c r="T140" s="1" t="s">
        <v>74</v>
      </c>
      <c r="U140" s="1" t="s">
        <v>74</v>
      </c>
      <c r="V140" s="1" t="s">
        <v>1614</v>
      </c>
      <c r="W140" s="1" t="s">
        <v>74</v>
      </c>
      <c r="X140" s="1" t="s">
        <v>74</v>
      </c>
      <c r="Y140" s="1" t="s">
        <v>74</v>
      </c>
      <c r="Z140" s="1" t="s">
        <v>74</v>
      </c>
      <c r="AA140" s="1" t="s">
        <v>1615</v>
      </c>
      <c r="AB140" s="1" t="s">
        <v>1616</v>
      </c>
      <c r="AC140" s="1" t="s">
        <v>74</v>
      </c>
      <c r="AD140" s="1" t="s">
        <v>74</v>
      </c>
      <c r="AE140" s="1" t="s">
        <v>74</v>
      </c>
      <c r="AF140" s="1" t="s">
        <v>74</v>
      </c>
      <c r="AG140" s="1" t="s">
        <v>74</v>
      </c>
      <c r="AH140" s="1" t="s">
        <v>74</v>
      </c>
      <c r="AI140" s="1" t="s">
        <v>74</v>
      </c>
      <c r="AJ140" s="1" t="s">
        <v>74</v>
      </c>
      <c r="AK140" s="1" t="s">
        <v>74</v>
      </c>
      <c r="AL140" s="1" t="s">
        <v>74</v>
      </c>
      <c r="AM140" s="1" t="s">
        <v>74</v>
      </c>
      <c r="AN140" s="1" t="s">
        <v>74</v>
      </c>
      <c r="AO140" s="1" t="s">
        <v>670</v>
      </c>
      <c r="AP140" s="1" t="s">
        <v>74</v>
      </c>
      <c r="AQ140" s="1" t="s">
        <v>74</v>
      </c>
      <c r="AR140" s="1" t="s">
        <v>74</v>
      </c>
      <c r="AS140" s="1" t="s">
        <v>74</v>
      </c>
      <c r="AT140" s="1" t="s">
        <v>1617</v>
      </c>
      <c r="AU140" s="1">
        <v>2005.0</v>
      </c>
      <c r="AV140" s="1">
        <v>355.0</v>
      </c>
      <c r="AW140" s="1" t="s">
        <v>1214</v>
      </c>
      <c r="AX140" s="1" t="s">
        <v>74</v>
      </c>
      <c r="AY140" s="1" t="s">
        <v>74</v>
      </c>
      <c r="AZ140" s="1" t="s">
        <v>74</v>
      </c>
      <c r="BA140" s="1" t="s">
        <v>74</v>
      </c>
      <c r="BB140" s="1">
        <v>1.0</v>
      </c>
      <c r="BC140" s="1">
        <v>8.0</v>
      </c>
      <c r="BD140" s="1" t="s">
        <v>74</v>
      </c>
      <c r="BE140" s="1" t="s">
        <v>1618</v>
      </c>
      <c r="BF140" s="2" t="str">
        <f>HYPERLINK("http://dx.doi.org/10.1016/j.physb.2004.08.009","http://dx.doi.org/10.1016/j.physb.2004.08.009")</f>
        <v>http://dx.doi.org/10.1016/j.physb.2004.08.009</v>
      </c>
      <c r="BG140" s="1" t="s">
        <v>74</v>
      </c>
      <c r="BH140" s="1" t="s">
        <v>74</v>
      </c>
      <c r="BI140" s="1" t="s">
        <v>74</v>
      </c>
      <c r="BJ140" s="1" t="s">
        <v>74</v>
      </c>
      <c r="BK140" s="1" t="s">
        <v>74</v>
      </c>
      <c r="BL140" s="1" t="s">
        <v>74</v>
      </c>
      <c r="BM140" s="1" t="s">
        <v>74</v>
      </c>
      <c r="BN140" s="1" t="s">
        <v>74</v>
      </c>
      <c r="BO140" s="1" t="s">
        <v>74</v>
      </c>
      <c r="BP140" s="1" t="s">
        <v>74</v>
      </c>
      <c r="BQ140" s="1" t="s">
        <v>74</v>
      </c>
      <c r="BR140" s="1" t="s">
        <v>74</v>
      </c>
      <c r="BS140" s="1" t="s">
        <v>1619</v>
      </c>
      <c r="BT140" s="1" t="str">
        <f>HYPERLINK("https%3A%2F%2Fwww.webofscience.com%2Fwos%2Fwoscc%2Ffull-record%2FWOS:000226733300001","View Full Record in Web of Science")</f>
        <v>View Full Record in Web of Science</v>
      </c>
    </row>
    <row r="141" ht="12.75" customHeight="1">
      <c r="A141" s="1" t="s">
        <v>72</v>
      </c>
      <c r="B141" s="1" t="s">
        <v>1620</v>
      </c>
      <c r="C141" s="1" t="s">
        <v>74</v>
      </c>
      <c r="D141" s="1" t="s">
        <v>74</v>
      </c>
      <c r="E141" s="1" t="s">
        <v>74</v>
      </c>
      <c r="F141" s="1" t="s">
        <v>1620</v>
      </c>
      <c r="G141" s="1" t="s">
        <v>74</v>
      </c>
      <c r="H141" s="1" t="s">
        <v>74</v>
      </c>
      <c r="I141" s="1" t="s">
        <v>1621</v>
      </c>
      <c r="J141" s="1" t="s">
        <v>1622</v>
      </c>
      <c r="K141" s="1" t="s">
        <v>74</v>
      </c>
      <c r="L141" s="1" t="s">
        <v>74</v>
      </c>
      <c r="M141" s="1" t="s">
        <v>74</v>
      </c>
      <c r="N141" s="1" t="s">
        <v>74</v>
      </c>
      <c r="O141" s="1" t="s">
        <v>74</v>
      </c>
      <c r="P141" s="1" t="s">
        <v>74</v>
      </c>
      <c r="Q141" s="1" t="s">
        <v>74</v>
      </c>
      <c r="R141" s="1" t="s">
        <v>74</v>
      </c>
      <c r="S141" s="1" t="s">
        <v>74</v>
      </c>
      <c r="T141" s="1" t="s">
        <v>74</v>
      </c>
      <c r="U141" s="1" t="s">
        <v>74</v>
      </c>
      <c r="V141" s="1" t="s">
        <v>1623</v>
      </c>
      <c r="W141" s="1" t="s">
        <v>74</v>
      </c>
      <c r="X141" s="1" t="s">
        <v>74</v>
      </c>
      <c r="Y141" s="1" t="s">
        <v>74</v>
      </c>
      <c r="Z141" s="1" t="s">
        <v>74</v>
      </c>
      <c r="AA141" s="1" t="s">
        <v>74</v>
      </c>
      <c r="AB141" s="1" t="s">
        <v>74</v>
      </c>
      <c r="AC141" s="1" t="s">
        <v>74</v>
      </c>
      <c r="AD141" s="1" t="s">
        <v>74</v>
      </c>
      <c r="AE141" s="1" t="s">
        <v>74</v>
      </c>
      <c r="AF141" s="1" t="s">
        <v>74</v>
      </c>
      <c r="AG141" s="1" t="s">
        <v>74</v>
      </c>
      <c r="AH141" s="1" t="s">
        <v>74</v>
      </c>
      <c r="AI141" s="1" t="s">
        <v>74</v>
      </c>
      <c r="AJ141" s="1" t="s">
        <v>74</v>
      </c>
      <c r="AK141" s="1" t="s">
        <v>74</v>
      </c>
      <c r="AL141" s="1" t="s">
        <v>74</v>
      </c>
      <c r="AM141" s="1" t="s">
        <v>74</v>
      </c>
      <c r="AN141" s="1" t="s">
        <v>74</v>
      </c>
      <c r="AO141" s="1" t="s">
        <v>1624</v>
      </c>
      <c r="AP141" s="1" t="s">
        <v>74</v>
      </c>
      <c r="AQ141" s="1" t="s">
        <v>74</v>
      </c>
      <c r="AR141" s="1" t="s">
        <v>74</v>
      </c>
      <c r="AS141" s="1" t="s">
        <v>74</v>
      </c>
      <c r="AT141" s="1" t="s">
        <v>1370</v>
      </c>
      <c r="AU141" s="1">
        <v>2004.0</v>
      </c>
      <c r="AV141" s="1">
        <v>101.0</v>
      </c>
      <c r="AW141" s="1">
        <v>7.0</v>
      </c>
      <c r="AX141" s="1" t="s">
        <v>74</v>
      </c>
      <c r="AY141" s="1" t="s">
        <v>74</v>
      </c>
      <c r="AZ141" s="1" t="s">
        <v>74</v>
      </c>
      <c r="BA141" s="1" t="s">
        <v>74</v>
      </c>
      <c r="BB141" s="1">
        <v>1806.0</v>
      </c>
      <c r="BC141" s="1">
        <v>1810.0</v>
      </c>
      <c r="BD141" s="1" t="s">
        <v>74</v>
      </c>
      <c r="BE141" s="1" t="s">
        <v>1625</v>
      </c>
      <c r="BF141" s="2" t="str">
        <f>HYPERLINK("http://dx.doi.org/10.1073/pnas.0307160101","http://dx.doi.org/10.1073/pnas.0307160101")</f>
        <v>http://dx.doi.org/10.1073/pnas.0307160101</v>
      </c>
      <c r="BG141" s="1" t="s">
        <v>74</v>
      </c>
      <c r="BH141" s="1" t="s">
        <v>74</v>
      </c>
      <c r="BI141" s="1" t="s">
        <v>74</v>
      </c>
      <c r="BJ141" s="1" t="s">
        <v>74</v>
      </c>
      <c r="BK141" s="1" t="s">
        <v>74</v>
      </c>
      <c r="BL141" s="1" t="s">
        <v>74</v>
      </c>
      <c r="BM141" s="1" t="s">
        <v>74</v>
      </c>
      <c r="BN141" s="1">
        <v>1.4766989E7</v>
      </c>
      <c r="BO141" s="1" t="s">
        <v>74</v>
      </c>
      <c r="BP141" s="1" t="s">
        <v>74</v>
      </c>
      <c r="BQ141" s="1" t="s">
        <v>74</v>
      </c>
      <c r="BR141" s="1" t="s">
        <v>74</v>
      </c>
      <c r="BS141" s="1" t="s">
        <v>1626</v>
      </c>
      <c r="BT141" s="1" t="str">
        <f>HYPERLINK("https%3A%2F%2Fwww.webofscience.com%2Fwos%2Fwoscc%2Ffull-record%2FWOS:000189032600005","View Full Record in Web of Science")</f>
        <v>View Full Record in Web of Science</v>
      </c>
    </row>
    <row r="142" ht="12.75" customHeight="1">
      <c r="A142" s="1" t="s">
        <v>72</v>
      </c>
      <c r="B142" s="1" t="s">
        <v>1627</v>
      </c>
      <c r="C142" s="1" t="s">
        <v>74</v>
      </c>
      <c r="D142" s="1" t="s">
        <v>74</v>
      </c>
      <c r="E142" s="1" t="s">
        <v>74</v>
      </c>
      <c r="F142" s="1" t="s">
        <v>1627</v>
      </c>
      <c r="G142" s="1" t="s">
        <v>74</v>
      </c>
      <c r="H142" s="1" t="s">
        <v>74</v>
      </c>
      <c r="I142" s="1" t="s">
        <v>1628</v>
      </c>
      <c r="J142" s="1" t="s">
        <v>1629</v>
      </c>
      <c r="K142" s="1" t="s">
        <v>74</v>
      </c>
      <c r="L142" s="1" t="s">
        <v>74</v>
      </c>
      <c r="M142" s="1" t="s">
        <v>74</v>
      </c>
      <c r="N142" s="1" t="s">
        <v>74</v>
      </c>
      <c r="O142" s="1" t="s">
        <v>74</v>
      </c>
      <c r="P142" s="1" t="s">
        <v>74</v>
      </c>
      <c r="Q142" s="1" t="s">
        <v>74</v>
      </c>
      <c r="R142" s="1" t="s">
        <v>74</v>
      </c>
      <c r="S142" s="1" t="s">
        <v>74</v>
      </c>
      <c r="T142" s="1" t="s">
        <v>74</v>
      </c>
      <c r="U142" s="1" t="s">
        <v>74</v>
      </c>
      <c r="V142" s="1" t="s">
        <v>1630</v>
      </c>
      <c r="W142" s="1" t="s">
        <v>74</v>
      </c>
      <c r="X142" s="1" t="s">
        <v>74</v>
      </c>
      <c r="Y142" s="1" t="s">
        <v>74</v>
      </c>
      <c r="Z142" s="1" t="s">
        <v>74</v>
      </c>
      <c r="AA142" s="1" t="s">
        <v>1631</v>
      </c>
      <c r="AB142" s="1" t="s">
        <v>1632</v>
      </c>
      <c r="AC142" s="1" t="s">
        <v>74</v>
      </c>
      <c r="AD142" s="1" t="s">
        <v>74</v>
      </c>
      <c r="AE142" s="1" t="s">
        <v>74</v>
      </c>
      <c r="AF142" s="1" t="s">
        <v>74</v>
      </c>
      <c r="AG142" s="1" t="s">
        <v>74</v>
      </c>
      <c r="AH142" s="1" t="s">
        <v>74</v>
      </c>
      <c r="AI142" s="1" t="s">
        <v>74</v>
      </c>
      <c r="AJ142" s="1" t="s">
        <v>74</v>
      </c>
      <c r="AK142" s="1" t="s">
        <v>74</v>
      </c>
      <c r="AL142" s="1" t="s">
        <v>74</v>
      </c>
      <c r="AM142" s="1" t="s">
        <v>74</v>
      </c>
      <c r="AN142" s="1" t="s">
        <v>74</v>
      </c>
      <c r="AO142" s="1" t="s">
        <v>1633</v>
      </c>
      <c r="AP142" s="1" t="s">
        <v>74</v>
      </c>
      <c r="AQ142" s="1" t="s">
        <v>74</v>
      </c>
      <c r="AR142" s="1" t="s">
        <v>74</v>
      </c>
      <c r="AS142" s="1" t="s">
        <v>74</v>
      </c>
      <c r="AT142" s="1" t="s">
        <v>1634</v>
      </c>
      <c r="AU142" s="1">
        <v>2003.0</v>
      </c>
      <c r="AV142" s="1">
        <v>19.0</v>
      </c>
      <c r="AW142" s="1">
        <v>6.0</v>
      </c>
      <c r="AX142" s="1" t="s">
        <v>74</v>
      </c>
      <c r="AY142" s="1" t="s">
        <v>74</v>
      </c>
      <c r="AZ142" s="1" t="s">
        <v>74</v>
      </c>
      <c r="BA142" s="1" t="s">
        <v>74</v>
      </c>
      <c r="BB142" s="1">
        <v>2067.0</v>
      </c>
      <c r="BC142" s="1">
        <v>2071.0</v>
      </c>
      <c r="BD142" s="1" t="s">
        <v>74</v>
      </c>
      <c r="BE142" s="1" t="s">
        <v>1635</v>
      </c>
      <c r="BF142" s="2" t="str">
        <f>HYPERLINK("http://dx.doi.org/10.1021/la026484p","http://dx.doi.org/10.1021/la026484p")</f>
        <v>http://dx.doi.org/10.1021/la026484p</v>
      </c>
      <c r="BG142" s="1" t="s">
        <v>74</v>
      </c>
      <c r="BH142" s="1" t="s">
        <v>74</v>
      </c>
      <c r="BI142" s="1" t="s">
        <v>74</v>
      </c>
      <c r="BJ142" s="1" t="s">
        <v>74</v>
      </c>
      <c r="BK142" s="1" t="s">
        <v>74</v>
      </c>
      <c r="BL142" s="1" t="s">
        <v>74</v>
      </c>
      <c r="BM142" s="1" t="s">
        <v>74</v>
      </c>
      <c r="BN142" s="1" t="s">
        <v>74</v>
      </c>
      <c r="BO142" s="1" t="s">
        <v>74</v>
      </c>
      <c r="BP142" s="1" t="s">
        <v>74</v>
      </c>
      <c r="BQ142" s="1" t="s">
        <v>74</v>
      </c>
      <c r="BR142" s="1" t="s">
        <v>74</v>
      </c>
      <c r="BS142" s="1" t="s">
        <v>1636</v>
      </c>
      <c r="BT142" s="1" t="str">
        <f>HYPERLINK("https%3A%2F%2Fwww.webofscience.com%2Fwos%2Fwoscc%2Ffull-record%2FWOS:000181562700029","View Full Record in Web of Science")</f>
        <v>View Full Record in Web of Science</v>
      </c>
    </row>
    <row r="143" ht="12.75" customHeight="1">
      <c r="A143" s="1" t="s">
        <v>72</v>
      </c>
      <c r="B143" s="1" t="s">
        <v>1637</v>
      </c>
      <c r="C143" s="1" t="s">
        <v>74</v>
      </c>
      <c r="D143" s="1" t="s">
        <v>74</v>
      </c>
      <c r="E143" s="1" t="s">
        <v>74</v>
      </c>
      <c r="F143" s="1" t="s">
        <v>1637</v>
      </c>
      <c r="G143" s="1" t="s">
        <v>74</v>
      </c>
      <c r="H143" s="1" t="s">
        <v>74</v>
      </c>
      <c r="I143" s="1" t="s">
        <v>1638</v>
      </c>
      <c r="J143" s="1" t="s">
        <v>1639</v>
      </c>
      <c r="K143" s="1" t="s">
        <v>74</v>
      </c>
      <c r="L143" s="1" t="s">
        <v>74</v>
      </c>
      <c r="M143" s="1" t="s">
        <v>74</v>
      </c>
      <c r="N143" s="1" t="s">
        <v>74</v>
      </c>
      <c r="O143" s="1" t="s">
        <v>74</v>
      </c>
      <c r="P143" s="1" t="s">
        <v>74</v>
      </c>
      <c r="Q143" s="1" t="s">
        <v>74</v>
      </c>
      <c r="R143" s="1" t="s">
        <v>74</v>
      </c>
      <c r="S143" s="1" t="s">
        <v>74</v>
      </c>
      <c r="T143" s="1" t="s">
        <v>74</v>
      </c>
      <c r="U143" s="1" t="s">
        <v>74</v>
      </c>
      <c r="V143" s="1" t="s">
        <v>1640</v>
      </c>
      <c r="W143" s="1" t="s">
        <v>74</v>
      </c>
      <c r="X143" s="1" t="s">
        <v>74</v>
      </c>
      <c r="Y143" s="1" t="s">
        <v>74</v>
      </c>
      <c r="Z143" s="1" t="s">
        <v>74</v>
      </c>
      <c r="AA143" s="1" t="s">
        <v>1641</v>
      </c>
      <c r="AB143" s="1" t="s">
        <v>1642</v>
      </c>
      <c r="AC143" s="1" t="s">
        <v>74</v>
      </c>
      <c r="AD143" s="1" t="s">
        <v>74</v>
      </c>
      <c r="AE143" s="1" t="s">
        <v>74</v>
      </c>
      <c r="AF143" s="1" t="s">
        <v>74</v>
      </c>
      <c r="AG143" s="1" t="s">
        <v>74</v>
      </c>
      <c r="AH143" s="1" t="s">
        <v>74</v>
      </c>
      <c r="AI143" s="1" t="s">
        <v>74</v>
      </c>
      <c r="AJ143" s="1" t="s">
        <v>74</v>
      </c>
      <c r="AK143" s="1" t="s">
        <v>74</v>
      </c>
      <c r="AL143" s="1" t="s">
        <v>74</v>
      </c>
      <c r="AM143" s="1" t="s">
        <v>74</v>
      </c>
      <c r="AN143" s="1" t="s">
        <v>74</v>
      </c>
      <c r="AO143" s="1" t="s">
        <v>1643</v>
      </c>
      <c r="AP143" s="1" t="s">
        <v>74</v>
      </c>
      <c r="AQ143" s="1" t="s">
        <v>74</v>
      </c>
      <c r="AR143" s="1" t="s">
        <v>74</v>
      </c>
      <c r="AS143" s="1" t="s">
        <v>74</v>
      </c>
      <c r="AT143" s="1" t="s">
        <v>622</v>
      </c>
      <c r="AU143" s="1">
        <v>2001.0</v>
      </c>
      <c r="AV143" s="1">
        <v>493.0</v>
      </c>
      <c r="AW143" s="1">
        <v>1.0</v>
      </c>
      <c r="AX143" s="1" t="s">
        <v>74</v>
      </c>
      <c r="AY143" s="1" t="s">
        <v>74</v>
      </c>
      <c r="AZ143" s="1" t="s">
        <v>74</v>
      </c>
      <c r="BA143" s="1" t="s">
        <v>74</v>
      </c>
      <c r="BB143" s="1">
        <v>1.0</v>
      </c>
      <c r="BC143" s="1">
        <v>5.0</v>
      </c>
      <c r="BD143" s="1" t="s">
        <v>74</v>
      </c>
      <c r="BE143" s="1" t="s">
        <v>1644</v>
      </c>
      <c r="BF143" s="2" t="str">
        <f>HYPERLINK("http://dx.doi.org/10.1016/S0014-5793(01)02158-5","http://dx.doi.org/10.1016/S0014-5793(01)02158-5")</f>
        <v>http://dx.doi.org/10.1016/S0014-5793(01)02158-5</v>
      </c>
      <c r="BG143" s="1" t="s">
        <v>74</v>
      </c>
      <c r="BH143" s="1" t="s">
        <v>74</v>
      </c>
      <c r="BI143" s="1" t="s">
        <v>74</v>
      </c>
      <c r="BJ143" s="1" t="s">
        <v>74</v>
      </c>
      <c r="BK143" s="1" t="s">
        <v>74</v>
      </c>
      <c r="BL143" s="1" t="s">
        <v>74</v>
      </c>
      <c r="BM143" s="1" t="s">
        <v>74</v>
      </c>
      <c r="BN143" s="1">
        <v>1.1277994E7</v>
      </c>
      <c r="BO143" s="1" t="s">
        <v>74</v>
      </c>
      <c r="BP143" s="1" t="s">
        <v>74</v>
      </c>
      <c r="BQ143" s="1" t="s">
        <v>74</v>
      </c>
      <c r="BR143" s="1" t="s">
        <v>74</v>
      </c>
      <c r="BS143" s="1" t="s">
        <v>1645</v>
      </c>
      <c r="BT143" s="1" t="str">
        <f>HYPERLINK("https%3A%2F%2Fwww.webofscience.com%2Fwos%2Fwoscc%2Ffull-record%2FWOS:000167822200001","View Full Record in Web of Science")</f>
        <v>View Full Record in Web of Science</v>
      </c>
    </row>
    <row r="144" ht="12.75" customHeight="1">
      <c r="A144" s="1" t="s">
        <v>1313</v>
      </c>
      <c r="B144" s="1" t="s">
        <v>1646</v>
      </c>
      <c r="C144" s="1" t="s">
        <v>74</v>
      </c>
      <c r="D144" s="1" t="s">
        <v>1647</v>
      </c>
      <c r="E144" s="1" t="s">
        <v>74</v>
      </c>
      <c r="F144" s="1" t="s">
        <v>1646</v>
      </c>
      <c r="G144" s="1" t="s">
        <v>74</v>
      </c>
      <c r="H144" s="1" t="s">
        <v>74</v>
      </c>
      <c r="I144" s="1" t="s">
        <v>1648</v>
      </c>
      <c r="J144" s="1" t="s">
        <v>1649</v>
      </c>
      <c r="K144" s="1" t="s">
        <v>1650</v>
      </c>
      <c r="L144" s="1" t="s">
        <v>74</v>
      </c>
      <c r="M144" s="1" t="s">
        <v>74</v>
      </c>
      <c r="N144" s="1" t="s">
        <v>74</v>
      </c>
      <c r="O144" s="1" t="s">
        <v>1651</v>
      </c>
      <c r="P144" s="1" t="s">
        <v>1652</v>
      </c>
      <c r="Q144" s="1" t="s">
        <v>1653</v>
      </c>
      <c r="R144" s="1" t="s">
        <v>1654</v>
      </c>
      <c r="S144" s="1" t="s">
        <v>74</v>
      </c>
      <c r="T144" s="1" t="s">
        <v>74</v>
      </c>
      <c r="U144" s="1" t="s">
        <v>74</v>
      </c>
      <c r="V144" s="1" t="s">
        <v>1655</v>
      </c>
      <c r="W144" s="1" t="s">
        <v>74</v>
      </c>
      <c r="X144" s="1" t="s">
        <v>74</v>
      </c>
      <c r="Y144" s="1" t="s">
        <v>74</v>
      </c>
      <c r="Z144" s="1" t="s">
        <v>74</v>
      </c>
      <c r="AA144" s="1" t="s">
        <v>74</v>
      </c>
      <c r="AB144" s="1" t="s">
        <v>1656</v>
      </c>
      <c r="AC144" s="1" t="s">
        <v>74</v>
      </c>
      <c r="AD144" s="1" t="s">
        <v>74</v>
      </c>
      <c r="AE144" s="1" t="s">
        <v>74</v>
      </c>
      <c r="AF144" s="1" t="s">
        <v>74</v>
      </c>
      <c r="AG144" s="1" t="s">
        <v>74</v>
      </c>
      <c r="AH144" s="1" t="s">
        <v>74</v>
      </c>
      <c r="AI144" s="1" t="s">
        <v>74</v>
      </c>
      <c r="AJ144" s="1" t="s">
        <v>74</v>
      </c>
      <c r="AK144" s="1" t="s">
        <v>74</v>
      </c>
      <c r="AL144" s="1" t="s">
        <v>74</v>
      </c>
      <c r="AM144" s="1" t="s">
        <v>74</v>
      </c>
      <c r="AN144" s="1" t="s">
        <v>74</v>
      </c>
      <c r="AO144" s="1" t="s">
        <v>1657</v>
      </c>
      <c r="AP144" s="1" t="s">
        <v>74</v>
      </c>
      <c r="AQ144" s="1" t="s">
        <v>1658</v>
      </c>
      <c r="AR144" s="1" t="s">
        <v>74</v>
      </c>
      <c r="AS144" s="1" t="s">
        <v>74</v>
      </c>
      <c r="AT144" s="1" t="s">
        <v>74</v>
      </c>
      <c r="AU144" s="1">
        <v>1999.0</v>
      </c>
      <c r="AV144" s="1" t="s">
        <v>1659</v>
      </c>
      <c r="AW144" s="1" t="s">
        <v>74</v>
      </c>
      <c r="AX144" s="1" t="s">
        <v>74</v>
      </c>
      <c r="AY144" s="1" t="s">
        <v>74</v>
      </c>
      <c r="AZ144" s="1" t="s">
        <v>74</v>
      </c>
      <c r="BA144" s="1" t="s">
        <v>74</v>
      </c>
      <c r="BB144" s="1">
        <v>478.0</v>
      </c>
      <c r="BC144" s="1">
        <v>485.0</v>
      </c>
      <c r="BD144" s="1" t="s">
        <v>74</v>
      </c>
      <c r="BE144" s="1" t="s">
        <v>1660</v>
      </c>
      <c r="BF144" s="2" t="str">
        <f>HYPERLINK("http://dx.doi.org/10.4028/www.scientific.net/MSF.299-300.478","http://dx.doi.org/10.4028/www.scientific.net/MSF.299-300.478")</f>
        <v>http://dx.doi.org/10.4028/www.scientific.net/MSF.299-300.478</v>
      </c>
      <c r="BG144" s="1" t="s">
        <v>74</v>
      </c>
      <c r="BH144" s="1" t="s">
        <v>74</v>
      </c>
      <c r="BI144" s="1" t="s">
        <v>74</v>
      </c>
      <c r="BJ144" s="1" t="s">
        <v>74</v>
      </c>
      <c r="BK144" s="1" t="s">
        <v>74</v>
      </c>
      <c r="BL144" s="1" t="s">
        <v>74</v>
      </c>
      <c r="BM144" s="1" t="s">
        <v>74</v>
      </c>
      <c r="BN144" s="1" t="s">
        <v>74</v>
      </c>
      <c r="BO144" s="1" t="s">
        <v>74</v>
      </c>
      <c r="BP144" s="1" t="s">
        <v>74</v>
      </c>
      <c r="BQ144" s="1" t="s">
        <v>74</v>
      </c>
      <c r="BR144" s="1" t="s">
        <v>74</v>
      </c>
      <c r="BS144" s="1" t="s">
        <v>1661</v>
      </c>
      <c r="BT144" s="1" t="str">
        <f>HYPERLINK("https%3A%2F%2Fwww.webofscience.com%2Fwos%2Fwoscc%2Ffull-record%2FWOS:000079831600060","View Full Record in Web of Science")</f>
        <v>View Full Record in Web of Science</v>
      </c>
    </row>
    <row r="145" ht="12.75" customHeight="1">
      <c r="A145" s="1" t="s">
        <v>72</v>
      </c>
      <c r="B145" s="1" t="s">
        <v>1662</v>
      </c>
      <c r="C145" s="1" t="s">
        <v>74</v>
      </c>
      <c r="D145" s="1" t="s">
        <v>74</v>
      </c>
      <c r="E145" s="1" t="s">
        <v>74</v>
      </c>
      <c r="F145" s="1" t="s">
        <v>1662</v>
      </c>
      <c r="G145" s="1" t="s">
        <v>74</v>
      </c>
      <c r="H145" s="1" t="s">
        <v>74</v>
      </c>
      <c r="I145" s="1" t="s">
        <v>1663</v>
      </c>
      <c r="J145" s="1" t="s">
        <v>502</v>
      </c>
      <c r="K145" s="1" t="s">
        <v>74</v>
      </c>
      <c r="L145" s="1" t="s">
        <v>74</v>
      </c>
      <c r="M145" s="1" t="s">
        <v>74</v>
      </c>
      <c r="N145" s="1" t="s">
        <v>74</v>
      </c>
      <c r="O145" s="1" t="s">
        <v>74</v>
      </c>
      <c r="P145" s="1" t="s">
        <v>74</v>
      </c>
      <c r="Q145" s="1" t="s">
        <v>74</v>
      </c>
      <c r="R145" s="1" t="s">
        <v>74</v>
      </c>
      <c r="S145" s="1" t="s">
        <v>74</v>
      </c>
      <c r="T145" s="1" t="s">
        <v>74</v>
      </c>
      <c r="U145" s="1" t="s">
        <v>74</v>
      </c>
      <c r="V145" s="1" t="s">
        <v>1664</v>
      </c>
      <c r="W145" s="1" t="s">
        <v>74</v>
      </c>
      <c r="X145" s="1" t="s">
        <v>74</v>
      </c>
      <c r="Y145" s="1" t="s">
        <v>74</v>
      </c>
      <c r="Z145" s="1" t="s">
        <v>74</v>
      </c>
      <c r="AA145" s="1" t="s">
        <v>1665</v>
      </c>
      <c r="AB145" s="1" t="s">
        <v>1666</v>
      </c>
      <c r="AC145" s="1" t="s">
        <v>74</v>
      </c>
      <c r="AD145" s="1" t="s">
        <v>74</v>
      </c>
      <c r="AE145" s="1" t="s">
        <v>74</v>
      </c>
      <c r="AF145" s="1" t="s">
        <v>74</v>
      </c>
      <c r="AG145" s="1" t="s">
        <v>74</v>
      </c>
      <c r="AH145" s="1" t="s">
        <v>74</v>
      </c>
      <c r="AI145" s="1" t="s">
        <v>74</v>
      </c>
      <c r="AJ145" s="1" t="s">
        <v>74</v>
      </c>
      <c r="AK145" s="1" t="s">
        <v>74</v>
      </c>
      <c r="AL145" s="1" t="s">
        <v>74</v>
      </c>
      <c r="AM145" s="1" t="s">
        <v>74</v>
      </c>
      <c r="AN145" s="1" t="s">
        <v>74</v>
      </c>
      <c r="AO145" s="1" t="s">
        <v>506</v>
      </c>
      <c r="AP145" s="1" t="s">
        <v>74</v>
      </c>
      <c r="AQ145" s="1" t="s">
        <v>74</v>
      </c>
      <c r="AR145" s="1" t="s">
        <v>74</v>
      </c>
      <c r="AS145" s="1" t="s">
        <v>74</v>
      </c>
      <c r="AT145" s="1" t="s">
        <v>74</v>
      </c>
      <c r="AU145" s="1">
        <v>1999.0</v>
      </c>
      <c r="AV145" s="1">
        <v>29.0</v>
      </c>
      <c r="AW145" s="1">
        <v>5.0</v>
      </c>
      <c r="AX145" s="1" t="s">
        <v>74</v>
      </c>
      <c r="AY145" s="1" t="s">
        <v>74</v>
      </c>
      <c r="AZ145" s="1" t="s">
        <v>74</v>
      </c>
      <c r="BA145" s="1" t="s">
        <v>74</v>
      </c>
      <c r="BB145" s="1">
        <v>815.0</v>
      </c>
      <c r="BC145" s="1">
        <v>819.0</v>
      </c>
      <c r="BD145" s="1" t="s">
        <v>74</v>
      </c>
      <c r="BE145" s="1" t="s">
        <v>1667</v>
      </c>
      <c r="BF145" s="2" t="str">
        <f>HYPERLINK("http://dx.doi.org/10.1080/00397919908086038","http://dx.doi.org/10.1080/00397919908086038")</f>
        <v>http://dx.doi.org/10.1080/00397919908086038</v>
      </c>
      <c r="BG145" s="1" t="s">
        <v>74</v>
      </c>
      <c r="BH145" s="1" t="s">
        <v>74</v>
      </c>
      <c r="BI145" s="1" t="s">
        <v>74</v>
      </c>
      <c r="BJ145" s="1" t="s">
        <v>74</v>
      </c>
      <c r="BK145" s="1" t="s">
        <v>74</v>
      </c>
      <c r="BL145" s="1" t="s">
        <v>74</v>
      </c>
      <c r="BM145" s="1" t="s">
        <v>74</v>
      </c>
      <c r="BN145" s="1" t="s">
        <v>74</v>
      </c>
      <c r="BO145" s="1" t="s">
        <v>74</v>
      </c>
      <c r="BP145" s="1" t="s">
        <v>74</v>
      </c>
      <c r="BQ145" s="1" t="s">
        <v>74</v>
      </c>
      <c r="BR145" s="1" t="s">
        <v>74</v>
      </c>
      <c r="BS145" s="1" t="s">
        <v>1668</v>
      </c>
      <c r="BT145" s="1" t="str">
        <f>HYPERLINK("https%3A%2F%2Fwww.webofscience.com%2Fwos%2Fwoscc%2Ffull-record%2FWOS:000078912500012","View Full Record in Web of Science")</f>
        <v>View Full Record in Web of Science</v>
      </c>
    </row>
    <row r="146" ht="12.75" customHeight="1">
      <c r="A146" s="1" t="s">
        <v>72</v>
      </c>
      <c r="B146" s="1" t="s">
        <v>1669</v>
      </c>
      <c r="C146" s="1" t="s">
        <v>74</v>
      </c>
      <c r="D146" s="1" t="s">
        <v>74</v>
      </c>
      <c r="E146" s="1" t="s">
        <v>74</v>
      </c>
      <c r="F146" s="1" t="s">
        <v>1669</v>
      </c>
      <c r="G146" s="1" t="s">
        <v>74</v>
      </c>
      <c r="H146" s="1" t="s">
        <v>74</v>
      </c>
      <c r="I146" s="1" t="s">
        <v>1670</v>
      </c>
      <c r="J146" s="1" t="s">
        <v>1671</v>
      </c>
      <c r="K146" s="1" t="s">
        <v>74</v>
      </c>
      <c r="L146" s="1" t="s">
        <v>74</v>
      </c>
      <c r="M146" s="1" t="s">
        <v>74</v>
      </c>
      <c r="N146" s="1" t="s">
        <v>74</v>
      </c>
      <c r="O146" s="1" t="s">
        <v>74</v>
      </c>
      <c r="P146" s="1" t="s">
        <v>74</v>
      </c>
      <c r="Q146" s="1" t="s">
        <v>74</v>
      </c>
      <c r="R146" s="1" t="s">
        <v>74</v>
      </c>
      <c r="S146" s="1" t="s">
        <v>74</v>
      </c>
      <c r="T146" s="1" t="s">
        <v>74</v>
      </c>
      <c r="U146" s="1" t="s">
        <v>74</v>
      </c>
      <c r="V146" s="1" t="s">
        <v>1672</v>
      </c>
      <c r="W146" s="1" t="s">
        <v>74</v>
      </c>
      <c r="X146" s="1" t="s">
        <v>74</v>
      </c>
      <c r="Y146" s="1" t="s">
        <v>74</v>
      </c>
      <c r="Z146" s="1" t="s">
        <v>74</v>
      </c>
      <c r="AA146" s="1" t="s">
        <v>1673</v>
      </c>
      <c r="AB146" s="1" t="s">
        <v>74</v>
      </c>
      <c r="AC146" s="1" t="s">
        <v>74</v>
      </c>
      <c r="AD146" s="1" t="s">
        <v>74</v>
      </c>
      <c r="AE146" s="1" t="s">
        <v>74</v>
      </c>
      <c r="AF146" s="1" t="s">
        <v>74</v>
      </c>
      <c r="AG146" s="1" t="s">
        <v>74</v>
      </c>
      <c r="AH146" s="1" t="s">
        <v>74</v>
      </c>
      <c r="AI146" s="1" t="s">
        <v>74</v>
      </c>
      <c r="AJ146" s="1" t="s">
        <v>74</v>
      </c>
      <c r="AK146" s="1" t="s">
        <v>74</v>
      </c>
      <c r="AL146" s="1" t="s">
        <v>74</v>
      </c>
      <c r="AM146" s="1" t="s">
        <v>74</v>
      </c>
      <c r="AN146" s="1" t="s">
        <v>74</v>
      </c>
      <c r="AO146" s="1" t="s">
        <v>1674</v>
      </c>
      <c r="AP146" s="1" t="s">
        <v>74</v>
      </c>
      <c r="AQ146" s="1" t="s">
        <v>74</v>
      </c>
      <c r="AR146" s="1" t="s">
        <v>74</v>
      </c>
      <c r="AS146" s="1" t="s">
        <v>74</v>
      </c>
      <c r="AT146" s="1" t="s">
        <v>175</v>
      </c>
      <c r="AU146" s="1">
        <v>1997.0</v>
      </c>
      <c r="AV146" s="1">
        <v>35.0</v>
      </c>
      <c r="AW146" s="1">
        <v>15.0</v>
      </c>
      <c r="AX146" s="1" t="s">
        <v>74</v>
      </c>
      <c r="AY146" s="1" t="s">
        <v>74</v>
      </c>
      <c r="AZ146" s="1" t="s">
        <v>74</v>
      </c>
      <c r="BA146" s="1" t="s">
        <v>74</v>
      </c>
      <c r="BB146" s="1">
        <v>3095.0</v>
      </c>
      <c r="BC146" s="1">
        <v>3100.0</v>
      </c>
      <c r="BD146" s="1" t="s">
        <v>74</v>
      </c>
      <c r="BE146" s="1" t="s">
        <v>1675</v>
      </c>
      <c r="BF146" s="2" t="str">
        <f>HYPERLINK("http://dx.doi.org/10.1002/(SICI)1099-0518(19971115)35:15&lt;3095::AID-POLA2&gt;3.3.CO;2-V","http://dx.doi.org/10.1002/(SICI)1099-0518(19971115)35:15&lt;3095::AID-POLA2&gt;3.3.CO;2-V")</f>
        <v>http://dx.doi.org/10.1002/(SICI)1099-0518(19971115)35:15&lt;3095::AID-POLA2&gt;3.3.CO;2-V</v>
      </c>
      <c r="BG146" s="1" t="s">
        <v>74</v>
      </c>
      <c r="BH146" s="1" t="s">
        <v>74</v>
      </c>
      <c r="BI146" s="1" t="s">
        <v>74</v>
      </c>
      <c r="BJ146" s="1" t="s">
        <v>74</v>
      </c>
      <c r="BK146" s="1" t="s">
        <v>74</v>
      </c>
      <c r="BL146" s="1" t="s">
        <v>74</v>
      </c>
      <c r="BM146" s="1" t="s">
        <v>74</v>
      </c>
      <c r="BN146" s="1" t="s">
        <v>74</v>
      </c>
      <c r="BO146" s="1" t="s">
        <v>74</v>
      </c>
      <c r="BP146" s="1" t="s">
        <v>74</v>
      </c>
      <c r="BQ146" s="1" t="s">
        <v>74</v>
      </c>
      <c r="BR146" s="1" t="s">
        <v>74</v>
      </c>
      <c r="BS146" s="1" t="s">
        <v>1676</v>
      </c>
      <c r="BT146" s="1" t="str">
        <f>HYPERLINK("https%3A%2F%2Fwww.webofscience.com%2Fwos%2Fwoscc%2Ffull-record%2FWOS:A1997YB36500002","View Full Record in Web of Science")</f>
        <v>View Full Record in Web of Science</v>
      </c>
    </row>
    <row r="147" ht="12.75" customHeight="1">
      <c r="A147" s="1" t="s">
        <v>72</v>
      </c>
      <c r="B147" s="1" t="s">
        <v>1677</v>
      </c>
      <c r="C147" s="1" t="s">
        <v>74</v>
      </c>
      <c r="D147" s="1" t="s">
        <v>74</v>
      </c>
      <c r="E147" s="1" t="s">
        <v>74</v>
      </c>
      <c r="F147" s="1" t="s">
        <v>1678</v>
      </c>
      <c r="G147" s="1" t="s">
        <v>74</v>
      </c>
      <c r="H147" s="1" t="s">
        <v>74</v>
      </c>
      <c r="I147" s="1" t="s">
        <v>1679</v>
      </c>
      <c r="J147" s="1" t="s">
        <v>1680</v>
      </c>
      <c r="K147" s="1" t="s">
        <v>74</v>
      </c>
      <c r="L147" s="1" t="s">
        <v>74</v>
      </c>
      <c r="M147" s="1" t="s">
        <v>74</v>
      </c>
      <c r="N147" s="1" t="s">
        <v>74</v>
      </c>
      <c r="O147" s="1" t="s">
        <v>74</v>
      </c>
      <c r="P147" s="1" t="s">
        <v>74</v>
      </c>
      <c r="Q147" s="1" t="s">
        <v>74</v>
      </c>
      <c r="R147" s="1" t="s">
        <v>74</v>
      </c>
      <c r="S147" s="1" t="s">
        <v>74</v>
      </c>
      <c r="T147" s="1" t="s">
        <v>74</v>
      </c>
      <c r="U147" s="1" t="s">
        <v>74</v>
      </c>
      <c r="V147" s="1" t="s">
        <v>74</v>
      </c>
      <c r="W147" s="1" t="s">
        <v>74</v>
      </c>
      <c r="X147" s="1" t="s">
        <v>74</v>
      </c>
      <c r="Y147" s="1" t="s">
        <v>74</v>
      </c>
      <c r="Z147" s="1" t="s">
        <v>74</v>
      </c>
      <c r="AA147" s="1" t="s">
        <v>1681</v>
      </c>
      <c r="AB147" s="1" t="s">
        <v>74</v>
      </c>
      <c r="AC147" s="1" t="s">
        <v>74</v>
      </c>
      <c r="AD147" s="1" t="s">
        <v>74</v>
      </c>
      <c r="AE147" s="1" t="s">
        <v>74</v>
      </c>
      <c r="AF147" s="1" t="s">
        <v>74</v>
      </c>
      <c r="AG147" s="1" t="s">
        <v>74</v>
      </c>
      <c r="AH147" s="1" t="s">
        <v>74</v>
      </c>
      <c r="AI147" s="1" t="s">
        <v>74</v>
      </c>
      <c r="AJ147" s="1" t="s">
        <v>74</v>
      </c>
      <c r="AK147" s="1" t="s">
        <v>74</v>
      </c>
      <c r="AL147" s="1" t="s">
        <v>74</v>
      </c>
      <c r="AM147" s="1" t="s">
        <v>74</v>
      </c>
      <c r="AN147" s="1" t="s">
        <v>74</v>
      </c>
      <c r="AO147" s="1" t="s">
        <v>1682</v>
      </c>
      <c r="AP147" s="1" t="s">
        <v>1683</v>
      </c>
      <c r="AQ147" s="1" t="s">
        <v>74</v>
      </c>
      <c r="AR147" s="1" t="s">
        <v>74</v>
      </c>
      <c r="AS147" s="1" t="s">
        <v>74</v>
      </c>
      <c r="AT147" s="1" t="s">
        <v>307</v>
      </c>
      <c r="AU147" s="1">
        <v>2024.0</v>
      </c>
      <c r="AV147" s="1">
        <v>21.0</v>
      </c>
      <c r="AW147" s="1">
        <v>31.0</v>
      </c>
      <c r="AX147" s="1" t="s">
        <v>74</v>
      </c>
      <c r="AY147" s="1" t="s">
        <v>74</v>
      </c>
      <c r="AZ147" s="1" t="s">
        <v>74</v>
      </c>
      <c r="BA147" s="1" t="s">
        <v>74</v>
      </c>
      <c r="BB147" s="1">
        <v>1.0</v>
      </c>
      <c r="BC147" s="1">
        <v>8.0</v>
      </c>
      <c r="BD147" s="1" t="s">
        <v>74</v>
      </c>
      <c r="BE147" s="1" t="s">
        <v>1684</v>
      </c>
      <c r="BF147" s="2" t="str">
        <f>HYPERLINK("http://dx.doi.org/10.35305/ac.v21i31.1995","http://dx.doi.org/10.35305/ac.v21i31.1995")</f>
        <v>http://dx.doi.org/10.35305/ac.v21i31.1995</v>
      </c>
      <c r="BG147" s="1" t="s">
        <v>74</v>
      </c>
      <c r="BH147" s="1" t="s">
        <v>74</v>
      </c>
      <c r="BI147" s="1" t="s">
        <v>74</v>
      </c>
      <c r="BJ147" s="1" t="s">
        <v>74</v>
      </c>
      <c r="BK147" s="1" t="s">
        <v>74</v>
      </c>
      <c r="BL147" s="1" t="s">
        <v>74</v>
      </c>
      <c r="BM147" s="1" t="s">
        <v>74</v>
      </c>
      <c r="BN147" s="1" t="s">
        <v>74</v>
      </c>
      <c r="BO147" s="1" t="s">
        <v>74</v>
      </c>
      <c r="BP147" s="1" t="s">
        <v>74</v>
      </c>
      <c r="BQ147" s="1" t="s">
        <v>74</v>
      </c>
      <c r="BR147" s="1" t="s">
        <v>74</v>
      </c>
      <c r="BS147" s="1" t="s">
        <v>1685</v>
      </c>
      <c r="BT147" s="1" t="str">
        <f>HYPERLINK("https%3A%2F%2Fwww.webofscience.com%2Fwos%2Fwoscc%2Ffull-record%2FWOS:001406037600007","View Full Record in Web of Science")</f>
        <v>View Full Record in Web of Science</v>
      </c>
    </row>
    <row r="148" ht="12.75" customHeight="1">
      <c r="A148" s="1" t="s">
        <v>72</v>
      </c>
      <c r="B148" s="1" t="s">
        <v>1686</v>
      </c>
      <c r="C148" s="1" t="s">
        <v>74</v>
      </c>
      <c r="D148" s="1" t="s">
        <v>74</v>
      </c>
      <c r="E148" s="1" t="s">
        <v>74</v>
      </c>
      <c r="F148" s="1" t="s">
        <v>1687</v>
      </c>
      <c r="G148" s="1" t="s">
        <v>74</v>
      </c>
      <c r="H148" s="1" t="s">
        <v>74</v>
      </c>
      <c r="I148" s="1" t="s">
        <v>1688</v>
      </c>
      <c r="J148" s="1" t="s">
        <v>1689</v>
      </c>
      <c r="K148" s="1" t="s">
        <v>74</v>
      </c>
      <c r="L148" s="1" t="s">
        <v>74</v>
      </c>
      <c r="M148" s="1" t="s">
        <v>74</v>
      </c>
      <c r="N148" s="1" t="s">
        <v>74</v>
      </c>
      <c r="O148" s="1" t="s">
        <v>74</v>
      </c>
      <c r="P148" s="1" t="s">
        <v>74</v>
      </c>
      <c r="Q148" s="1" t="s">
        <v>74</v>
      </c>
      <c r="R148" s="1" t="s">
        <v>74</v>
      </c>
      <c r="S148" s="1" t="s">
        <v>74</v>
      </c>
      <c r="T148" s="1" t="s">
        <v>74</v>
      </c>
      <c r="U148" s="1" t="s">
        <v>74</v>
      </c>
      <c r="V148" s="1" t="s">
        <v>1690</v>
      </c>
      <c r="W148" s="1" t="s">
        <v>74</v>
      </c>
      <c r="X148" s="1" t="s">
        <v>74</v>
      </c>
      <c r="Y148" s="1" t="s">
        <v>74</v>
      </c>
      <c r="Z148" s="1" t="s">
        <v>74</v>
      </c>
      <c r="AA148" s="1" t="s">
        <v>1691</v>
      </c>
      <c r="AB148" s="1" t="s">
        <v>1692</v>
      </c>
      <c r="AC148" s="1" t="s">
        <v>74</v>
      </c>
      <c r="AD148" s="1" t="s">
        <v>74</v>
      </c>
      <c r="AE148" s="1" t="s">
        <v>74</v>
      </c>
      <c r="AF148" s="1" t="s">
        <v>74</v>
      </c>
      <c r="AG148" s="1" t="s">
        <v>74</v>
      </c>
      <c r="AH148" s="1" t="s">
        <v>74</v>
      </c>
      <c r="AI148" s="1" t="s">
        <v>74</v>
      </c>
      <c r="AJ148" s="1" t="s">
        <v>74</v>
      </c>
      <c r="AK148" s="1" t="s">
        <v>74</v>
      </c>
      <c r="AL148" s="1" t="s">
        <v>74</v>
      </c>
      <c r="AM148" s="1" t="s">
        <v>74</v>
      </c>
      <c r="AN148" s="1" t="s">
        <v>74</v>
      </c>
      <c r="AO148" s="1" t="s">
        <v>74</v>
      </c>
      <c r="AP148" s="1" t="s">
        <v>1693</v>
      </c>
      <c r="AQ148" s="1" t="s">
        <v>74</v>
      </c>
      <c r="AR148" s="1" t="s">
        <v>74</v>
      </c>
      <c r="AS148" s="1" t="s">
        <v>74</v>
      </c>
      <c r="AT148" s="1" t="s">
        <v>348</v>
      </c>
      <c r="AU148" s="1">
        <v>2024.0</v>
      </c>
      <c r="AV148" s="1">
        <v>12.0</v>
      </c>
      <c r="AW148" s="1">
        <v>17.0</v>
      </c>
      <c r="AX148" s="1" t="s">
        <v>74</v>
      </c>
      <c r="AY148" s="1" t="s">
        <v>74</v>
      </c>
      <c r="AZ148" s="1" t="s">
        <v>74</v>
      </c>
      <c r="BA148" s="1" t="s">
        <v>74</v>
      </c>
      <c r="BB148" s="1" t="s">
        <v>74</v>
      </c>
      <c r="BC148" s="1" t="s">
        <v>74</v>
      </c>
      <c r="BD148" s="1">
        <v>2789.0</v>
      </c>
      <c r="BE148" s="1" t="s">
        <v>1694</v>
      </c>
      <c r="BF148" s="2" t="str">
        <f>HYPERLINK("http://dx.doi.org/10.3390/math12172789","http://dx.doi.org/10.3390/math12172789")</f>
        <v>http://dx.doi.org/10.3390/math12172789</v>
      </c>
      <c r="BG148" s="1" t="s">
        <v>74</v>
      </c>
      <c r="BH148" s="1" t="s">
        <v>74</v>
      </c>
      <c r="BI148" s="1" t="s">
        <v>74</v>
      </c>
      <c r="BJ148" s="1" t="s">
        <v>74</v>
      </c>
      <c r="BK148" s="1" t="s">
        <v>74</v>
      </c>
      <c r="BL148" s="1" t="s">
        <v>74</v>
      </c>
      <c r="BM148" s="1" t="s">
        <v>74</v>
      </c>
      <c r="BN148" s="1" t="s">
        <v>74</v>
      </c>
      <c r="BO148" s="1" t="s">
        <v>74</v>
      </c>
      <c r="BP148" s="1" t="s">
        <v>74</v>
      </c>
      <c r="BQ148" s="1" t="s">
        <v>74</v>
      </c>
      <c r="BR148" s="1" t="s">
        <v>74</v>
      </c>
      <c r="BS148" s="1" t="s">
        <v>1695</v>
      </c>
      <c r="BT148" s="1" t="str">
        <f>HYPERLINK("https%3A%2F%2Fwww.webofscience.com%2Fwos%2Fwoscc%2Ffull-record%2FWOS:001310948500001","View Full Record in Web of Science")</f>
        <v>View Full Record in Web of Science</v>
      </c>
    </row>
    <row r="149" ht="12.75" customHeight="1">
      <c r="A149" s="1" t="s">
        <v>72</v>
      </c>
      <c r="B149" s="1" t="s">
        <v>1696</v>
      </c>
      <c r="C149" s="1" t="s">
        <v>74</v>
      </c>
      <c r="D149" s="1" t="s">
        <v>74</v>
      </c>
      <c r="E149" s="1" t="s">
        <v>74</v>
      </c>
      <c r="F149" s="1" t="s">
        <v>1697</v>
      </c>
      <c r="G149" s="1" t="s">
        <v>74</v>
      </c>
      <c r="H149" s="1" t="s">
        <v>74</v>
      </c>
      <c r="I149" s="1" t="s">
        <v>1698</v>
      </c>
      <c r="J149" s="1" t="s">
        <v>207</v>
      </c>
      <c r="K149" s="1" t="s">
        <v>74</v>
      </c>
      <c r="L149" s="1" t="s">
        <v>74</v>
      </c>
      <c r="M149" s="1" t="s">
        <v>74</v>
      </c>
      <c r="N149" s="1" t="s">
        <v>74</v>
      </c>
      <c r="O149" s="1" t="s">
        <v>74</v>
      </c>
      <c r="P149" s="1" t="s">
        <v>74</v>
      </c>
      <c r="Q149" s="1" t="s">
        <v>74</v>
      </c>
      <c r="R149" s="1" t="s">
        <v>74</v>
      </c>
      <c r="S149" s="1" t="s">
        <v>74</v>
      </c>
      <c r="T149" s="1" t="s">
        <v>74</v>
      </c>
      <c r="U149" s="1" t="s">
        <v>74</v>
      </c>
      <c r="V149" s="1" t="s">
        <v>1699</v>
      </c>
      <c r="W149" s="1" t="s">
        <v>74</v>
      </c>
      <c r="X149" s="1" t="s">
        <v>74</v>
      </c>
      <c r="Y149" s="1" t="s">
        <v>74</v>
      </c>
      <c r="Z149" s="1" t="s">
        <v>74</v>
      </c>
      <c r="AA149" s="1" t="s">
        <v>1700</v>
      </c>
      <c r="AB149" s="1" t="s">
        <v>1701</v>
      </c>
      <c r="AC149" s="1" t="s">
        <v>74</v>
      </c>
      <c r="AD149" s="1" t="s">
        <v>74</v>
      </c>
      <c r="AE149" s="1" t="s">
        <v>74</v>
      </c>
      <c r="AF149" s="1" t="s">
        <v>74</v>
      </c>
      <c r="AG149" s="1" t="s">
        <v>74</v>
      </c>
      <c r="AH149" s="1" t="s">
        <v>74</v>
      </c>
      <c r="AI149" s="1" t="s">
        <v>74</v>
      </c>
      <c r="AJ149" s="1" t="s">
        <v>74</v>
      </c>
      <c r="AK149" s="1" t="s">
        <v>74</v>
      </c>
      <c r="AL149" s="1" t="s">
        <v>74</v>
      </c>
      <c r="AM149" s="1" t="s">
        <v>74</v>
      </c>
      <c r="AN149" s="1" t="s">
        <v>74</v>
      </c>
      <c r="AO149" s="1" t="s">
        <v>211</v>
      </c>
      <c r="AP149" s="1" t="s">
        <v>74</v>
      </c>
      <c r="AQ149" s="1" t="s">
        <v>74</v>
      </c>
      <c r="AR149" s="1" t="s">
        <v>74</v>
      </c>
      <c r="AS149" s="1" t="s">
        <v>74</v>
      </c>
      <c r="AT149" s="1" t="s">
        <v>1702</v>
      </c>
      <c r="AU149" s="1">
        <v>2024.0</v>
      </c>
      <c r="AV149" s="1">
        <v>26.0</v>
      </c>
      <c r="AW149" s="1">
        <v>1.0</v>
      </c>
      <c r="AX149" s="1" t="s">
        <v>74</v>
      </c>
      <c r="AY149" s="1" t="s">
        <v>74</v>
      </c>
      <c r="AZ149" s="1" t="s">
        <v>74</v>
      </c>
      <c r="BA149" s="1" t="s">
        <v>74</v>
      </c>
      <c r="BB149" s="1" t="s">
        <v>74</v>
      </c>
      <c r="BC149" s="1" t="s">
        <v>74</v>
      </c>
      <c r="BD149" s="1">
        <v>13003.0</v>
      </c>
      <c r="BE149" s="1" t="s">
        <v>1703</v>
      </c>
      <c r="BF149" s="2" t="str">
        <f>HYPERLINK("http://dx.doi.org/10.1088/1367-2630/ad153b","http://dx.doi.org/10.1088/1367-2630/ad153b")</f>
        <v>http://dx.doi.org/10.1088/1367-2630/ad153b</v>
      </c>
      <c r="BG149" s="1" t="s">
        <v>74</v>
      </c>
      <c r="BH149" s="1" t="s">
        <v>74</v>
      </c>
      <c r="BI149" s="1" t="s">
        <v>74</v>
      </c>
      <c r="BJ149" s="1" t="s">
        <v>74</v>
      </c>
      <c r="BK149" s="1" t="s">
        <v>74</v>
      </c>
      <c r="BL149" s="1" t="s">
        <v>74</v>
      </c>
      <c r="BM149" s="1" t="s">
        <v>74</v>
      </c>
      <c r="BN149" s="1" t="s">
        <v>74</v>
      </c>
      <c r="BO149" s="1" t="s">
        <v>74</v>
      </c>
      <c r="BP149" s="1" t="s">
        <v>74</v>
      </c>
      <c r="BQ149" s="1" t="s">
        <v>74</v>
      </c>
      <c r="BR149" s="1" t="s">
        <v>74</v>
      </c>
      <c r="BS149" s="1" t="s">
        <v>1704</v>
      </c>
      <c r="BT149" s="1" t="str">
        <f>HYPERLINK("https%3A%2F%2Fwww.webofscience.com%2Fwos%2Fwoscc%2Ffull-record%2FWOS:001137040000001","View Full Record in Web of Science")</f>
        <v>View Full Record in Web of Science</v>
      </c>
    </row>
    <row r="150" ht="12.75" customHeight="1">
      <c r="A150" s="1" t="s">
        <v>72</v>
      </c>
      <c r="B150" s="1" t="s">
        <v>1705</v>
      </c>
      <c r="C150" s="1" t="s">
        <v>74</v>
      </c>
      <c r="D150" s="1" t="s">
        <v>74</v>
      </c>
      <c r="E150" s="1" t="s">
        <v>74</v>
      </c>
      <c r="F150" s="1" t="s">
        <v>1706</v>
      </c>
      <c r="G150" s="1" t="s">
        <v>74</v>
      </c>
      <c r="H150" s="1" t="s">
        <v>74</v>
      </c>
      <c r="I150" s="1" t="s">
        <v>1707</v>
      </c>
      <c r="J150" s="1" t="s">
        <v>1708</v>
      </c>
      <c r="K150" s="1" t="s">
        <v>74</v>
      </c>
      <c r="L150" s="1" t="s">
        <v>74</v>
      </c>
      <c r="M150" s="1" t="s">
        <v>74</v>
      </c>
      <c r="N150" s="1" t="s">
        <v>74</v>
      </c>
      <c r="O150" s="1" t="s">
        <v>74</v>
      </c>
      <c r="P150" s="1" t="s">
        <v>74</v>
      </c>
      <c r="Q150" s="1" t="s">
        <v>74</v>
      </c>
      <c r="R150" s="1" t="s">
        <v>74</v>
      </c>
      <c r="S150" s="1" t="s">
        <v>74</v>
      </c>
      <c r="T150" s="1" t="s">
        <v>74</v>
      </c>
      <c r="U150" s="1" t="s">
        <v>74</v>
      </c>
      <c r="V150" s="1" t="s">
        <v>1709</v>
      </c>
      <c r="W150" s="1" t="s">
        <v>74</v>
      </c>
      <c r="X150" s="1" t="s">
        <v>74</v>
      </c>
      <c r="Y150" s="1" t="s">
        <v>74</v>
      </c>
      <c r="Z150" s="1" t="s">
        <v>74</v>
      </c>
      <c r="AA150" s="1" t="s">
        <v>1710</v>
      </c>
      <c r="AB150" s="1" t="s">
        <v>1711</v>
      </c>
      <c r="AC150" s="1" t="s">
        <v>74</v>
      </c>
      <c r="AD150" s="1" t="s">
        <v>74</v>
      </c>
      <c r="AE150" s="1" t="s">
        <v>74</v>
      </c>
      <c r="AF150" s="1" t="s">
        <v>74</v>
      </c>
      <c r="AG150" s="1" t="s">
        <v>74</v>
      </c>
      <c r="AH150" s="1" t="s">
        <v>74</v>
      </c>
      <c r="AI150" s="1" t="s">
        <v>74</v>
      </c>
      <c r="AJ150" s="1" t="s">
        <v>74</v>
      </c>
      <c r="AK150" s="1" t="s">
        <v>74</v>
      </c>
      <c r="AL150" s="1" t="s">
        <v>74</v>
      </c>
      <c r="AM150" s="1" t="s">
        <v>74</v>
      </c>
      <c r="AN150" s="1" t="s">
        <v>74</v>
      </c>
      <c r="AO150" s="1" t="s">
        <v>1712</v>
      </c>
      <c r="AP150" s="1" t="s">
        <v>1713</v>
      </c>
      <c r="AQ150" s="1" t="s">
        <v>74</v>
      </c>
      <c r="AR150" s="1" t="s">
        <v>74</v>
      </c>
      <c r="AS150" s="1" t="s">
        <v>74</v>
      </c>
      <c r="AT150" s="1" t="s">
        <v>1714</v>
      </c>
      <c r="AU150" s="1">
        <v>2022.0</v>
      </c>
      <c r="AV150" s="1">
        <v>546.0</v>
      </c>
      <c r="AW150" s="1" t="s">
        <v>74</v>
      </c>
      <c r="AX150" s="1" t="s">
        <v>74</v>
      </c>
      <c r="AY150" s="1" t="s">
        <v>74</v>
      </c>
      <c r="AZ150" s="1" t="s">
        <v>74</v>
      </c>
      <c r="BA150" s="1" t="s">
        <v>74</v>
      </c>
      <c r="BB150" s="1" t="s">
        <v>74</v>
      </c>
      <c r="BC150" s="1" t="s">
        <v>74</v>
      </c>
      <c r="BD150" s="1">
        <v>231942.0</v>
      </c>
      <c r="BE150" s="1" t="s">
        <v>1715</v>
      </c>
      <c r="BF150" s="2" t="str">
        <f>HYPERLINK("http://dx.doi.org/10.1016/j.jpowsour.2022.231942","http://dx.doi.org/10.1016/j.jpowsour.2022.231942")</f>
        <v>http://dx.doi.org/10.1016/j.jpowsour.2022.231942</v>
      </c>
      <c r="BG150" s="1" t="s">
        <v>74</v>
      </c>
      <c r="BH150" s="1" t="s">
        <v>1716</v>
      </c>
      <c r="BI150" s="1" t="s">
        <v>74</v>
      </c>
      <c r="BJ150" s="1" t="s">
        <v>74</v>
      </c>
      <c r="BK150" s="1" t="s">
        <v>74</v>
      </c>
      <c r="BL150" s="1" t="s">
        <v>74</v>
      </c>
      <c r="BM150" s="1" t="s">
        <v>74</v>
      </c>
      <c r="BN150" s="1" t="s">
        <v>74</v>
      </c>
      <c r="BO150" s="1" t="s">
        <v>74</v>
      </c>
      <c r="BP150" s="1" t="s">
        <v>74</v>
      </c>
      <c r="BQ150" s="1" t="s">
        <v>74</v>
      </c>
      <c r="BR150" s="1" t="s">
        <v>74</v>
      </c>
      <c r="BS150" s="1" t="s">
        <v>1717</v>
      </c>
      <c r="BT150" s="1" t="str">
        <f>HYPERLINK("https%3A%2F%2Fwww.webofscience.com%2Fwos%2Fwoscc%2Ffull-record%2FWOS:000861209300005","View Full Record in Web of Science")</f>
        <v>View Full Record in Web of Science</v>
      </c>
    </row>
    <row r="151" ht="12.75" customHeight="1">
      <c r="A151" s="1" t="s">
        <v>72</v>
      </c>
      <c r="B151" s="1" t="s">
        <v>1718</v>
      </c>
      <c r="C151" s="1" t="s">
        <v>74</v>
      </c>
      <c r="D151" s="1" t="s">
        <v>74</v>
      </c>
      <c r="E151" s="1" t="s">
        <v>74</v>
      </c>
      <c r="F151" s="1" t="s">
        <v>1719</v>
      </c>
      <c r="G151" s="1" t="s">
        <v>74</v>
      </c>
      <c r="H151" s="1" t="s">
        <v>74</v>
      </c>
      <c r="I151" s="1" t="s">
        <v>1720</v>
      </c>
      <c r="J151" s="1" t="s">
        <v>1721</v>
      </c>
      <c r="K151" s="1" t="s">
        <v>74</v>
      </c>
      <c r="L151" s="1" t="s">
        <v>74</v>
      </c>
      <c r="M151" s="1" t="s">
        <v>74</v>
      </c>
      <c r="N151" s="1" t="s">
        <v>74</v>
      </c>
      <c r="O151" s="1" t="s">
        <v>74</v>
      </c>
      <c r="P151" s="1" t="s">
        <v>74</v>
      </c>
      <c r="Q151" s="1" t="s">
        <v>74</v>
      </c>
      <c r="R151" s="1" t="s">
        <v>74</v>
      </c>
      <c r="S151" s="1" t="s">
        <v>74</v>
      </c>
      <c r="T151" s="1" t="s">
        <v>74</v>
      </c>
      <c r="U151" s="1" t="s">
        <v>74</v>
      </c>
      <c r="V151" s="1" t="s">
        <v>1722</v>
      </c>
      <c r="W151" s="1" t="s">
        <v>74</v>
      </c>
      <c r="X151" s="1" t="s">
        <v>74</v>
      </c>
      <c r="Y151" s="1" t="s">
        <v>74</v>
      </c>
      <c r="Z151" s="1" t="s">
        <v>74</v>
      </c>
      <c r="AA151" s="1" t="s">
        <v>1723</v>
      </c>
      <c r="AB151" s="1" t="s">
        <v>1724</v>
      </c>
      <c r="AC151" s="1" t="s">
        <v>74</v>
      </c>
      <c r="AD151" s="1" t="s">
        <v>74</v>
      </c>
      <c r="AE151" s="1" t="s">
        <v>74</v>
      </c>
      <c r="AF151" s="1" t="s">
        <v>74</v>
      </c>
      <c r="AG151" s="1" t="s">
        <v>74</v>
      </c>
      <c r="AH151" s="1" t="s">
        <v>74</v>
      </c>
      <c r="AI151" s="1" t="s">
        <v>74</v>
      </c>
      <c r="AJ151" s="1" t="s">
        <v>74</v>
      </c>
      <c r="AK151" s="1" t="s">
        <v>74</v>
      </c>
      <c r="AL151" s="1" t="s">
        <v>74</v>
      </c>
      <c r="AM151" s="1" t="s">
        <v>74</v>
      </c>
      <c r="AN151" s="1" t="s">
        <v>74</v>
      </c>
      <c r="AO151" s="1" t="s">
        <v>1725</v>
      </c>
      <c r="AP151" s="1" t="s">
        <v>1726</v>
      </c>
      <c r="AQ151" s="1" t="s">
        <v>74</v>
      </c>
      <c r="AR151" s="1" t="s">
        <v>74</v>
      </c>
      <c r="AS151" s="1" t="s">
        <v>74</v>
      </c>
      <c r="AT151" s="1" t="s">
        <v>1727</v>
      </c>
      <c r="AU151" s="1">
        <v>2022.0</v>
      </c>
      <c r="AV151" s="1">
        <v>256.0</v>
      </c>
      <c r="AW151" s="1" t="s">
        <v>74</v>
      </c>
      <c r="AX151" s="1" t="s">
        <v>74</v>
      </c>
      <c r="AY151" s="1" t="s">
        <v>74</v>
      </c>
      <c r="AZ151" s="1" t="s">
        <v>74</v>
      </c>
      <c r="BA151" s="1" t="s">
        <v>74</v>
      </c>
      <c r="BB151" s="1" t="s">
        <v>74</v>
      </c>
      <c r="BC151" s="1" t="s">
        <v>74</v>
      </c>
      <c r="BD151" s="1">
        <v>111463.0</v>
      </c>
      <c r="BE151" s="1" t="s">
        <v>1728</v>
      </c>
      <c r="BF151" s="2" t="str">
        <f>HYPERLINK("http://dx.doi.org/10.1016/j.oceaneng.2022.111463","http://dx.doi.org/10.1016/j.oceaneng.2022.111463")</f>
        <v>http://dx.doi.org/10.1016/j.oceaneng.2022.111463</v>
      </c>
      <c r="BG151" s="1" t="s">
        <v>74</v>
      </c>
      <c r="BH151" s="1" t="s">
        <v>1729</v>
      </c>
      <c r="BI151" s="1" t="s">
        <v>74</v>
      </c>
      <c r="BJ151" s="1" t="s">
        <v>74</v>
      </c>
      <c r="BK151" s="1" t="s">
        <v>74</v>
      </c>
      <c r="BL151" s="1" t="s">
        <v>74</v>
      </c>
      <c r="BM151" s="1" t="s">
        <v>74</v>
      </c>
      <c r="BN151" s="1" t="s">
        <v>74</v>
      </c>
      <c r="BO151" s="1" t="s">
        <v>74</v>
      </c>
      <c r="BP151" s="1" t="s">
        <v>74</v>
      </c>
      <c r="BQ151" s="1" t="s">
        <v>74</v>
      </c>
      <c r="BR151" s="1" t="s">
        <v>74</v>
      </c>
      <c r="BS151" s="1" t="s">
        <v>1730</v>
      </c>
      <c r="BT151" s="1" t="str">
        <f>HYPERLINK("https%3A%2F%2Fwww.webofscience.com%2Fwos%2Fwoscc%2Ffull-record%2FWOS:000806237000002","View Full Record in Web of Science")</f>
        <v>View Full Record in Web of Science</v>
      </c>
    </row>
    <row r="152" ht="12.75" customHeight="1">
      <c r="A152" s="1" t="s">
        <v>72</v>
      </c>
      <c r="B152" s="1" t="s">
        <v>1731</v>
      </c>
      <c r="C152" s="1" t="s">
        <v>74</v>
      </c>
      <c r="D152" s="1" t="s">
        <v>74</v>
      </c>
      <c r="E152" s="1" t="s">
        <v>74</v>
      </c>
      <c r="F152" s="1" t="s">
        <v>1732</v>
      </c>
      <c r="G152" s="1" t="s">
        <v>74</v>
      </c>
      <c r="H152" s="1" t="s">
        <v>74</v>
      </c>
      <c r="I152" s="1" t="s">
        <v>1733</v>
      </c>
      <c r="J152" s="1" t="s">
        <v>1734</v>
      </c>
      <c r="K152" s="1" t="s">
        <v>74</v>
      </c>
      <c r="L152" s="1" t="s">
        <v>74</v>
      </c>
      <c r="M152" s="1" t="s">
        <v>74</v>
      </c>
      <c r="N152" s="1" t="s">
        <v>74</v>
      </c>
      <c r="O152" s="1" t="s">
        <v>74</v>
      </c>
      <c r="P152" s="1" t="s">
        <v>74</v>
      </c>
      <c r="Q152" s="1" t="s">
        <v>74</v>
      </c>
      <c r="R152" s="1" t="s">
        <v>74</v>
      </c>
      <c r="S152" s="1" t="s">
        <v>74</v>
      </c>
      <c r="T152" s="1" t="s">
        <v>74</v>
      </c>
      <c r="U152" s="1" t="s">
        <v>74</v>
      </c>
      <c r="V152" s="1" t="s">
        <v>1735</v>
      </c>
      <c r="W152" s="1" t="s">
        <v>74</v>
      </c>
      <c r="X152" s="1" t="s">
        <v>74</v>
      </c>
      <c r="Y152" s="1" t="s">
        <v>74</v>
      </c>
      <c r="Z152" s="1" t="s">
        <v>74</v>
      </c>
      <c r="AA152" s="1" t="s">
        <v>1736</v>
      </c>
      <c r="AB152" s="1" t="s">
        <v>1737</v>
      </c>
      <c r="AC152" s="1" t="s">
        <v>74</v>
      </c>
      <c r="AD152" s="1" t="s">
        <v>74</v>
      </c>
      <c r="AE152" s="1" t="s">
        <v>74</v>
      </c>
      <c r="AF152" s="1" t="s">
        <v>74</v>
      </c>
      <c r="AG152" s="1" t="s">
        <v>74</v>
      </c>
      <c r="AH152" s="1" t="s">
        <v>74</v>
      </c>
      <c r="AI152" s="1" t="s">
        <v>74</v>
      </c>
      <c r="AJ152" s="1" t="s">
        <v>74</v>
      </c>
      <c r="AK152" s="1" t="s">
        <v>74</v>
      </c>
      <c r="AL152" s="1" t="s">
        <v>74</v>
      </c>
      <c r="AM152" s="1" t="s">
        <v>74</v>
      </c>
      <c r="AN152" s="1" t="s">
        <v>74</v>
      </c>
      <c r="AO152" s="1" t="s">
        <v>74</v>
      </c>
      <c r="AP152" s="1" t="s">
        <v>1738</v>
      </c>
      <c r="AQ152" s="1" t="s">
        <v>74</v>
      </c>
      <c r="AR152" s="1" t="s">
        <v>74</v>
      </c>
      <c r="AS152" s="1" t="s">
        <v>74</v>
      </c>
      <c r="AT152" s="1" t="s">
        <v>485</v>
      </c>
      <c r="AU152" s="1">
        <v>2022.0</v>
      </c>
      <c r="AV152" s="1">
        <v>8.0</v>
      </c>
      <c r="AW152" s="1">
        <v>3.0</v>
      </c>
      <c r="AX152" s="1" t="s">
        <v>74</v>
      </c>
      <c r="AY152" s="1" t="s">
        <v>74</v>
      </c>
      <c r="AZ152" s="1" t="s">
        <v>74</v>
      </c>
      <c r="BA152" s="1" t="s">
        <v>74</v>
      </c>
      <c r="BB152" s="1">
        <v>1096.0</v>
      </c>
      <c r="BC152" s="1">
        <v>1103.0</v>
      </c>
      <c r="BD152" s="1" t="s">
        <v>74</v>
      </c>
      <c r="BE152" s="1" t="s">
        <v>1739</v>
      </c>
      <c r="BF152" s="2" t="str">
        <f>HYPERLINK("http://dx.doi.org/10.1002/vms3.730","http://dx.doi.org/10.1002/vms3.730")</f>
        <v>http://dx.doi.org/10.1002/vms3.730</v>
      </c>
      <c r="BG152" s="1" t="s">
        <v>74</v>
      </c>
      <c r="BH152" s="1" t="s">
        <v>1740</v>
      </c>
      <c r="BI152" s="1" t="s">
        <v>74</v>
      </c>
      <c r="BJ152" s="1" t="s">
        <v>74</v>
      </c>
      <c r="BK152" s="1" t="s">
        <v>74</v>
      </c>
      <c r="BL152" s="1" t="s">
        <v>74</v>
      </c>
      <c r="BM152" s="1" t="s">
        <v>74</v>
      </c>
      <c r="BN152" s="1">
        <v>3.5348306E7</v>
      </c>
      <c r="BO152" s="1" t="s">
        <v>74</v>
      </c>
      <c r="BP152" s="1" t="s">
        <v>74</v>
      </c>
      <c r="BQ152" s="1" t="s">
        <v>74</v>
      </c>
      <c r="BR152" s="1" t="s">
        <v>74</v>
      </c>
      <c r="BS152" s="1" t="s">
        <v>1741</v>
      </c>
      <c r="BT152" s="1" t="str">
        <f>HYPERLINK("https%3A%2F%2Fwww.webofscience.com%2Fwos%2Fwoscc%2Ffull-record%2FWOS:000778265100001","View Full Record in Web of Science")</f>
        <v>View Full Record in Web of Science</v>
      </c>
    </row>
    <row r="153" ht="12.75" customHeight="1">
      <c r="A153" s="1" t="s">
        <v>72</v>
      </c>
      <c r="B153" s="1" t="s">
        <v>1742</v>
      </c>
      <c r="C153" s="1" t="s">
        <v>74</v>
      </c>
      <c r="D153" s="1" t="s">
        <v>74</v>
      </c>
      <c r="E153" s="1" t="s">
        <v>74</v>
      </c>
      <c r="F153" s="1" t="s">
        <v>1743</v>
      </c>
      <c r="G153" s="1" t="s">
        <v>74</v>
      </c>
      <c r="H153" s="1" t="s">
        <v>74</v>
      </c>
      <c r="I153" s="1" t="s">
        <v>1744</v>
      </c>
      <c r="J153" s="1" t="s">
        <v>1745</v>
      </c>
      <c r="K153" s="1" t="s">
        <v>74</v>
      </c>
      <c r="L153" s="1" t="s">
        <v>74</v>
      </c>
      <c r="M153" s="1" t="s">
        <v>74</v>
      </c>
      <c r="N153" s="1" t="s">
        <v>74</v>
      </c>
      <c r="O153" s="1" t="s">
        <v>74</v>
      </c>
      <c r="P153" s="1" t="s">
        <v>74</v>
      </c>
      <c r="Q153" s="1" t="s">
        <v>74</v>
      </c>
      <c r="R153" s="1" t="s">
        <v>74</v>
      </c>
      <c r="S153" s="1" t="s">
        <v>74</v>
      </c>
      <c r="T153" s="1" t="s">
        <v>74</v>
      </c>
      <c r="U153" s="1" t="s">
        <v>74</v>
      </c>
      <c r="V153" s="1" t="s">
        <v>1746</v>
      </c>
      <c r="W153" s="1" t="s">
        <v>74</v>
      </c>
      <c r="X153" s="1" t="s">
        <v>74</v>
      </c>
      <c r="Y153" s="1" t="s">
        <v>74</v>
      </c>
      <c r="Z153" s="1" t="s">
        <v>74</v>
      </c>
      <c r="AA153" s="1" t="s">
        <v>1747</v>
      </c>
      <c r="AB153" s="1" t="s">
        <v>1748</v>
      </c>
      <c r="AC153" s="1" t="s">
        <v>74</v>
      </c>
      <c r="AD153" s="1" t="s">
        <v>74</v>
      </c>
      <c r="AE153" s="1" t="s">
        <v>74</v>
      </c>
      <c r="AF153" s="1" t="s">
        <v>74</v>
      </c>
      <c r="AG153" s="1" t="s">
        <v>74</v>
      </c>
      <c r="AH153" s="1" t="s">
        <v>74</v>
      </c>
      <c r="AI153" s="1" t="s">
        <v>74</v>
      </c>
      <c r="AJ153" s="1" t="s">
        <v>74</v>
      </c>
      <c r="AK153" s="1" t="s">
        <v>74</v>
      </c>
      <c r="AL153" s="1" t="s">
        <v>74</v>
      </c>
      <c r="AM153" s="1" t="s">
        <v>74</v>
      </c>
      <c r="AN153" s="1" t="s">
        <v>74</v>
      </c>
      <c r="AO153" s="1" t="s">
        <v>1749</v>
      </c>
      <c r="AP153" s="1" t="s">
        <v>1750</v>
      </c>
      <c r="AQ153" s="1" t="s">
        <v>74</v>
      </c>
      <c r="AR153" s="1" t="s">
        <v>74</v>
      </c>
      <c r="AS153" s="1" t="s">
        <v>74</v>
      </c>
      <c r="AT153" s="1" t="s">
        <v>318</v>
      </c>
      <c r="AU153" s="1">
        <v>2022.0</v>
      </c>
      <c r="AV153" s="1">
        <v>25.0</v>
      </c>
      <c r="AW153" s="1">
        <v>2.0</v>
      </c>
      <c r="AX153" s="1" t="s">
        <v>74</v>
      </c>
      <c r="AY153" s="1" t="s">
        <v>74</v>
      </c>
      <c r="AZ153" s="1" t="s">
        <v>74</v>
      </c>
      <c r="BA153" s="1" t="s">
        <v>74</v>
      </c>
      <c r="BB153" s="1">
        <v>155.0</v>
      </c>
      <c r="BC153" s="1">
        <v>161.0</v>
      </c>
      <c r="BD153" s="1" t="s">
        <v>74</v>
      </c>
      <c r="BE153" s="1" t="s">
        <v>1751</v>
      </c>
      <c r="BF153" s="2" t="str">
        <f>HYPERLINK("http://dx.doi.org/10.1016/j.jsams.2021.09.005","http://dx.doi.org/10.1016/j.jsams.2021.09.005")</f>
        <v>http://dx.doi.org/10.1016/j.jsams.2021.09.005</v>
      </c>
      <c r="BG153" s="1" t="s">
        <v>74</v>
      </c>
      <c r="BH153" s="1" t="s">
        <v>297</v>
      </c>
      <c r="BI153" s="1" t="s">
        <v>74</v>
      </c>
      <c r="BJ153" s="1" t="s">
        <v>74</v>
      </c>
      <c r="BK153" s="1" t="s">
        <v>74</v>
      </c>
      <c r="BL153" s="1" t="s">
        <v>74</v>
      </c>
      <c r="BM153" s="1" t="s">
        <v>74</v>
      </c>
      <c r="BN153" s="1">
        <v>3.464976E7</v>
      </c>
      <c r="BO153" s="1" t="s">
        <v>74</v>
      </c>
      <c r="BP153" s="1" t="s">
        <v>74</v>
      </c>
      <c r="BQ153" s="1" t="s">
        <v>74</v>
      </c>
      <c r="BR153" s="1" t="s">
        <v>74</v>
      </c>
      <c r="BS153" s="1" t="s">
        <v>1752</v>
      </c>
      <c r="BT153" s="1" t="str">
        <f>HYPERLINK("https%3A%2F%2Fwww.webofscience.com%2Fwos%2Fwoscc%2Ffull-record%2FWOS:000744633200010","View Full Record in Web of Science")</f>
        <v>View Full Record in Web of Science</v>
      </c>
    </row>
    <row r="154" ht="12.75" customHeight="1">
      <c r="A154" s="1" t="s">
        <v>72</v>
      </c>
      <c r="B154" s="1" t="s">
        <v>1753</v>
      </c>
      <c r="C154" s="1" t="s">
        <v>74</v>
      </c>
      <c r="D154" s="1" t="s">
        <v>74</v>
      </c>
      <c r="E154" s="1" t="s">
        <v>74</v>
      </c>
      <c r="F154" s="1" t="s">
        <v>1754</v>
      </c>
      <c r="G154" s="1" t="s">
        <v>74</v>
      </c>
      <c r="H154" s="1" t="s">
        <v>74</v>
      </c>
      <c r="I154" s="1" t="s">
        <v>1755</v>
      </c>
      <c r="J154" s="1" t="s">
        <v>1756</v>
      </c>
      <c r="K154" s="1" t="s">
        <v>74</v>
      </c>
      <c r="L154" s="1" t="s">
        <v>74</v>
      </c>
      <c r="M154" s="1" t="s">
        <v>74</v>
      </c>
      <c r="N154" s="1" t="s">
        <v>74</v>
      </c>
      <c r="O154" s="1" t="s">
        <v>74</v>
      </c>
      <c r="P154" s="1" t="s">
        <v>74</v>
      </c>
      <c r="Q154" s="1" t="s">
        <v>74</v>
      </c>
      <c r="R154" s="1" t="s">
        <v>74</v>
      </c>
      <c r="S154" s="1" t="s">
        <v>74</v>
      </c>
      <c r="T154" s="1" t="s">
        <v>74</v>
      </c>
      <c r="U154" s="1" t="s">
        <v>74</v>
      </c>
      <c r="V154" s="1" t="s">
        <v>1757</v>
      </c>
      <c r="W154" s="1" t="s">
        <v>74</v>
      </c>
      <c r="X154" s="1" t="s">
        <v>74</v>
      </c>
      <c r="Y154" s="1" t="s">
        <v>74</v>
      </c>
      <c r="Z154" s="1" t="s">
        <v>74</v>
      </c>
      <c r="AA154" s="1" t="s">
        <v>1758</v>
      </c>
      <c r="AB154" s="1" t="s">
        <v>1759</v>
      </c>
      <c r="AC154" s="1" t="s">
        <v>74</v>
      </c>
      <c r="AD154" s="1" t="s">
        <v>74</v>
      </c>
      <c r="AE154" s="1" t="s">
        <v>74</v>
      </c>
      <c r="AF154" s="1" t="s">
        <v>74</v>
      </c>
      <c r="AG154" s="1" t="s">
        <v>74</v>
      </c>
      <c r="AH154" s="1" t="s">
        <v>74</v>
      </c>
      <c r="AI154" s="1" t="s">
        <v>74</v>
      </c>
      <c r="AJ154" s="1" t="s">
        <v>74</v>
      </c>
      <c r="AK154" s="1" t="s">
        <v>74</v>
      </c>
      <c r="AL154" s="1" t="s">
        <v>74</v>
      </c>
      <c r="AM154" s="1" t="s">
        <v>74</v>
      </c>
      <c r="AN154" s="1" t="s">
        <v>74</v>
      </c>
      <c r="AO154" s="1" t="s">
        <v>74</v>
      </c>
      <c r="AP154" s="1" t="s">
        <v>1760</v>
      </c>
      <c r="AQ154" s="1" t="s">
        <v>74</v>
      </c>
      <c r="AR154" s="1" t="s">
        <v>74</v>
      </c>
      <c r="AS154" s="1" t="s">
        <v>74</v>
      </c>
      <c r="AT154" s="1" t="s">
        <v>318</v>
      </c>
      <c r="AU154" s="1">
        <v>2021.0</v>
      </c>
      <c r="AV154" s="1">
        <v>11.0</v>
      </c>
      <c r="AW154" s="1">
        <v>2.0</v>
      </c>
      <c r="AX154" s="1" t="s">
        <v>74</v>
      </c>
      <c r="AY154" s="1" t="s">
        <v>74</v>
      </c>
      <c r="AZ154" s="1" t="s">
        <v>74</v>
      </c>
      <c r="BA154" s="1" t="s">
        <v>74</v>
      </c>
      <c r="BB154" s="1" t="s">
        <v>74</v>
      </c>
      <c r="BC154" s="1" t="s">
        <v>74</v>
      </c>
      <c r="BD154" s="1">
        <v>115.0</v>
      </c>
      <c r="BE154" s="1" t="s">
        <v>1761</v>
      </c>
      <c r="BF154" s="2" t="str">
        <f>HYPERLINK("http://dx.doi.org/10.3390/min11020115","http://dx.doi.org/10.3390/min11020115")</f>
        <v>http://dx.doi.org/10.3390/min11020115</v>
      </c>
      <c r="BG154" s="1" t="s">
        <v>74</v>
      </c>
      <c r="BH154" s="1" t="s">
        <v>74</v>
      </c>
      <c r="BI154" s="1" t="s">
        <v>74</v>
      </c>
      <c r="BJ154" s="1" t="s">
        <v>74</v>
      </c>
      <c r="BK154" s="1" t="s">
        <v>74</v>
      </c>
      <c r="BL154" s="1" t="s">
        <v>74</v>
      </c>
      <c r="BM154" s="1" t="s">
        <v>74</v>
      </c>
      <c r="BN154" s="1" t="s">
        <v>74</v>
      </c>
      <c r="BO154" s="1" t="s">
        <v>74</v>
      </c>
      <c r="BP154" s="1" t="s">
        <v>74</v>
      </c>
      <c r="BQ154" s="1" t="s">
        <v>74</v>
      </c>
      <c r="BR154" s="1" t="s">
        <v>74</v>
      </c>
      <c r="BS154" s="1" t="s">
        <v>1762</v>
      </c>
      <c r="BT154" s="1" t="str">
        <f>HYPERLINK("https%3A%2F%2Fwww.webofscience.com%2Fwos%2Fwoscc%2Ffull-record%2FWOS:000622849600001","View Full Record in Web of Science")</f>
        <v>View Full Record in Web of Science</v>
      </c>
    </row>
    <row r="155" ht="12.75" customHeight="1">
      <c r="A155" s="1" t="s">
        <v>72</v>
      </c>
      <c r="B155" s="1" t="s">
        <v>1763</v>
      </c>
      <c r="C155" s="1" t="s">
        <v>74</v>
      </c>
      <c r="D155" s="1" t="s">
        <v>74</v>
      </c>
      <c r="E155" s="1" t="s">
        <v>74</v>
      </c>
      <c r="F155" s="1" t="s">
        <v>1764</v>
      </c>
      <c r="G155" s="1" t="s">
        <v>74</v>
      </c>
      <c r="H155" s="1" t="s">
        <v>74</v>
      </c>
      <c r="I155" s="1" t="s">
        <v>1765</v>
      </c>
      <c r="J155" s="1" t="s">
        <v>1766</v>
      </c>
      <c r="K155" s="1" t="s">
        <v>74</v>
      </c>
      <c r="L155" s="1" t="s">
        <v>74</v>
      </c>
      <c r="M155" s="1" t="s">
        <v>74</v>
      </c>
      <c r="N155" s="1" t="s">
        <v>74</v>
      </c>
      <c r="O155" s="1" t="s">
        <v>74</v>
      </c>
      <c r="P155" s="1" t="s">
        <v>74</v>
      </c>
      <c r="Q155" s="1" t="s">
        <v>74</v>
      </c>
      <c r="R155" s="1" t="s">
        <v>74</v>
      </c>
      <c r="S155" s="1" t="s">
        <v>74</v>
      </c>
      <c r="T155" s="1" t="s">
        <v>74</v>
      </c>
      <c r="U155" s="1" t="s">
        <v>74</v>
      </c>
      <c r="V155" s="1" t="s">
        <v>1767</v>
      </c>
      <c r="W155" s="1" t="s">
        <v>74</v>
      </c>
      <c r="X155" s="1" t="s">
        <v>74</v>
      </c>
      <c r="Y155" s="1" t="s">
        <v>74</v>
      </c>
      <c r="Z155" s="1" t="s">
        <v>74</v>
      </c>
      <c r="AA155" s="1" t="s">
        <v>1768</v>
      </c>
      <c r="AB155" s="1" t="s">
        <v>74</v>
      </c>
      <c r="AC155" s="1" t="s">
        <v>74</v>
      </c>
      <c r="AD155" s="1" t="s">
        <v>74</v>
      </c>
      <c r="AE155" s="1" t="s">
        <v>74</v>
      </c>
      <c r="AF155" s="1" t="s">
        <v>74</v>
      </c>
      <c r="AG155" s="1" t="s">
        <v>74</v>
      </c>
      <c r="AH155" s="1" t="s">
        <v>74</v>
      </c>
      <c r="AI155" s="1" t="s">
        <v>74</v>
      </c>
      <c r="AJ155" s="1" t="s">
        <v>74</v>
      </c>
      <c r="AK155" s="1" t="s">
        <v>74</v>
      </c>
      <c r="AL155" s="1" t="s">
        <v>74</v>
      </c>
      <c r="AM155" s="1" t="s">
        <v>74</v>
      </c>
      <c r="AN155" s="1" t="s">
        <v>74</v>
      </c>
      <c r="AO155" s="1" t="s">
        <v>1769</v>
      </c>
      <c r="AP155" s="1" t="s">
        <v>74</v>
      </c>
      <c r="AQ155" s="1" t="s">
        <v>74</v>
      </c>
      <c r="AR155" s="1" t="s">
        <v>74</v>
      </c>
      <c r="AS155" s="1" t="s">
        <v>74</v>
      </c>
      <c r="AT155" s="1" t="s">
        <v>74</v>
      </c>
      <c r="AU155" s="1">
        <v>2021.0</v>
      </c>
      <c r="AV155" s="1">
        <v>13.0</v>
      </c>
      <c r="AW155" s="1" t="s">
        <v>74</v>
      </c>
      <c r="AX155" s="1" t="s">
        <v>74</v>
      </c>
      <c r="AY155" s="1" t="s">
        <v>1770</v>
      </c>
      <c r="AZ155" s="1" t="s">
        <v>74</v>
      </c>
      <c r="BA155" s="1" t="s">
        <v>74</v>
      </c>
      <c r="BB155" s="1">
        <v>121.0</v>
      </c>
      <c r="BC155" s="1">
        <v>130.0</v>
      </c>
      <c r="BD155" s="1" t="s">
        <v>74</v>
      </c>
      <c r="BE155" s="1" t="s">
        <v>74</v>
      </c>
      <c r="BF155" s="1" t="s">
        <v>74</v>
      </c>
      <c r="BG155" s="1" t="s">
        <v>74</v>
      </c>
      <c r="BH155" s="1" t="s">
        <v>74</v>
      </c>
      <c r="BI155" s="1" t="s">
        <v>74</v>
      </c>
      <c r="BJ155" s="1" t="s">
        <v>74</v>
      </c>
      <c r="BK155" s="1" t="s">
        <v>74</v>
      </c>
      <c r="BL155" s="1" t="s">
        <v>74</v>
      </c>
      <c r="BM155" s="1" t="s">
        <v>74</v>
      </c>
      <c r="BN155" s="1" t="s">
        <v>74</v>
      </c>
      <c r="BO155" s="1" t="s">
        <v>74</v>
      </c>
      <c r="BP155" s="1" t="s">
        <v>74</v>
      </c>
      <c r="BQ155" s="1" t="s">
        <v>74</v>
      </c>
      <c r="BR155" s="1" t="s">
        <v>74</v>
      </c>
      <c r="BS155" s="1" t="s">
        <v>1771</v>
      </c>
      <c r="BT155" s="1" t="str">
        <f>HYPERLINK("https%3A%2F%2Fwww.webofscience.com%2Fwos%2Fwoscc%2Ffull-record%2FWOS:000709411800010","View Full Record in Web of Science")</f>
        <v>View Full Record in Web of Science</v>
      </c>
    </row>
    <row r="156" ht="12.75" customHeight="1">
      <c r="A156" s="1" t="s">
        <v>72</v>
      </c>
      <c r="B156" s="1" t="s">
        <v>1772</v>
      </c>
      <c r="C156" s="1" t="s">
        <v>74</v>
      </c>
      <c r="D156" s="1" t="s">
        <v>74</v>
      </c>
      <c r="E156" s="1" t="s">
        <v>74</v>
      </c>
      <c r="F156" s="1" t="s">
        <v>1773</v>
      </c>
      <c r="G156" s="1" t="s">
        <v>74</v>
      </c>
      <c r="H156" s="1" t="s">
        <v>74</v>
      </c>
      <c r="I156" s="1" t="s">
        <v>1774</v>
      </c>
      <c r="J156" s="1" t="s">
        <v>1775</v>
      </c>
      <c r="K156" s="1" t="s">
        <v>74</v>
      </c>
      <c r="L156" s="1" t="s">
        <v>74</v>
      </c>
      <c r="M156" s="1" t="s">
        <v>74</v>
      </c>
      <c r="N156" s="1" t="s">
        <v>74</v>
      </c>
      <c r="O156" s="1" t="s">
        <v>74</v>
      </c>
      <c r="P156" s="1" t="s">
        <v>74</v>
      </c>
      <c r="Q156" s="1" t="s">
        <v>74</v>
      </c>
      <c r="R156" s="1" t="s">
        <v>74</v>
      </c>
      <c r="S156" s="1" t="s">
        <v>74</v>
      </c>
      <c r="T156" s="1" t="s">
        <v>74</v>
      </c>
      <c r="U156" s="1" t="s">
        <v>74</v>
      </c>
      <c r="V156" s="1" t="s">
        <v>1776</v>
      </c>
      <c r="W156" s="1" t="s">
        <v>74</v>
      </c>
      <c r="X156" s="1" t="s">
        <v>74</v>
      </c>
      <c r="Y156" s="1" t="s">
        <v>74</v>
      </c>
      <c r="Z156" s="1" t="s">
        <v>74</v>
      </c>
      <c r="AA156" s="1" t="s">
        <v>1777</v>
      </c>
      <c r="AB156" s="1" t="s">
        <v>1778</v>
      </c>
      <c r="AC156" s="1" t="s">
        <v>74</v>
      </c>
      <c r="AD156" s="1" t="s">
        <v>74</v>
      </c>
      <c r="AE156" s="1" t="s">
        <v>74</v>
      </c>
      <c r="AF156" s="1" t="s">
        <v>74</v>
      </c>
      <c r="AG156" s="1" t="s">
        <v>74</v>
      </c>
      <c r="AH156" s="1" t="s">
        <v>74</v>
      </c>
      <c r="AI156" s="1" t="s">
        <v>74</v>
      </c>
      <c r="AJ156" s="1" t="s">
        <v>74</v>
      </c>
      <c r="AK156" s="1" t="s">
        <v>74</v>
      </c>
      <c r="AL156" s="1" t="s">
        <v>74</v>
      </c>
      <c r="AM156" s="1" t="s">
        <v>74</v>
      </c>
      <c r="AN156" s="1" t="s">
        <v>74</v>
      </c>
      <c r="AO156" s="1" t="s">
        <v>1779</v>
      </c>
      <c r="AP156" s="1" t="s">
        <v>74</v>
      </c>
      <c r="AQ156" s="1" t="s">
        <v>74</v>
      </c>
      <c r="AR156" s="1" t="s">
        <v>74</v>
      </c>
      <c r="AS156" s="1" t="s">
        <v>74</v>
      </c>
      <c r="AT156" s="1" t="s">
        <v>1164</v>
      </c>
      <c r="AU156" s="1">
        <v>2020.0</v>
      </c>
      <c r="AV156" s="1">
        <v>11.0</v>
      </c>
      <c r="AW156" s="1" t="s">
        <v>74</v>
      </c>
      <c r="AX156" s="1" t="s">
        <v>74</v>
      </c>
      <c r="AY156" s="1" t="s">
        <v>74</v>
      </c>
      <c r="AZ156" s="1" t="s">
        <v>74</v>
      </c>
      <c r="BA156" s="1" t="s">
        <v>74</v>
      </c>
      <c r="BB156" s="1" t="s">
        <v>74</v>
      </c>
      <c r="BC156" s="1" t="s">
        <v>74</v>
      </c>
      <c r="BD156" s="1">
        <v>1312.0</v>
      </c>
      <c r="BE156" s="1" t="s">
        <v>1780</v>
      </c>
      <c r="BF156" s="2" t="str">
        <f>HYPERLINK("http://dx.doi.org/10.3389/fmicb.2020.01312","http://dx.doi.org/10.3389/fmicb.2020.01312")</f>
        <v>http://dx.doi.org/10.3389/fmicb.2020.01312</v>
      </c>
      <c r="BG156" s="1" t="s">
        <v>74</v>
      </c>
      <c r="BH156" s="1" t="s">
        <v>74</v>
      </c>
      <c r="BI156" s="1" t="s">
        <v>74</v>
      </c>
      <c r="BJ156" s="1" t="s">
        <v>74</v>
      </c>
      <c r="BK156" s="1" t="s">
        <v>74</v>
      </c>
      <c r="BL156" s="1" t="s">
        <v>74</v>
      </c>
      <c r="BM156" s="1" t="s">
        <v>74</v>
      </c>
      <c r="BN156" s="1">
        <v>3.2612595E7</v>
      </c>
      <c r="BO156" s="1" t="s">
        <v>74</v>
      </c>
      <c r="BP156" s="1" t="s">
        <v>74</v>
      </c>
      <c r="BQ156" s="1" t="s">
        <v>74</v>
      </c>
      <c r="BR156" s="1" t="s">
        <v>74</v>
      </c>
      <c r="BS156" s="1" t="s">
        <v>1781</v>
      </c>
      <c r="BT156" s="1" t="str">
        <f>HYPERLINK("https%3A%2F%2Fwww.webofscience.com%2Fwos%2Fwoscc%2Ffull-record%2FWOS:000546905200001","View Full Record in Web of Science")</f>
        <v>View Full Record in Web of Science</v>
      </c>
    </row>
    <row r="157" ht="12.75" customHeight="1">
      <c r="A157" s="1" t="s">
        <v>72</v>
      </c>
      <c r="B157" s="1" t="s">
        <v>1782</v>
      </c>
      <c r="C157" s="1" t="s">
        <v>74</v>
      </c>
      <c r="D157" s="1" t="s">
        <v>74</v>
      </c>
      <c r="E157" s="1" t="s">
        <v>74</v>
      </c>
      <c r="F157" s="1" t="s">
        <v>1783</v>
      </c>
      <c r="G157" s="1" t="s">
        <v>74</v>
      </c>
      <c r="H157" s="1" t="s">
        <v>74</v>
      </c>
      <c r="I157" s="1" t="s">
        <v>1784</v>
      </c>
      <c r="J157" s="1" t="s">
        <v>1785</v>
      </c>
      <c r="K157" s="1" t="s">
        <v>74</v>
      </c>
      <c r="L157" s="1" t="s">
        <v>74</v>
      </c>
      <c r="M157" s="1" t="s">
        <v>74</v>
      </c>
      <c r="N157" s="1" t="s">
        <v>74</v>
      </c>
      <c r="O157" s="1" t="s">
        <v>74</v>
      </c>
      <c r="P157" s="1" t="s">
        <v>74</v>
      </c>
      <c r="Q157" s="1" t="s">
        <v>74</v>
      </c>
      <c r="R157" s="1" t="s">
        <v>74</v>
      </c>
      <c r="S157" s="1" t="s">
        <v>74</v>
      </c>
      <c r="T157" s="1" t="s">
        <v>74</v>
      </c>
      <c r="U157" s="1" t="s">
        <v>74</v>
      </c>
      <c r="V157" s="1" t="s">
        <v>1786</v>
      </c>
      <c r="W157" s="1" t="s">
        <v>74</v>
      </c>
      <c r="X157" s="1" t="s">
        <v>74</v>
      </c>
      <c r="Y157" s="1" t="s">
        <v>74</v>
      </c>
      <c r="Z157" s="1" t="s">
        <v>74</v>
      </c>
      <c r="AA157" s="1" t="s">
        <v>1787</v>
      </c>
      <c r="AB157" s="1" t="s">
        <v>1788</v>
      </c>
      <c r="AC157" s="1" t="s">
        <v>74</v>
      </c>
      <c r="AD157" s="1" t="s">
        <v>74</v>
      </c>
      <c r="AE157" s="1" t="s">
        <v>74</v>
      </c>
      <c r="AF157" s="1" t="s">
        <v>74</v>
      </c>
      <c r="AG157" s="1" t="s">
        <v>74</v>
      </c>
      <c r="AH157" s="1" t="s">
        <v>74</v>
      </c>
      <c r="AI157" s="1" t="s">
        <v>74</v>
      </c>
      <c r="AJ157" s="1" t="s">
        <v>74</v>
      </c>
      <c r="AK157" s="1" t="s">
        <v>74</v>
      </c>
      <c r="AL157" s="1" t="s">
        <v>74</v>
      </c>
      <c r="AM157" s="1" t="s">
        <v>74</v>
      </c>
      <c r="AN157" s="1" t="s">
        <v>74</v>
      </c>
      <c r="AO157" s="1" t="s">
        <v>1789</v>
      </c>
      <c r="AP157" s="1" t="s">
        <v>1790</v>
      </c>
      <c r="AQ157" s="1" t="s">
        <v>74</v>
      </c>
      <c r="AR157" s="1" t="s">
        <v>74</v>
      </c>
      <c r="AS157" s="1" t="s">
        <v>74</v>
      </c>
      <c r="AT157" s="1" t="s">
        <v>1791</v>
      </c>
      <c r="AU157" s="1">
        <v>2020.0</v>
      </c>
      <c r="AV157" s="1">
        <v>2020.0</v>
      </c>
      <c r="AW157" s="1" t="s">
        <v>74</v>
      </c>
      <c r="AX157" s="1" t="s">
        <v>74</v>
      </c>
      <c r="AY157" s="1" t="s">
        <v>74</v>
      </c>
      <c r="AZ157" s="1" t="s">
        <v>74</v>
      </c>
      <c r="BA157" s="1" t="s">
        <v>74</v>
      </c>
      <c r="BB157" s="1" t="s">
        <v>74</v>
      </c>
      <c r="BC157" s="1" t="s">
        <v>74</v>
      </c>
      <c r="BD157" s="1">
        <v>8680692.0</v>
      </c>
      <c r="BE157" s="1" t="s">
        <v>1792</v>
      </c>
      <c r="BF157" s="2" t="str">
        <f>HYPERLINK("http://dx.doi.org/10.1155/2020/8680692","http://dx.doi.org/10.1155/2020/8680692")</f>
        <v>http://dx.doi.org/10.1155/2020/8680692</v>
      </c>
      <c r="BG157" s="1" t="s">
        <v>74</v>
      </c>
      <c r="BH157" s="1" t="s">
        <v>74</v>
      </c>
      <c r="BI157" s="1" t="s">
        <v>74</v>
      </c>
      <c r="BJ157" s="1" t="s">
        <v>74</v>
      </c>
      <c r="BK157" s="1" t="s">
        <v>74</v>
      </c>
      <c r="BL157" s="1" t="s">
        <v>74</v>
      </c>
      <c r="BM157" s="1" t="s">
        <v>74</v>
      </c>
      <c r="BN157" s="1">
        <v>3.2410869E7</v>
      </c>
      <c r="BO157" s="1" t="s">
        <v>74</v>
      </c>
      <c r="BP157" s="1" t="s">
        <v>74</v>
      </c>
      <c r="BQ157" s="1" t="s">
        <v>74</v>
      </c>
      <c r="BR157" s="1" t="s">
        <v>74</v>
      </c>
      <c r="BS157" s="1" t="s">
        <v>1793</v>
      </c>
      <c r="BT157" s="1" t="str">
        <f>HYPERLINK("https%3A%2F%2Fwww.webofscience.com%2Fwos%2Fwoscc%2Ffull-record%2FWOS:000533375600001","View Full Record in Web of Science")</f>
        <v>View Full Record in Web of Science</v>
      </c>
    </row>
    <row r="158" ht="12.75" customHeight="1">
      <c r="A158" s="1" t="s">
        <v>742</v>
      </c>
      <c r="B158" s="1" t="s">
        <v>1794</v>
      </c>
      <c r="C158" s="1" t="s">
        <v>1795</v>
      </c>
      <c r="D158" s="1" t="s">
        <v>74</v>
      </c>
      <c r="E158" s="1" t="s">
        <v>74</v>
      </c>
      <c r="F158" s="1" t="s">
        <v>1796</v>
      </c>
      <c r="G158" s="1" t="s">
        <v>1795</v>
      </c>
      <c r="H158" s="1" t="s">
        <v>74</v>
      </c>
      <c r="I158" s="1" t="s">
        <v>1797</v>
      </c>
      <c r="J158" s="1" t="s">
        <v>1798</v>
      </c>
      <c r="K158" s="1" t="s">
        <v>74</v>
      </c>
      <c r="L158" s="1" t="s">
        <v>74</v>
      </c>
      <c r="M158" s="1" t="s">
        <v>74</v>
      </c>
      <c r="N158" s="1" t="s">
        <v>74</v>
      </c>
      <c r="O158" s="1" t="s">
        <v>74</v>
      </c>
      <c r="P158" s="1" t="s">
        <v>74</v>
      </c>
      <c r="Q158" s="1" t="s">
        <v>74</v>
      </c>
      <c r="R158" s="1" t="s">
        <v>74</v>
      </c>
      <c r="S158" s="1" t="s">
        <v>74</v>
      </c>
      <c r="T158" s="1" t="s">
        <v>74</v>
      </c>
      <c r="U158" s="1" t="s">
        <v>74</v>
      </c>
      <c r="V158" s="1" t="s">
        <v>74</v>
      </c>
      <c r="W158" s="1" t="s">
        <v>74</v>
      </c>
      <c r="X158" s="1" t="s">
        <v>74</v>
      </c>
      <c r="Y158" s="1" t="s">
        <v>74</v>
      </c>
      <c r="Z158" s="1" t="s">
        <v>74</v>
      </c>
      <c r="AA158" s="1" t="s">
        <v>1799</v>
      </c>
      <c r="AB158" s="1" t="s">
        <v>1800</v>
      </c>
      <c r="AC158" s="1" t="s">
        <v>74</v>
      </c>
      <c r="AD158" s="1" t="s">
        <v>74</v>
      </c>
      <c r="AE158" s="1" t="s">
        <v>74</v>
      </c>
      <c r="AF158" s="1" t="s">
        <v>74</v>
      </c>
      <c r="AG158" s="1" t="s">
        <v>74</v>
      </c>
      <c r="AH158" s="1" t="s">
        <v>74</v>
      </c>
      <c r="AI158" s="1" t="s">
        <v>74</v>
      </c>
      <c r="AJ158" s="1" t="s">
        <v>74</v>
      </c>
      <c r="AK158" s="1" t="s">
        <v>74</v>
      </c>
      <c r="AL158" s="1" t="s">
        <v>74</v>
      </c>
      <c r="AM158" s="1" t="s">
        <v>74</v>
      </c>
      <c r="AN158" s="1" t="s">
        <v>74</v>
      </c>
      <c r="AO158" s="1" t="s">
        <v>74</v>
      </c>
      <c r="AP158" s="1" t="s">
        <v>74</v>
      </c>
      <c r="AQ158" s="1" t="s">
        <v>1801</v>
      </c>
      <c r="AR158" s="1" t="s">
        <v>74</v>
      </c>
      <c r="AS158" s="1" t="s">
        <v>74</v>
      </c>
      <c r="AT158" s="1" t="s">
        <v>74</v>
      </c>
      <c r="AU158" s="1">
        <v>2019.0</v>
      </c>
      <c r="AV158" s="1" t="s">
        <v>74</v>
      </c>
      <c r="AW158" s="1" t="s">
        <v>74</v>
      </c>
      <c r="AX158" s="1" t="s">
        <v>74</v>
      </c>
      <c r="AY158" s="1" t="s">
        <v>74</v>
      </c>
      <c r="AZ158" s="1" t="s">
        <v>74</v>
      </c>
      <c r="BA158" s="1" t="s">
        <v>74</v>
      </c>
      <c r="BB158" s="1">
        <v>49.0</v>
      </c>
      <c r="BC158" s="1">
        <v>90.0</v>
      </c>
      <c r="BD158" s="1" t="s">
        <v>74</v>
      </c>
      <c r="BE158" s="1" t="s">
        <v>1802</v>
      </c>
      <c r="BF158" s="2" t="str">
        <f>HYPERLINK("http://dx.doi.org/10.1016/B978-0-12-813123-7.00002-5","http://dx.doi.org/10.1016/B978-0-12-813123-7.00002-5")</f>
        <v>http://dx.doi.org/10.1016/B978-0-12-813123-7.00002-5</v>
      </c>
      <c r="BG158" s="1" t="s">
        <v>1803</v>
      </c>
      <c r="BH158" s="1" t="s">
        <v>74</v>
      </c>
      <c r="BI158" s="1" t="s">
        <v>74</v>
      </c>
      <c r="BJ158" s="1" t="s">
        <v>74</v>
      </c>
      <c r="BK158" s="1" t="s">
        <v>74</v>
      </c>
      <c r="BL158" s="1" t="s">
        <v>74</v>
      </c>
      <c r="BM158" s="1" t="s">
        <v>74</v>
      </c>
      <c r="BN158" s="1" t="s">
        <v>74</v>
      </c>
      <c r="BO158" s="1" t="s">
        <v>74</v>
      </c>
      <c r="BP158" s="1" t="s">
        <v>74</v>
      </c>
      <c r="BQ158" s="1" t="s">
        <v>74</v>
      </c>
      <c r="BR158" s="1" t="s">
        <v>74</v>
      </c>
      <c r="BS158" s="1" t="s">
        <v>1804</v>
      </c>
      <c r="BT158" s="1" t="str">
        <f>HYPERLINK("https%3A%2F%2Fwww.webofscience.com%2Fwos%2Fwoscc%2Ffull-record%2FWOS:000506213600003","View Full Record in Web of Science")</f>
        <v>View Full Record in Web of Science</v>
      </c>
    </row>
    <row r="159" ht="12.75" customHeight="1">
      <c r="A159" s="1" t="s">
        <v>72</v>
      </c>
      <c r="B159" s="1" t="s">
        <v>1805</v>
      </c>
      <c r="C159" s="1" t="s">
        <v>74</v>
      </c>
      <c r="D159" s="1" t="s">
        <v>74</v>
      </c>
      <c r="E159" s="1" t="s">
        <v>74</v>
      </c>
      <c r="F159" s="1" t="s">
        <v>1806</v>
      </c>
      <c r="G159" s="1" t="s">
        <v>74</v>
      </c>
      <c r="H159" s="1" t="s">
        <v>74</v>
      </c>
      <c r="I159" s="1" t="s">
        <v>1807</v>
      </c>
      <c r="J159" s="1" t="s">
        <v>1808</v>
      </c>
      <c r="K159" s="1" t="s">
        <v>74</v>
      </c>
      <c r="L159" s="1" t="s">
        <v>74</v>
      </c>
      <c r="M159" s="1" t="s">
        <v>74</v>
      </c>
      <c r="N159" s="1" t="s">
        <v>74</v>
      </c>
      <c r="O159" s="1" t="s">
        <v>74</v>
      </c>
      <c r="P159" s="1" t="s">
        <v>74</v>
      </c>
      <c r="Q159" s="1" t="s">
        <v>74</v>
      </c>
      <c r="R159" s="1" t="s">
        <v>74</v>
      </c>
      <c r="S159" s="1" t="s">
        <v>74</v>
      </c>
      <c r="T159" s="1" t="s">
        <v>74</v>
      </c>
      <c r="U159" s="1" t="s">
        <v>74</v>
      </c>
      <c r="V159" s="1" t="s">
        <v>1809</v>
      </c>
      <c r="W159" s="1" t="s">
        <v>74</v>
      </c>
      <c r="X159" s="1" t="s">
        <v>74</v>
      </c>
      <c r="Y159" s="1" t="s">
        <v>74</v>
      </c>
      <c r="Z159" s="1" t="s">
        <v>74</v>
      </c>
      <c r="AA159" s="1" t="s">
        <v>1810</v>
      </c>
      <c r="AB159" s="1" t="s">
        <v>1811</v>
      </c>
      <c r="AC159" s="1" t="s">
        <v>74</v>
      </c>
      <c r="AD159" s="1" t="s">
        <v>74</v>
      </c>
      <c r="AE159" s="1" t="s">
        <v>74</v>
      </c>
      <c r="AF159" s="1" t="s">
        <v>74</v>
      </c>
      <c r="AG159" s="1" t="s">
        <v>74</v>
      </c>
      <c r="AH159" s="1" t="s">
        <v>74</v>
      </c>
      <c r="AI159" s="1" t="s">
        <v>74</v>
      </c>
      <c r="AJ159" s="1" t="s">
        <v>74</v>
      </c>
      <c r="AK159" s="1" t="s">
        <v>74</v>
      </c>
      <c r="AL159" s="1" t="s">
        <v>74</v>
      </c>
      <c r="AM159" s="1" t="s">
        <v>74</v>
      </c>
      <c r="AN159" s="1" t="s">
        <v>74</v>
      </c>
      <c r="AO159" s="1" t="s">
        <v>1812</v>
      </c>
      <c r="AP159" s="1" t="s">
        <v>1813</v>
      </c>
      <c r="AQ159" s="1" t="s">
        <v>74</v>
      </c>
      <c r="AR159" s="1" t="s">
        <v>74</v>
      </c>
      <c r="AS159" s="1" t="s">
        <v>74</v>
      </c>
      <c r="AT159" s="1" t="s">
        <v>318</v>
      </c>
      <c r="AU159" s="1">
        <v>2018.0</v>
      </c>
      <c r="AV159" s="1">
        <v>219.0</v>
      </c>
      <c r="AW159" s="1" t="s">
        <v>74</v>
      </c>
      <c r="AX159" s="1" t="s">
        <v>74</v>
      </c>
      <c r="AY159" s="1" t="s">
        <v>74</v>
      </c>
      <c r="AZ159" s="1" t="s">
        <v>74</v>
      </c>
      <c r="BA159" s="1" t="s">
        <v>74</v>
      </c>
      <c r="BB159" s="1">
        <v>62.0</v>
      </c>
      <c r="BC159" s="1">
        <v>70.0</v>
      </c>
      <c r="BD159" s="1" t="s">
        <v>74</v>
      </c>
      <c r="BE159" s="1" t="s">
        <v>1814</v>
      </c>
      <c r="BF159" s="2" t="str">
        <f>HYPERLINK("http://dx.doi.org/10.1016/j.jfoodeng.2017.09.014","http://dx.doi.org/10.1016/j.jfoodeng.2017.09.014")</f>
        <v>http://dx.doi.org/10.1016/j.jfoodeng.2017.09.014</v>
      </c>
      <c r="BG159" s="1" t="s">
        <v>74</v>
      </c>
      <c r="BH159" s="1" t="s">
        <v>74</v>
      </c>
      <c r="BI159" s="1" t="s">
        <v>74</v>
      </c>
      <c r="BJ159" s="1" t="s">
        <v>74</v>
      </c>
      <c r="BK159" s="1" t="s">
        <v>74</v>
      </c>
      <c r="BL159" s="1" t="s">
        <v>74</v>
      </c>
      <c r="BM159" s="1" t="s">
        <v>74</v>
      </c>
      <c r="BN159" s="1" t="s">
        <v>74</v>
      </c>
      <c r="BO159" s="1" t="s">
        <v>74</v>
      </c>
      <c r="BP159" s="1" t="s">
        <v>74</v>
      </c>
      <c r="BQ159" s="1" t="s">
        <v>74</v>
      </c>
      <c r="BR159" s="1" t="s">
        <v>74</v>
      </c>
      <c r="BS159" s="1" t="s">
        <v>1815</v>
      </c>
      <c r="BT159" s="1" t="str">
        <f>HYPERLINK("https%3A%2F%2Fwww.webofscience.com%2Fwos%2Fwoscc%2Ffull-record%2FWOS:000413879300008","View Full Record in Web of Science")</f>
        <v>View Full Record in Web of Science</v>
      </c>
    </row>
    <row r="160" ht="12.75" customHeight="1">
      <c r="A160" s="1" t="s">
        <v>72</v>
      </c>
      <c r="B160" s="1" t="s">
        <v>1816</v>
      </c>
      <c r="C160" s="1" t="s">
        <v>74</v>
      </c>
      <c r="D160" s="1" t="s">
        <v>74</v>
      </c>
      <c r="E160" s="1" t="s">
        <v>74</v>
      </c>
      <c r="F160" s="1" t="s">
        <v>1817</v>
      </c>
      <c r="G160" s="1" t="s">
        <v>74</v>
      </c>
      <c r="H160" s="1" t="s">
        <v>74</v>
      </c>
      <c r="I160" s="1" t="s">
        <v>1818</v>
      </c>
      <c r="J160" s="1" t="s">
        <v>1819</v>
      </c>
      <c r="K160" s="1" t="s">
        <v>74</v>
      </c>
      <c r="L160" s="1" t="s">
        <v>74</v>
      </c>
      <c r="M160" s="1" t="s">
        <v>74</v>
      </c>
      <c r="N160" s="1" t="s">
        <v>74</v>
      </c>
      <c r="O160" s="1" t="s">
        <v>74</v>
      </c>
      <c r="P160" s="1" t="s">
        <v>74</v>
      </c>
      <c r="Q160" s="1" t="s">
        <v>74</v>
      </c>
      <c r="R160" s="1" t="s">
        <v>74</v>
      </c>
      <c r="S160" s="1" t="s">
        <v>74</v>
      </c>
      <c r="T160" s="1" t="s">
        <v>74</v>
      </c>
      <c r="U160" s="1" t="s">
        <v>74</v>
      </c>
      <c r="V160" s="1" t="s">
        <v>1820</v>
      </c>
      <c r="W160" s="1" t="s">
        <v>74</v>
      </c>
      <c r="X160" s="1" t="s">
        <v>74</v>
      </c>
      <c r="Y160" s="1" t="s">
        <v>74</v>
      </c>
      <c r="Z160" s="1" t="s">
        <v>74</v>
      </c>
      <c r="AA160" s="1" t="s">
        <v>1821</v>
      </c>
      <c r="AB160" s="1" t="s">
        <v>1822</v>
      </c>
      <c r="AC160" s="1" t="s">
        <v>74</v>
      </c>
      <c r="AD160" s="1" t="s">
        <v>74</v>
      </c>
      <c r="AE160" s="1" t="s">
        <v>74</v>
      </c>
      <c r="AF160" s="1" t="s">
        <v>74</v>
      </c>
      <c r="AG160" s="1" t="s">
        <v>74</v>
      </c>
      <c r="AH160" s="1" t="s">
        <v>74</v>
      </c>
      <c r="AI160" s="1" t="s">
        <v>74</v>
      </c>
      <c r="AJ160" s="1" t="s">
        <v>74</v>
      </c>
      <c r="AK160" s="1" t="s">
        <v>74</v>
      </c>
      <c r="AL160" s="1" t="s">
        <v>74</v>
      </c>
      <c r="AM160" s="1" t="s">
        <v>74</v>
      </c>
      <c r="AN160" s="1" t="s">
        <v>74</v>
      </c>
      <c r="AO160" s="1" t="s">
        <v>1823</v>
      </c>
      <c r="AP160" s="1" t="s">
        <v>1824</v>
      </c>
      <c r="AQ160" s="1" t="s">
        <v>74</v>
      </c>
      <c r="AR160" s="1" t="s">
        <v>74</v>
      </c>
      <c r="AS160" s="1" t="s">
        <v>74</v>
      </c>
      <c r="AT160" s="1" t="s">
        <v>74</v>
      </c>
      <c r="AU160" s="1">
        <v>2018.0</v>
      </c>
      <c r="AV160" s="1">
        <v>90.0</v>
      </c>
      <c r="AW160" s="1">
        <v>6.0</v>
      </c>
      <c r="AX160" s="1" t="s">
        <v>74</v>
      </c>
      <c r="AY160" s="1" t="s">
        <v>74</v>
      </c>
      <c r="AZ160" s="1" t="s">
        <v>74</v>
      </c>
      <c r="BA160" s="1" t="s">
        <v>74</v>
      </c>
      <c r="BB160" s="1">
        <v>381.0</v>
      </c>
      <c r="BC160" s="1">
        <v>392.0</v>
      </c>
      <c r="BD160" s="1" t="s">
        <v>74</v>
      </c>
      <c r="BE160" s="1" t="s">
        <v>1825</v>
      </c>
      <c r="BF160" s="2" t="str">
        <f>HYPERLINK("http://dx.doi.org/10.1159/000496353","http://dx.doi.org/10.1159/000496353")</f>
        <v>http://dx.doi.org/10.1159/000496353</v>
      </c>
      <c r="BG160" s="1" t="s">
        <v>74</v>
      </c>
      <c r="BH160" s="1" t="s">
        <v>74</v>
      </c>
      <c r="BI160" s="1" t="s">
        <v>74</v>
      </c>
      <c r="BJ160" s="1" t="s">
        <v>74</v>
      </c>
      <c r="BK160" s="1" t="s">
        <v>74</v>
      </c>
      <c r="BL160" s="1" t="s">
        <v>74</v>
      </c>
      <c r="BM160" s="1" t="s">
        <v>74</v>
      </c>
      <c r="BN160" s="1">
        <v>3.0820008E7</v>
      </c>
      <c r="BO160" s="1" t="s">
        <v>74</v>
      </c>
      <c r="BP160" s="1" t="s">
        <v>74</v>
      </c>
      <c r="BQ160" s="1" t="s">
        <v>74</v>
      </c>
      <c r="BR160" s="1" t="s">
        <v>74</v>
      </c>
      <c r="BS160" s="1" t="s">
        <v>1826</v>
      </c>
      <c r="BT160" s="1" t="str">
        <f>HYPERLINK("https%3A%2F%2Fwww.webofscience.com%2Fwos%2Fwoscc%2Ffull-record%2FWOS:000464377400004","View Full Record in Web of Science")</f>
        <v>View Full Record in Web of Science</v>
      </c>
    </row>
    <row r="161" ht="12.75" customHeight="1">
      <c r="A161" s="1" t="s">
        <v>72</v>
      </c>
      <c r="B161" s="1" t="s">
        <v>1827</v>
      </c>
      <c r="C161" s="1" t="s">
        <v>74</v>
      </c>
      <c r="D161" s="1" t="s">
        <v>74</v>
      </c>
      <c r="E161" s="1" t="s">
        <v>74</v>
      </c>
      <c r="F161" s="1" t="s">
        <v>1828</v>
      </c>
      <c r="G161" s="1" t="s">
        <v>74</v>
      </c>
      <c r="H161" s="1" t="s">
        <v>74</v>
      </c>
      <c r="I161" s="1" t="s">
        <v>1829</v>
      </c>
      <c r="J161" s="1" t="s">
        <v>447</v>
      </c>
      <c r="K161" s="1" t="s">
        <v>74</v>
      </c>
      <c r="L161" s="1" t="s">
        <v>74</v>
      </c>
      <c r="M161" s="1" t="s">
        <v>74</v>
      </c>
      <c r="N161" s="1" t="s">
        <v>74</v>
      </c>
      <c r="O161" s="1" t="s">
        <v>74</v>
      </c>
      <c r="P161" s="1" t="s">
        <v>74</v>
      </c>
      <c r="Q161" s="1" t="s">
        <v>74</v>
      </c>
      <c r="R161" s="1" t="s">
        <v>74</v>
      </c>
      <c r="S161" s="1" t="s">
        <v>74</v>
      </c>
      <c r="T161" s="1" t="s">
        <v>74</v>
      </c>
      <c r="U161" s="1" t="s">
        <v>74</v>
      </c>
      <c r="V161" s="1" t="s">
        <v>1830</v>
      </c>
      <c r="W161" s="1" t="s">
        <v>74</v>
      </c>
      <c r="X161" s="1" t="s">
        <v>74</v>
      </c>
      <c r="Y161" s="1" t="s">
        <v>74</v>
      </c>
      <c r="Z161" s="1" t="s">
        <v>74</v>
      </c>
      <c r="AA161" s="1" t="s">
        <v>386</v>
      </c>
      <c r="AB161" s="1" t="s">
        <v>387</v>
      </c>
      <c r="AC161" s="1" t="s">
        <v>74</v>
      </c>
      <c r="AD161" s="1" t="s">
        <v>74</v>
      </c>
      <c r="AE161" s="1" t="s">
        <v>74</v>
      </c>
      <c r="AF161" s="1" t="s">
        <v>74</v>
      </c>
      <c r="AG161" s="1" t="s">
        <v>74</v>
      </c>
      <c r="AH161" s="1" t="s">
        <v>74</v>
      </c>
      <c r="AI161" s="1" t="s">
        <v>74</v>
      </c>
      <c r="AJ161" s="1" t="s">
        <v>74</v>
      </c>
      <c r="AK161" s="1" t="s">
        <v>74</v>
      </c>
      <c r="AL161" s="1" t="s">
        <v>74</v>
      </c>
      <c r="AM161" s="1" t="s">
        <v>74</v>
      </c>
      <c r="AN161" s="1" t="s">
        <v>74</v>
      </c>
      <c r="AO161" s="1" t="s">
        <v>451</v>
      </c>
      <c r="AP161" s="1" t="s">
        <v>452</v>
      </c>
      <c r="AQ161" s="1" t="s">
        <v>74</v>
      </c>
      <c r="AR161" s="1" t="s">
        <v>74</v>
      </c>
      <c r="AS161" s="1" t="s">
        <v>74</v>
      </c>
      <c r="AT161" s="1" t="s">
        <v>537</v>
      </c>
      <c r="AU161" s="1">
        <v>2017.0</v>
      </c>
      <c r="AV161" s="1">
        <v>244.0</v>
      </c>
      <c r="AW161" s="1" t="s">
        <v>74</v>
      </c>
      <c r="AX161" s="1">
        <v>1.0</v>
      </c>
      <c r="AY161" s="1" t="s">
        <v>74</v>
      </c>
      <c r="AZ161" s="1" t="s">
        <v>74</v>
      </c>
      <c r="BA161" s="1" t="s">
        <v>74</v>
      </c>
      <c r="BB161" s="1">
        <v>416.0</v>
      </c>
      <c r="BC161" s="1">
        <v>422.0</v>
      </c>
      <c r="BD161" s="1" t="s">
        <v>74</v>
      </c>
      <c r="BE161" s="1" t="s">
        <v>1831</v>
      </c>
      <c r="BF161" s="2" t="str">
        <f>HYPERLINK("http://dx.doi.org/10.1016/j.biortech.2017.07.159","http://dx.doi.org/10.1016/j.biortech.2017.07.159")</f>
        <v>http://dx.doi.org/10.1016/j.biortech.2017.07.159</v>
      </c>
      <c r="BG161" s="1" t="s">
        <v>74</v>
      </c>
      <c r="BH161" s="1" t="s">
        <v>74</v>
      </c>
      <c r="BI161" s="1" t="s">
        <v>74</v>
      </c>
      <c r="BJ161" s="1" t="s">
        <v>74</v>
      </c>
      <c r="BK161" s="1" t="s">
        <v>74</v>
      </c>
      <c r="BL161" s="1" t="s">
        <v>74</v>
      </c>
      <c r="BM161" s="1" t="s">
        <v>74</v>
      </c>
      <c r="BN161" s="1">
        <v>2.878769E7</v>
      </c>
      <c r="BO161" s="1" t="s">
        <v>74</v>
      </c>
      <c r="BP161" s="1" t="s">
        <v>74</v>
      </c>
      <c r="BQ161" s="1" t="s">
        <v>74</v>
      </c>
      <c r="BR161" s="1" t="s">
        <v>74</v>
      </c>
      <c r="BS161" s="1" t="s">
        <v>1832</v>
      </c>
      <c r="BT161" s="1" t="str">
        <f>HYPERLINK("https%3A%2F%2Fwww.webofscience.com%2Fwos%2Fwoscc%2Ffull-record%2FWOS:000410545300051","View Full Record in Web of Science")</f>
        <v>View Full Record in Web of Science</v>
      </c>
    </row>
    <row r="162" ht="12.75" customHeight="1">
      <c r="A162" s="1" t="s">
        <v>72</v>
      </c>
      <c r="B162" s="1" t="s">
        <v>1833</v>
      </c>
      <c r="C162" s="1" t="s">
        <v>74</v>
      </c>
      <c r="D162" s="1" t="s">
        <v>74</v>
      </c>
      <c r="E162" s="1" t="s">
        <v>74</v>
      </c>
      <c r="F162" s="1" t="s">
        <v>1834</v>
      </c>
      <c r="G162" s="1" t="s">
        <v>74</v>
      </c>
      <c r="H162" s="1" t="s">
        <v>74</v>
      </c>
      <c r="I162" s="1" t="s">
        <v>1835</v>
      </c>
      <c r="J162" s="1" t="s">
        <v>1836</v>
      </c>
      <c r="K162" s="1" t="s">
        <v>74</v>
      </c>
      <c r="L162" s="1" t="s">
        <v>74</v>
      </c>
      <c r="M162" s="1" t="s">
        <v>74</v>
      </c>
      <c r="N162" s="1" t="s">
        <v>74</v>
      </c>
      <c r="O162" s="1" t="s">
        <v>74</v>
      </c>
      <c r="P162" s="1" t="s">
        <v>74</v>
      </c>
      <c r="Q162" s="1" t="s">
        <v>74</v>
      </c>
      <c r="R162" s="1" t="s">
        <v>74</v>
      </c>
      <c r="S162" s="1" t="s">
        <v>74</v>
      </c>
      <c r="T162" s="1" t="s">
        <v>74</v>
      </c>
      <c r="U162" s="1" t="s">
        <v>74</v>
      </c>
      <c r="V162" s="1" t="s">
        <v>1837</v>
      </c>
      <c r="W162" s="1" t="s">
        <v>74</v>
      </c>
      <c r="X162" s="1" t="s">
        <v>74</v>
      </c>
      <c r="Y162" s="1" t="s">
        <v>74</v>
      </c>
      <c r="Z162" s="1" t="s">
        <v>74</v>
      </c>
      <c r="AA162" s="1" t="s">
        <v>1838</v>
      </c>
      <c r="AB162" s="1" t="s">
        <v>74</v>
      </c>
      <c r="AC162" s="1" t="s">
        <v>74</v>
      </c>
      <c r="AD162" s="1" t="s">
        <v>74</v>
      </c>
      <c r="AE162" s="1" t="s">
        <v>74</v>
      </c>
      <c r="AF162" s="1" t="s">
        <v>74</v>
      </c>
      <c r="AG162" s="1" t="s">
        <v>74</v>
      </c>
      <c r="AH162" s="1" t="s">
        <v>74</v>
      </c>
      <c r="AI162" s="1" t="s">
        <v>74</v>
      </c>
      <c r="AJ162" s="1" t="s">
        <v>74</v>
      </c>
      <c r="AK162" s="1" t="s">
        <v>74</v>
      </c>
      <c r="AL162" s="1" t="s">
        <v>74</v>
      </c>
      <c r="AM162" s="1" t="s">
        <v>74</v>
      </c>
      <c r="AN162" s="1" t="s">
        <v>74</v>
      </c>
      <c r="AO162" s="1" t="s">
        <v>1839</v>
      </c>
      <c r="AP162" s="1" t="s">
        <v>1840</v>
      </c>
      <c r="AQ162" s="1" t="s">
        <v>74</v>
      </c>
      <c r="AR162" s="1" t="s">
        <v>74</v>
      </c>
      <c r="AS162" s="1" t="s">
        <v>74</v>
      </c>
      <c r="AT162" s="1" t="s">
        <v>1841</v>
      </c>
      <c r="AU162" s="1">
        <v>2017.0</v>
      </c>
      <c r="AV162" s="1">
        <v>621.0</v>
      </c>
      <c r="AW162" s="1" t="s">
        <v>74</v>
      </c>
      <c r="AX162" s="1" t="s">
        <v>74</v>
      </c>
      <c r="AY162" s="1" t="s">
        <v>74</v>
      </c>
      <c r="AZ162" s="1" t="s">
        <v>74</v>
      </c>
      <c r="BA162" s="1" t="s">
        <v>74</v>
      </c>
      <c r="BB162" s="1">
        <v>46.0</v>
      </c>
      <c r="BC162" s="1">
        <v>53.0</v>
      </c>
      <c r="BD162" s="1" t="s">
        <v>74</v>
      </c>
      <c r="BE162" s="1" t="s">
        <v>1842</v>
      </c>
      <c r="BF162" s="2" t="str">
        <f>HYPERLINK("http://dx.doi.org/10.1016/j.abb.2017.03.003","http://dx.doi.org/10.1016/j.abb.2017.03.003")</f>
        <v>http://dx.doi.org/10.1016/j.abb.2017.03.003</v>
      </c>
      <c r="BG162" s="1" t="s">
        <v>74</v>
      </c>
      <c r="BH162" s="1" t="s">
        <v>74</v>
      </c>
      <c r="BI162" s="1" t="s">
        <v>74</v>
      </c>
      <c r="BJ162" s="1" t="s">
        <v>74</v>
      </c>
      <c r="BK162" s="1" t="s">
        <v>74</v>
      </c>
      <c r="BL162" s="1" t="s">
        <v>74</v>
      </c>
      <c r="BM162" s="1" t="s">
        <v>74</v>
      </c>
      <c r="BN162" s="1">
        <v>2.8288797E7</v>
      </c>
      <c r="BO162" s="1" t="s">
        <v>74</v>
      </c>
      <c r="BP162" s="1" t="s">
        <v>74</v>
      </c>
      <c r="BQ162" s="1" t="s">
        <v>74</v>
      </c>
      <c r="BR162" s="1" t="s">
        <v>74</v>
      </c>
      <c r="BS162" s="1" t="s">
        <v>1843</v>
      </c>
      <c r="BT162" s="1" t="str">
        <f>HYPERLINK("https%3A%2F%2Fwww.webofscience.com%2Fwos%2Fwoscc%2Ffull-record%2FWOS:000400419300006","View Full Record in Web of Science")</f>
        <v>View Full Record in Web of Science</v>
      </c>
    </row>
    <row r="163" ht="12.75" customHeight="1">
      <c r="A163" s="1" t="s">
        <v>72</v>
      </c>
      <c r="B163" s="1" t="s">
        <v>1844</v>
      </c>
      <c r="C163" s="1" t="s">
        <v>74</v>
      </c>
      <c r="D163" s="1" t="s">
        <v>74</v>
      </c>
      <c r="E163" s="1" t="s">
        <v>74</v>
      </c>
      <c r="F163" s="1" t="s">
        <v>1845</v>
      </c>
      <c r="G163" s="1" t="s">
        <v>74</v>
      </c>
      <c r="H163" s="1" t="s">
        <v>74</v>
      </c>
      <c r="I163" s="1" t="s">
        <v>1846</v>
      </c>
      <c r="J163" s="1" t="s">
        <v>1847</v>
      </c>
      <c r="K163" s="1" t="s">
        <v>74</v>
      </c>
      <c r="L163" s="1" t="s">
        <v>74</v>
      </c>
      <c r="M163" s="1" t="s">
        <v>74</v>
      </c>
      <c r="N163" s="1" t="s">
        <v>74</v>
      </c>
      <c r="O163" s="1" t="s">
        <v>74</v>
      </c>
      <c r="P163" s="1" t="s">
        <v>74</v>
      </c>
      <c r="Q163" s="1" t="s">
        <v>74</v>
      </c>
      <c r="R163" s="1" t="s">
        <v>74</v>
      </c>
      <c r="S163" s="1" t="s">
        <v>74</v>
      </c>
      <c r="T163" s="1" t="s">
        <v>74</v>
      </c>
      <c r="U163" s="1" t="s">
        <v>74</v>
      </c>
      <c r="V163" s="1" t="s">
        <v>1848</v>
      </c>
      <c r="W163" s="1" t="s">
        <v>74</v>
      </c>
      <c r="X163" s="1" t="s">
        <v>74</v>
      </c>
      <c r="Y163" s="1" t="s">
        <v>74</v>
      </c>
      <c r="Z163" s="1" t="s">
        <v>74</v>
      </c>
      <c r="AA163" s="1" t="s">
        <v>1849</v>
      </c>
      <c r="AB163" s="1" t="s">
        <v>1850</v>
      </c>
      <c r="AC163" s="1" t="s">
        <v>74</v>
      </c>
      <c r="AD163" s="1" t="s">
        <v>74</v>
      </c>
      <c r="AE163" s="1" t="s">
        <v>74</v>
      </c>
      <c r="AF163" s="1" t="s">
        <v>74</v>
      </c>
      <c r="AG163" s="1" t="s">
        <v>74</v>
      </c>
      <c r="AH163" s="1" t="s">
        <v>74</v>
      </c>
      <c r="AI163" s="1" t="s">
        <v>74</v>
      </c>
      <c r="AJ163" s="1" t="s">
        <v>74</v>
      </c>
      <c r="AK163" s="1" t="s">
        <v>74</v>
      </c>
      <c r="AL163" s="1" t="s">
        <v>74</v>
      </c>
      <c r="AM163" s="1" t="s">
        <v>74</v>
      </c>
      <c r="AN163" s="1" t="s">
        <v>74</v>
      </c>
      <c r="AO163" s="1" t="s">
        <v>1851</v>
      </c>
      <c r="AP163" s="1" t="s">
        <v>1852</v>
      </c>
      <c r="AQ163" s="1" t="s">
        <v>74</v>
      </c>
      <c r="AR163" s="1" t="s">
        <v>74</v>
      </c>
      <c r="AS163" s="1" t="s">
        <v>74</v>
      </c>
      <c r="AT163" s="1" t="s">
        <v>74</v>
      </c>
      <c r="AU163" s="1">
        <v>2017.0</v>
      </c>
      <c r="AV163" s="1">
        <v>49.0</v>
      </c>
      <c r="AW163" s="1">
        <v>59.0</v>
      </c>
      <c r="AX163" s="1" t="s">
        <v>74</v>
      </c>
      <c r="AY163" s="1" t="s">
        <v>74</v>
      </c>
      <c r="AZ163" s="1" t="s">
        <v>74</v>
      </c>
      <c r="BA163" s="1" t="s">
        <v>74</v>
      </c>
      <c r="BB163" s="1">
        <v>5905.0</v>
      </c>
      <c r="BC163" s="1">
        <v>5915.0</v>
      </c>
      <c r="BD163" s="1" t="s">
        <v>74</v>
      </c>
      <c r="BE163" s="1" t="s">
        <v>1853</v>
      </c>
      <c r="BF163" s="2" t="str">
        <f>HYPERLINK("http://dx.doi.org/10.1080/00036846.2017.1361007","http://dx.doi.org/10.1080/00036846.2017.1361007")</f>
        <v>http://dx.doi.org/10.1080/00036846.2017.1361007</v>
      </c>
      <c r="BG163" s="1" t="s">
        <v>74</v>
      </c>
      <c r="BH163" s="1" t="s">
        <v>74</v>
      </c>
      <c r="BI163" s="1" t="s">
        <v>74</v>
      </c>
      <c r="BJ163" s="1" t="s">
        <v>74</v>
      </c>
      <c r="BK163" s="1" t="s">
        <v>74</v>
      </c>
      <c r="BL163" s="1" t="s">
        <v>74</v>
      </c>
      <c r="BM163" s="1" t="s">
        <v>74</v>
      </c>
      <c r="BN163" s="1" t="s">
        <v>74</v>
      </c>
      <c r="BO163" s="1" t="s">
        <v>74</v>
      </c>
      <c r="BP163" s="1" t="s">
        <v>74</v>
      </c>
      <c r="BQ163" s="1" t="s">
        <v>74</v>
      </c>
      <c r="BR163" s="1" t="s">
        <v>74</v>
      </c>
      <c r="BS163" s="1" t="s">
        <v>1854</v>
      </c>
      <c r="BT163" s="1" t="str">
        <f>HYPERLINK("https%3A%2F%2Fwww.webofscience.com%2Fwos%2Fwoscc%2Ffull-record%2FWOS:000412124100003","View Full Record in Web of Science")</f>
        <v>View Full Record in Web of Science</v>
      </c>
    </row>
    <row r="164" ht="12.75" customHeight="1">
      <c r="A164" s="1" t="s">
        <v>72</v>
      </c>
      <c r="B164" s="1" t="s">
        <v>1855</v>
      </c>
      <c r="C164" s="1" t="s">
        <v>74</v>
      </c>
      <c r="D164" s="1" t="s">
        <v>74</v>
      </c>
      <c r="E164" s="1" t="s">
        <v>74</v>
      </c>
      <c r="F164" s="1" t="s">
        <v>1856</v>
      </c>
      <c r="G164" s="1" t="s">
        <v>74</v>
      </c>
      <c r="H164" s="1" t="s">
        <v>74</v>
      </c>
      <c r="I164" s="1" t="s">
        <v>1857</v>
      </c>
      <c r="J164" s="1" t="s">
        <v>1858</v>
      </c>
      <c r="K164" s="1" t="s">
        <v>74</v>
      </c>
      <c r="L164" s="1" t="s">
        <v>74</v>
      </c>
      <c r="M164" s="1" t="s">
        <v>74</v>
      </c>
      <c r="N164" s="1" t="s">
        <v>74</v>
      </c>
      <c r="O164" s="1" t="s">
        <v>74</v>
      </c>
      <c r="P164" s="1" t="s">
        <v>74</v>
      </c>
      <c r="Q164" s="1" t="s">
        <v>74</v>
      </c>
      <c r="R164" s="1" t="s">
        <v>74</v>
      </c>
      <c r="S164" s="1" t="s">
        <v>74</v>
      </c>
      <c r="T164" s="1" t="s">
        <v>74</v>
      </c>
      <c r="U164" s="1" t="s">
        <v>74</v>
      </c>
      <c r="V164" s="1" t="s">
        <v>1859</v>
      </c>
      <c r="W164" s="1" t="s">
        <v>74</v>
      </c>
      <c r="X164" s="1" t="s">
        <v>74</v>
      </c>
      <c r="Y164" s="1" t="s">
        <v>74</v>
      </c>
      <c r="Z164" s="1" t="s">
        <v>74</v>
      </c>
      <c r="AA164" s="1" t="s">
        <v>1860</v>
      </c>
      <c r="AB164" s="1" t="s">
        <v>1861</v>
      </c>
      <c r="AC164" s="1" t="s">
        <v>74</v>
      </c>
      <c r="AD164" s="1" t="s">
        <v>74</v>
      </c>
      <c r="AE164" s="1" t="s">
        <v>74</v>
      </c>
      <c r="AF164" s="1" t="s">
        <v>74</v>
      </c>
      <c r="AG164" s="1" t="s">
        <v>74</v>
      </c>
      <c r="AH164" s="1" t="s">
        <v>74</v>
      </c>
      <c r="AI164" s="1" t="s">
        <v>74</v>
      </c>
      <c r="AJ164" s="1" t="s">
        <v>74</v>
      </c>
      <c r="AK164" s="1" t="s">
        <v>74</v>
      </c>
      <c r="AL164" s="1" t="s">
        <v>74</v>
      </c>
      <c r="AM164" s="1" t="s">
        <v>74</v>
      </c>
      <c r="AN164" s="1" t="s">
        <v>74</v>
      </c>
      <c r="AO164" s="1" t="s">
        <v>1862</v>
      </c>
      <c r="AP164" s="1" t="s">
        <v>1863</v>
      </c>
      <c r="AQ164" s="1" t="s">
        <v>74</v>
      </c>
      <c r="AR164" s="1" t="s">
        <v>74</v>
      </c>
      <c r="AS164" s="1" t="s">
        <v>74</v>
      </c>
      <c r="AT164" s="1" t="s">
        <v>74</v>
      </c>
      <c r="AU164" s="1">
        <v>2016.0</v>
      </c>
      <c r="AV164" s="1">
        <v>53.0</v>
      </c>
      <c r="AW164" s="1">
        <v>3.0</v>
      </c>
      <c r="AX164" s="1" t="s">
        <v>74</v>
      </c>
      <c r="AY164" s="1" t="s">
        <v>74</v>
      </c>
      <c r="AZ164" s="1" t="s">
        <v>74</v>
      </c>
      <c r="BA164" s="1" t="s">
        <v>74</v>
      </c>
      <c r="BB164" s="1">
        <v>857.0</v>
      </c>
      <c r="BC164" s="1">
        <v>873.0</v>
      </c>
      <c r="BD164" s="1" t="s">
        <v>74</v>
      </c>
      <c r="BE164" s="1" t="s">
        <v>1864</v>
      </c>
      <c r="BF164" s="2" t="str">
        <f>HYPERLINK("http://dx.doi.org/10.3233/JAD-160083","http://dx.doi.org/10.3233/JAD-160083")</f>
        <v>http://dx.doi.org/10.3233/JAD-160083</v>
      </c>
      <c r="BG164" s="1" t="s">
        <v>74</v>
      </c>
      <c r="BH164" s="1" t="s">
        <v>74</v>
      </c>
      <c r="BI164" s="1" t="s">
        <v>74</v>
      </c>
      <c r="BJ164" s="1" t="s">
        <v>74</v>
      </c>
      <c r="BK164" s="1" t="s">
        <v>74</v>
      </c>
      <c r="BL164" s="1" t="s">
        <v>74</v>
      </c>
      <c r="BM164" s="1" t="s">
        <v>74</v>
      </c>
      <c r="BN164" s="1">
        <v>2.7258416E7</v>
      </c>
      <c r="BO164" s="1" t="s">
        <v>74</v>
      </c>
      <c r="BP164" s="1" t="s">
        <v>74</v>
      </c>
      <c r="BQ164" s="1" t="s">
        <v>74</v>
      </c>
      <c r="BR164" s="1" t="s">
        <v>74</v>
      </c>
      <c r="BS164" s="1" t="s">
        <v>1865</v>
      </c>
      <c r="BT164" s="1" t="str">
        <f>HYPERLINK("https%3A%2F%2Fwww.webofscience.com%2Fwos%2Fwoscc%2Ffull-record%2FWOS:000383148100008","View Full Record in Web of Science")</f>
        <v>View Full Record in Web of Science</v>
      </c>
    </row>
    <row r="165" ht="12.75" customHeight="1">
      <c r="A165" s="1" t="s">
        <v>72</v>
      </c>
      <c r="B165" s="1" t="s">
        <v>1866</v>
      </c>
      <c r="C165" s="1" t="s">
        <v>74</v>
      </c>
      <c r="D165" s="1" t="s">
        <v>74</v>
      </c>
      <c r="E165" s="1" t="s">
        <v>74</v>
      </c>
      <c r="F165" s="1" t="s">
        <v>1867</v>
      </c>
      <c r="G165" s="1" t="s">
        <v>74</v>
      </c>
      <c r="H165" s="1" t="s">
        <v>74</v>
      </c>
      <c r="I165" s="1" t="s">
        <v>1868</v>
      </c>
      <c r="J165" s="1" t="s">
        <v>1869</v>
      </c>
      <c r="K165" s="1" t="s">
        <v>74</v>
      </c>
      <c r="L165" s="1" t="s">
        <v>74</v>
      </c>
      <c r="M165" s="1" t="s">
        <v>74</v>
      </c>
      <c r="N165" s="1" t="s">
        <v>74</v>
      </c>
      <c r="O165" s="1" t="s">
        <v>74</v>
      </c>
      <c r="P165" s="1" t="s">
        <v>74</v>
      </c>
      <c r="Q165" s="1" t="s">
        <v>74</v>
      </c>
      <c r="R165" s="1" t="s">
        <v>74</v>
      </c>
      <c r="S165" s="1" t="s">
        <v>74</v>
      </c>
      <c r="T165" s="1" t="s">
        <v>74</v>
      </c>
      <c r="U165" s="1" t="s">
        <v>74</v>
      </c>
      <c r="V165" s="1" t="s">
        <v>1870</v>
      </c>
      <c r="W165" s="1" t="s">
        <v>74</v>
      </c>
      <c r="X165" s="1" t="s">
        <v>74</v>
      </c>
      <c r="Y165" s="1" t="s">
        <v>74</v>
      </c>
      <c r="Z165" s="1" t="s">
        <v>74</v>
      </c>
      <c r="AA165" s="1" t="s">
        <v>1871</v>
      </c>
      <c r="AB165" s="1" t="s">
        <v>1872</v>
      </c>
      <c r="AC165" s="1" t="s">
        <v>74</v>
      </c>
      <c r="AD165" s="1" t="s">
        <v>74</v>
      </c>
      <c r="AE165" s="1" t="s">
        <v>74</v>
      </c>
      <c r="AF165" s="1" t="s">
        <v>74</v>
      </c>
      <c r="AG165" s="1" t="s">
        <v>74</v>
      </c>
      <c r="AH165" s="1" t="s">
        <v>74</v>
      </c>
      <c r="AI165" s="1" t="s">
        <v>74</v>
      </c>
      <c r="AJ165" s="1" t="s">
        <v>74</v>
      </c>
      <c r="AK165" s="1" t="s">
        <v>74</v>
      </c>
      <c r="AL165" s="1" t="s">
        <v>74</v>
      </c>
      <c r="AM165" s="1" t="s">
        <v>74</v>
      </c>
      <c r="AN165" s="1" t="s">
        <v>74</v>
      </c>
      <c r="AO165" s="1" t="s">
        <v>1873</v>
      </c>
      <c r="AP165" s="1" t="s">
        <v>74</v>
      </c>
      <c r="AQ165" s="1" t="s">
        <v>74</v>
      </c>
      <c r="AR165" s="1" t="s">
        <v>74</v>
      </c>
      <c r="AS165" s="1" t="s">
        <v>74</v>
      </c>
      <c r="AT165" s="1" t="s">
        <v>74</v>
      </c>
      <c r="AU165" s="1">
        <v>2015.0</v>
      </c>
      <c r="AV165" s="1">
        <v>28.0</v>
      </c>
      <c r="AW165" s="1">
        <v>4.0</v>
      </c>
      <c r="AX165" s="1" t="s">
        <v>74</v>
      </c>
      <c r="AY165" s="1" t="s">
        <v>74</v>
      </c>
      <c r="AZ165" s="1" t="s">
        <v>74</v>
      </c>
      <c r="BA165" s="1" t="s">
        <v>74</v>
      </c>
      <c r="BB165" s="1">
        <v>442.0</v>
      </c>
      <c r="BC165" s="1">
        <v>460.0</v>
      </c>
      <c r="BD165" s="1" t="s">
        <v>74</v>
      </c>
      <c r="BE165" s="1" t="s">
        <v>1874</v>
      </c>
      <c r="BF165" s="2" t="str">
        <f>HYPERLINK("http://dx.doi.org/10.1108/ARLA-11-2014-0191","http://dx.doi.org/10.1108/ARLA-11-2014-0191")</f>
        <v>http://dx.doi.org/10.1108/ARLA-11-2014-0191</v>
      </c>
      <c r="BG165" s="1" t="s">
        <v>74</v>
      </c>
      <c r="BH165" s="1" t="s">
        <v>74</v>
      </c>
      <c r="BI165" s="1" t="s">
        <v>74</v>
      </c>
      <c r="BJ165" s="1" t="s">
        <v>74</v>
      </c>
      <c r="BK165" s="1" t="s">
        <v>74</v>
      </c>
      <c r="BL165" s="1" t="s">
        <v>74</v>
      </c>
      <c r="BM165" s="1" t="s">
        <v>74</v>
      </c>
      <c r="BN165" s="1" t="s">
        <v>74</v>
      </c>
      <c r="BO165" s="1" t="s">
        <v>74</v>
      </c>
      <c r="BP165" s="1" t="s">
        <v>74</v>
      </c>
      <c r="BQ165" s="1" t="s">
        <v>74</v>
      </c>
      <c r="BR165" s="1" t="s">
        <v>74</v>
      </c>
      <c r="BS165" s="1" t="s">
        <v>1875</v>
      </c>
      <c r="BT165" s="1" t="str">
        <f>HYPERLINK("https%3A%2F%2Fwww.webofscience.com%2Fwos%2Fwoscc%2Ffull-record%2FWOS:000422475100002","View Full Record in Web of Science")</f>
        <v>View Full Record in Web of Science</v>
      </c>
    </row>
    <row r="166" ht="12.75" customHeight="1">
      <c r="A166" s="1" t="s">
        <v>72</v>
      </c>
      <c r="B166" s="1" t="s">
        <v>1876</v>
      </c>
      <c r="C166" s="1" t="s">
        <v>74</v>
      </c>
      <c r="D166" s="1" t="s">
        <v>74</v>
      </c>
      <c r="E166" s="1" t="s">
        <v>74</v>
      </c>
      <c r="F166" s="1" t="s">
        <v>1877</v>
      </c>
      <c r="G166" s="1" t="s">
        <v>74</v>
      </c>
      <c r="H166" s="1" t="s">
        <v>74</v>
      </c>
      <c r="I166" s="1" t="s">
        <v>1878</v>
      </c>
      <c r="J166" s="1" t="s">
        <v>1879</v>
      </c>
      <c r="K166" s="1" t="s">
        <v>74</v>
      </c>
      <c r="L166" s="1" t="s">
        <v>74</v>
      </c>
      <c r="M166" s="1" t="s">
        <v>74</v>
      </c>
      <c r="N166" s="1" t="s">
        <v>74</v>
      </c>
      <c r="O166" s="1" t="s">
        <v>74</v>
      </c>
      <c r="P166" s="1" t="s">
        <v>74</v>
      </c>
      <c r="Q166" s="1" t="s">
        <v>74</v>
      </c>
      <c r="R166" s="1" t="s">
        <v>74</v>
      </c>
      <c r="S166" s="1" t="s">
        <v>74</v>
      </c>
      <c r="T166" s="1" t="s">
        <v>74</v>
      </c>
      <c r="U166" s="1" t="s">
        <v>74</v>
      </c>
      <c r="V166" s="1" t="s">
        <v>1880</v>
      </c>
      <c r="W166" s="1" t="s">
        <v>74</v>
      </c>
      <c r="X166" s="1" t="s">
        <v>74</v>
      </c>
      <c r="Y166" s="1" t="s">
        <v>74</v>
      </c>
      <c r="Z166" s="1" t="s">
        <v>74</v>
      </c>
      <c r="AA166" s="1" t="s">
        <v>1881</v>
      </c>
      <c r="AB166" s="1" t="s">
        <v>1882</v>
      </c>
      <c r="AC166" s="1" t="s">
        <v>74</v>
      </c>
      <c r="AD166" s="1" t="s">
        <v>74</v>
      </c>
      <c r="AE166" s="1" t="s">
        <v>74</v>
      </c>
      <c r="AF166" s="1" t="s">
        <v>74</v>
      </c>
      <c r="AG166" s="1" t="s">
        <v>74</v>
      </c>
      <c r="AH166" s="1" t="s">
        <v>74</v>
      </c>
      <c r="AI166" s="1" t="s">
        <v>74</v>
      </c>
      <c r="AJ166" s="1" t="s">
        <v>74</v>
      </c>
      <c r="AK166" s="1" t="s">
        <v>74</v>
      </c>
      <c r="AL166" s="1" t="s">
        <v>74</v>
      </c>
      <c r="AM166" s="1" t="s">
        <v>74</v>
      </c>
      <c r="AN166" s="1" t="s">
        <v>74</v>
      </c>
      <c r="AO166" s="1" t="s">
        <v>1883</v>
      </c>
      <c r="AP166" s="1" t="s">
        <v>1884</v>
      </c>
      <c r="AQ166" s="1" t="s">
        <v>74</v>
      </c>
      <c r="AR166" s="1" t="s">
        <v>74</v>
      </c>
      <c r="AS166" s="1" t="s">
        <v>74</v>
      </c>
      <c r="AT166" s="1" t="s">
        <v>74</v>
      </c>
      <c r="AU166" s="1">
        <v>2015.0</v>
      </c>
      <c r="AV166" s="1">
        <v>15.0</v>
      </c>
      <c r="AW166" s="1">
        <v>5.0</v>
      </c>
      <c r="AX166" s="1" t="s">
        <v>74</v>
      </c>
      <c r="AY166" s="1" t="s">
        <v>74</v>
      </c>
      <c r="AZ166" s="1" t="s">
        <v>74</v>
      </c>
      <c r="BA166" s="1" t="s">
        <v>74</v>
      </c>
      <c r="BB166" s="1">
        <v>427.0</v>
      </c>
      <c r="BC166" s="1">
        <v>438.0</v>
      </c>
      <c r="BD166" s="1" t="s">
        <v>74</v>
      </c>
      <c r="BE166" s="1" t="s">
        <v>1885</v>
      </c>
      <c r="BF166" s="2" t="str">
        <f>HYPERLINK("http://dx.doi.org/10.2174/1389557515666150226121052","http://dx.doi.org/10.2174/1389557515666150226121052")</f>
        <v>http://dx.doi.org/10.2174/1389557515666150226121052</v>
      </c>
      <c r="BG166" s="1" t="s">
        <v>74</v>
      </c>
      <c r="BH166" s="1" t="s">
        <v>74</v>
      </c>
      <c r="BI166" s="1" t="s">
        <v>74</v>
      </c>
      <c r="BJ166" s="1" t="s">
        <v>74</v>
      </c>
      <c r="BK166" s="1" t="s">
        <v>74</v>
      </c>
      <c r="BL166" s="1" t="s">
        <v>74</v>
      </c>
      <c r="BM166" s="1" t="s">
        <v>74</v>
      </c>
      <c r="BN166" s="1">
        <v>2.5723461E7</v>
      </c>
      <c r="BO166" s="1" t="s">
        <v>74</v>
      </c>
      <c r="BP166" s="1" t="s">
        <v>74</v>
      </c>
      <c r="BQ166" s="1" t="s">
        <v>74</v>
      </c>
      <c r="BR166" s="1" t="s">
        <v>74</v>
      </c>
      <c r="BS166" s="1" t="s">
        <v>1886</v>
      </c>
      <c r="BT166" s="1" t="str">
        <f>HYPERLINK("https%3A%2F%2Fwww.webofscience.com%2Fwos%2Fwoscc%2Ffull-record%2FWOS:000353277500008","View Full Record in Web of Science")</f>
        <v>View Full Record in Web of Science</v>
      </c>
    </row>
    <row r="167" ht="12.75" customHeight="1">
      <c r="A167" s="1" t="s">
        <v>72</v>
      </c>
      <c r="B167" s="1" t="s">
        <v>1887</v>
      </c>
      <c r="C167" s="1" t="s">
        <v>74</v>
      </c>
      <c r="D167" s="1" t="s">
        <v>74</v>
      </c>
      <c r="E167" s="1" t="s">
        <v>74</v>
      </c>
      <c r="F167" s="1" t="s">
        <v>1888</v>
      </c>
      <c r="G167" s="1" t="s">
        <v>74</v>
      </c>
      <c r="H167" s="1" t="s">
        <v>74</v>
      </c>
      <c r="I167" s="1" t="s">
        <v>1889</v>
      </c>
      <c r="J167" s="1" t="s">
        <v>1143</v>
      </c>
      <c r="K167" s="1" t="s">
        <v>74</v>
      </c>
      <c r="L167" s="1" t="s">
        <v>74</v>
      </c>
      <c r="M167" s="1" t="s">
        <v>74</v>
      </c>
      <c r="N167" s="1" t="s">
        <v>74</v>
      </c>
      <c r="O167" s="1" t="s">
        <v>74</v>
      </c>
      <c r="P167" s="1" t="s">
        <v>74</v>
      </c>
      <c r="Q167" s="1" t="s">
        <v>74</v>
      </c>
      <c r="R167" s="1" t="s">
        <v>74</v>
      </c>
      <c r="S167" s="1" t="s">
        <v>74</v>
      </c>
      <c r="T167" s="1" t="s">
        <v>74</v>
      </c>
      <c r="U167" s="1" t="s">
        <v>74</v>
      </c>
      <c r="V167" s="1" t="s">
        <v>1890</v>
      </c>
      <c r="W167" s="1" t="s">
        <v>74</v>
      </c>
      <c r="X167" s="1" t="s">
        <v>74</v>
      </c>
      <c r="Y167" s="1" t="s">
        <v>74</v>
      </c>
      <c r="Z167" s="1" t="s">
        <v>74</v>
      </c>
      <c r="AA167" s="1" t="s">
        <v>1891</v>
      </c>
      <c r="AB167" s="1" t="s">
        <v>1892</v>
      </c>
      <c r="AC167" s="1" t="s">
        <v>74</v>
      </c>
      <c r="AD167" s="1" t="s">
        <v>74</v>
      </c>
      <c r="AE167" s="1" t="s">
        <v>74</v>
      </c>
      <c r="AF167" s="1" t="s">
        <v>74</v>
      </c>
      <c r="AG167" s="1" t="s">
        <v>74</v>
      </c>
      <c r="AH167" s="1" t="s">
        <v>74</v>
      </c>
      <c r="AI167" s="1" t="s">
        <v>74</v>
      </c>
      <c r="AJ167" s="1" t="s">
        <v>74</v>
      </c>
      <c r="AK167" s="1" t="s">
        <v>74</v>
      </c>
      <c r="AL167" s="1" t="s">
        <v>74</v>
      </c>
      <c r="AM167" s="1" t="s">
        <v>74</v>
      </c>
      <c r="AN167" s="1" t="s">
        <v>74</v>
      </c>
      <c r="AO167" s="1" t="s">
        <v>1147</v>
      </c>
      <c r="AP167" s="1" t="s">
        <v>1148</v>
      </c>
      <c r="AQ167" s="1" t="s">
        <v>74</v>
      </c>
      <c r="AR167" s="1" t="s">
        <v>74</v>
      </c>
      <c r="AS167" s="1" t="s">
        <v>74</v>
      </c>
      <c r="AT167" s="1" t="s">
        <v>537</v>
      </c>
      <c r="AU167" s="1">
        <v>2014.0</v>
      </c>
      <c r="AV167" s="1">
        <v>16.0</v>
      </c>
      <c r="AW167" s="1">
        <v>11.0</v>
      </c>
      <c r="AX167" s="1" t="s">
        <v>74</v>
      </c>
      <c r="AY167" s="1" t="s">
        <v>74</v>
      </c>
      <c r="AZ167" s="1" t="s">
        <v>74</v>
      </c>
      <c r="BA167" s="1" t="s">
        <v>74</v>
      </c>
      <c r="BB167" s="1" t="s">
        <v>74</v>
      </c>
      <c r="BC167" s="1" t="s">
        <v>74</v>
      </c>
      <c r="BD167" s="1">
        <v>2688.0</v>
      </c>
      <c r="BE167" s="1" t="s">
        <v>1893</v>
      </c>
      <c r="BF167" s="2" t="str">
        <f>HYPERLINK("http://dx.doi.org/10.1007/s11051-014-2688-4","http://dx.doi.org/10.1007/s11051-014-2688-4")</f>
        <v>http://dx.doi.org/10.1007/s11051-014-2688-4</v>
      </c>
      <c r="BG167" s="1" t="s">
        <v>74</v>
      </c>
      <c r="BH167" s="1" t="s">
        <v>74</v>
      </c>
      <c r="BI167" s="1" t="s">
        <v>74</v>
      </c>
      <c r="BJ167" s="1" t="s">
        <v>74</v>
      </c>
      <c r="BK167" s="1" t="s">
        <v>74</v>
      </c>
      <c r="BL167" s="1" t="s">
        <v>74</v>
      </c>
      <c r="BM167" s="1" t="s">
        <v>74</v>
      </c>
      <c r="BN167" s="1" t="s">
        <v>74</v>
      </c>
      <c r="BO167" s="1" t="s">
        <v>74</v>
      </c>
      <c r="BP167" s="1" t="s">
        <v>74</v>
      </c>
      <c r="BQ167" s="1" t="s">
        <v>74</v>
      </c>
      <c r="BR167" s="1" t="s">
        <v>74</v>
      </c>
      <c r="BS167" s="1" t="s">
        <v>1894</v>
      </c>
      <c r="BT167" s="1" t="str">
        <f>HYPERLINK("https%3A%2F%2Fwww.webofscience.com%2Fwos%2Fwoscc%2Ffull-record%2FWOS:000346696900026","View Full Record in Web of Science")</f>
        <v>View Full Record in Web of Science</v>
      </c>
    </row>
    <row r="168" ht="12.75" customHeight="1">
      <c r="A168" s="1" t="s">
        <v>72</v>
      </c>
      <c r="B168" s="1" t="s">
        <v>1895</v>
      </c>
      <c r="C168" s="1" t="s">
        <v>74</v>
      </c>
      <c r="D168" s="1" t="s">
        <v>74</v>
      </c>
      <c r="E168" s="1" t="s">
        <v>74</v>
      </c>
      <c r="F168" s="1" t="s">
        <v>1896</v>
      </c>
      <c r="G168" s="1" t="s">
        <v>74</v>
      </c>
      <c r="H168" s="1" t="s">
        <v>74</v>
      </c>
      <c r="I168" s="1" t="s">
        <v>1897</v>
      </c>
      <c r="J168" s="1" t="s">
        <v>77</v>
      </c>
      <c r="K168" s="1" t="s">
        <v>74</v>
      </c>
      <c r="L168" s="1" t="s">
        <v>74</v>
      </c>
      <c r="M168" s="1" t="s">
        <v>74</v>
      </c>
      <c r="N168" s="1" t="s">
        <v>74</v>
      </c>
      <c r="O168" s="1" t="s">
        <v>74</v>
      </c>
      <c r="P168" s="1" t="s">
        <v>74</v>
      </c>
      <c r="Q168" s="1" t="s">
        <v>74</v>
      </c>
      <c r="R168" s="1" t="s">
        <v>74</v>
      </c>
      <c r="S168" s="1" t="s">
        <v>74</v>
      </c>
      <c r="T168" s="1" t="s">
        <v>74</v>
      </c>
      <c r="U168" s="1" t="s">
        <v>74</v>
      </c>
      <c r="V168" s="1" t="s">
        <v>1898</v>
      </c>
      <c r="W168" s="1" t="s">
        <v>74</v>
      </c>
      <c r="X168" s="1" t="s">
        <v>74</v>
      </c>
      <c r="Y168" s="1" t="s">
        <v>74</v>
      </c>
      <c r="Z168" s="1" t="s">
        <v>74</v>
      </c>
      <c r="AA168" s="1" t="s">
        <v>1899</v>
      </c>
      <c r="AB168" s="1" t="s">
        <v>74</v>
      </c>
      <c r="AC168" s="1" t="s">
        <v>74</v>
      </c>
      <c r="AD168" s="1" t="s">
        <v>74</v>
      </c>
      <c r="AE168" s="1" t="s">
        <v>74</v>
      </c>
      <c r="AF168" s="1" t="s">
        <v>74</v>
      </c>
      <c r="AG168" s="1" t="s">
        <v>74</v>
      </c>
      <c r="AH168" s="1" t="s">
        <v>74</v>
      </c>
      <c r="AI168" s="1" t="s">
        <v>74</v>
      </c>
      <c r="AJ168" s="1" t="s">
        <v>74</v>
      </c>
      <c r="AK168" s="1" t="s">
        <v>74</v>
      </c>
      <c r="AL168" s="1" t="s">
        <v>74</v>
      </c>
      <c r="AM168" s="1" t="s">
        <v>74</v>
      </c>
      <c r="AN168" s="1" t="s">
        <v>74</v>
      </c>
      <c r="AO168" s="1" t="s">
        <v>81</v>
      </c>
      <c r="AP168" s="1" t="s">
        <v>74</v>
      </c>
      <c r="AQ168" s="1" t="s">
        <v>74</v>
      </c>
      <c r="AR168" s="1" t="s">
        <v>74</v>
      </c>
      <c r="AS168" s="1" t="s">
        <v>74</v>
      </c>
      <c r="AT168" s="1" t="s">
        <v>1900</v>
      </c>
      <c r="AU168" s="1">
        <v>2014.0</v>
      </c>
      <c r="AV168" s="1">
        <v>9.0</v>
      </c>
      <c r="AW168" s="1">
        <v>1.0</v>
      </c>
      <c r="AX168" s="1" t="s">
        <v>74</v>
      </c>
      <c r="AY168" s="1" t="s">
        <v>74</v>
      </c>
      <c r="AZ168" s="1" t="s">
        <v>74</v>
      </c>
      <c r="BA168" s="1" t="s">
        <v>74</v>
      </c>
      <c r="BB168" s="1" t="s">
        <v>74</v>
      </c>
      <c r="BC168" s="1" t="s">
        <v>74</v>
      </c>
      <c r="BD168" s="1" t="s">
        <v>1901</v>
      </c>
      <c r="BE168" s="1" t="s">
        <v>1902</v>
      </c>
      <c r="BF168" s="2" t="str">
        <f>HYPERLINK("http://dx.doi.org/10.1371/journal.pone.0085194","http://dx.doi.org/10.1371/journal.pone.0085194")</f>
        <v>http://dx.doi.org/10.1371/journal.pone.0085194</v>
      </c>
      <c r="BG168" s="1" t="s">
        <v>74</v>
      </c>
      <c r="BH168" s="1" t="s">
        <v>74</v>
      </c>
      <c r="BI168" s="1" t="s">
        <v>74</v>
      </c>
      <c r="BJ168" s="1" t="s">
        <v>74</v>
      </c>
      <c r="BK168" s="1" t="s">
        <v>74</v>
      </c>
      <c r="BL168" s="1" t="s">
        <v>74</v>
      </c>
      <c r="BM168" s="1" t="s">
        <v>74</v>
      </c>
      <c r="BN168" s="1" t="s">
        <v>74</v>
      </c>
      <c r="BO168" s="1" t="s">
        <v>74</v>
      </c>
      <c r="BP168" s="1" t="s">
        <v>74</v>
      </c>
      <c r="BQ168" s="1" t="s">
        <v>74</v>
      </c>
      <c r="BR168" s="1" t="s">
        <v>74</v>
      </c>
      <c r="BS168" s="1" t="s">
        <v>1903</v>
      </c>
      <c r="BT168" s="1" t="str">
        <f>HYPERLINK("https%3A%2F%2Fwww.webofscience.com%2Fwos%2Fwoscc%2Ffull-record%2FWOS:000330510000010","View Full Record in Web of Science")</f>
        <v>View Full Record in Web of Science</v>
      </c>
    </row>
    <row r="169" ht="12.75" customHeight="1">
      <c r="A169" s="1" t="s">
        <v>72</v>
      </c>
      <c r="B169" s="1" t="s">
        <v>1904</v>
      </c>
      <c r="C169" s="1" t="s">
        <v>74</v>
      </c>
      <c r="D169" s="1" t="s">
        <v>74</v>
      </c>
      <c r="E169" s="1" t="s">
        <v>74</v>
      </c>
      <c r="F169" s="1" t="s">
        <v>1905</v>
      </c>
      <c r="G169" s="1" t="s">
        <v>74</v>
      </c>
      <c r="H169" s="1" t="s">
        <v>74</v>
      </c>
      <c r="I169" s="1" t="s">
        <v>1906</v>
      </c>
      <c r="J169" s="1" t="s">
        <v>1907</v>
      </c>
      <c r="K169" s="1" t="s">
        <v>74</v>
      </c>
      <c r="L169" s="1" t="s">
        <v>74</v>
      </c>
      <c r="M169" s="1" t="s">
        <v>74</v>
      </c>
      <c r="N169" s="1" t="s">
        <v>74</v>
      </c>
      <c r="O169" s="1" t="s">
        <v>74</v>
      </c>
      <c r="P169" s="1" t="s">
        <v>74</v>
      </c>
      <c r="Q169" s="1" t="s">
        <v>74</v>
      </c>
      <c r="R169" s="1" t="s">
        <v>74</v>
      </c>
      <c r="S169" s="1" t="s">
        <v>74</v>
      </c>
      <c r="T169" s="1" t="s">
        <v>74</v>
      </c>
      <c r="U169" s="1" t="s">
        <v>74</v>
      </c>
      <c r="V169" s="1" t="s">
        <v>1908</v>
      </c>
      <c r="W169" s="1" t="s">
        <v>74</v>
      </c>
      <c r="X169" s="1" t="s">
        <v>74</v>
      </c>
      <c r="Y169" s="1" t="s">
        <v>74</v>
      </c>
      <c r="Z169" s="1" t="s">
        <v>74</v>
      </c>
      <c r="AA169" s="1" t="s">
        <v>1909</v>
      </c>
      <c r="AB169" s="1" t="s">
        <v>1910</v>
      </c>
      <c r="AC169" s="1" t="s">
        <v>74</v>
      </c>
      <c r="AD169" s="1" t="s">
        <v>74</v>
      </c>
      <c r="AE169" s="1" t="s">
        <v>74</v>
      </c>
      <c r="AF169" s="1" t="s">
        <v>74</v>
      </c>
      <c r="AG169" s="1" t="s">
        <v>74</v>
      </c>
      <c r="AH169" s="1" t="s">
        <v>74</v>
      </c>
      <c r="AI169" s="1" t="s">
        <v>74</v>
      </c>
      <c r="AJ169" s="1" t="s">
        <v>74</v>
      </c>
      <c r="AK169" s="1" t="s">
        <v>74</v>
      </c>
      <c r="AL169" s="1" t="s">
        <v>74</v>
      </c>
      <c r="AM169" s="1" t="s">
        <v>74</v>
      </c>
      <c r="AN169" s="1" t="s">
        <v>74</v>
      </c>
      <c r="AO169" s="1" t="s">
        <v>1911</v>
      </c>
      <c r="AP169" s="1" t="s">
        <v>74</v>
      </c>
      <c r="AQ169" s="1" t="s">
        <v>74</v>
      </c>
      <c r="AR169" s="1" t="s">
        <v>74</v>
      </c>
      <c r="AS169" s="1" t="s">
        <v>74</v>
      </c>
      <c r="AT169" s="1" t="s">
        <v>318</v>
      </c>
      <c r="AU169" s="1">
        <v>2013.0</v>
      </c>
      <c r="AV169" s="1">
        <v>224.0</v>
      </c>
      <c r="AW169" s="1">
        <v>2.0</v>
      </c>
      <c r="AX169" s="1" t="s">
        <v>74</v>
      </c>
      <c r="AY169" s="1" t="s">
        <v>74</v>
      </c>
      <c r="AZ169" s="1" t="s">
        <v>74</v>
      </c>
      <c r="BA169" s="1" t="s">
        <v>74</v>
      </c>
      <c r="BB169" s="1" t="s">
        <v>74</v>
      </c>
      <c r="BC169" s="1" t="s">
        <v>74</v>
      </c>
      <c r="BD169" s="1">
        <v>1390.0</v>
      </c>
      <c r="BE169" s="1" t="s">
        <v>1912</v>
      </c>
      <c r="BF169" s="2" t="str">
        <f>HYPERLINK("http://dx.doi.org/10.1007/s11270-012-1390-3","http://dx.doi.org/10.1007/s11270-012-1390-3")</f>
        <v>http://dx.doi.org/10.1007/s11270-012-1390-3</v>
      </c>
      <c r="BG169" s="1" t="s">
        <v>74</v>
      </c>
      <c r="BH169" s="1" t="s">
        <v>74</v>
      </c>
      <c r="BI169" s="1" t="s">
        <v>74</v>
      </c>
      <c r="BJ169" s="1" t="s">
        <v>74</v>
      </c>
      <c r="BK169" s="1" t="s">
        <v>74</v>
      </c>
      <c r="BL169" s="1" t="s">
        <v>74</v>
      </c>
      <c r="BM169" s="1" t="s">
        <v>74</v>
      </c>
      <c r="BN169" s="1" t="s">
        <v>74</v>
      </c>
      <c r="BO169" s="1" t="s">
        <v>74</v>
      </c>
      <c r="BP169" s="1" t="s">
        <v>74</v>
      </c>
      <c r="BQ169" s="1" t="s">
        <v>74</v>
      </c>
      <c r="BR169" s="1" t="s">
        <v>74</v>
      </c>
      <c r="BS169" s="1" t="s">
        <v>1913</v>
      </c>
      <c r="BT169" s="1" t="str">
        <f>HYPERLINK("https%3A%2F%2Fwww.webofscience.com%2Fwos%2Fwoscc%2Ffull-record%2FWOS:000315281300006","View Full Record in Web of Science")</f>
        <v>View Full Record in Web of Science</v>
      </c>
    </row>
    <row r="170" ht="12.75" customHeight="1">
      <c r="A170" s="1" t="s">
        <v>72</v>
      </c>
      <c r="B170" s="1" t="s">
        <v>1914</v>
      </c>
      <c r="C170" s="1" t="s">
        <v>74</v>
      </c>
      <c r="D170" s="1" t="s">
        <v>74</v>
      </c>
      <c r="E170" s="1" t="s">
        <v>74</v>
      </c>
      <c r="F170" s="1" t="s">
        <v>1915</v>
      </c>
      <c r="G170" s="1" t="s">
        <v>74</v>
      </c>
      <c r="H170" s="1" t="s">
        <v>74</v>
      </c>
      <c r="I170" s="1" t="s">
        <v>1916</v>
      </c>
      <c r="J170" s="1" t="s">
        <v>900</v>
      </c>
      <c r="K170" s="1" t="s">
        <v>74</v>
      </c>
      <c r="L170" s="1" t="s">
        <v>74</v>
      </c>
      <c r="M170" s="1" t="s">
        <v>74</v>
      </c>
      <c r="N170" s="1" t="s">
        <v>74</v>
      </c>
      <c r="O170" s="1" t="s">
        <v>74</v>
      </c>
      <c r="P170" s="1" t="s">
        <v>74</v>
      </c>
      <c r="Q170" s="1" t="s">
        <v>74</v>
      </c>
      <c r="R170" s="1" t="s">
        <v>74</v>
      </c>
      <c r="S170" s="1" t="s">
        <v>74</v>
      </c>
      <c r="T170" s="1" t="s">
        <v>74</v>
      </c>
      <c r="U170" s="1" t="s">
        <v>74</v>
      </c>
      <c r="V170" s="1" t="s">
        <v>1917</v>
      </c>
      <c r="W170" s="1" t="s">
        <v>74</v>
      </c>
      <c r="X170" s="1" t="s">
        <v>74</v>
      </c>
      <c r="Y170" s="1" t="s">
        <v>74</v>
      </c>
      <c r="Z170" s="1" t="s">
        <v>74</v>
      </c>
      <c r="AA170" s="1" t="s">
        <v>1918</v>
      </c>
      <c r="AB170" s="1" t="s">
        <v>1919</v>
      </c>
      <c r="AC170" s="1" t="s">
        <v>74</v>
      </c>
      <c r="AD170" s="1" t="s">
        <v>74</v>
      </c>
      <c r="AE170" s="1" t="s">
        <v>74</v>
      </c>
      <c r="AF170" s="1" t="s">
        <v>74</v>
      </c>
      <c r="AG170" s="1" t="s">
        <v>74</v>
      </c>
      <c r="AH170" s="1" t="s">
        <v>74</v>
      </c>
      <c r="AI170" s="1" t="s">
        <v>74</v>
      </c>
      <c r="AJ170" s="1" t="s">
        <v>74</v>
      </c>
      <c r="AK170" s="1" t="s">
        <v>74</v>
      </c>
      <c r="AL170" s="1" t="s">
        <v>74</v>
      </c>
      <c r="AM170" s="1" t="s">
        <v>74</v>
      </c>
      <c r="AN170" s="1" t="s">
        <v>74</v>
      </c>
      <c r="AO170" s="1" t="s">
        <v>904</v>
      </c>
      <c r="AP170" s="1" t="s">
        <v>74</v>
      </c>
      <c r="AQ170" s="1" t="s">
        <v>74</v>
      </c>
      <c r="AR170" s="1" t="s">
        <v>74</v>
      </c>
      <c r="AS170" s="1" t="s">
        <v>74</v>
      </c>
      <c r="AT170" s="1" t="s">
        <v>318</v>
      </c>
      <c r="AU170" s="1">
        <v>2013.0</v>
      </c>
      <c r="AV170" s="1">
        <v>145.0</v>
      </c>
      <c r="AW170" s="1">
        <v>2.0</v>
      </c>
      <c r="AX170" s="1" t="s">
        <v>74</v>
      </c>
      <c r="AY170" s="1" t="s">
        <v>74</v>
      </c>
      <c r="AZ170" s="1" t="s">
        <v>74</v>
      </c>
      <c r="BA170" s="1" t="s">
        <v>74</v>
      </c>
      <c r="BB170" s="1">
        <v>109.0</v>
      </c>
      <c r="BC170" s="1">
        <v>117.0</v>
      </c>
      <c r="BD170" s="1" t="s">
        <v>74</v>
      </c>
      <c r="BE170" s="1" t="s">
        <v>1920</v>
      </c>
      <c r="BF170" s="2" t="str">
        <f>HYPERLINK("http://dx.doi.org/10.1530/REP-12-0389","http://dx.doi.org/10.1530/REP-12-0389")</f>
        <v>http://dx.doi.org/10.1530/REP-12-0389</v>
      </c>
      <c r="BG170" s="1" t="s">
        <v>74</v>
      </c>
      <c r="BH170" s="1" t="s">
        <v>74</v>
      </c>
      <c r="BI170" s="1" t="s">
        <v>74</v>
      </c>
      <c r="BJ170" s="1" t="s">
        <v>74</v>
      </c>
      <c r="BK170" s="1" t="s">
        <v>74</v>
      </c>
      <c r="BL170" s="1" t="s">
        <v>74</v>
      </c>
      <c r="BM170" s="1" t="s">
        <v>74</v>
      </c>
      <c r="BN170" s="1">
        <v>2.3148087E7</v>
      </c>
      <c r="BO170" s="1" t="s">
        <v>74</v>
      </c>
      <c r="BP170" s="1" t="s">
        <v>74</v>
      </c>
      <c r="BQ170" s="1" t="s">
        <v>74</v>
      </c>
      <c r="BR170" s="1" t="s">
        <v>74</v>
      </c>
      <c r="BS170" s="1" t="s">
        <v>1921</v>
      </c>
      <c r="BT170" s="1" t="str">
        <f>HYPERLINK("https%3A%2F%2Fwww.webofscience.com%2Fwos%2Fwoscc%2Ffull-record%2FWOS:000315870800004","View Full Record in Web of Science")</f>
        <v>View Full Record in Web of Science</v>
      </c>
    </row>
    <row r="171" ht="12.75" customHeight="1">
      <c r="A171" s="1" t="s">
        <v>72</v>
      </c>
      <c r="B171" s="1" t="s">
        <v>1922</v>
      </c>
      <c r="C171" s="1" t="s">
        <v>74</v>
      </c>
      <c r="D171" s="1" t="s">
        <v>74</v>
      </c>
      <c r="E171" s="1" t="s">
        <v>74</v>
      </c>
      <c r="F171" s="1" t="s">
        <v>1923</v>
      </c>
      <c r="G171" s="1" t="s">
        <v>74</v>
      </c>
      <c r="H171" s="1" t="s">
        <v>74</v>
      </c>
      <c r="I171" s="1" t="s">
        <v>1924</v>
      </c>
      <c r="J171" s="1" t="s">
        <v>1925</v>
      </c>
      <c r="K171" s="1" t="s">
        <v>74</v>
      </c>
      <c r="L171" s="1" t="s">
        <v>74</v>
      </c>
      <c r="M171" s="1" t="s">
        <v>74</v>
      </c>
      <c r="N171" s="1" t="s">
        <v>74</v>
      </c>
      <c r="O171" s="1" t="s">
        <v>74</v>
      </c>
      <c r="P171" s="1" t="s">
        <v>74</v>
      </c>
      <c r="Q171" s="1" t="s">
        <v>74</v>
      </c>
      <c r="R171" s="1" t="s">
        <v>74</v>
      </c>
      <c r="S171" s="1" t="s">
        <v>74</v>
      </c>
      <c r="T171" s="1" t="s">
        <v>74</v>
      </c>
      <c r="U171" s="1" t="s">
        <v>74</v>
      </c>
      <c r="V171" s="1" t="s">
        <v>1926</v>
      </c>
      <c r="W171" s="1" t="s">
        <v>74</v>
      </c>
      <c r="X171" s="1" t="s">
        <v>74</v>
      </c>
      <c r="Y171" s="1" t="s">
        <v>74</v>
      </c>
      <c r="Z171" s="1" t="s">
        <v>74</v>
      </c>
      <c r="AA171" s="1" t="s">
        <v>1927</v>
      </c>
      <c r="AB171" s="1" t="s">
        <v>1928</v>
      </c>
      <c r="AC171" s="1" t="s">
        <v>74</v>
      </c>
      <c r="AD171" s="1" t="s">
        <v>74</v>
      </c>
      <c r="AE171" s="1" t="s">
        <v>74</v>
      </c>
      <c r="AF171" s="1" t="s">
        <v>74</v>
      </c>
      <c r="AG171" s="1" t="s">
        <v>74</v>
      </c>
      <c r="AH171" s="1" t="s">
        <v>74</v>
      </c>
      <c r="AI171" s="1" t="s">
        <v>74</v>
      </c>
      <c r="AJ171" s="1" t="s">
        <v>74</v>
      </c>
      <c r="AK171" s="1" t="s">
        <v>74</v>
      </c>
      <c r="AL171" s="1" t="s">
        <v>74</v>
      </c>
      <c r="AM171" s="1" t="s">
        <v>74</v>
      </c>
      <c r="AN171" s="1" t="s">
        <v>74</v>
      </c>
      <c r="AO171" s="1" t="s">
        <v>1929</v>
      </c>
      <c r="AP171" s="1" t="s">
        <v>1930</v>
      </c>
      <c r="AQ171" s="1" t="s">
        <v>74</v>
      </c>
      <c r="AR171" s="1" t="s">
        <v>74</v>
      </c>
      <c r="AS171" s="1" t="s">
        <v>74</v>
      </c>
      <c r="AT171" s="1" t="s">
        <v>1213</v>
      </c>
      <c r="AU171" s="1">
        <v>2012.0</v>
      </c>
      <c r="AV171" s="1">
        <v>9.0</v>
      </c>
      <c r="AW171" s="1">
        <v>3.0</v>
      </c>
      <c r="AX171" s="1" t="s">
        <v>74</v>
      </c>
      <c r="AY171" s="1" t="s">
        <v>74</v>
      </c>
      <c r="AZ171" s="1" t="s">
        <v>74</v>
      </c>
      <c r="BA171" s="1" t="s">
        <v>74</v>
      </c>
      <c r="BB171" s="1">
        <v>625.0</v>
      </c>
      <c r="BC171" s="1">
        <v>643.0</v>
      </c>
      <c r="BD171" s="1" t="s">
        <v>74</v>
      </c>
      <c r="BE171" s="1" t="s">
        <v>1931</v>
      </c>
      <c r="BF171" s="2" t="str">
        <f>HYPERLINK("http://dx.doi.org/10.1002/cbdv.201100236","http://dx.doi.org/10.1002/cbdv.201100236")</f>
        <v>http://dx.doi.org/10.1002/cbdv.201100236</v>
      </c>
      <c r="BG171" s="1" t="s">
        <v>74</v>
      </c>
      <c r="BH171" s="1" t="s">
        <v>74</v>
      </c>
      <c r="BI171" s="1" t="s">
        <v>74</v>
      </c>
      <c r="BJ171" s="1" t="s">
        <v>74</v>
      </c>
      <c r="BK171" s="1" t="s">
        <v>74</v>
      </c>
      <c r="BL171" s="1" t="s">
        <v>74</v>
      </c>
      <c r="BM171" s="1" t="s">
        <v>74</v>
      </c>
      <c r="BN171" s="1">
        <v>2.242253E7</v>
      </c>
      <c r="BO171" s="1" t="s">
        <v>74</v>
      </c>
      <c r="BP171" s="1" t="s">
        <v>74</v>
      </c>
      <c r="BQ171" s="1" t="s">
        <v>74</v>
      </c>
      <c r="BR171" s="1" t="s">
        <v>74</v>
      </c>
      <c r="BS171" s="1" t="s">
        <v>1932</v>
      </c>
      <c r="BT171" s="1" t="str">
        <f>HYPERLINK("https%3A%2F%2Fwww.webofscience.com%2Fwos%2Fwoscc%2Ffull-record%2FWOS:000301576900012","View Full Record in Web of Science")</f>
        <v>View Full Record in Web of Science</v>
      </c>
    </row>
    <row r="172" ht="12.75" customHeight="1">
      <c r="A172" s="1" t="s">
        <v>72</v>
      </c>
      <c r="B172" s="1" t="s">
        <v>1933</v>
      </c>
      <c r="C172" s="1" t="s">
        <v>74</v>
      </c>
      <c r="D172" s="1" t="s">
        <v>74</v>
      </c>
      <c r="E172" s="1" t="s">
        <v>74</v>
      </c>
      <c r="F172" s="1" t="s">
        <v>1934</v>
      </c>
      <c r="G172" s="1" t="s">
        <v>74</v>
      </c>
      <c r="H172" s="1" t="s">
        <v>74</v>
      </c>
      <c r="I172" s="1" t="s">
        <v>1935</v>
      </c>
      <c r="J172" s="1" t="s">
        <v>1936</v>
      </c>
      <c r="K172" s="1" t="s">
        <v>74</v>
      </c>
      <c r="L172" s="1" t="s">
        <v>74</v>
      </c>
      <c r="M172" s="1" t="s">
        <v>74</v>
      </c>
      <c r="N172" s="1" t="s">
        <v>74</v>
      </c>
      <c r="O172" s="1" t="s">
        <v>74</v>
      </c>
      <c r="P172" s="1" t="s">
        <v>74</v>
      </c>
      <c r="Q172" s="1" t="s">
        <v>74</v>
      </c>
      <c r="R172" s="1" t="s">
        <v>74</v>
      </c>
      <c r="S172" s="1" t="s">
        <v>74</v>
      </c>
      <c r="T172" s="1" t="s">
        <v>74</v>
      </c>
      <c r="U172" s="1" t="s">
        <v>74</v>
      </c>
      <c r="V172" s="1" t="s">
        <v>1937</v>
      </c>
      <c r="W172" s="1" t="s">
        <v>74</v>
      </c>
      <c r="X172" s="1" t="s">
        <v>74</v>
      </c>
      <c r="Y172" s="1" t="s">
        <v>74</v>
      </c>
      <c r="Z172" s="1" t="s">
        <v>74</v>
      </c>
      <c r="AA172" s="1" t="s">
        <v>1938</v>
      </c>
      <c r="AB172" s="1" t="s">
        <v>1939</v>
      </c>
      <c r="AC172" s="1" t="s">
        <v>74</v>
      </c>
      <c r="AD172" s="1" t="s">
        <v>74</v>
      </c>
      <c r="AE172" s="1" t="s">
        <v>74</v>
      </c>
      <c r="AF172" s="1" t="s">
        <v>74</v>
      </c>
      <c r="AG172" s="1" t="s">
        <v>74</v>
      </c>
      <c r="AH172" s="1" t="s">
        <v>74</v>
      </c>
      <c r="AI172" s="1" t="s">
        <v>74</v>
      </c>
      <c r="AJ172" s="1" t="s">
        <v>74</v>
      </c>
      <c r="AK172" s="1" t="s">
        <v>74</v>
      </c>
      <c r="AL172" s="1" t="s">
        <v>74</v>
      </c>
      <c r="AM172" s="1" t="s">
        <v>74</v>
      </c>
      <c r="AN172" s="1" t="s">
        <v>74</v>
      </c>
      <c r="AO172" s="1" t="s">
        <v>1940</v>
      </c>
      <c r="AP172" s="1" t="s">
        <v>74</v>
      </c>
      <c r="AQ172" s="1" t="s">
        <v>74</v>
      </c>
      <c r="AR172" s="1" t="s">
        <v>74</v>
      </c>
      <c r="AS172" s="1" t="s">
        <v>74</v>
      </c>
      <c r="AT172" s="1" t="s">
        <v>348</v>
      </c>
      <c r="AU172" s="1">
        <v>2010.0</v>
      </c>
      <c r="AV172" s="1">
        <v>15.0</v>
      </c>
      <c r="AW172" s="1">
        <v>9.0</v>
      </c>
      <c r="AX172" s="1" t="s">
        <v>74</v>
      </c>
      <c r="AY172" s="1" t="s">
        <v>74</v>
      </c>
      <c r="AZ172" s="1" t="s">
        <v>74</v>
      </c>
      <c r="BA172" s="1" t="s">
        <v>74</v>
      </c>
      <c r="BB172" s="1">
        <v>6152.0</v>
      </c>
      <c r="BC172" s="1">
        <v>6167.0</v>
      </c>
      <c r="BD172" s="1" t="s">
        <v>74</v>
      </c>
      <c r="BE172" s="1" t="s">
        <v>1941</v>
      </c>
      <c r="BF172" s="2" t="str">
        <f>HYPERLINK("http://dx.doi.org/10.3390/molecules15096152","http://dx.doi.org/10.3390/molecules15096152")</f>
        <v>http://dx.doi.org/10.3390/molecules15096152</v>
      </c>
      <c r="BG172" s="1" t="s">
        <v>74</v>
      </c>
      <c r="BH172" s="1" t="s">
        <v>74</v>
      </c>
      <c r="BI172" s="1" t="s">
        <v>74</v>
      </c>
      <c r="BJ172" s="1" t="s">
        <v>74</v>
      </c>
      <c r="BK172" s="1" t="s">
        <v>74</v>
      </c>
      <c r="BL172" s="1" t="s">
        <v>74</v>
      </c>
      <c r="BM172" s="1" t="s">
        <v>74</v>
      </c>
      <c r="BN172" s="1">
        <v>2.0877213E7</v>
      </c>
      <c r="BO172" s="1" t="s">
        <v>74</v>
      </c>
      <c r="BP172" s="1" t="s">
        <v>74</v>
      </c>
      <c r="BQ172" s="1" t="s">
        <v>74</v>
      </c>
      <c r="BR172" s="1" t="s">
        <v>74</v>
      </c>
      <c r="BS172" s="1" t="s">
        <v>1942</v>
      </c>
      <c r="BT172" s="1" t="str">
        <f>HYPERLINK("https%3A%2F%2Fwww.webofscience.com%2Fwos%2Fwoscc%2Ffull-record%2FWOS:000282221100019","View Full Record in Web of Science")</f>
        <v>View Full Record in Web of Science</v>
      </c>
    </row>
    <row r="173" ht="12.75" customHeight="1">
      <c r="A173" s="1" t="s">
        <v>72</v>
      </c>
      <c r="B173" s="1" t="s">
        <v>1943</v>
      </c>
      <c r="C173" s="1" t="s">
        <v>74</v>
      </c>
      <c r="D173" s="1" t="s">
        <v>74</v>
      </c>
      <c r="E173" s="1" t="s">
        <v>74</v>
      </c>
      <c r="F173" s="1" t="s">
        <v>1944</v>
      </c>
      <c r="G173" s="1" t="s">
        <v>74</v>
      </c>
      <c r="H173" s="1" t="s">
        <v>74</v>
      </c>
      <c r="I173" s="1" t="s">
        <v>1945</v>
      </c>
      <c r="J173" s="1" t="s">
        <v>1946</v>
      </c>
      <c r="K173" s="1" t="s">
        <v>74</v>
      </c>
      <c r="L173" s="1" t="s">
        <v>74</v>
      </c>
      <c r="M173" s="1" t="s">
        <v>74</v>
      </c>
      <c r="N173" s="1" t="s">
        <v>74</v>
      </c>
      <c r="O173" s="1" t="s">
        <v>74</v>
      </c>
      <c r="P173" s="1" t="s">
        <v>74</v>
      </c>
      <c r="Q173" s="1" t="s">
        <v>74</v>
      </c>
      <c r="R173" s="1" t="s">
        <v>74</v>
      </c>
      <c r="S173" s="1" t="s">
        <v>74</v>
      </c>
      <c r="T173" s="1" t="s">
        <v>74</v>
      </c>
      <c r="U173" s="1" t="s">
        <v>74</v>
      </c>
      <c r="V173" s="1" t="s">
        <v>1947</v>
      </c>
      <c r="W173" s="1" t="s">
        <v>74</v>
      </c>
      <c r="X173" s="1" t="s">
        <v>74</v>
      </c>
      <c r="Y173" s="1" t="s">
        <v>74</v>
      </c>
      <c r="Z173" s="1" t="s">
        <v>74</v>
      </c>
      <c r="AA173" s="1" t="s">
        <v>74</v>
      </c>
      <c r="AB173" s="1" t="s">
        <v>74</v>
      </c>
      <c r="AC173" s="1" t="s">
        <v>74</v>
      </c>
      <c r="AD173" s="1" t="s">
        <v>74</v>
      </c>
      <c r="AE173" s="1" t="s">
        <v>74</v>
      </c>
      <c r="AF173" s="1" t="s">
        <v>74</v>
      </c>
      <c r="AG173" s="1" t="s">
        <v>74</v>
      </c>
      <c r="AH173" s="1" t="s">
        <v>74</v>
      </c>
      <c r="AI173" s="1" t="s">
        <v>74</v>
      </c>
      <c r="AJ173" s="1" t="s">
        <v>74</v>
      </c>
      <c r="AK173" s="1" t="s">
        <v>74</v>
      </c>
      <c r="AL173" s="1" t="s">
        <v>74</v>
      </c>
      <c r="AM173" s="1" t="s">
        <v>74</v>
      </c>
      <c r="AN173" s="1" t="s">
        <v>74</v>
      </c>
      <c r="AO173" s="1" t="s">
        <v>1948</v>
      </c>
      <c r="AP173" s="1" t="s">
        <v>1949</v>
      </c>
      <c r="AQ173" s="1" t="s">
        <v>74</v>
      </c>
      <c r="AR173" s="1" t="s">
        <v>74</v>
      </c>
      <c r="AS173" s="1" t="s">
        <v>74</v>
      </c>
      <c r="AT173" s="1" t="s">
        <v>1018</v>
      </c>
      <c r="AU173" s="1">
        <v>2008.0</v>
      </c>
      <c r="AV173" s="1">
        <v>43.0</v>
      </c>
      <c r="AW173" s="1">
        <v>16.0</v>
      </c>
      <c r="AX173" s="1" t="s">
        <v>74</v>
      </c>
      <c r="AY173" s="1" t="s">
        <v>74</v>
      </c>
      <c r="AZ173" s="1" t="s">
        <v>74</v>
      </c>
      <c r="BA173" s="1" t="s">
        <v>74</v>
      </c>
      <c r="BB173" s="1">
        <v>5579.0</v>
      </c>
      <c r="BC173" s="1">
        <v>5584.0</v>
      </c>
      <c r="BD173" s="1" t="s">
        <v>74</v>
      </c>
      <c r="BE173" s="1" t="s">
        <v>1950</v>
      </c>
      <c r="BF173" s="2" t="str">
        <f>HYPERLINK("http://dx.doi.org/10.1007/s10853-008-2803-y","http://dx.doi.org/10.1007/s10853-008-2803-y")</f>
        <v>http://dx.doi.org/10.1007/s10853-008-2803-y</v>
      </c>
      <c r="BG173" s="1" t="s">
        <v>74</v>
      </c>
      <c r="BH173" s="1" t="s">
        <v>74</v>
      </c>
      <c r="BI173" s="1" t="s">
        <v>74</v>
      </c>
      <c r="BJ173" s="1" t="s">
        <v>74</v>
      </c>
      <c r="BK173" s="1" t="s">
        <v>74</v>
      </c>
      <c r="BL173" s="1" t="s">
        <v>74</v>
      </c>
      <c r="BM173" s="1" t="s">
        <v>74</v>
      </c>
      <c r="BN173" s="1" t="s">
        <v>74</v>
      </c>
      <c r="BO173" s="1" t="s">
        <v>74</v>
      </c>
      <c r="BP173" s="1" t="s">
        <v>74</v>
      </c>
      <c r="BQ173" s="1" t="s">
        <v>74</v>
      </c>
      <c r="BR173" s="1" t="s">
        <v>74</v>
      </c>
      <c r="BS173" s="1" t="s">
        <v>1951</v>
      </c>
      <c r="BT173" s="1" t="str">
        <f>HYPERLINK("https%3A%2F%2Fwww.webofscience.com%2Fwos%2Fwoscc%2Ffull-record%2FWOS:000258573900024","View Full Record in Web of Science")</f>
        <v>View Full Record in Web of Science</v>
      </c>
    </row>
    <row r="174" ht="12.75" customHeight="1">
      <c r="A174" s="1" t="s">
        <v>72</v>
      </c>
      <c r="B174" s="1" t="s">
        <v>1952</v>
      </c>
      <c r="C174" s="1" t="s">
        <v>74</v>
      </c>
      <c r="D174" s="1" t="s">
        <v>74</v>
      </c>
      <c r="E174" s="1" t="s">
        <v>74</v>
      </c>
      <c r="F174" s="1" t="s">
        <v>1953</v>
      </c>
      <c r="G174" s="1" t="s">
        <v>74</v>
      </c>
      <c r="H174" s="1" t="s">
        <v>74</v>
      </c>
      <c r="I174" s="1" t="s">
        <v>1954</v>
      </c>
      <c r="J174" s="1" t="s">
        <v>1955</v>
      </c>
      <c r="K174" s="1" t="s">
        <v>74</v>
      </c>
      <c r="L174" s="1" t="s">
        <v>74</v>
      </c>
      <c r="M174" s="1" t="s">
        <v>74</v>
      </c>
      <c r="N174" s="1" t="s">
        <v>74</v>
      </c>
      <c r="O174" s="1" t="s">
        <v>74</v>
      </c>
      <c r="P174" s="1" t="s">
        <v>74</v>
      </c>
      <c r="Q174" s="1" t="s">
        <v>74</v>
      </c>
      <c r="R174" s="1" t="s">
        <v>74</v>
      </c>
      <c r="S174" s="1" t="s">
        <v>74</v>
      </c>
      <c r="T174" s="1" t="s">
        <v>74</v>
      </c>
      <c r="U174" s="1" t="s">
        <v>74</v>
      </c>
      <c r="V174" s="1" t="s">
        <v>1956</v>
      </c>
      <c r="W174" s="1" t="s">
        <v>74</v>
      </c>
      <c r="X174" s="1" t="s">
        <v>74</v>
      </c>
      <c r="Y174" s="1" t="s">
        <v>74</v>
      </c>
      <c r="Z174" s="1" t="s">
        <v>74</v>
      </c>
      <c r="AA174" s="1" t="s">
        <v>1957</v>
      </c>
      <c r="AB174" s="1" t="s">
        <v>1958</v>
      </c>
      <c r="AC174" s="1" t="s">
        <v>74</v>
      </c>
      <c r="AD174" s="1" t="s">
        <v>74</v>
      </c>
      <c r="AE174" s="1" t="s">
        <v>74</v>
      </c>
      <c r="AF174" s="1" t="s">
        <v>74</v>
      </c>
      <c r="AG174" s="1" t="s">
        <v>74</v>
      </c>
      <c r="AH174" s="1" t="s">
        <v>74</v>
      </c>
      <c r="AI174" s="1" t="s">
        <v>74</v>
      </c>
      <c r="AJ174" s="1" t="s">
        <v>74</v>
      </c>
      <c r="AK174" s="1" t="s">
        <v>74</v>
      </c>
      <c r="AL174" s="1" t="s">
        <v>74</v>
      </c>
      <c r="AM174" s="1" t="s">
        <v>74</v>
      </c>
      <c r="AN174" s="1" t="s">
        <v>74</v>
      </c>
      <c r="AO174" s="1" t="s">
        <v>1959</v>
      </c>
      <c r="AP174" s="1" t="s">
        <v>1960</v>
      </c>
      <c r="AQ174" s="1" t="s">
        <v>74</v>
      </c>
      <c r="AR174" s="1" t="s">
        <v>74</v>
      </c>
      <c r="AS174" s="1" t="s">
        <v>74</v>
      </c>
      <c r="AT174" s="1" t="s">
        <v>307</v>
      </c>
      <c r="AU174" s="1">
        <v>2007.0</v>
      </c>
      <c r="AV174" s="1">
        <v>10.0</v>
      </c>
      <c r="AW174" s="1">
        <v>1.0</v>
      </c>
      <c r="AX174" s="1" t="s">
        <v>74</v>
      </c>
      <c r="AY174" s="1" t="s">
        <v>74</v>
      </c>
      <c r="AZ174" s="1" t="s">
        <v>74</v>
      </c>
      <c r="BA174" s="1" t="s">
        <v>74</v>
      </c>
      <c r="BB174" s="1">
        <v>13.0</v>
      </c>
      <c r="BC174" s="1">
        <v>20.0</v>
      </c>
      <c r="BD174" s="1" t="s">
        <v>74</v>
      </c>
      <c r="BE174" s="1" t="s">
        <v>1961</v>
      </c>
      <c r="BF174" s="2" t="str">
        <f>HYPERLINK("http://dx.doi.org/10.1007/s10035-007-0054-2","http://dx.doi.org/10.1007/s10035-007-0054-2")</f>
        <v>http://dx.doi.org/10.1007/s10035-007-0054-2</v>
      </c>
      <c r="BG174" s="1" t="s">
        <v>74</v>
      </c>
      <c r="BH174" s="1" t="s">
        <v>74</v>
      </c>
      <c r="BI174" s="1" t="s">
        <v>74</v>
      </c>
      <c r="BJ174" s="1" t="s">
        <v>74</v>
      </c>
      <c r="BK174" s="1" t="s">
        <v>74</v>
      </c>
      <c r="BL174" s="1" t="s">
        <v>74</v>
      </c>
      <c r="BM174" s="1" t="s">
        <v>74</v>
      </c>
      <c r="BN174" s="1" t="s">
        <v>74</v>
      </c>
      <c r="BO174" s="1" t="s">
        <v>74</v>
      </c>
      <c r="BP174" s="1" t="s">
        <v>74</v>
      </c>
      <c r="BQ174" s="1" t="s">
        <v>74</v>
      </c>
      <c r="BR174" s="1" t="s">
        <v>74</v>
      </c>
      <c r="BS174" s="1" t="s">
        <v>1962</v>
      </c>
      <c r="BT174" s="1" t="str">
        <f>HYPERLINK("https%3A%2F%2Fwww.webofscience.com%2Fwos%2Fwoscc%2Ffull-record%2FWOS:000250883500003","View Full Record in Web of Science")</f>
        <v>View Full Record in Web of Science</v>
      </c>
    </row>
    <row r="175" ht="12.75" customHeight="1">
      <c r="A175" s="1" t="s">
        <v>72</v>
      </c>
      <c r="B175" s="1" t="s">
        <v>1963</v>
      </c>
      <c r="C175" s="1" t="s">
        <v>74</v>
      </c>
      <c r="D175" s="1" t="s">
        <v>74</v>
      </c>
      <c r="E175" s="1" t="s">
        <v>74</v>
      </c>
      <c r="F175" s="1" t="s">
        <v>1964</v>
      </c>
      <c r="G175" s="1" t="s">
        <v>74</v>
      </c>
      <c r="H175" s="1" t="s">
        <v>74</v>
      </c>
      <c r="I175" s="1" t="s">
        <v>1965</v>
      </c>
      <c r="J175" s="1" t="s">
        <v>1966</v>
      </c>
      <c r="K175" s="1" t="s">
        <v>74</v>
      </c>
      <c r="L175" s="1" t="s">
        <v>74</v>
      </c>
      <c r="M175" s="1" t="s">
        <v>74</v>
      </c>
      <c r="N175" s="1" t="s">
        <v>74</v>
      </c>
      <c r="O175" s="1" t="s">
        <v>74</v>
      </c>
      <c r="P175" s="1" t="s">
        <v>74</v>
      </c>
      <c r="Q175" s="1" t="s">
        <v>74</v>
      </c>
      <c r="R175" s="1" t="s">
        <v>74</v>
      </c>
      <c r="S175" s="1" t="s">
        <v>74</v>
      </c>
      <c r="T175" s="1" t="s">
        <v>74</v>
      </c>
      <c r="U175" s="1" t="s">
        <v>74</v>
      </c>
      <c r="V175" s="1" t="s">
        <v>1967</v>
      </c>
      <c r="W175" s="1" t="s">
        <v>74</v>
      </c>
      <c r="X175" s="1" t="s">
        <v>74</v>
      </c>
      <c r="Y175" s="1" t="s">
        <v>74</v>
      </c>
      <c r="Z175" s="1" t="s">
        <v>74</v>
      </c>
      <c r="AA175" s="1" t="s">
        <v>1968</v>
      </c>
      <c r="AB175" s="1" t="s">
        <v>1969</v>
      </c>
      <c r="AC175" s="1" t="s">
        <v>74</v>
      </c>
      <c r="AD175" s="1" t="s">
        <v>74</v>
      </c>
      <c r="AE175" s="1" t="s">
        <v>74</v>
      </c>
      <c r="AF175" s="1" t="s">
        <v>74</v>
      </c>
      <c r="AG175" s="1" t="s">
        <v>74</v>
      </c>
      <c r="AH175" s="1" t="s">
        <v>74</v>
      </c>
      <c r="AI175" s="1" t="s">
        <v>74</v>
      </c>
      <c r="AJ175" s="1" t="s">
        <v>74</v>
      </c>
      <c r="AK175" s="1" t="s">
        <v>74</v>
      </c>
      <c r="AL175" s="1" t="s">
        <v>74</v>
      </c>
      <c r="AM175" s="1" t="s">
        <v>74</v>
      </c>
      <c r="AN175" s="1" t="s">
        <v>74</v>
      </c>
      <c r="AO175" s="1" t="s">
        <v>1970</v>
      </c>
      <c r="AP175" s="1" t="s">
        <v>1971</v>
      </c>
      <c r="AQ175" s="1" t="s">
        <v>74</v>
      </c>
      <c r="AR175" s="1" t="s">
        <v>74</v>
      </c>
      <c r="AS175" s="1" t="s">
        <v>74</v>
      </c>
      <c r="AT175" s="1" t="s">
        <v>348</v>
      </c>
      <c r="AU175" s="1">
        <v>2007.0</v>
      </c>
      <c r="AV175" s="1">
        <v>76.0</v>
      </c>
      <c r="AW175" s="1">
        <v>3.0</v>
      </c>
      <c r="AX175" s="1" t="s">
        <v>74</v>
      </c>
      <c r="AY175" s="1" t="s">
        <v>74</v>
      </c>
      <c r="AZ175" s="1" t="s">
        <v>74</v>
      </c>
      <c r="BA175" s="1" t="s">
        <v>74</v>
      </c>
      <c r="BB175" s="1" t="s">
        <v>74</v>
      </c>
      <c r="BC175" s="1" t="s">
        <v>74</v>
      </c>
      <c r="BD175" s="1">
        <v>33413.0</v>
      </c>
      <c r="BE175" s="1" t="s">
        <v>1972</v>
      </c>
      <c r="BF175" s="2" t="str">
        <f>HYPERLINK("http://dx.doi.org/10.1103/PhysRevA.76.033413","http://dx.doi.org/10.1103/PhysRevA.76.033413")</f>
        <v>http://dx.doi.org/10.1103/PhysRevA.76.033413</v>
      </c>
      <c r="BG175" s="1" t="s">
        <v>74</v>
      </c>
      <c r="BH175" s="1" t="s">
        <v>74</v>
      </c>
      <c r="BI175" s="1" t="s">
        <v>74</v>
      </c>
      <c r="BJ175" s="1" t="s">
        <v>74</v>
      </c>
      <c r="BK175" s="1" t="s">
        <v>74</v>
      </c>
      <c r="BL175" s="1" t="s">
        <v>74</v>
      </c>
      <c r="BM175" s="1" t="s">
        <v>74</v>
      </c>
      <c r="BN175" s="1" t="s">
        <v>74</v>
      </c>
      <c r="BO175" s="1" t="s">
        <v>74</v>
      </c>
      <c r="BP175" s="1" t="s">
        <v>74</v>
      </c>
      <c r="BQ175" s="1" t="s">
        <v>74</v>
      </c>
      <c r="BR175" s="1" t="s">
        <v>74</v>
      </c>
      <c r="BS175" s="1" t="s">
        <v>1973</v>
      </c>
      <c r="BT175" s="1" t="str">
        <f>HYPERLINK("https%3A%2F%2Fwww.webofscience.com%2Fwos%2Fwoscc%2Ffull-record%2FWOS:000249786000116","View Full Record in Web of Science")</f>
        <v>View Full Record in Web of Science</v>
      </c>
    </row>
    <row r="176" ht="12.75" customHeight="1">
      <c r="A176" s="1" t="s">
        <v>72</v>
      </c>
      <c r="B176" s="1" t="s">
        <v>1974</v>
      </c>
      <c r="C176" s="1" t="s">
        <v>74</v>
      </c>
      <c r="D176" s="1" t="s">
        <v>74</v>
      </c>
      <c r="E176" s="1" t="s">
        <v>74</v>
      </c>
      <c r="F176" s="1" t="s">
        <v>1974</v>
      </c>
      <c r="G176" s="1" t="s">
        <v>74</v>
      </c>
      <c r="H176" s="1" t="s">
        <v>74</v>
      </c>
      <c r="I176" s="1" t="s">
        <v>1975</v>
      </c>
      <c r="J176" s="1" t="s">
        <v>1976</v>
      </c>
      <c r="K176" s="1" t="s">
        <v>74</v>
      </c>
      <c r="L176" s="1" t="s">
        <v>74</v>
      </c>
      <c r="M176" s="1" t="s">
        <v>74</v>
      </c>
      <c r="N176" s="1" t="s">
        <v>74</v>
      </c>
      <c r="O176" s="1" t="s">
        <v>1977</v>
      </c>
      <c r="P176" s="1" t="s">
        <v>1978</v>
      </c>
      <c r="Q176" s="1" t="s">
        <v>1979</v>
      </c>
      <c r="R176" s="1" t="s">
        <v>1980</v>
      </c>
      <c r="S176" s="1" t="s">
        <v>74</v>
      </c>
      <c r="T176" s="1" t="s">
        <v>74</v>
      </c>
      <c r="U176" s="1" t="s">
        <v>74</v>
      </c>
      <c r="V176" s="1" t="s">
        <v>74</v>
      </c>
      <c r="W176" s="1" t="s">
        <v>74</v>
      </c>
      <c r="X176" s="1" t="s">
        <v>74</v>
      </c>
      <c r="Y176" s="1" t="s">
        <v>74</v>
      </c>
      <c r="Z176" s="1" t="s">
        <v>74</v>
      </c>
      <c r="AA176" s="1" t="s">
        <v>74</v>
      </c>
      <c r="AB176" s="1" t="s">
        <v>74</v>
      </c>
      <c r="AC176" s="1" t="s">
        <v>74</v>
      </c>
      <c r="AD176" s="1" t="s">
        <v>74</v>
      </c>
      <c r="AE176" s="1" t="s">
        <v>74</v>
      </c>
      <c r="AF176" s="1" t="s">
        <v>74</v>
      </c>
      <c r="AG176" s="1" t="s">
        <v>74</v>
      </c>
      <c r="AH176" s="1" t="s">
        <v>74</v>
      </c>
      <c r="AI176" s="1" t="s">
        <v>74</v>
      </c>
      <c r="AJ176" s="1" t="s">
        <v>74</v>
      </c>
      <c r="AK176" s="1" t="s">
        <v>74</v>
      </c>
      <c r="AL176" s="1" t="s">
        <v>74</v>
      </c>
      <c r="AM176" s="1" t="s">
        <v>74</v>
      </c>
      <c r="AN176" s="1" t="s">
        <v>74</v>
      </c>
      <c r="AO176" s="1" t="s">
        <v>1981</v>
      </c>
      <c r="AP176" s="1" t="s">
        <v>74</v>
      </c>
      <c r="AQ176" s="1" t="s">
        <v>74</v>
      </c>
      <c r="AR176" s="1" t="s">
        <v>74</v>
      </c>
      <c r="AS176" s="1" t="s">
        <v>74</v>
      </c>
      <c r="AT176" s="1" t="s">
        <v>422</v>
      </c>
      <c r="AU176" s="1">
        <v>2006.0</v>
      </c>
      <c r="AV176" s="1">
        <v>27.0</v>
      </c>
      <c r="AW176" s="1">
        <v>1.0</v>
      </c>
      <c r="AX176" s="1" t="s">
        <v>74</v>
      </c>
      <c r="AY176" s="1" t="s">
        <v>74</v>
      </c>
      <c r="AZ176" s="1" t="s">
        <v>74</v>
      </c>
      <c r="BA176" s="1" t="s">
        <v>74</v>
      </c>
      <c r="BB176" s="1" t="s">
        <v>1982</v>
      </c>
      <c r="BC176" s="1" t="s">
        <v>1982</v>
      </c>
      <c r="BD176" s="1" t="s">
        <v>74</v>
      </c>
      <c r="BE176" s="1" t="s">
        <v>74</v>
      </c>
      <c r="BF176" s="1" t="s">
        <v>74</v>
      </c>
      <c r="BG176" s="1" t="s">
        <v>74</v>
      </c>
      <c r="BH176" s="1" t="s">
        <v>74</v>
      </c>
      <c r="BI176" s="1" t="s">
        <v>74</v>
      </c>
      <c r="BJ176" s="1" t="s">
        <v>74</v>
      </c>
      <c r="BK176" s="1" t="s">
        <v>74</v>
      </c>
      <c r="BL176" s="1" t="s">
        <v>74</v>
      </c>
      <c r="BM176" s="1" t="s">
        <v>74</v>
      </c>
      <c r="BN176" s="1" t="s">
        <v>74</v>
      </c>
      <c r="BO176" s="1" t="s">
        <v>74</v>
      </c>
      <c r="BP176" s="1" t="s">
        <v>74</v>
      </c>
      <c r="BQ176" s="1" t="s">
        <v>74</v>
      </c>
      <c r="BR176" s="1" t="s">
        <v>74</v>
      </c>
      <c r="BS176" s="1" t="s">
        <v>1983</v>
      </c>
      <c r="BT176" s="1" t="str">
        <f>HYPERLINK("https%3A%2F%2Fwww.webofscience.com%2Fwos%2Fwoscc%2Ffull-record%2FWOS:000233996200041","View Full Record in Web of Science")</f>
        <v>View Full Record in Web of Science</v>
      </c>
    </row>
    <row r="177" ht="12.75" customHeight="1">
      <c r="A177" s="1" t="s">
        <v>72</v>
      </c>
      <c r="B177" s="1" t="s">
        <v>1984</v>
      </c>
      <c r="C177" s="1" t="s">
        <v>74</v>
      </c>
      <c r="D177" s="1" t="s">
        <v>74</v>
      </c>
      <c r="E177" s="1" t="s">
        <v>74</v>
      </c>
      <c r="F177" s="1" t="s">
        <v>1984</v>
      </c>
      <c r="G177" s="1" t="s">
        <v>74</v>
      </c>
      <c r="H177" s="1" t="s">
        <v>74</v>
      </c>
      <c r="I177" s="1" t="s">
        <v>1985</v>
      </c>
      <c r="J177" s="1" t="s">
        <v>1629</v>
      </c>
      <c r="K177" s="1" t="s">
        <v>74</v>
      </c>
      <c r="L177" s="1" t="s">
        <v>74</v>
      </c>
      <c r="M177" s="1" t="s">
        <v>74</v>
      </c>
      <c r="N177" s="1" t="s">
        <v>74</v>
      </c>
      <c r="O177" s="1" t="s">
        <v>74</v>
      </c>
      <c r="P177" s="1" t="s">
        <v>74</v>
      </c>
      <c r="Q177" s="1" t="s">
        <v>74</v>
      </c>
      <c r="R177" s="1" t="s">
        <v>74</v>
      </c>
      <c r="S177" s="1" t="s">
        <v>74</v>
      </c>
      <c r="T177" s="1" t="s">
        <v>74</v>
      </c>
      <c r="U177" s="1" t="s">
        <v>74</v>
      </c>
      <c r="V177" s="1" t="s">
        <v>1986</v>
      </c>
      <c r="W177" s="1" t="s">
        <v>74</v>
      </c>
      <c r="X177" s="1" t="s">
        <v>74</v>
      </c>
      <c r="Y177" s="1" t="s">
        <v>74</v>
      </c>
      <c r="Z177" s="1" t="s">
        <v>74</v>
      </c>
      <c r="AA177" s="1" t="s">
        <v>1987</v>
      </c>
      <c r="AB177" s="1" t="s">
        <v>1988</v>
      </c>
      <c r="AC177" s="1" t="s">
        <v>74</v>
      </c>
      <c r="AD177" s="1" t="s">
        <v>74</v>
      </c>
      <c r="AE177" s="1" t="s">
        <v>74</v>
      </c>
      <c r="AF177" s="1" t="s">
        <v>74</v>
      </c>
      <c r="AG177" s="1" t="s">
        <v>74</v>
      </c>
      <c r="AH177" s="1" t="s">
        <v>74</v>
      </c>
      <c r="AI177" s="1" t="s">
        <v>74</v>
      </c>
      <c r="AJ177" s="1" t="s">
        <v>74</v>
      </c>
      <c r="AK177" s="1" t="s">
        <v>74</v>
      </c>
      <c r="AL177" s="1" t="s">
        <v>74</v>
      </c>
      <c r="AM177" s="1" t="s">
        <v>74</v>
      </c>
      <c r="AN177" s="1" t="s">
        <v>74</v>
      </c>
      <c r="AO177" s="1" t="s">
        <v>1633</v>
      </c>
      <c r="AP177" s="1" t="s">
        <v>74</v>
      </c>
      <c r="AQ177" s="1" t="s">
        <v>74</v>
      </c>
      <c r="AR177" s="1" t="s">
        <v>74</v>
      </c>
      <c r="AS177" s="1" t="s">
        <v>74</v>
      </c>
      <c r="AT177" s="1" t="s">
        <v>1989</v>
      </c>
      <c r="AU177" s="1">
        <v>2004.0</v>
      </c>
      <c r="AV177" s="1">
        <v>20.0</v>
      </c>
      <c r="AW177" s="1">
        <v>14.0</v>
      </c>
      <c r="AX177" s="1" t="s">
        <v>74</v>
      </c>
      <c r="AY177" s="1" t="s">
        <v>74</v>
      </c>
      <c r="AZ177" s="1" t="s">
        <v>74</v>
      </c>
      <c r="BA177" s="1" t="s">
        <v>74</v>
      </c>
      <c r="BB177" s="1">
        <v>5732.0</v>
      </c>
      <c r="BC177" s="1">
        <v>5737.0</v>
      </c>
      <c r="BD177" s="1" t="s">
        <v>74</v>
      </c>
      <c r="BE177" s="1" t="s">
        <v>1990</v>
      </c>
      <c r="BF177" s="2" t="str">
        <f>HYPERLINK("http://dx.doi.org/10.1021/la036243x","http://dx.doi.org/10.1021/la036243x")</f>
        <v>http://dx.doi.org/10.1021/la036243x</v>
      </c>
      <c r="BG177" s="1" t="s">
        <v>74</v>
      </c>
      <c r="BH177" s="1" t="s">
        <v>74</v>
      </c>
      <c r="BI177" s="1" t="s">
        <v>74</v>
      </c>
      <c r="BJ177" s="1" t="s">
        <v>74</v>
      </c>
      <c r="BK177" s="1" t="s">
        <v>74</v>
      </c>
      <c r="BL177" s="1" t="s">
        <v>74</v>
      </c>
      <c r="BM177" s="1" t="s">
        <v>74</v>
      </c>
      <c r="BN177" s="1">
        <v>1.6459586E7</v>
      </c>
      <c r="BO177" s="1" t="s">
        <v>74</v>
      </c>
      <c r="BP177" s="1" t="s">
        <v>74</v>
      </c>
      <c r="BQ177" s="1" t="s">
        <v>74</v>
      </c>
      <c r="BR177" s="1" t="s">
        <v>74</v>
      </c>
      <c r="BS177" s="1" t="s">
        <v>1991</v>
      </c>
      <c r="BT177" s="1" t="str">
        <f>HYPERLINK("https%3A%2F%2Fwww.webofscience.com%2Fwos%2Fwoscc%2Ffull-record%2FWOS:000222429200017","View Full Record in Web of Science")</f>
        <v>View Full Record in Web of Science</v>
      </c>
    </row>
    <row r="178" ht="12.75" customHeight="1">
      <c r="A178" s="1" t="s">
        <v>72</v>
      </c>
      <c r="B178" s="1" t="s">
        <v>1992</v>
      </c>
      <c r="C178" s="1" t="s">
        <v>74</v>
      </c>
      <c r="D178" s="1" t="s">
        <v>74</v>
      </c>
      <c r="E178" s="1" t="s">
        <v>74</v>
      </c>
      <c r="F178" s="1" t="s">
        <v>1992</v>
      </c>
      <c r="G178" s="1" t="s">
        <v>74</v>
      </c>
      <c r="H178" s="1" t="s">
        <v>74</v>
      </c>
      <c r="I178" s="1" t="s">
        <v>1993</v>
      </c>
      <c r="J178" s="1" t="s">
        <v>1994</v>
      </c>
      <c r="K178" s="1" t="s">
        <v>74</v>
      </c>
      <c r="L178" s="1" t="s">
        <v>74</v>
      </c>
      <c r="M178" s="1" t="s">
        <v>74</v>
      </c>
      <c r="N178" s="1" t="s">
        <v>74</v>
      </c>
      <c r="O178" s="1" t="s">
        <v>74</v>
      </c>
      <c r="P178" s="1" t="s">
        <v>74</v>
      </c>
      <c r="Q178" s="1" t="s">
        <v>74</v>
      </c>
      <c r="R178" s="1" t="s">
        <v>74</v>
      </c>
      <c r="S178" s="1" t="s">
        <v>74</v>
      </c>
      <c r="T178" s="1" t="s">
        <v>74</v>
      </c>
      <c r="U178" s="1" t="s">
        <v>74</v>
      </c>
      <c r="V178" s="1" t="s">
        <v>1995</v>
      </c>
      <c r="W178" s="1" t="s">
        <v>74</v>
      </c>
      <c r="X178" s="1" t="s">
        <v>74</v>
      </c>
      <c r="Y178" s="1" t="s">
        <v>74</v>
      </c>
      <c r="Z178" s="1" t="s">
        <v>74</v>
      </c>
      <c r="AA178" s="1" t="s">
        <v>1996</v>
      </c>
      <c r="AB178" s="1" t="s">
        <v>74</v>
      </c>
      <c r="AC178" s="1" t="s">
        <v>74</v>
      </c>
      <c r="AD178" s="1" t="s">
        <v>74</v>
      </c>
      <c r="AE178" s="1" t="s">
        <v>74</v>
      </c>
      <c r="AF178" s="1" t="s">
        <v>74</v>
      </c>
      <c r="AG178" s="1" t="s">
        <v>74</v>
      </c>
      <c r="AH178" s="1" t="s">
        <v>74</v>
      </c>
      <c r="AI178" s="1" t="s">
        <v>74</v>
      </c>
      <c r="AJ178" s="1" t="s">
        <v>74</v>
      </c>
      <c r="AK178" s="1" t="s">
        <v>74</v>
      </c>
      <c r="AL178" s="1" t="s">
        <v>74</v>
      </c>
      <c r="AM178" s="1" t="s">
        <v>74</v>
      </c>
      <c r="AN178" s="1" t="s">
        <v>74</v>
      </c>
      <c r="AO178" s="1" t="s">
        <v>1997</v>
      </c>
      <c r="AP178" s="1" t="s">
        <v>74</v>
      </c>
      <c r="AQ178" s="1" t="s">
        <v>74</v>
      </c>
      <c r="AR178" s="1" t="s">
        <v>74</v>
      </c>
      <c r="AS178" s="1" t="s">
        <v>74</v>
      </c>
      <c r="AT178" s="1" t="s">
        <v>348</v>
      </c>
      <c r="AU178" s="1">
        <v>2001.0</v>
      </c>
      <c r="AV178" s="1">
        <v>46.0</v>
      </c>
      <c r="AW178" s="1">
        <v>3.0</v>
      </c>
      <c r="AX178" s="1" t="s">
        <v>74</v>
      </c>
      <c r="AY178" s="1" t="s">
        <v>74</v>
      </c>
      <c r="AZ178" s="1" t="s">
        <v>74</v>
      </c>
      <c r="BA178" s="1" t="s">
        <v>74</v>
      </c>
      <c r="BB178" s="1">
        <v>373.0</v>
      </c>
      <c r="BC178" s="1">
        <v>381.0</v>
      </c>
      <c r="BD178" s="1" t="s">
        <v>74</v>
      </c>
      <c r="BE178" s="1" t="s">
        <v>74</v>
      </c>
      <c r="BF178" s="1" t="s">
        <v>74</v>
      </c>
      <c r="BG178" s="1" t="s">
        <v>74</v>
      </c>
      <c r="BH178" s="1" t="s">
        <v>74</v>
      </c>
      <c r="BI178" s="1" t="s">
        <v>74</v>
      </c>
      <c r="BJ178" s="1" t="s">
        <v>74</v>
      </c>
      <c r="BK178" s="1" t="s">
        <v>74</v>
      </c>
      <c r="BL178" s="1" t="s">
        <v>74</v>
      </c>
      <c r="BM178" s="1" t="s">
        <v>74</v>
      </c>
      <c r="BN178" s="1" t="s">
        <v>74</v>
      </c>
      <c r="BO178" s="1" t="s">
        <v>74</v>
      </c>
      <c r="BP178" s="1" t="s">
        <v>74</v>
      </c>
      <c r="BQ178" s="1" t="s">
        <v>74</v>
      </c>
      <c r="BR178" s="1" t="s">
        <v>74</v>
      </c>
      <c r="BS178" s="1" t="s">
        <v>1998</v>
      </c>
      <c r="BT178" s="1" t="str">
        <f>HYPERLINK("https%3A%2F%2Fwww.webofscience.com%2Fwos%2Fwoscc%2Ffull-record%2FWOS:000172210200016","View Full Record in Web of Science")</f>
        <v>View Full Record in Web of Science</v>
      </c>
    </row>
    <row r="179" ht="12.75" customHeight="1">
      <c r="A179" s="1" t="s">
        <v>72</v>
      </c>
      <c r="B179" s="1" t="s">
        <v>1999</v>
      </c>
      <c r="C179" s="1" t="s">
        <v>74</v>
      </c>
      <c r="D179" s="1" t="s">
        <v>74</v>
      </c>
      <c r="E179" s="1" t="s">
        <v>74</v>
      </c>
      <c r="F179" s="1" t="s">
        <v>1999</v>
      </c>
      <c r="G179" s="1" t="s">
        <v>74</v>
      </c>
      <c r="H179" s="1" t="s">
        <v>74</v>
      </c>
      <c r="I179" s="1" t="s">
        <v>2000</v>
      </c>
      <c r="J179" s="1" t="s">
        <v>2001</v>
      </c>
      <c r="K179" s="1" t="s">
        <v>74</v>
      </c>
      <c r="L179" s="1" t="s">
        <v>74</v>
      </c>
      <c r="M179" s="1" t="s">
        <v>74</v>
      </c>
      <c r="N179" s="1" t="s">
        <v>74</v>
      </c>
      <c r="O179" s="1" t="s">
        <v>74</v>
      </c>
      <c r="P179" s="1" t="s">
        <v>74</v>
      </c>
      <c r="Q179" s="1" t="s">
        <v>74</v>
      </c>
      <c r="R179" s="1" t="s">
        <v>74</v>
      </c>
      <c r="S179" s="1" t="s">
        <v>74</v>
      </c>
      <c r="T179" s="1" t="s">
        <v>74</v>
      </c>
      <c r="U179" s="1" t="s">
        <v>74</v>
      </c>
      <c r="V179" s="1" t="s">
        <v>2002</v>
      </c>
      <c r="W179" s="1" t="s">
        <v>74</v>
      </c>
      <c r="X179" s="1" t="s">
        <v>74</v>
      </c>
      <c r="Y179" s="1" t="s">
        <v>74</v>
      </c>
      <c r="Z179" s="1" t="s">
        <v>74</v>
      </c>
      <c r="AA179" s="1" t="s">
        <v>2003</v>
      </c>
      <c r="AB179" s="1" t="s">
        <v>2004</v>
      </c>
      <c r="AC179" s="1" t="s">
        <v>74</v>
      </c>
      <c r="AD179" s="1" t="s">
        <v>74</v>
      </c>
      <c r="AE179" s="1" t="s">
        <v>74</v>
      </c>
      <c r="AF179" s="1" t="s">
        <v>74</v>
      </c>
      <c r="AG179" s="1" t="s">
        <v>74</v>
      </c>
      <c r="AH179" s="1" t="s">
        <v>74</v>
      </c>
      <c r="AI179" s="1" t="s">
        <v>74</v>
      </c>
      <c r="AJ179" s="1" t="s">
        <v>74</v>
      </c>
      <c r="AK179" s="1" t="s">
        <v>74</v>
      </c>
      <c r="AL179" s="1" t="s">
        <v>74</v>
      </c>
      <c r="AM179" s="1" t="s">
        <v>74</v>
      </c>
      <c r="AN179" s="1" t="s">
        <v>74</v>
      </c>
      <c r="AO179" s="1" t="s">
        <v>2005</v>
      </c>
      <c r="AP179" s="1" t="s">
        <v>74</v>
      </c>
      <c r="AQ179" s="1" t="s">
        <v>74</v>
      </c>
      <c r="AR179" s="1" t="s">
        <v>74</v>
      </c>
      <c r="AS179" s="1" t="s">
        <v>74</v>
      </c>
      <c r="AT179" s="1" t="s">
        <v>2006</v>
      </c>
      <c r="AU179" s="1">
        <v>1999.0</v>
      </c>
      <c r="AV179" s="1">
        <v>65.0</v>
      </c>
      <c r="AW179" s="1">
        <v>5.0</v>
      </c>
      <c r="AX179" s="1" t="s">
        <v>74</v>
      </c>
      <c r="AY179" s="1" t="s">
        <v>74</v>
      </c>
      <c r="AZ179" s="1" t="s">
        <v>74</v>
      </c>
      <c r="BA179" s="1" t="s">
        <v>74</v>
      </c>
      <c r="BB179" s="1">
        <v>512.0</v>
      </c>
      <c r="BC179" s="1">
        <v>522.0</v>
      </c>
      <c r="BD179" s="1" t="s">
        <v>74</v>
      </c>
      <c r="BE179" s="1" t="s">
        <v>2007</v>
      </c>
      <c r="BF179" s="2" t="str">
        <f>HYPERLINK("http://dx.doi.org/10.1002/(SICI)1097-0290(19991205)65:5&lt;512::AID-BIT3&gt;3.0.CO;2-D","http://dx.doi.org/10.1002/(SICI)1097-0290(19991205)65:5&lt;512::AID-BIT3&gt;3.0.CO;2-D")</f>
        <v>http://dx.doi.org/10.1002/(SICI)1097-0290(19991205)65:5&lt;512::AID-BIT3&gt;3.0.CO;2-D</v>
      </c>
      <c r="BG179" s="1" t="s">
        <v>74</v>
      </c>
      <c r="BH179" s="1" t="s">
        <v>74</v>
      </c>
      <c r="BI179" s="1" t="s">
        <v>74</v>
      </c>
      <c r="BJ179" s="1" t="s">
        <v>74</v>
      </c>
      <c r="BK179" s="1" t="s">
        <v>74</v>
      </c>
      <c r="BL179" s="1" t="s">
        <v>74</v>
      </c>
      <c r="BM179" s="1" t="s">
        <v>74</v>
      </c>
      <c r="BN179" s="1">
        <v>1.0516576E7</v>
      </c>
      <c r="BO179" s="1" t="s">
        <v>74</v>
      </c>
      <c r="BP179" s="1" t="s">
        <v>74</v>
      </c>
      <c r="BQ179" s="1" t="s">
        <v>74</v>
      </c>
      <c r="BR179" s="1" t="s">
        <v>74</v>
      </c>
      <c r="BS179" s="1" t="s">
        <v>2008</v>
      </c>
      <c r="BT179" s="1" t="str">
        <f>HYPERLINK("https%3A%2F%2Fwww.webofscience.com%2Fwos%2Fwoscc%2Ffull-record%2FWOS:000083315400003","View Full Record in Web of Science")</f>
        <v>View Full Record in Web of Science</v>
      </c>
    </row>
    <row r="180" ht="12.75" customHeight="1">
      <c r="A180" s="1" t="s">
        <v>72</v>
      </c>
      <c r="B180" s="1" t="s">
        <v>2009</v>
      </c>
      <c r="C180" s="1" t="s">
        <v>74</v>
      </c>
      <c r="D180" s="1" t="s">
        <v>74</v>
      </c>
      <c r="E180" s="1" t="s">
        <v>74</v>
      </c>
      <c r="F180" s="1" t="s">
        <v>2010</v>
      </c>
      <c r="G180" s="1" t="s">
        <v>74</v>
      </c>
      <c r="H180" s="1" t="s">
        <v>74</v>
      </c>
      <c r="I180" s="1" t="s">
        <v>2011</v>
      </c>
      <c r="J180" s="1" t="s">
        <v>2012</v>
      </c>
      <c r="K180" s="1" t="s">
        <v>74</v>
      </c>
      <c r="L180" s="1" t="s">
        <v>74</v>
      </c>
      <c r="M180" s="1" t="s">
        <v>74</v>
      </c>
      <c r="N180" s="1" t="s">
        <v>74</v>
      </c>
      <c r="O180" s="1" t="s">
        <v>74</v>
      </c>
      <c r="P180" s="1" t="s">
        <v>74</v>
      </c>
      <c r="Q180" s="1" t="s">
        <v>74</v>
      </c>
      <c r="R180" s="1" t="s">
        <v>74</v>
      </c>
      <c r="S180" s="1" t="s">
        <v>74</v>
      </c>
      <c r="T180" s="1" t="s">
        <v>74</v>
      </c>
      <c r="U180" s="1" t="s">
        <v>74</v>
      </c>
      <c r="V180" s="1" t="s">
        <v>2013</v>
      </c>
      <c r="W180" s="1" t="s">
        <v>74</v>
      </c>
      <c r="X180" s="1" t="s">
        <v>74</v>
      </c>
      <c r="Y180" s="1" t="s">
        <v>74</v>
      </c>
      <c r="Z180" s="1" t="s">
        <v>74</v>
      </c>
      <c r="AA180" s="1" t="s">
        <v>2014</v>
      </c>
      <c r="AB180" s="1" t="s">
        <v>74</v>
      </c>
      <c r="AC180" s="1" t="s">
        <v>74</v>
      </c>
      <c r="AD180" s="1" t="s">
        <v>74</v>
      </c>
      <c r="AE180" s="1" t="s">
        <v>74</v>
      </c>
      <c r="AF180" s="1" t="s">
        <v>74</v>
      </c>
      <c r="AG180" s="1" t="s">
        <v>74</v>
      </c>
      <c r="AH180" s="1" t="s">
        <v>74</v>
      </c>
      <c r="AI180" s="1" t="s">
        <v>74</v>
      </c>
      <c r="AJ180" s="1" t="s">
        <v>74</v>
      </c>
      <c r="AK180" s="1" t="s">
        <v>74</v>
      </c>
      <c r="AL180" s="1" t="s">
        <v>74</v>
      </c>
      <c r="AM180" s="1" t="s">
        <v>74</v>
      </c>
      <c r="AN180" s="1" t="s">
        <v>74</v>
      </c>
      <c r="AO180" s="1" t="s">
        <v>74</v>
      </c>
      <c r="AP180" s="1" t="s">
        <v>2015</v>
      </c>
      <c r="AQ180" s="1" t="s">
        <v>74</v>
      </c>
      <c r="AR180" s="1" t="s">
        <v>74</v>
      </c>
      <c r="AS180" s="1" t="s">
        <v>74</v>
      </c>
      <c r="AT180" s="1" t="s">
        <v>1393</v>
      </c>
      <c r="AU180" s="1">
        <v>2025.0</v>
      </c>
      <c r="AV180" s="1">
        <v>15.0</v>
      </c>
      <c r="AW180" s="1">
        <v>12.0</v>
      </c>
      <c r="AX180" s="1" t="s">
        <v>74</v>
      </c>
      <c r="AY180" s="1" t="s">
        <v>74</v>
      </c>
      <c r="AZ180" s="1" t="s">
        <v>74</v>
      </c>
      <c r="BA180" s="1" t="s">
        <v>74</v>
      </c>
      <c r="BB180" s="1">
        <v>9018.0</v>
      </c>
      <c r="BC180" s="1">
        <v>9026.0</v>
      </c>
      <c r="BD180" s="1" t="s">
        <v>74</v>
      </c>
      <c r="BE180" s="1" t="s">
        <v>2016</v>
      </c>
      <c r="BF180" s="2" t="str">
        <f>HYPERLINK("http://dx.doi.org/10.1039/d4ra08972c","http://dx.doi.org/10.1039/d4ra08972c")</f>
        <v>http://dx.doi.org/10.1039/d4ra08972c</v>
      </c>
      <c r="BG180" s="1" t="s">
        <v>74</v>
      </c>
      <c r="BH180" s="1" t="s">
        <v>74</v>
      </c>
      <c r="BI180" s="1" t="s">
        <v>74</v>
      </c>
      <c r="BJ180" s="1" t="s">
        <v>74</v>
      </c>
      <c r="BK180" s="1" t="s">
        <v>74</v>
      </c>
      <c r="BL180" s="1" t="s">
        <v>74</v>
      </c>
      <c r="BM180" s="1" t="s">
        <v>74</v>
      </c>
      <c r="BN180" s="1">
        <v>4.0129635E7</v>
      </c>
      <c r="BO180" s="1" t="s">
        <v>74</v>
      </c>
      <c r="BP180" s="1" t="s">
        <v>74</v>
      </c>
      <c r="BQ180" s="1" t="s">
        <v>74</v>
      </c>
      <c r="BR180" s="1" t="s">
        <v>74</v>
      </c>
      <c r="BS180" s="1" t="s">
        <v>2017</v>
      </c>
      <c r="BT180" s="1" t="str">
        <f>HYPERLINK("https%3A%2F%2Fwww.webofscience.com%2Fwos%2Fwoscc%2Ffull-record%2FWOS:001450406000001","View Full Record in Web of Science")</f>
        <v>View Full Record in Web of Science</v>
      </c>
    </row>
    <row r="181" ht="12.75" customHeight="1">
      <c r="A181" s="1" t="s">
        <v>72</v>
      </c>
      <c r="B181" s="1" t="s">
        <v>2018</v>
      </c>
      <c r="C181" s="1" t="s">
        <v>74</v>
      </c>
      <c r="D181" s="1" t="s">
        <v>74</v>
      </c>
      <c r="E181" s="1" t="s">
        <v>74</v>
      </c>
      <c r="F181" s="1" t="s">
        <v>2019</v>
      </c>
      <c r="G181" s="1" t="s">
        <v>74</v>
      </c>
      <c r="H181" s="1" t="s">
        <v>74</v>
      </c>
      <c r="I181" s="1" t="s">
        <v>2020</v>
      </c>
      <c r="J181" s="1" t="s">
        <v>1775</v>
      </c>
      <c r="K181" s="1" t="s">
        <v>74</v>
      </c>
      <c r="L181" s="1" t="s">
        <v>74</v>
      </c>
      <c r="M181" s="1" t="s">
        <v>74</v>
      </c>
      <c r="N181" s="1" t="s">
        <v>74</v>
      </c>
      <c r="O181" s="1" t="s">
        <v>74</v>
      </c>
      <c r="P181" s="1" t="s">
        <v>74</v>
      </c>
      <c r="Q181" s="1" t="s">
        <v>74</v>
      </c>
      <c r="R181" s="1" t="s">
        <v>74</v>
      </c>
      <c r="S181" s="1" t="s">
        <v>74</v>
      </c>
      <c r="T181" s="1" t="s">
        <v>74</v>
      </c>
      <c r="U181" s="1" t="s">
        <v>74</v>
      </c>
      <c r="V181" s="1" t="s">
        <v>2021</v>
      </c>
      <c r="W181" s="1" t="s">
        <v>74</v>
      </c>
      <c r="X181" s="1" t="s">
        <v>74</v>
      </c>
      <c r="Y181" s="1" t="s">
        <v>74</v>
      </c>
      <c r="Z181" s="1" t="s">
        <v>74</v>
      </c>
      <c r="AA181" s="1" t="s">
        <v>2022</v>
      </c>
      <c r="AB181" s="1" t="s">
        <v>2023</v>
      </c>
      <c r="AC181" s="1" t="s">
        <v>74</v>
      </c>
      <c r="AD181" s="1" t="s">
        <v>74</v>
      </c>
      <c r="AE181" s="1" t="s">
        <v>74</v>
      </c>
      <c r="AF181" s="1" t="s">
        <v>74</v>
      </c>
      <c r="AG181" s="1" t="s">
        <v>74</v>
      </c>
      <c r="AH181" s="1" t="s">
        <v>74</v>
      </c>
      <c r="AI181" s="1" t="s">
        <v>74</v>
      </c>
      <c r="AJ181" s="1" t="s">
        <v>74</v>
      </c>
      <c r="AK181" s="1" t="s">
        <v>74</v>
      </c>
      <c r="AL181" s="1" t="s">
        <v>74</v>
      </c>
      <c r="AM181" s="1" t="s">
        <v>74</v>
      </c>
      <c r="AN181" s="1" t="s">
        <v>74</v>
      </c>
      <c r="AO181" s="1" t="s">
        <v>74</v>
      </c>
      <c r="AP181" s="1" t="s">
        <v>1779</v>
      </c>
      <c r="AQ181" s="1" t="s">
        <v>74</v>
      </c>
      <c r="AR181" s="1" t="s">
        <v>74</v>
      </c>
      <c r="AS181" s="1" t="s">
        <v>74</v>
      </c>
      <c r="AT181" s="1" t="s">
        <v>2024</v>
      </c>
      <c r="AU181" s="1">
        <v>2024.0</v>
      </c>
      <c r="AV181" s="1">
        <v>15.0</v>
      </c>
      <c r="AW181" s="1" t="s">
        <v>74</v>
      </c>
      <c r="AX181" s="1" t="s">
        <v>74</v>
      </c>
      <c r="AY181" s="1" t="s">
        <v>74</v>
      </c>
      <c r="AZ181" s="1" t="s">
        <v>74</v>
      </c>
      <c r="BA181" s="1" t="s">
        <v>74</v>
      </c>
      <c r="BB181" s="1" t="s">
        <v>74</v>
      </c>
      <c r="BC181" s="1" t="s">
        <v>74</v>
      </c>
      <c r="BD181" s="1">
        <v>1412318.0</v>
      </c>
      <c r="BE181" s="1" t="s">
        <v>2025</v>
      </c>
      <c r="BF181" s="2" t="str">
        <f>HYPERLINK("http://dx.doi.org/10.3389/fmicb.2024.1412318","http://dx.doi.org/10.3389/fmicb.2024.1412318")</f>
        <v>http://dx.doi.org/10.3389/fmicb.2024.1412318</v>
      </c>
      <c r="BG181" s="1" t="s">
        <v>74</v>
      </c>
      <c r="BH181" s="1" t="s">
        <v>74</v>
      </c>
      <c r="BI181" s="1" t="s">
        <v>74</v>
      </c>
      <c r="BJ181" s="1" t="s">
        <v>74</v>
      </c>
      <c r="BK181" s="1" t="s">
        <v>74</v>
      </c>
      <c r="BL181" s="1" t="s">
        <v>74</v>
      </c>
      <c r="BM181" s="1" t="s">
        <v>74</v>
      </c>
      <c r="BN181" s="1">
        <v>3.9161601E7</v>
      </c>
      <c r="BO181" s="1" t="s">
        <v>74</v>
      </c>
      <c r="BP181" s="1" t="s">
        <v>74</v>
      </c>
      <c r="BQ181" s="1" t="s">
        <v>74</v>
      </c>
      <c r="BR181" s="1" t="s">
        <v>74</v>
      </c>
      <c r="BS181" s="1" t="s">
        <v>2026</v>
      </c>
      <c r="BT181" s="1" t="str">
        <f>HYPERLINK("https%3A%2F%2Fwww.webofscience.com%2Fwos%2Fwoscc%2Ffull-record%2FWOS:001293661300001","View Full Record in Web of Science")</f>
        <v>View Full Record in Web of Science</v>
      </c>
    </row>
    <row r="182" ht="12.75" customHeight="1">
      <c r="A182" s="1" t="s">
        <v>72</v>
      </c>
      <c r="B182" s="1" t="s">
        <v>2027</v>
      </c>
      <c r="C182" s="1" t="s">
        <v>74</v>
      </c>
      <c r="D182" s="1" t="s">
        <v>74</v>
      </c>
      <c r="E182" s="1" t="s">
        <v>74</v>
      </c>
      <c r="F182" s="1" t="s">
        <v>2028</v>
      </c>
      <c r="G182" s="1" t="s">
        <v>74</v>
      </c>
      <c r="H182" s="1" t="s">
        <v>74</v>
      </c>
      <c r="I182" s="1" t="s">
        <v>2029</v>
      </c>
      <c r="J182" s="1" t="s">
        <v>2030</v>
      </c>
      <c r="K182" s="1" t="s">
        <v>74</v>
      </c>
      <c r="L182" s="1" t="s">
        <v>74</v>
      </c>
      <c r="M182" s="1" t="s">
        <v>74</v>
      </c>
      <c r="N182" s="1" t="s">
        <v>74</v>
      </c>
      <c r="O182" s="1" t="s">
        <v>74</v>
      </c>
      <c r="P182" s="1" t="s">
        <v>74</v>
      </c>
      <c r="Q182" s="1" t="s">
        <v>74</v>
      </c>
      <c r="R182" s="1" t="s">
        <v>74</v>
      </c>
      <c r="S182" s="1" t="s">
        <v>74</v>
      </c>
      <c r="T182" s="1" t="s">
        <v>74</v>
      </c>
      <c r="U182" s="1" t="s">
        <v>74</v>
      </c>
      <c r="V182" s="1" t="s">
        <v>2031</v>
      </c>
      <c r="W182" s="1" t="s">
        <v>74</v>
      </c>
      <c r="X182" s="1" t="s">
        <v>74</v>
      </c>
      <c r="Y182" s="1" t="s">
        <v>74</v>
      </c>
      <c r="Z182" s="1" t="s">
        <v>74</v>
      </c>
      <c r="AA182" s="1" t="s">
        <v>2032</v>
      </c>
      <c r="AB182" s="1" t="s">
        <v>2033</v>
      </c>
      <c r="AC182" s="1" t="s">
        <v>74</v>
      </c>
      <c r="AD182" s="1" t="s">
        <v>74</v>
      </c>
      <c r="AE182" s="1" t="s">
        <v>74</v>
      </c>
      <c r="AF182" s="1" t="s">
        <v>74</v>
      </c>
      <c r="AG182" s="1" t="s">
        <v>74</v>
      </c>
      <c r="AH182" s="1" t="s">
        <v>74</v>
      </c>
      <c r="AI182" s="1" t="s">
        <v>74</v>
      </c>
      <c r="AJ182" s="1" t="s">
        <v>74</v>
      </c>
      <c r="AK182" s="1" t="s">
        <v>74</v>
      </c>
      <c r="AL182" s="1" t="s">
        <v>74</v>
      </c>
      <c r="AM182" s="1" t="s">
        <v>74</v>
      </c>
      <c r="AN182" s="1" t="s">
        <v>74</v>
      </c>
      <c r="AO182" s="1" t="s">
        <v>74</v>
      </c>
      <c r="AP182" s="1" t="s">
        <v>2034</v>
      </c>
      <c r="AQ182" s="1" t="s">
        <v>74</v>
      </c>
      <c r="AR182" s="1" t="s">
        <v>74</v>
      </c>
      <c r="AS182" s="1" t="s">
        <v>74</v>
      </c>
      <c r="AT182" s="1" t="s">
        <v>1213</v>
      </c>
      <c r="AU182" s="1">
        <v>2023.0</v>
      </c>
      <c r="AV182" s="1">
        <v>15.0</v>
      </c>
      <c r="AW182" s="1">
        <v>6.0</v>
      </c>
      <c r="AX182" s="1" t="s">
        <v>74</v>
      </c>
      <c r="AY182" s="1" t="s">
        <v>74</v>
      </c>
      <c r="AZ182" s="1" t="s">
        <v>74</v>
      </c>
      <c r="BA182" s="1" t="s">
        <v>74</v>
      </c>
      <c r="BB182" s="1" t="s">
        <v>74</v>
      </c>
      <c r="BC182" s="1" t="s">
        <v>74</v>
      </c>
      <c r="BD182" s="1">
        <v>4944.0</v>
      </c>
      <c r="BE182" s="1" t="s">
        <v>2035</v>
      </c>
      <c r="BF182" s="2" t="str">
        <f>HYPERLINK("http://dx.doi.org/10.3390/su15064944","http://dx.doi.org/10.3390/su15064944")</f>
        <v>http://dx.doi.org/10.3390/su15064944</v>
      </c>
      <c r="BG182" s="1" t="s">
        <v>74</v>
      </c>
      <c r="BH182" s="1" t="s">
        <v>74</v>
      </c>
      <c r="BI182" s="1" t="s">
        <v>74</v>
      </c>
      <c r="BJ182" s="1" t="s">
        <v>74</v>
      </c>
      <c r="BK182" s="1" t="s">
        <v>74</v>
      </c>
      <c r="BL182" s="1" t="s">
        <v>74</v>
      </c>
      <c r="BM182" s="1" t="s">
        <v>74</v>
      </c>
      <c r="BN182" s="1" t="s">
        <v>74</v>
      </c>
      <c r="BO182" s="1" t="s">
        <v>74</v>
      </c>
      <c r="BP182" s="1" t="s">
        <v>74</v>
      </c>
      <c r="BQ182" s="1" t="s">
        <v>74</v>
      </c>
      <c r="BR182" s="1" t="s">
        <v>74</v>
      </c>
      <c r="BS182" s="1" t="s">
        <v>2036</v>
      </c>
      <c r="BT182" s="1" t="str">
        <f>HYPERLINK("https%3A%2F%2Fwww.webofscience.com%2Fwos%2Fwoscc%2Ffull-record%2FWOS:000960203300001","View Full Record in Web of Science")</f>
        <v>View Full Record in Web of Science</v>
      </c>
    </row>
    <row r="183" ht="12.75" customHeight="1">
      <c r="A183" s="1" t="s">
        <v>72</v>
      </c>
      <c r="B183" s="1" t="s">
        <v>2037</v>
      </c>
      <c r="C183" s="1" t="s">
        <v>74</v>
      </c>
      <c r="D183" s="1" t="s">
        <v>74</v>
      </c>
      <c r="E183" s="1" t="s">
        <v>74</v>
      </c>
      <c r="F183" s="1" t="s">
        <v>2038</v>
      </c>
      <c r="G183" s="1" t="s">
        <v>74</v>
      </c>
      <c r="H183" s="1" t="s">
        <v>74</v>
      </c>
      <c r="I183" s="1" t="s">
        <v>2039</v>
      </c>
      <c r="J183" s="1" t="s">
        <v>354</v>
      </c>
      <c r="K183" s="1" t="s">
        <v>74</v>
      </c>
      <c r="L183" s="1" t="s">
        <v>74</v>
      </c>
      <c r="M183" s="1" t="s">
        <v>74</v>
      </c>
      <c r="N183" s="1" t="s">
        <v>74</v>
      </c>
      <c r="O183" s="1" t="s">
        <v>74</v>
      </c>
      <c r="P183" s="1" t="s">
        <v>74</v>
      </c>
      <c r="Q183" s="1" t="s">
        <v>74</v>
      </c>
      <c r="R183" s="1" t="s">
        <v>74</v>
      </c>
      <c r="S183" s="1" t="s">
        <v>74</v>
      </c>
      <c r="T183" s="1" t="s">
        <v>74</v>
      </c>
      <c r="U183" s="1" t="s">
        <v>74</v>
      </c>
      <c r="V183" s="1" t="s">
        <v>2040</v>
      </c>
      <c r="W183" s="1" t="s">
        <v>74</v>
      </c>
      <c r="X183" s="1" t="s">
        <v>74</v>
      </c>
      <c r="Y183" s="1" t="s">
        <v>74</v>
      </c>
      <c r="Z183" s="1" t="s">
        <v>74</v>
      </c>
      <c r="AA183" s="1" t="s">
        <v>2041</v>
      </c>
      <c r="AB183" s="1" t="s">
        <v>2042</v>
      </c>
      <c r="AC183" s="1" t="s">
        <v>74</v>
      </c>
      <c r="AD183" s="1" t="s">
        <v>74</v>
      </c>
      <c r="AE183" s="1" t="s">
        <v>74</v>
      </c>
      <c r="AF183" s="1" t="s">
        <v>74</v>
      </c>
      <c r="AG183" s="1" t="s">
        <v>74</v>
      </c>
      <c r="AH183" s="1" t="s">
        <v>74</v>
      </c>
      <c r="AI183" s="1" t="s">
        <v>74</v>
      </c>
      <c r="AJ183" s="1" t="s">
        <v>74</v>
      </c>
      <c r="AK183" s="1" t="s">
        <v>74</v>
      </c>
      <c r="AL183" s="1" t="s">
        <v>74</v>
      </c>
      <c r="AM183" s="1" t="s">
        <v>74</v>
      </c>
      <c r="AN183" s="1" t="s">
        <v>74</v>
      </c>
      <c r="AO183" s="1" t="s">
        <v>358</v>
      </c>
      <c r="AP183" s="1" t="s">
        <v>359</v>
      </c>
      <c r="AQ183" s="1" t="s">
        <v>74</v>
      </c>
      <c r="AR183" s="1" t="s">
        <v>74</v>
      </c>
      <c r="AS183" s="1" t="s">
        <v>74</v>
      </c>
      <c r="AT183" s="1" t="s">
        <v>212</v>
      </c>
      <c r="AU183" s="1">
        <v>2022.0</v>
      </c>
      <c r="AV183" s="1">
        <v>425.0</v>
      </c>
      <c r="AW183" s="1" t="s">
        <v>74</v>
      </c>
      <c r="AX183" s="1" t="s">
        <v>74</v>
      </c>
      <c r="AY183" s="1" t="s">
        <v>74</v>
      </c>
      <c r="AZ183" s="1" t="s">
        <v>74</v>
      </c>
      <c r="BA183" s="1" t="s">
        <v>74</v>
      </c>
      <c r="BB183" s="1" t="s">
        <v>74</v>
      </c>
      <c r="BC183" s="1" t="s">
        <v>74</v>
      </c>
      <c r="BD183" s="1">
        <v>140682.0</v>
      </c>
      <c r="BE183" s="1" t="s">
        <v>2043</v>
      </c>
      <c r="BF183" s="2" t="str">
        <f>HYPERLINK("http://dx.doi.org/10.1016/j.electacta.2022.140682","http://dx.doi.org/10.1016/j.electacta.2022.140682")</f>
        <v>http://dx.doi.org/10.1016/j.electacta.2022.140682</v>
      </c>
      <c r="BG183" s="1" t="s">
        <v>74</v>
      </c>
      <c r="BH183" s="1" t="s">
        <v>74</v>
      </c>
      <c r="BI183" s="1" t="s">
        <v>74</v>
      </c>
      <c r="BJ183" s="1" t="s">
        <v>74</v>
      </c>
      <c r="BK183" s="1" t="s">
        <v>74</v>
      </c>
      <c r="BL183" s="1" t="s">
        <v>74</v>
      </c>
      <c r="BM183" s="1" t="s">
        <v>74</v>
      </c>
      <c r="BN183" s="1" t="s">
        <v>74</v>
      </c>
      <c r="BO183" s="1" t="s">
        <v>74</v>
      </c>
      <c r="BP183" s="1" t="s">
        <v>74</v>
      </c>
      <c r="BQ183" s="1" t="s">
        <v>74</v>
      </c>
      <c r="BR183" s="1" t="s">
        <v>74</v>
      </c>
      <c r="BS183" s="1" t="s">
        <v>2044</v>
      </c>
      <c r="BT183" s="1" t="str">
        <f>HYPERLINK("https%3A%2F%2Fwww.webofscience.com%2Fwos%2Fwoscc%2Ffull-record%2FWOS:000884351200002","View Full Record in Web of Science")</f>
        <v>View Full Record in Web of Science</v>
      </c>
    </row>
    <row r="184" ht="12.75" customHeight="1">
      <c r="A184" s="1" t="s">
        <v>72</v>
      </c>
      <c r="B184" s="1" t="s">
        <v>2045</v>
      </c>
      <c r="C184" s="1" t="s">
        <v>74</v>
      </c>
      <c r="D184" s="1" t="s">
        <v>74</v>
      </c>
      <c r="E184" s="1" t="s">
        <v>74</v>
      </c>
      <c r="F184" s="1" t="s">
        <v>2046</v>
      </c>
      <c r="G184" s="1" t="s">
        <v>74</v>
      </c>
      <c r="H184" s="1" t="s">
        <v>74</v>
      </c>
      <c r="I184" s="1" t="s">
        <v>2047</v>
      </c>
      <c r="J184" s="1" t="s">
        <v>2048</v>
      </c>
      <c r="K184" s="1" t="s">
        <v>74</v>
      </c>
      <c r="L184" s="1" t="s">
        <v>74</v>
      </c>
      <c r="M184" s="1" t="s">
        <v>74</v>
      </c>
      <c r="N184" s="1" t="s">
        <v>74</v>
      </c>
      <c r="O184" s="1" t="s">
        <v>74</v>
      </c>
      <c r="P184" s="1" t="s">
        <v>74</v>
      </c>
      <c r="Q184" s="1" t="s">
        <v>74</v>
      </c>
      <c r="R184" s="1" t="s">
        <v>74</v>
      </c>
      <c r="S184" s="1" t="s">
        <v>74</v>
      </c>
      <c r="T184" s="1" t="s">
        <v>74</v>
      </c>
      <c r="U184" s="1" t="s">
        <v>74</v>
      </c>
      <c r="V184" s="1" t="s">
        <v>2049</v>
      </c>
      <c r="W184" s="1" t="s">
        <v>74</v>
      </c>
      <c r="X184" s="1" t="s">
        <v>74</v>
      </c>
      <c r="Y184" s="1" t="s">
        <v>74</v>
      </c>
      <c r="Z184" s="1" t="s">
        <v>74</v>
      </c>
      <c r="AA184" s="1" t="s">
        <v>2050</v>
      </c>
      <c r="AB184" s="1" t="s">
        <v>2051</v>
      </c>
      <c r="AC184" s="1" t="s">
        <v>74</v>
      </c>
      <c r="AD184" s="1" t="s">
        <v>74</v>
      </c>
      <c r="AE184" s="1" t="s">
        <v>74</v>
      </c>
      <c r="AF184" s="1" t="s">
        <v>74</v>
      </c>
      <c r="AG184" s="1" t="s">
        <v>74</v>
      </c>
      <c r="AH184" s="1" t="s">
        <v>74</v>
      </c>
      <c r="AI184" s="1" t="s">
        <v>74</v>
      </c>
      <c r="AJ184" s="1" t="s">
        <v>74</v>
      </c>
      <c r="AK184" s="1" t="s">
        <v>74</v>
      </c>
      <c r="AL184" s="1" t="s">
        <v>74</v>
      </c>
      <c r="AM184" s="1" t="s">
        <v>74</v>
      </c>
      <c r="AN184" s="1" t="s">
        <v>74</v>
      </c>
      <c r="AO184" s="1" t="s">
        <v>2052</v>
      </c>
      <c r="AP184" s="1" t="s">
        <v>2053</v>
      </c>
      <c r="AQ184" s="1" t="s">
        <v>74</v>
      </c>
      <c r="AR184" s="1" t="s">
        <v>74</v>
      </c>
      <c r="AS184" s="1" t="s">
        <v>74</v>
      </c>
      <c r="AT184" s="1" t="s">
        <v>348</v>
      </c>
      <c r="AU184" s="1">
        <v>2021.0</v>
      </c>
      <c r="AV184" s="1">
        <v>39.0</v>
      </c>
      <c r="AW184" s="1">
        <v>9.0</v>
      </c>
      <c r="AX184" s="1" t="s">
        <v>74</v>
      </c>
      <c r="AY184" s="1" t="s">
        <v>74</v>
      </c>
      <c r="AZ184" s="1" t="s">
        <v>74</v>
      </c>
      <c r="BA184" s="1" t="s">
        <v>74</v>
      </c>
      <c r="BB184" s="1">
        <v>1116.0</v>
      </c>
      <c r="BC184" s="1">
        <v>1134.0</v>
      </c>
      <c r="BD184" s="1" t="s">
        <v>2054</v>
      </c>
      <c r="BE184" s="1" t="s">
        <v>2055</v>
      </c>
      <c r="BF184" s="2" t="str">
        <f>HYPERLINK("http://dx.doi.org/10.1177/0734242X211003948","http://dx.doi.org/10.1177/0734242X211003948")</f>
        <v>http://dx.doi.org/10.1177/0734242X211003948</v>
      </c>
      <c r="BG184" s="1" t="s">
        <v>74</v>
      </c>
      <c r="BH184" s="1" t="s">
        <v>2056</v>
      </c>
      <c r="BI184" s="1" t="s">
        <v>74</v>
      </c>
      <c r="BJ184" s="1" t="s">
        <v>74</v>
      </c>
      <c r="BK184" s="1" t="s">
        <v>74</v>
      </c>
      <c r="BL184" s="1" t="s">
        <v>74</v>
      </c>
      <c r="BM184" s="1" t="s">
        <v>74</v>
      </c>
      <c r="BN184" s="1">
        <v>3.4098824E7</v>
      </c>
      <c r="BO184" s="1" t="s">
        <v>74</v>
      </c>
      <c r="BP184" s="1" t="s">
        <v>74</v>
      </c>
      <c r="BQ184" s="1" t="s">
        <v>74</v>
      </c>
      <c r="BR184" s="1" t="s">
        <v>74</v>
      </c>
      <c r="BS184" s="1" t="s">
        <v>2057</v>
      </c>
      <c r="BT184" s="1" t="str">
        <f>HYPERLINK("https%3A%2F%2Fwww.webofscience.com%2Fwos%2Fwoscc%2Ffull-record%2FWOS:000660921500001","View Full Record in Web of Science")</f>
        <v>View Full Record in Web of Science</v>
      </c>
    </row>
    <row r="185" ht="12.75" customHeight="1">
      <c r="A185" s="1" t="s">
        <v>72</v>
      </c>
      <c r="B185" s="1" t="s">
        <v>2058</v>
      </c>
      <c r="C185" s="1" t="s">
        <v>74</v>
      </c>
      <c r="D185" s="1" t="s">
        <v>74</v>
      </c>
      <c r="E185" s="1" t="s">
        <v>74</v>
      </c>
      <c r="F185" s="1" t="s">
        <v>2059</v>
      </c>
      <c r="G185" s="1" t="s">
        <v>74</v>
      </c>
      <c r="H185" s="1" t="s">
        <v>74</v>
      </c>
      <c r="I185" s="1" t="s">
        <v>2060</v>
      </c>
      <c r="J185" s="1" t="s">
        <v>2061</v>
      </c>
      <c r="K185" s="1" t="s">
        <v>74</v>
      </c>
      <c r="L185" s="1" t="s">
        <v>74</v>
      </c>
      <c r="M185" s="1" t="s">
        <v>74</v>
      </c>
      <c r="N185" s="1" t="s">
        <v>74</v>
      </c>
      <c r="O185" s="1" t="s">
        <v>74</v>
      </c>
      <c r="P185" s="1" t="s">
        <v>74</v>
      </c>
      <c r="Q185" s="1" t="s">
        <v>74</v>
      </c>
      <c r="R185" s="1" t="s">
        <v>74</v>
      </c>
      <c r="S185" s="1" t="s">
        <v>74</v>
      </c>
      <c r="T185" s="1" t="s">
        <v>74</v>
      </c>
      <c r="U185" s="1" t="s">
        <v>74</v>
      </c>
      <c r="V185" s="1" t="s">
        <v>2062</v>
      </c>
      <c r="W185" s="1" t="s">
        <v>74</v>
      </c>
      <c r="X185" s="1" t="s">
        <v>74</v>
      </c>
      <c r="Y185" s="1" t="s">
        <v>74</v>
      </c>
      <c r="Z185" s="1" t="s">
        <v>74</v>
      </c>
      <c r="AA185" s="1" t="s">
        <v>2063</v>
      </c>
      <c r="AB185" s="1" t="s">
        <v>2064</v>
      </c>
      <c r="AC185" s="1" t="s">
        <v>74</v>
      </c>
      <c r="AD185" s="1" t="s">
        <v>74</v>
      </c>
      <c r="AE185" s="1" t="s">
        <v>74</v>
      </c>
      <c r="AF185" s="1" t="s">
        <v>74</v>
      </c>
      <c r="AG185" s="1" t="s">
        <v>74</v>
      </c>
      <c r="AH185" s="1" t="s">
        <v>74</v>
      </c>
      <c r="AI185" s="1" t="s">
        <v>74</v>
      </c>
      <c r="AJ185" s="1" t="s">
        <v>74</v>
      </c>
      <c r="AK185" s="1" t="s">
        <v>74</v>
      </c>
      <c r="AL185" s="1" t="s">
        <v>74</v>
      </c>
      <c r="AM185" s="1" t="s">
        <v>74</v>
      </c>
      <c r="AN185" s="1" t="s">
        <v>74</v>
      </c>
      <c r="AO185" s="1" t="s">
        <v>2065</v>
      </c>
      <c r="AP185" s="1" t="s">
        <v>2066</v>
      </c>
      <c r="AQ185" s="1" t="s">
        <v>74</v>
      </c>
      <c r="AR185" s="1" t="s">
        <v>74</v>
      </c>
      <c r="AS185" s="1" t="s">
        <v>74</v>
      </c>
      <c r="AT185" s="1" t="s">
        <v>164</v>
      </c>
      <c r="AU185" s="1">
        <v>2021.0</v>
      </c>
      <c r="AV185" s="1">
        <v>505.0</v>
      </c>
      <c r="AW185" s="1">
        <v>1.0</v>
      </c>
      <c r="AX185" s="1" t="s">
        <v>74</v>
      </c>
      <c r="AY185" s="1" t="s">
        <v>74</v>
      </c>
      <c r="AZ185" s="1" t="s">
        <v>74</v>
      </c>
      <c r="BA185" s="1" t="s">
        <v>74</v>
      </c>
      <c r="BB185" s="1">
        <v>1105.0</v>
      </c>
      <c r="BC185" s="1">
        <v>1116.0</v>
      </c>
      <c r="BD185" s="1" t="s">
        <v>74</v>
      </c>
      <c r="BE185" s="1" t="s">
        <v>2067</v>
      </c>
      <c r="BF185" s="2" t="str">
        <f>HYPERLINK("http://dx.doi.org/10.1093/mnras/stab1216","http://dx.doi.org/10.1093/mnras/stab1216")</f>
        <v>http://dx.doi.org/10.1093/mnras/stab1216</v>
      </c>
      <c r="BG185" s="1" t="s">
        <v>74</v>
      </c>
      <c r="BH185" s="1" t="s">
        <v>2056</v>
      </c>
      <c r="BI185" s="1" t="s">
        <v>74</v>
      </c>
      <c r="BJ185" s="1" t="s">
        <v>74</v>
      </c>
      <c r="BK185" s="1" t="s">
        <v>74</v>
      </c>
      <c r="BL185" s="1" t="s">
        <v>74</v>
      </c>
      <c r="BM185" s="1" t="s">
        <v>74</v>
      </c>
      <c r="BN185" s="1" t="s">
        <v>74</v>
      </c>
      <c r="BO185" s="1" t="s">
        <v>74</v>
      </c>
      <c r="BP185" s="1" t="s">
        <v>74</v>
      </c>
      <c r="BQ185" s="1" t="s">
        <v>74</v>
      </c>
      <c r="BR185" s="1" t="s">
        <v>74</v>
      </c>
      <c r="BS185" s="1" t="s">
        <v>2068</v>
      </c>
      <c r="BT185" s="1" t="str">
        <f>HYPERLINK("https%3A%2F%2Fwww.webofscience.com%2Fwos%2Fwoscc%2Ffull-record%2FWOS:000671453100074","View Full Record in Web of Science")</f>
        <v>View Full Record in Web of Science</v>
      </c>
    </row>
    <row r="186" ht="12.75" customHeight="1">
      <c r="A186" s="1" t="s">
        <v>72</v>
      </c>
      <c r="B186" s="1" t="s">
        <v>2069</v>
      </c>
      <c r="C186" s="1" t="s">
        <v>74</v>
      </c>
      <c r="D186" s="1" t="s">
        <v>74</v>
      </c>
      <c r="E186" s="1" t="s">
        <v>74</v>
      </c>
      <c r="F186" s="1" t="s">
        <v>2070</v>
      </c>
      <c r="G186" s="1" t="s">
        <v>74</v>
      </c>
      <c r="H186" s="1" t="s">
        <v>74</v>
      </c>
      <c r="I186" s="1" t="s">
        <v>2071</v>
      </c>
      <c r="J186" s="1" t="s">
        <v>2030</v>
      </c>
      <c r="K186" s="1" t="s">
        <v>74</v>
      </c>
      <c r="L186" s="1" t="s">
        <v>74</v>
      </c>
      <c r="M186" s="1" t="s">
        <v>74</v>
      </c>
      <c r="N186" s="1" t="s">
        <v>74</v>
      </c>
      <c r="O186" s="1" t="s">
        <v>74</v>
      </c>
      <c r="P186" s="1" t="s">
        <v>74</v>
      </c>
      <c r="Q186" s="1" t="s">
        <v>74</v>
      </c>
      <c r="R186" s="1" t="s">
        <v>74</v>
      </c>
      <c r="S186" s="1" t="s">
        <v>74</v>
      </c>
      <c r="T186" s="1" t="s">
        <v>74</v>
      </c>
      <c r="U186" s="1" t="s">
        <v>74</v>
      </c>
      <c r="V186" s="1" t="s">
        <v>2072</v>
      </c>
      <c r="W186" s="1" t="s">
        <v>74</v>
      </c>
      <c r="X186" s="1" t="s">
        <v>74</v>
      </c>
      <c r="Y186" s="1" t="s">
        <v>74</v>
      </c>
      <c r="Z186" s="1" t="s">
        <v>74</v>
      </c>
      <c r="AA186" s="1" t="s">
        <v>2073</v>
      </c>
      <c r="AB186" s="1" t="s">
        <v>2074</v>
      </c>
      <c r="AC186" s="1" t="s">
        <v>74</v>
      </c>
      <c r="AD186" s="1" t="s">
        <v>74</v>
      </c>
      <c r="AE186" s="1" t="s">
        <v>74</v>
      </c>
      <c r="AF186" s="1" t="s">
        <v>74</v>
      </c>
      <c r="AG186" s="1" t="s">
        <v>74</v>
      </c>
      <c r="AH186" s="1" t="s">
        <v>74</v>
      </c>
      <c r="AI186" s="1" t="s">
        <v>74</v>
      </c>
      <c r="AJ186" s="1" t="s">
        <v>74</v>
      </c>
      <c r="AK186" s="1" t="s">
        <v>74</v>
      </c>
      <c r="AL186" s="1" t="s">
        <v>74</v>
      </c>
      <c r="AM186" s="1" t="s">
        <v>74</v>
      </c>
      <c r="AN186" s="1" t="s">
        <v>74</v>
      </c>
      <c r="AO186" s="1" t="s">
        <v>74</v>
      </c>
      <c r="AP186" s="1" t="s">
        <v>2034</v>
      </c>
      <c r="AQ186" s="1" t="s">
        <v>74</v>
      </c>
      <c r="AR186" s="1" t="s">
        <v>74</v>
      </c>
      <c r="AS186" s="1" t="s">
        <v>74</v>
      </c>
      <c r="AT186" s="1" t="s">
        <v>164</v>
      </c>
      <c r="AU186" s="1">
        <v>2020.0</v>
      </c>
      <c r="AV186" s="1">
        <v>12.0</v>
      </c>
      <c r="AW186" s="1">
        <v>13.0</v>
      </c>
      <c r="AX186" s="1" t="s">
        <v>74</v>
      </c>
      <c r="AY186" s="1" t="s">
        <v>74</v>
      </c>
      <c r="AZ186" s="1" t="s">
        <v>74</v>
      </c>
      <c r="BA186" s="1" t="s">
        <v>74</v>
      </c>
      <c r="BB186" s="1" t="s">
        <v>74</v>
      </c>
      <c r="BC186" s="1" t="s">
        <v>74</v>
      </c>
      <c r="BD186" s="1">
        <v>5405.0</v>
      </c>
      <c r="BE186" s="1" t="s">
        <v>2075</v>
      </c>
      <c r="BF186" s="2" t="str">
        <f>HYPERLINK("http://dx.doi.org/10.3390/su12135405","http://dx.doi.org/10.3390/su12135405")</f>
        <v>http://dx.doi.org/10.3390/su12135405</v>
      </c>
      <c r="BG186" s="1" t="s">
        <v>74</v>
      </c>
      <c r="BH186" s="1" t="s">
        <v>74</v>
      </c>
      <c r="BI186" s="1" t="s">
        <v>74</v>
      </c>
      <c r="BJ186" s="1" t="s">
        <v>74</v>
      </c>
      <c r="BK186" s="1" t="s">
        <v>74</v>
      </c>
      <c r="BL186" s="1" t="s">
        <v>74</v>
      </c>
      <c r="BM186" s="1" t="s">
        <v>74</v>
      </c>
      <c r="BN186" s="1" t="s">
        <v>74</v>
      </c>
      <c r="BO186" s="1" t="s">
        <v>74</v>
      </c>
      <c r="BP186" s="1" t="s">
        <v>74</v>
      </c>
      <c r="BQ186" s="1" t="s">
        <v>74</v>
      </c>
      <c r="BR186" s="1" t="s">
        <v>74</v>
      </c>
      <c r="BS186" s="1" t="s">
        <v>2076</v>
      </c>
      <c r="BT186" s="1" t="str">
        <f>HYPERLINK("https%3A%2F%2Fwww.webofscience.com%2Fwos%2Fwoscc%2Ffull-record%2FWOS:000550210300001","View Full Record in Web of Science")</f>
        <v>View Full Record in Web of Science</v>
      </c>
    </row>
    <row r="187" ht="12.75" customHeight="1">
      <c r="A187" s="1" t="s">
        <v>72</v>
      </c>
      <c r="B187" s="1" t="s">
        <v>2077</v>
      </c>
      <c r="C187" s="1" t="s">
        <v>74</v>
      </c>
      <c r="D187" s="1" t="s">
        <v>74</v>
      </c>
      <c r="E187" s="1" t="s">
        <v>74</v>
      </c>
      <c r="F187" s="1" t="s">
        <v>2078</v>
      </c>
      <c r="G187" s="1" t="s">
        <v>74</v>
      </c>
      <c r="H187" s="1" t="s">
        <v>74</v>
      </c>
      <c r="I187" s="1" t="s">
        <v>2079</v>
      </c>
      <c r="J187" s="1" t="s">
        <v>2080</v>
      </c>
      <c r="K187" s="1" t="s">
        <v>74</v>
      </c>
      <c r="L187" s="1" t="s">
        <v>74</v>
      </c>
      <c r="M187" s="1" t="s">
        <v>74</v>
      </c>
      <c r="N187" s="1" t="s">
        <v>74</v>
      </c>
      <c r="O187" s="1" t="s">
        <v>74</v>
      </c>
      <c r="P187" s="1" t="s">
        <v>74</v>
      </c>
      <c r="Q187" s="1" t="s">
        <v>74</v>
      </c>
      <c r="R187" s="1" t="s">
        <v>74</v>
      </c>
      <c r="S187" s="1" t="s">
        <v>74</v>
      </c>
      <c r="T187" s="1" t="s">
        <v>74</v>
      </c>
      <c r="U187" s="1" t="s">
        <v>74</v>
      </c>
      <c r="V187" s="1" t="s">
        <v>2081</v>
      </c>
      <c r="W187" s="1" t="s">
        <v>74</v>
      </c>
      <c r="X187" s="1" t="s">
        <v>74</v>
      </c>
      <c r="Y187" s="1" t="s">
        <v>74</v>
      </c>
      <c r="Z187" s="1" t="s">
        <v>74</v>
      </c>
      <c r="AA187" s="1" t="s">
        <v>2082</v>
      </c>
      <c r="AB187" s="1" t="s">
        <v>2083</v>
      </c>
      <c r="AC187" s="1" t="s">
        <v>74</v>
      </c>
      <c r="AD187" s="1" t="s">
        <v>74</v>
      </c>
      <c r="AE187" s="1" t="s">
        <v>74</v>
      </c>
      <c r="AF187" s="1" t="s">
        <v>74</v>
      </c>
      <c r="AG187" s="1" t="s">
        <v>74</v>
      </c>
      <c r="AH187" s="1" t="s">
        <v>74</v>
      </c>
      <c r="AI187" s="1" t="s">
        <v>74</v>
      </c>
      <c r="AJ187" s="1" t="s">
        <v>74</v>
      </c>
      <c r="AK187" s="1" t="s">
        <v>74</v>
      </c>
      <c r="AL187" s="1" t="s">
        <v>74</v>
      </c>
      <c r="AM187" s="1" t="s">
        <v>74</v>
      </c>
      <c r="AN187" s="1" t="s">
        <v>74</v>
      </c>
      <c r="AO187" s="1" t="s">
        <v>2084</v>
      </c>
      <c r="AP187" s="1" t="s">
        <v>2085</v>
      </c>
      <c r="AQ187" s="1" t="s">
        <v>74</v>
      </c>
      <c r="AR187" s="1" t="s">
        <v>74</v>
      </c>
      <c r="AS187" s="1" t="s">
        <v>74</v>
      </c>
      <c r="AT187" s="1" t="s">
        <v>1841</v>
      </c>
      <c r="AU187" s="1">
        <v>2020.0</v>
      </c>
      <c r="AV187" s="1">
        <v>246.0</v>
      </c>
      <c r="AW187" s="1" t="s">
        <v>74</v>
      </c>
      <c r="AX187" s="1" t="s">
        <v>74</v>
      </c>
      <c r="AY187" s="1" t="s">
        <v>74</v>
      </c>
      <c r="AZ187" s="1" t="s">
        <v>74</v>
      </c>
      <c r="BA187" s="1" t="s">
        <v>74</v>
      </c>
      <c r="BB187" s="1" t="s">
        <v>74</v>
      </c>
      <c r="BC187" s="1" t="s">
        <v>74</v>
      </c>
      <c r="BD187" s="1">
        <v>122828.0</v>
      </c>
      <c r="BE187" s="1" t="s">
        <v>2086</v>
      </c>
      <c r="BF187" s="2" t="str">
        <f>HYPERLINK("http://dx.doi.org/10.1016/j.matchemphys.2020.122828","http://dx.doi.org/10.1016/j.matchemphys.2020.122828")</f>
        <v>http://dx.doi.org/10.1016/j.matchemphys.2020.122828</v>
      </c>
      <c r="BG187" s="1" t="s">
        <v>74</v>
      </c>
      <c r="BH187" s="1" t="s">
        <v>74</v>
      </c>
      <c r="BI187" s="1" t="s">
        <v>74</v>
      </c>
      <c r="BJ187" s="1" t="s">
        <v>74</v>
      </c>
      <c r="BK187" s="1" t="s">
        <v>74</v>
      </c>
      <c r="BL187" s="1" t="s">
        <v>74</v>
      </c>
      <c r="BM187" s="1" t="s">
        <v>74</v>
      </c>
      <c r="BN187" s="1" t="s">
        <v>74</v>
      </c>
      <c r="BO187" s="1" t="s">
        <v>74</v>
      </c>
      <c r="BP187" s="1" t="s">
        <v>74</v>
      </c>
      <c r="BQ187" s="1" t="s">
        <v>74</v>
      </c>
      <c r="BR187" s="1" t="s">
        <v>74</v>
      </c>
      <c r="BS187" s="1" t="s">
        <v>2087</v>
      </c>
      <c r="BT187" s="1" t="str">
        <f>HYPERLINK("https%3A%2F%2Fwww.webofscience.com%2Fwos%2Fwoscc%2Ffull-record%2FWOS:000525781100019","View Full Record in Web of Science")</f>
        <v>View Full Record in Web of Science</v>
      </c>
    </row>
    <row r="188" ht="12.75" customHeight="1">
      <c r="A188" s="1" t="s">
        <v>72</v>
      </c>
      <c r="B188" s="1" t="s">
        <v>2088</v>
      </c>
      <c r="C188" s="1" t="s">
        <v>74</v>
      </c>
      <c r="D188" s="1" t="s">
        <v>74</v>
      </c>
      <c r="E188" s="1" t="s">
        <v>74</v>
      </c>
      <c r="F188" s="1" t="s">
        <v>2089</v>
      </c>
      <c r="G188" s="1" t="s">
        <v>74</v>
      </c>
      <c r="H188" s="1" t="s">
        <v>74</v>
      </c>
      <c r="I188" s="1" t="s">
        <v>2090</v>
      </c>
      <c r="J188" s="1" t="s">
        <v>2091</v>
      </c>
      <c r="K188" s="1" t="s">
        <v>74</v>
      </c>
      <c r="L188" s="1" t="s">
        <v>74</v>
      </c>
      <c r="M188" s="1" t="s">
        <v>74</v>
      </c>
      <c r="N188" s="1" t="s">
        <v>74</v>
      </c>
      <c r="O188" s="1" t="s">
        <v>74</v>
      </c>
      <c r="P188" s="1" t="s">
        <v>74</v>
      </c>
      <c r="Q188" s="1" t="s">
        <v>74</v>
      </c>
      <c r="R188" s="1" t="s">
        <v>74</v>
      </c>
      <c r="S188" s="1" t="s">
        <v>74</v>
      </c>
      <c r="T188" s="1" t="s">
        <v>74</v>
      </c>
      <c r="U188" s="1" t="s">
        <v>74</v>
      </c>
      <c r="V188" s="1" t="s">
        <v>2092</v>
      </c>
      <c r="W188" s="1" t="s">
        <v>74</v>
      </c>
      <c r="X188" s="1" t="s">
        <v>74</v>
      </c>
      <c r="Y188" s="1" t="s">
        <v>74</v>
      </c>
      <c r="Z188" s="1" t="s">
        <v>74</v>
      </c>
      <c r="AA188" s="1" t="s">
        <v>2093</v>
      </c>
      <c r="AB188" s="1" t="s">
        <v>2094</v>
      </c>
      <c r="AC188" s="1" t="s">
        <v>74</v>
      </c>
      <c r="AD188" s="1" t="s">
        <v>74</v>
      </c>
      <c r="AE188" s="1" t="s">
        <v>74</v>
      </c>
      <c r="AF188" s="1" t="s">
        <v>74</v>
      </c>
      <c r="AG188" s="1" t="s">
        <v>74</v>
      </c>
      <c r="AH188" s="1" t="s">
        <v>74</v>
      </c>
      <c r="AI188" s="1" t="s">
        <v>74</v>
      </c>
      <c r="AJ188" s="1" t="s">
        <v>74</v>
      </c>
      <c r="AK188" s="1" t="s">
        <v>74</v>
      </c>
      <c r="AL188" s="1" t="s">
        <v>74</v>
      </c>
      <c r="AM188" s="1" t="s">
        <v>74</v>
      </c>
      <c r="AN188" s="1" t="s">
        <v>74</v>
      </c>
      <c r="AO188" s="1" t="s">
        <v>2095</v>
      </c>
      <c r="AP188" s="1" t="s">
        <v>2096</v>
      </c>
      <c r="AQ188" s="1" t="s">
        <v>74</v>
      </c>
      <c r="AR188" s="1" t="s">
        <v>74</v>
      </c>
      <c r="AS188" s="1" t="s">
        <v>74</v>
      </c>
      <c r="AT188" s="1" t="s">
        <v>2097</v>
      </c>
      <c r="AU188" s="1">
        <v>2019.0</v>
      </c>
      <c r="AV188" s="1">
        <v>35.0</v>
      </c>
      <c r="AW188" s="1">
        <v>20.0</v>
      </c>
      <c r="AX188" s="1" t="s">
        <v>74</v>
      </c>
      <c r="AY188" s="1" t="s">
        <v>74</v>
      </c>
      <c r="AZ188" s="1" t="s">
        <v>74</v>
      </c>
      <c r="BA188" s="1" t="s">
        <v>74</v>
      </c>
      <c r="BB188" s="1">
        <v>4120.0</v>
      </c>
      <c r="BC188" s="1">
        <v>4128.0</v>
      </c>
      <c r="BD188" s="1" t="s">
        <v>74</v>
      </c>
      <c r="BE188" s="1" t="s">
        <v>2098</v>
      </c>
      <c r="BF188" s="2" t="str">
        <f>HYPERLINK("http://dx.doi.org/10.1093/bioinformatics/btz192","http://dx.doi.org/10.1093/bioinformatics/btz192")</f>
        <v>http://dx.doi.org/10.1093/bioinformatics/btz192</v>
      </c>
      <c r="BG188" s="1" t="s">
        <v>74</v>
      </c>
      <c r="BH188" s="1" t="s">
        <v>74</v>
      </c>
      <c r="BI188" s="1" t="s">
        <v>74</v>
      </c>
      <c r="BJ188" s="1" t="s">
        <v>74</v>
      </c>
      <c r="BK188" s="1" t="s">
        <v>74</v>
      </c>
      <c r="BL188" s="1" t="s">
        <v>74</v>
      </c>
      <c r="BM188" s="1" t="s">
        <v>74</v>
      </c>
      <c r="BN188" s="1">
        <v>3.0887042E7</v>
      </c>
      <c r="BO188" s="1" t="s">
        <v>74</v>
      </c>
      <c r="BP188" s="1" t="s">
        <v>74</v>
      </c>
      <c r="BQ188" s="1" t="s">
        <v>74</v>
      </c>
      <c r="BR188" s="1" t="s">
        <v>74</v>
      </c>
      <c r="BS188" s="1" t="s">
        <v>2099</v>
      </c>
      <c r="BT188" s="1" t="str">
        <f>HYPERLINK("https%3A%2F%2Fwww.webofscience.com%2Fwos%2Fwoscc%2Ffull-record%2FWOS:000499323200030","View Full Record in Web of Science")</f>
        <v>View Full Record in Web of Science</v>
      </c>
    </row>
    <row r="189" ht="12.75" customHeight="1">
      <c r="A189" s="1" t="s">
        <v>72</v>
      </c>
      <c r="B189" s="1" t="s">
        <v>2100</v>
      </c>
      <c r="C189" s="1" t="s">
        <v>74</v>
      </c>
      <c r="D189" s="1" t="s">
        <v>74</v>
      </c>
      <c r="E189" s="1" t="s">
        <v>74</v>
      </c>
      <c r="F189" s="1" t="s">
        <v>2101</v>
      </c>
      <c r="G189" s="1" t="s">
        <v>74</v>
      </c>
      <c r="H189" s="1" t="s">
        <v>74</v>
      </c>
      <c r="I189" s="1" t="s">
        <v>2102</v>
      </c>
      <c r="J189" s="1" t="s">
        <v>2103</v>
      </c>
      <c r="K189" s="1" t="s">
        <v>74</v>
      </c>
      <c r="L189" s="1" t="s">
        <v>74</v>
      </c>
      <c r="M189" s="1" t="s">
        <v>74</v>
      </c>
      <c r="N189" s="1" t="s">
        <v>74</v>
      </c>
      <c r="O189" s="1" t="s">
        <v>74</v>
      </c>
      <c r="P189" s="1" t="s">
        <v>74</v>
      </c>
      <c r="Q189" s="1" t="s">
        <v>74</v>
      </c>
      <c r="R189" s="1" t="s">
        <v>74</v>
      </c>
      <c r="S189" s="1" t="s">
        <v>74</v>
      </c>
      <c r="T189" s="1" t="s">
        <v>74</v>
      </c>
      <c r="U189" s="1" t="s">
        <v>74</v>
      </c>
      <c r="V189" s="1" t="s">
        <v>2104</v>
      </c>
      <c r="W189" s="1" t="s">
        <v>74</v>
      </c>
      <c r="X189" s="1" t="s">
        <v>74</v>
      </c>
      <c r="Y189" s="1" t="s">
        <v>74</v>
      </c>
      <c r="Z189" s="1" t="s">
        <v>74</v>
      </c>
      <c r="AA189" s="1" t="s">
        <v>2105</v>
      </c>
      <c r="AB189" s="1" t="s">
        <v>2106</v>
      </c>
      <c r="AC189" s="1" t="s">
        <v>74</v>
      </c>
      <c r="AD189" s="1" t="s">
        <v>74</v>
      </c>
      <c r="AE189" s="1" t="s">
        <v>74</v>
      </c>
      <c r="AF189" s="1" t="s">
        <v>74</v>
      </c>
      <c r="AG189" s="1" t="s">
        <v>74</v>
      </c>
      <c r="AH189" s="1" t="s">
        <v>74</v>
      </c>
      <c r="AI189" s="1" t="s">
        <v>74</v>
      </c>
      <c r="AJ189" s="1" t="s">
        <v>74</v>
      </c>
      <c r="AK189" s="1" t="s">
        <v>74</v>
      </c>
      <c r="AL189" s="1" t="s">
        <v>74</v>
      </c>
      <c r="AM189" s="1" t="s">
        <v>74</v>
      </c>
      <c r="AN189" s="1" t="s">
        <v>74</v>
      </c>
      <c r="AO189" s="1" t="s">
        <v>74</v>
      </c>
      <c r="AP189" s="1" t="s">
        <v>2107</v>
      </c>
      <c r="AQ189" s="1" t="s">
        <v>74</v>
      </c>
      <c r="AR189" s="1" t="s">
        <v>74</v>
      </c>
      <c r="AS189" s="1" t="s">
        <v>74</v>
      </c>
      <c r="AT189" s="1" t="s">
        <v>2108</v>
      </c>
      <c r="AU189" s="1">
        <v>2019.0</v>
      </c>
      <c r="AV189" s="1">
        <v>10.0</v>
      </c>
      <c r="AW189" s="1" t="s">
        <v>74</v>
      </c>
      <c r="AX189" s="1" t="s">
        <v>74</v>
      </c>
      <c r="AY189" s="1" t="s">
        <v>74</v>
      </c>
      <c r="AZ189" s="1" t="s">
        <v>74</v>
      </c>
      <c r="BA189" s="1" t="s">
        <v>74</v>
      </c>
      <c r="BB189" s="1" t="s">
        <v>74</v>
      </c>
      <c r="BC189" s="1" t="s">
        <v>74</v>
      </c>
      <c r="BD189" s="1">
        <v>1008.0</v>
      </c>
      <c r="BE189" s="1" t="s">
        <v>2109</v>
      </c>
      <c r="BF189" s="2" t="str">
        <f>HYPERLINK("http://dx.doi.org/10.3389/fphar.2019.01008","http://dx.doi.org/10.3389/fphar.2019.01008")</f>
        <v>http://dx.doi.org/10.3389/fphar.2019.01008</v>
      </c>
      <c r="BG189" s="1" t="s">
        <v>74</v>
      </c>
      <c r="BH189" s="1" t="s">
        <v>74</v>
      </c>
      <c r="BI189" s="1" t="s">
        <v>74</v>
      </c>
      <c r="BJ189" s="1" t="s">
        <v>74</v>
      </c>
      <c r="BK189" s="1" t="s">
        <v>74</v>
      </c>
      <c r="BL189" s="1" t="s">
        <v>74</v>
      </c>
      <c r="BM189" s="1" t="s">
        <v>74</v>
      </c>
      <c r="BN189" s="1">
        <v>3.1572186E7</v>
      </c>
      <c r="BO189" s="1" t="s">
        <v>74</v>
      </c>
      <c r="BP189" s="1" t="s">
        <v>74</v>
      </c>
      <c r="BQ189" s="1" t="s">
        <v>74</v>
      </c>
      <c r="BR189" s="1" t="s">
        <v>74</v>
      </c>
      <c r="BS189" s="1" t="s">
        <v>2110</v>
      </c>
      <c r="BT189" s="1" t="str">
        <f>HYPERLINK("https%3A%2F%2Fwww.webofscience.com%2Fwos%2Fwoscc%2Ffull-record%2FWOS:000485285800001","View Full Record in Web of Science")</f>
        <v>View Full Record in Web of Science</v>
      </c>
    </row>
    <row r="190" ht="12.75" customHeight="1">
      <c r="A190" s="1" t="s">
        <v>72</v>
      </c>
      <c r="B190" s="1" t="s">
        <v>2111</v>
      </c>
      <c r="C190" s="1" t="s">
        <v>74</v>
      </c>
      <c r="D190" s="1" t="s">
        <v>74</v>
      </c>
      <c r="E190" s="1" t="s">
        <v>74</v>
      </c>
      <c r="F190" s="1" t="s">
        <v>2112</v>
      </c>
      <c r="G190" s="1" t="s">
        <v>74</v>
      </c>
      <c r="H190" s="1" t="s">
        <v>74</v>
      </c>
      <c r="I190" s="1" t="s">
        <v>2113</v>
      </c>
      <c r="J190" s="1" t="s">
        <v>2114</v>
      </c>
      <c r="K190" s="1" t="s">
        <v>74</v>
      </c>
      <c r="L190" s="1" t="s">
        <v>74</v>
      </c>
      <c r="M190" s="1" t="s">
        <v>74</v>
      </c>
      <c r="N190" s="1" t="s">
        <v>74</v>
      </c>
      <c r="O190" s="1" t="s">
        <v>74</v>
      </c>
      <c r="P190" s="1" t="s">
        <v>74</v>
      </c>
      <c r="Q190" s="1" t="s">
        <v>74</v>
      </c>
      <c r="R190" s="1" t="s">
        <v>74</v>
      </c>
      <c r="S190" s="1" t="s">
        <v>74</v>
      </c>
      <c r="T190" s="1" t="s">
        <v>74</v>
      </c>
      <c r="U190" s="1" t="s">
        <v>74</v>
      </c>
      <c r="V190" s="1" t="s">
        <v>2115</v>
      </c>
      <c r="W190" s="1" t="s">
        <v>74</v>
      </c>
      <c r="X190" s="1" t="s">
        <v>74</v>
      </c>
      <c r="Y190" s="1" t="s">
        <v>74</v>
      </c>
      <c r="Z190" s="1" t="s">
        <v>74</v>
      </c>
      <c r="AA190" s="1" t="s">
        <v>2116</v>
      </c>
      <c r="AB190" s="1" t="s">
        <v>74</v>
      </c>
      <c r="AC190" s="1" t="s">
        <v>74</v>
      </c>
      <c r="AD190" s="1" t="s">
        <v>74</v>
      </c>
      <c r="AE190" s="1" t="s">
        <v>74</v>
      </c>
      <c r="AF190" s="1" t="s">
        <v>74</v>
      </c>
      <c r="AG190" s="1" t="s">
        <v>74</v>
      </c>
      <c r="AH190" s="1" t="s">
        <v>74</v>
      </c>
      <c r="AI190" s="1" t="s">
        <v>74</v>
      </c>
      <c r="AJ190" s="1" t="s">
        <v>74</v>
      </c>
      <c r="AK190" s="1" t="s">
        <v>74</v>
      </c>
      <c r="AL190" s="1" t="s">
        <v>74</v>
      </c>
      <c r="AM190" s="1" t="s">
        <v>74</v>
      </c>
      <c r="AN190" s="1" t="s">
        <v>74</v>
      </c>
      <c r="AO190" s="1" t="s">
        <v>2117</v>
      </c>
      <c r="AP190" s="1" t="s">
        <v>74</v>
      </c>
      <c r="AQ190" s="1" t="s">
        <v>74</v>
      </c>
      <c r="AR190" s="1" t="s">
        <v>74</v>
      </c>
      <c r="AS190" s="1" t="s">
        <v>74</v>
      </c>
      <c r="AT190" s="1" t="s">
        <v>307</v>
      </c>
      <c r="AU190" s="1">
        <v>2018.0</v>
      </c>
      <c r="AV190" s="1" t="s">
        <v>74</v>
      </c>
      <c r="AW190" s="1">
        <v>12.0</v>
      </c>
      <c r="AX190" s="1" t="s">
        <v>74</v>
      </c>
      <c r="AY190" s="1" t="s">
        <v>74</v>
      </c>
      <c r="AZ190" s="1" t="s">
        <v>74</v>
      </c>
      <c r="BA190" s="1" t="s">
        <v>74</v>
      </c>
      <c r="BB190" s="1" t="s">
        <v>74</v>
      </c>
      <c r="BC190" s="1" t="s">
        <v>74</v>
      </c>
      <c r="BD190" s="1">
        <v>17.0</v>
      </c>
      <c r="BE190" s="1" t="s">
        <v>2118</v>
      </c>
      <c r="BF190" s="2" t="str">
        <f>HYPERLINK("http://dx.doi.org/10.1088/1475-7516/2018/12/017","http://dx.doi.org/10.1088/1475-7516/2018/12/017")</f>
        <v>http://dx.doi.org/10.1088/1475-7516/2018/12/017</v>
      </c>
      <c r="BG190" s="1" t="s">
        <v>74</v>
      </c>
      <c r="BH190" s="1" t="s">
        <v>74</v>
      </c>
      <c r="BI190" s="1" t="s">
        <v>74</v>
      </c>
      <c r="BJ190" s="1" t="s">
        <v>74</v>
      </c>
      <c r="BK190" s="1" t="s">
        <v>74</v>
      </c>
      <c r="BL190" s="1" t="s">
        <v>74</v>
      </c>
      <c r="BM190" s="1" t="s">
        <v>74</v>
      </c>
      <c r="BN190" s="1" t="s">
        <v>74</v>
      </c>
      <c r="BO190" s="1" t="s">
        <v>74</v>
      </c>
      <c r="BP190" s="1" t="s">
        <v>74</v>
      </c>
      <c r="BQ190" s="1" t="s">
        <v>74</v>
      </c>
      <c r="BR190" s="1" t="s">
        <v>74</v>
      </c>
      <c r="BS190" s="1" t="s">
        <v>2119</v>
      </c>
      <c r="BT190" s="1" t="str">
        <f>HYPERLINK("https%3A%2F%2Fwww.webofscience.com%2Fwos%2Fwoscc%2Ffull-record%2FWOS:000452898200004","View Full Record in Web of Science")</f>
        <v>View Full Record in Web of Science</v>
      </c>
    </row>
    <row r="191" ht="12.75" customHeight="1">
      <c r="A191" s="1" t="s">
        <v>72</v>
      </c>
      <c r="B191" s="1" t="s">
        <v>2120</v>
      </c>
      <c r="C191" s="1" t="s">
        <v>74</v>
      </c>
      <c r="D191" s="1" t="s">
        <v>74</v>
      </c>
      <c r="E191" s="1" t="s">
        <v>74</v>
      </c>
      <c r="F191" s="1" t="s">
        <v>2121</v>
      </c>
      <c r="G191" s="1" t="s">
        <v>74</v>
      </c>
      <c r="H191" s="1" t="s">
        <v>74</v>
      </c>
      <c r="I191" s="1" t="s">
        <v>2122</v>
      </c>
      <c r="J191" s="1" t="s">
        <v>2123</v>
      </c>
      <c r="K191" s="1" t="s">
        <v>74</v>
      </c>
      <c r="L191" s="1" t="s">
        <v>74</v>
      </c>
      <c r="M191" s="1" t="s">
        <v>74</v>
      </c>
      <c r="N191" s="1" t="s">
        <v>74</v>
      </c>
      <c r="O191" s="1" t="s">
        <v>74</v>
      </c>
      <c r="P191" s="1" t="s">
        <v>74</v>
      </c>
      <c r="Q191" s="1" t="s">
        <v>74</v>
      </c>
      <c r="R191" s="1" t="s">
        <v>74</v>
      </c>
      <c r="S191" s="1" t="s">
        <v>74</v>
      </c>
      <c r="T191" s="1" t="s">
        <v>74</v>
      </c>
      <c r="U191" s="1" t="s">
        <v>74</v>
      </c>
      <c r="V191" s="1" t="s">
        <v>2124</v>
      </c>
      <c r="W191" s="1" t="s">
        <v>74</v>
      </c>
      <c r="X191" s="1" t="s">
        <v>74</v>
      </c>
      <c r="Y191" s="1" t="s">
        <v>74</v>
      </c>
      <c r="Z191" s="1" t="s">
        <v>74</v>
      </c>
      <c r="AA191" s="1" t="s">
        <v>2125</v>
      </c>
      <c r="AB191" s="1" t="s">
        <v>2126</v>
      </c>
      <c r="AC191" s="1" t="s">
        <v>74</v>
      </c>
      <c r="AD191" s="1" t="s">
        <v>74</v>
      </c>
      <c r="AE191" s="1" t="s">
        <v>74</v>
      </c>
      <c r="AF191" s="1" t="s">
        <v>74</v>
      </c>
      <c r="AG191" s="1" t="s">
        <v>74</v>
      </c>
      <c r="AH191" s="1" t="s">
        <v>74</v>
      </c>
      <c r="AI191" s="1" t="s">
        <v>74</v>
      </c>
      <c r="AJ191" s="1" t="s">
        <v>74</v>
      </c>
      <c r="AK191" s="1" t="s">
        <v>74</v>
      </c>
      <c r="AL191" s="1" t="s">
        <v>74</v>
      </c>
      <c r="AM191" s="1" t="s">
        <v>74</v>
      </c>
      <c r="AN191" s="1" t="s">
        <v>74</v>
      </c>
      <c r="AO191" s="1" t="s">
        <v>74</v>
      </c>
      <c r="AP191" s="1" t="s">
        <v>2127</v>
      </c>
      <c r="AQ191" s="1" t="s">
        <v>74</v>
      </c>
      <c r="AR191" s="1" t="s">
        <v>74</v>
      </c>
      <c r="AS191" s="1" t="s">
        <v>74</v>
      </c>
      <c r="AT191" s="1" t="s">
        <v>153</v>
      </c>
      <c r="AU191" s="1">
        <v>2018.0</v>
      </c>
      <c r="AV191" s="1">
        <v>6.0</v>
      </c>
      <c r="AW191" s="1" t="s">
        <v>74</v>
      </c>
      <c r="AX191" s="1" t="s">
        <v>74</v>
      </c>
      <c r="AY191" s="1" t="s">
        <v>74</v>
      </c>
      <c r="AZ191" s="1" t="s">
        <v>74</v>
      </c>
      <c r="BA191" s="1" t="s">
        <v>74</v>
      </c>
      <c r="BB191" s="1" t="s">
        <v>74</v>
      </c>
      <c r="BC191" s="1" t="s">
        <v>74</v>
      </c>
      <c r="BD191" s="1">
        <v>27.0</v>
      </c>
      <c r="BE191" s="1" t="s">
        <v>2128</v>
      </c>
      <c r="BF191" s="2" t="str">
        <f>HYPERLINK("http://dx.doi.org/10.3389/fenvs.2018.00027","http://dx.doi.org/10.3389/fenvs.2018.00027")</f>
        <v>http://dx.doi.org/10.3389/fenvs.2018.00027</v>
      </c>
      <c r="BG191" s="1" t="s">
        <v>74</v>
      </c>
      <c r="BH191" s="1" t="s">
        <v>74</v>
      </c>
      <c r="BI191" s="1" t="s">
        <v>74</v>
      </c>
      <c r="BJ191" s="1" t="s">
        <v>74</v>
      </c>
      <c r="BK191" s="1" t="s">
        <v>74</v>
      </c>
      <c r="BL191" s="1" t="s">
        <v>74</v>
      </c>
      <c r="BM191" s="1" t="s">
        <v>74</v>
      </c>
      <c r="BN191" s="1" t="s">
        <v>74</v>
      </c>
      <c r="BO191" s="1" t="s">
        <v>74</v>
      </c>
      <c r="BP191" s="1" t="s">
        <v>74</v>
      </c>
      <c r="BQ191" s="1" t="s">
        <v>74</v>
      </c>
      <c r="BR191" s="1" t="s">
        <v>74</v>
      </c>
      <c r="BS191" s="1" t="s">
        <v>2129</v>
      </c>
      <c r="BT191" s="1" t="str">
        <f>HYPERLINK("https%3A%2F%2Fwww.webofscience.com%2Fwos%2Fwoscc%2Ffull-record%2FWOS:000452110200001","View Full Record in Web of Science")</f>
        <v>View Full Record in Web of Science</v>
      </c>
    </row>
    <row r="192" ht="12.75" customHeight="1">
      <c r="A192" s="1" t="s">
        <v>72</v>
      </c>
      <c r="B192" s="1" t="s">
        <v>2130</v>
      </c>
      <c r="C192" s="1" t="s">
        <v>74</v>
      </c>
      <c r="D192" s="1" t="s">
        <v>74</v>
      </c>
      <c r="E192" s="1" t="s">
        <v>74</v>
      </c>
      <c r="F192" s="1" t="s">
        <v>2131</v>
      </c>
      <c r="G192" s="1" t="s">
        <v>74</v>
      </c>
      <c r="H192" s="1" t="s">
        <v>74</v>
      </c>
      <c r="I192" s="1" t="s">
        <v>2132</v>
      </c>
      <c r="J192" s="1" t="s">
        <v>2133</v>
      </c>
      <c r="K192" s="1" t="s">
        <v>74</v>
      </c>
      <c r="L192" s="1" t="s">
        <v>74</v>
      </c>
      <c r="M192" s="1" t="s">
        <v>74</v>
      </c>
      <c r="N192" s="1" t="s">
        <v>74</v>
      </c>
      <c r="O192" s="1" t="s">
        <v>74</v>
      </c>
      <c r="P192" s="1" t="s">
        <v>74</v>
      </c>
      <c r="Q192" s="1" t="s">
        <v>74</v>
      </c>
      <c r="R192" s="1" t="s">
        <v>74</v>
      </c>
      <c r="S192" s="1" t="s">
        <v>74</v>
      </c>
      <c r="T192" s="1" t="s">
        <v>74</v>
      </c>
      <c r="U192" s="1" t="s">
        <v>74</v>
      </c>
      <c r="V192" s="1" t="s">
        <v>2134</v>
      </c>
      <c r="W192" s="1" t="s">
        <v>74</v>
      </c>
      <c r="X192" s="1" t="s">
        <v>74</v>
      </c>
      <c r="Y192" s="1" t="s">
        <v>74</v>
      </c>
      <c r="Z192" s="1" t="s">
        <v>74</v>
      </c>
      <c r="AA192" s="1" t="s">
        <v>2135</v>
      </c>
      <c r="AB192" s="1" t="s">
        <v>2136</v>
      </c>
      <c r="AC192" s="1" t="s">
        <v>74</v>
      </c>
      <c r="AD192" s="1" t="s">
        <v>74</v>
      </c>
      <c r="AE192" s="1" t="s">
        <v>74</v>
      </c>
      <c r="AF192" s="1" t="s">
        <v>74</v>
      </c>
      <c r="AG192" s="1" t="s">
        <v>74</v>
      </c>
      <c r="AH192" s="1" t="s">
        <v>74</v>
      </c>
      <c r="AI192" s="1" t="s">
        <v>74</v>
      </c>
      <c r="AJ192" s="1" t="s">
        <v>74</v>
      </c>
      <c r="AK192" s="1" t="s">
        <v>74</v>
      </c>
      <c r="AL192" s="1" t="s">
        <v>74</v>
      </c>
      <c r="AM192" s="1" t="s">
        <v>74</v>
      </c>
      <c r="AN192" s="1" t="s">
        <v>74</v>
      </c>
      <c r="AO192" s="1" t="s">
        <v>2137</v>
      </c>
      <c r="AP192" s="1" t="s">
        <v>2138</v>
      </c>
      <c r="AQ192" s="1" t="s">
        <v>74</v>
      </c>
      <c r="AR192" s="1" t="s">
        <v>74</v>
      </c>
      <c r="AS192" s="1" t="s">
        <v>74</v>
      </c>
      <c r="AT192" s="1" t="s">
        <v>2006</v>
      </c>
      <c r="AU192" s="1">
        <v>2016.0</v>
      </c>
      <c r="AV192" s="1">
        <v>111.0</v>
      </c>
      <c r="AW192" s="1" t="s">
        <v>74</v>
      </c>
      <c r="AX192" s="1" t="s">
        <v>74</v>
      </c>
      <c r="AY192" s="1" t="s">
        <v>74</v>
      </c>
      <c r="AZ192" s="1" t="s">
        <v>74</v>
      </c>
      <c r="BA192" s="1" t="s">
        <v>74</v>
      </c>
      <c r="BB192" s="1">
        <v>291.0</v>
      </c>
      <c r="BC192" s="1">
        <v>300.0</v>
      </c>
      <c r="BD192" s="1" t="s">
        <v>74</v>
      </c>
      <c r="BE192" s="1" t="s">
        <v>2139</v>
      </c>
      <c r="BF192" s="2" t="str">
        <f>HYPERLINK("http://dx.doi.org/10.1016/j.matdes.2016.09.018","http://dx.doi.org/10.1016/j.matdes.2016.09.018")</f>
        <v>http://dx.doi.org/10.1016/j.matdes.2016.09.018</v>
      </c>
      <c r="BG192" s="1" t="s">
        <v>74</v>
      </c>
      <c r="BH192" s="1" t="s">
        <v>74</v>
      </c>
      <c r="BI192" s="1" t="s">
        <v>74</v>
      </c>
      <c r="BJ192" s="1" t="s">
        <v>74</v>
      </c>
      <c r="BK192" s="1" t="s">
        <v>74</v>
      </c>
      <c r="BL192" s="1" t="s">
        <v>74</v>
      </c>
      <c r="BM192" s="1" t="s">
        <v>74</v>
      </c>
      <c r="BN192" s="1" t="s">
        <v>74</v>
      </c>
      <c r="BO192" s="1" t="s">
        <v>74</v>
      </c>
      <c r="BP192" s="1" t="s">
        <v>74</v>
      </c>
      <c r="BQ192" s="1" t="s">
        <v>74</v>
      </c>
      <c r="BR192" s="1" t="s">
        <v>74</v>
      </c>
      <c r="BS192" s="1" t="s">
        <v>2140</v>
      </c>
      <c r="BT192" s="1" t="str">
        <f>HYPERLINK("https%3A%2F%2Fwww.webofscience.com%2Fwos%2Fwoscc%2Ffull-record%2FWOS:000386869300035","View Full Record in Web of Science")</f>
        <v>View Full Record in Web of Science</v>
      </c>
    </row>
    <row r="193" ht="12.75" customHeight="1">
      <c r="A193" s="1" t="s">
        <v>72</v>
      </c>
      <c r="B193" s="1" t="s">
        <v>2141</v>
      </c>
      <c r="C193" s="1" t="s">
        <v>74</v>
      </c>
      <c r="D193" s="1" t="s">
        <v>74</v>
      </c>
      <c r="E193" s="1" t="s">
        <v>74</v>
      </c>
      <c r="F193" s="1" t="s">
        <v>2142</v>
      </c>
      <c r="G193" s="1" t="s">
        <v>74</v>
      </c>
      <c r="H193" s="1" t="s">
        <v>74</v>
      </c>
      <c r="I193" s="1" t="s">
        <v>2143</v>
      </c>
      <c r="J193" s="1" t="s">
        <v>2144</v>
      </c>
      <c r="K193" s="1" t="s">
        <v>74</v>
      </c>
      <c r="L193" s="1" t="s">
        <v>74</v>
      </c>
      <c r="M193" s="1" t="s">
        <v>74</v>
      </c>
      <c r="N193" s="1" t="s">
        <v>74</v>
      </c>
      <c r="O193" s="1" t="s">
        <v>74</v>
      </c>
      <c r="P193" s="1" t="s">
        <v>74</v>
      </c>
      <c r="Q193" s="1" t="s">
        <v>74</v>
      </c>
      <c r="R193" s="1" t="s">
        <v>74</v>
      </c>
      <c r="S193" s="1" t="s">
        <v>74</v>
      </c>
      <c r="T193" s="1" t="s">
        <v>74</v>
      </c>
      <c r="U193" s="1" t="s">
        <v>74</v>
      </c>
      <c r="V193" s="1" t="s">
        <v>2145</v>
      </c>
      <c r="W193" s="1" t="s">
        <v>74</v>
      </c>
      <c r="X193" s="1" t="s">
        <v>74</v>
      </c>
      <c r="Y193" s="1" t="s">
        <v>74</v>
      </c>
      <c r="Z193" s="1" t="s">
        <v>74</v>
      </c>
      <c r="AA193" s="1" t="s">
        <v>2146</v>
      </c>
      <c r="AB193" s="1" t="s">
        <v>74</v>
      </c>
      <c r="AC193" s="1" t="s">
        <v>74</v>
      </c>
      <c r="AD193" s="1" t="s">
        <v>74</v>
      </c>
      <c r="AE193" s="1" t="s">
        <v>74</v>
      </c>
      <c r="AF193" s="1" t="s">
        <v>74</v>
      </c>
      <c r="AG193" s="1" t="s">
        <v>74</v>
      </c>
      <c r="AH193" s="1" t="s">
        <v>74</v>
      </c>
      <c r="AI193" s="1" t="s">
        <v>74</v>
      </c>
      <c r="AJ193" s="1" t="s">
        <v>74</v>
      </c>
      <c r="AK193" s="1" t="s">
        <v>74</v>
      </c>
      <c r="AL193" s="1" t="s">
        <v>74</v>
      </c>
      <c r="AM193" s="1" t="s">
        <v>74</v>
      </c>
      <c r="AN193" s="1" t="s">
        <v>74</v>
      </c>
      <c r="AO193" s="1" t="s">
        <v>2147</v>
      </c>
      <c r="AP193" s="1" t="s">
        <v>2148</v>
      </c>
      <c r="AQ193" s="1" t="s">
        <v>74</v>
      </c>
      <c r="AR193" s="1" t="s">
        <v>74</v>
      </c>
      <c r="AS193" s="1" t="s">
        <v>74</v>
      </c>
      <c r="AT193" s="1" t="s">
        <v>2149</v>
      </c>
      <c r="AU193" s="1">
        <v>2016.0</v>
      </c>
      <c r="AV193" s="1">
        <v>233.0</v>
      </c>
      <c r="AW193" s="1" t="s">
        <v>74</v>
      </c>
      <c r="AX193" s="1" t="s">
        <v>74</v>
      </c>
      <c r="AY193" s="1" t="s">
        <v>74</v>
      </c>
      <c r="AZ193" s="1" t="s">
        <v>74</v>
      </c>
      <c r="BA193" s="1" t="s">
        <v>74</v>
      </c>
      <c r="BB193" s="1">
        <v>121.0</v>
      </c>
      <c r="BC193" s="1">
        <v>128.0</v>
      </c>
      <c r="BD193" s="1" t="s">
        <v>74</v>
      </c>
      <c r="BE193" s="1" t="s">
        <v>2150</v>
      </c>
      <c r="BF193" s="2" t="str">
        <f>HYPERLINK("http://dx.doi.org/10.1016/j.jbiotec.2016.06.026","http://dx.doi.org/10.1016/j.jbiotec.2016.06.026")</f>
        <v>http://dx.doi.org/10.1016/j.jbiotec.2016.06.026</v>
      </c>
      <c r="BG193" s="1" t="s">
        <v>74</v>
      </c>
      <c r="BH193" s="1" t="s">
        <v>74</v>
      </c>
      <c r="BI193" s="1" t="s">
        <v>74</v>
      </c>
      <c r="BJ193" s="1" t="s">
        <v>74</v>
      </c>
      <c r="BK193" s="1" t="s">
        <v>74</v>
      </c>
      <c r="BL193" s="1" t="s">
        <v>74</v>
      </c>
      <c r="BM193" s="1" t="s">
        <v>74</v>
      </c>
      <c r="BN193" s="1">
        <v>2.7374405E7</v>
      </c>
      <c r="BO193" s="1" t="s">
        <v>74</v>
      </c>
      <c r="BP193" s="1" t="s">
        <v>74</v>
      </c>
      <c r="BQ193" s="1" t="s">
        <v>74</v>
      </c>
      <c r="BR193" s="1" t="s">
        <v>74</v>
      </c>
      <c r="BS193" s="1" t="s">
        <v>2151</v>
      </c>
      <c r="BT193" s="1" t="str">
        <f>HYPERLINK("https%3A%2F%2Fwww.webofscience.com%2Fwos%2Fwoscc%2Ffull-record%2FWOS:000380819300014","View Full Record in Web of Science")</f>
        <v>View Full Record in Web of Science</v>
      </c>
    </row>
    <row r="194" ht="12.75" customHeight="1">
      <c r="A194" s="1" t="s">
        <v>72</v>
      </c>
      <c r="B194" s="1" t="s">
        <v>2152</v>
      </c>
      <c r="C194" s="1" t="s">
        <v>74</v>
      </c>
      <c r="D194" s="1" t="s">
        <v>74</v>
      </c>
      <c r="E194" s="1" t="s">
        <v>74</v>
      </c>
      <c r="F194" s="1" t="s">
        <v>2153</v>
      </c>
      <c r="G194" s="1" t="s">
        <v>74</v>
      </c>
      <c r="H194" s="1" t="s">
        <v>74</v>
      </c>
      <c r="I194" s="1" t="s">
        <v>2154</v>
      </c>
      <c r="J194" s="1" t="s">
        <v>799</v>
      </c>
      <c r="K194" s="1" t="s">
        <v>74</v>
      </c>
      <c r="L194" s="1" t="s">
        <v>74</v>
      </c>
      <c r="M194" s="1" t="s">
        <v>74</v>
      </c>
      <c r="N194" s="1" t="s">
        <v>74</v>
      </c>
      <c r="O194" s="1" t="s">
        <v>74</v>
      </c>
      <c r="P194" s="1" t="s">
        <v>74</v>
      </c>
      <c r="Q194" s="1" t="s">
        <v>74</v>
      </c>
      <c r="R194" s="1" t="s">
        <v>74</v>
      </c>
      <c r="S194" s="1" t="s">
        <v>74</v>
      </c>
      <c r="T194" s="1" t="s">
        <v>74</v>
      </c>
      <c r="U194" s="1" t="s">
        <v>74</v>
      </c>
      <c r="V194" s="1" t="s">
        <v>2155</v>
      </c>
      <c r="W194" s="1" t="s">
        <v>74</v>
      </c>
      <c r="X194" s="1" t="s">
        <v>74</v>
      </c>
      <c r="Y194" s="1" t="s">
        <v>74</v>
      </c>
      <c r="Z194" s="1" t="s">
        <v>74</v>
      </c>
      <c r="AA194" s="1" t="s">
        <v>2156</v>
      </c>
      <c r="AB194" s="1" t="s">
        <v>74</v>
      </c>
      <c r="AC194" s="1" t="s">
        <v>74</v>
      </c>
      <c r="AD194" s="1" t="s">
        <v>74</v>
      </c>
      <c r="AE194" s="1" t="s">
        <v>74</v>
      </c>
      <c r="AF194" s="1" t="s">
        <v>74</v>
      </c>
      <c r="AG194" s="1" t="s">
        <v>74</v>
      </c>
      <c r="AH194" s="1" t="s">
        <v>74</v>
      </c>
      <c r="AI194" s="1" t="s">
        <v>74</v>
      </c>
      <c r="AJ194" s="1" t="s">
        <v>74</v>
      </c>
      <c r="AK194" s="1" t="s">
        <v>74</v>
      </c>
      <c r="AL194" s="1" t="s">
        <v>74</v>
      </c>
      <c r="AM194" s="1" t="s">
        <v>74</v>
      </c>
      <c r="AN194" s="1" t="s">
        <v>74</v>
      </c>
      <c r="AO194" s="1" t="s">
        <v>803</v>
      </c>
      <c r="AP194" s="1" t="s">
        <v>804</v>
      </c>
      <c r="AQ194" s="1" t="s">
        <v>74</v>
      </c>
      <c r="AR194" s="1" t="s">
        <v>74</v>
      </c>
      <c r="AS194" s="1" t="s">
        <v>74</v>
      </c>
      <c r="AT194" s="1" t="s">
        <v>537</v>
      </c>
      <c r="AU194" s="1">
        <v>2015.0</v>
      </c>
      <c r="AV194" s="1">
        <v>32.0</v>
      </c>
      <c r="AW194" s="1">
        <v>5.0</v>
      </c>
      <c r="AX194" s="1" t="s">
        <v>74</v>
      </c>
      <c r="AY194" s="1" t="s">
        <v>74</v>
      </c>
      <c r="AZ194" s="1" t="s">
        <v>74</v>
      </c>
      <c r="BA194" s="1" t="s">
        <v>74</v>
      </c>
      <c r="BB194" s="1">
        <v>2223.0</v>
      </c>
      <c r="BC194" s="1">
        <v>2227.0</v>
      </c>
      <c r="BD194" s="1" t="s">
        <v>74</v>
      </c>
      <c r="BE194" s="1" t="s">
        <v>2157</v>
      </c>
      <c r="BF194" s="2" t="str">
        <f>HYPERLINK("http://dx.doi.org/10.3305/nh.2015.32.5.9656","http://dx.doi.org/10.3305/nh.2015.32.5.9656")</f>
        <v>http://dx.doi.org/10.3305/nh.2015.32.5.9656</v>
      </c>
      <c r="BG194" s="1" t="s">
        <v>74</v>
      </c>
      <c r="BH194" s="1" t="s">
        <v>74</v>
      </c>
      <c r="BI194" s="1" t="s">
        <v>74</v>
      </c>
      <c r="BJ194" s="1" t="s">
        <v>74</v>
      </c>
      <c r="BK194" s="1" t="s">
        <v>74</v>
      </c>
      <c r="BL194" s="1" t="s">
        <v>74</v>
      </c>
      <c r="BM194" s="1" t="s">
        <v>74</v>
      </c>
      <c r="BN194" s="1">
        <v>2.6545681E7</v>
      </c>
      <c r="BO194" s="1" t="s">
        <v>74</v>
      </c>
      <c r="BP194" s="1" t="s">
        <v>74</v>
      </c>
      <c r="BQ194" s="1" t="s">
        <v>74</v>
      </c>
      <c r="BR194" s="1" t="s">
        <v>74</v>
      </c>
      <c r="BS194" s="1" t="s">
        <v>2158</v>
      </c>
      <c r="BT194" s="1" t="str">
        <f>HYPERLINK("https%3A%2F%2Fwww.webofscience.com%2Fwos%2Fwoscc%2Ffull-record%2FWOS:000364733300043","View Full Record in Web of Science")</f>
        <v>View Full Record in Web of Science</v>
      </c>
    </row>
    <row r="195" ht="12.75" customHeight="1">
      <c r="A195" s="1" t="s">
        <v>72</v>
      </c>
      <c r="B195" s="1" t="s">
        <v>2159</v>
      </c>
      <c r="C195" s="1" t="s">
        <v>74</v>
      </c>
      <c r="D195" s="1" t="s">
        <v>74</v>
      </c>
      <c r="E195" s="1" t="s">
        <v>74</v>
      </c>
      <c r="F195" s="1" t="s">
        <v>2160</v>
      </c>
      <c r="G195" s="1" t="s">
        <v>74</v>
      </c>
      <c r="H195" s="1" t="s">
        <v>74</v>
      </c>
      <c r="I195" s="1" t="s">
        <v>2161</v>
      </c>
      <c r="J195" s="1" t="s">
        <v>302</v>
      </c>
      <c r="K195" s="1" t="s">
        <v>74</v>
      </c>
      <c r="L195" s="1" t="s">
        <v>74</v>
      </c>
      <c r="M195" s="1" t="s">
        <v>74</v>
      </c>
      <c r="N195" s="1" t="s">
        <v>74</v>
      </c>
      <c r="O195" s="1" t="s">
        <v>74</v>
      </c>
      <c r="P195" s="1" t="s">
        <v>74</v>
      </c>
      <c r="Q195" s="1" t="s">
        <v>74</v>
      </c>
      <c r="R195" s="1" t="s">
        <v>74</v>
      </c>
      <c r="S195" s="1" t="s">
        <v>74</v>
      </c>
      <c r="T195" s="1" t="s">
        <v>74</v>
      </c>
      <c r="U195" s="1" t="s">
        <v>74</v>
      </c>
      <c r="V195" s="1" t="s">
        <v>2162</v>
      </c>
      <c r="W195" s="1" t="s">
        <v>74</v>
      </c>
      <c r="X195" s="1" t="s">
        <v>74</v>
      </c>
      <c r="Y195" s="1" t="s">
        <v>74</v>
      </c>
      <c r="Z195" s="1" t="s">
        <v>74</v>
      </c>
      <c r="AA195" s="1" t="s">
        <v>2163</v>
      </c>
      <c r="AB195" s="1" t="s">
        <v>2164</v>
      </c>
      <c r="AC195" s="1" t="s">
        <v>74</v>
      </c>
      <c r="AD195" s="1" t="s">
        <v>74</v>
      </c>
      <c r="AE195" s="1" t="s">
        <v>74</v>
      </c>
      <c r="AF195" s="1" t="s">
        <v>74</v>
      </c>
      <c r="AG195" s="1" t="s">
        <v>74</v>
      </c>
      <c r="AH195" s="1" t="s">
        <v>74</v>
      </c>
      <c r="AI195" s="1" t="s">
        <v>74</v>
      </c>
      <c r="AJ195" s="1" t="s">
        <v>74</v>
      </c>
      <c r="AK195" s="1" t="s">
        <v>74</v>
      </c>
      <c r="AL195" s="1" t="s">
        <v>74</v>
      </c>
      <c r="AM195" s="1" t="s">
        <v>74</v>
      </c>
      <c r="AN195" s="1" t="s">
        <v>74</v>
      </c>
      <c r="AO195" s="1" t="s">
        <v>305</v>
      </c>
      <c r="AP195" s="1" t="s">
        <v>306</v>
      </c>
      <c r="AQ195" s="1" t="s">
        <v>74</v>
      </c>
      <c r="AR195" s="1" t="s">
        <v>74</v>
      </c>
      <c r="AS195" s="1" t="s">
        <v>74</v>
      </c>
      <c r="AT195" s="1" t="s">
        <v>201</v>
      </c>
      <c r="AU195" s="1">
        <v>2014.0</v>
      </c>
      <c r="AV195" s="1">
        <v>142.0</v>
      </c>
      <c r="AW195" s="1">
        <v>10.0</v>
      </c>
      <c r="AX195" s="1" t="s">
        <v>74</v>
      </c>
      <c r="AY195" s="1" t="s">
        <v>74</v>
      </c>
      <c r="AZ195" s="1" t="s">
        <v>74</v>
      </c>
      <c r="BA195" s="1" t="s">
        <v>74</v>
      </c>
      <c r="BB195" s="1">
        <v>1275.0</v>
      </c>
      <c r="BC195" s="1">
        <v>1283.0</v>
      </c>
      <c r="BD195" s="1" t="s">
        <v>74</v>
      </c>
      <c r="BE195" s="1" t="s">
        <v>2165</v>
      </c>
      <c r="BF195" s="2" t="str">
        <f>HYPERLINK("http://dx.doi.org/10.4067/S0034-98872014001000007","http://dx.doi.org/10.4067/S0034-98872014001000007")</f>
        <v>http://dx.doi.org/10.4067/S0034-98872014001000007</v>
      </c>
      <c r="BG195" s="1" t="s">
        <v>74</v>
      </c>
      <c r="BH195" s="1" t="s">
        <v>74</v>
      </c>
      <c r="BI195" s="1" t="s">
        <v>74</v>
      </c>
      <c r="BJ195" s="1" t="s">
        <v>74</v>
      </c>
      <c r="BK195" s="1" t="s">
        <v>74</v>
      </c>
      <c r="BL195" s="1" t="s">
        <v>74</v>
      </c>
      <c r="BM195" s="1" t="s">
        <v>74</v>
      </c>
      <c r="BN195" s="1">
        <v>2.5601112E7</v>
      </c>
      <c r="BO195" s="1" t="s">
        <v>74</v>
      </c>
      <c r="BP195" s="1" t="s">
        <v>74</v>
      </c>
      <c r="BQ195" s="1" t="s">
        <v>74</v>
      </c>
      <c r="BR195" s="1" t="s">
        <v>74</v>
      </c>
      <c r="BS195" s="1" t="s">
        <v>2166</v>
      </c>
      <c r="BT195" s="1" t="str">
        <f>HYPERLINK("https%3A%2F%2Fwww.webofscience.com%2Fwos%2Fwoscc%2Ffull-record%2FWOS:000345552600007","View Full Record in Web of Science")</f>
        <v>View Full Record in Web of Science</v>
      </c>
    </row>
    <row r="196" ht="12.75" customHeight="1">
      <c r="A196" s="1" t="s">
        <v>86</v>
      </c>
      <c r="B196" s="1" t="s">
        <v>2167</v>
      </c>
      <c r="C196" s="1" t="s">
        <v>74</v>
      </c>
      <c r="D196" s="1" t="s">
        <v>2168</v>
      </c>
      <c r="E196" s="1" t="s">
        <v>74</v>
      </c>
      <c r="F196" s="1" t="s">
        <v>2169</v>
      </c>
      <c r="G196" s="1" t="s">
        <v>74</v>
      </c>
      <c r="H196" s="1" t="s">
        <v>74</v>
      </c>
      <c r="I196" s="1" t="s">
        <v>2170</v>
      </c>
      <c r="J196" s="1" t="s">
        <v>2171</v>
      </c>
      <c r="K196" s="1" t="s">
        <v>74</v>
      </c>
      <c r="L196" s="1" t="s">
        <v>74</v>
      </c>
      <c r="M196" s="1" t="s">
        <v>74</v>
      </c>
      <c r="N196" s="1" t="s">
        <v>74</v>
      </c>
      <c r="O196" s="1" t="s">
        <v>2172</v>
      </c>
      <c r="P196" s="1" t="s">
        <v>2173</v>
      </c>
      <c r="Q196" s="1" t="s">
        <v>2174</v>
      </c>
      <c r="R196" s="1" t="s">
        <v>2175</v>
      </c>
      <c r="S196" s="1" t="s">
        <v>2176</v>
      </c>
      <c r="T196" s="1" t="s">
        <v>74</v>
      </c>
      <c r="U196" s="1" t="s">
        <v>74</v>
      </c>
      <c r="V196" s="1" t="s">
        <v>2177</v>
      </c>
      <c r="W196" s="1" t="s">
        <v>74</v>
      </c>
      <c r="X196" s="1" t="s">
        <v>74</v>
      </c>
      <c r="Y196" s="1" t="s">
        <v>74</v>
      </c>
      <c r="Z196" s="1" t="s">
        <v>74</v>
      </c>
      <c r="AA196" s="1" t="s">
        <v>2178</v>
      </c>
      <c r="AB196" s="1" t="s">
        <v>2179</v>
      </c>
      <c r="AC196" s="1" t="s">
        <v>74</v>
      </c>
      <c r="AD196" s="1" t="s">
        <v>74</v>
      </c>
      <c r="AE196" s="1" t="s">
        <v>74</v>
      </c>
      <c r="AF196" s="1" t="s">
        <v>74</v>
      </c>
      <c r="AG196" s="1" t="s">
        <v>74</v>
      </c>
      <c r="AH196" s="1" t="s">
        <v>74</v>
      </c>
      <c r="AI196" s="1" t="s">
        <v>74</v>
      </c>
      <c r="AJ196" s="1" t="s">
        <v>74</v>
      </c>
      <c r="AK196" s="1" t="s">
        <v>74</v>
      </c>
      <c r="AL196" s="1" t="s">
        <v>74</v>
      </c>
      <c r="AM196" s="1" t="s">
        <v>74</v>
      </c>
      <c r="AN196" s="1" t="s">
        <v>74</v>
      </c>
      <c r="AO196" s="1" t="s">
        <v>74</v>
      </c>
      <c r="AP196" s="1" t="s">
        <v>74</v>
      </c>
      <c r="AQ196" s="1" t="s">
        <v>2180</v>
      </c>
      <c r="AR196" s="1" t="s">
        <v>74</v>
      </c>
      <c r="AS196" s="1" t="s">
        <v>74</v>
      </c>
      <c r="AT196" s="1" t="s">
        <v>74</v>
      </c>
      <c r="AU196" s="1">
        <v>2014.0</v>
      </c>
      <c r="AV196" s="1" t="s">
        <v>74</v>
      </c>
      <c r="AW196" s="1" t="s">
        <v>74</v>
      </c>
      <c r="AX196" s="1" t="s">
        <v>74</v>
      </c>
      <c r="AY196" s="1" t="s">
        <v>74</v>
      </c>
      <c r="AZ196" s="1" t="s">
        <v>74</v>
      </c>
      <c r="BA196" s="1" t="s">
        <v>74</v>
      </c>
      <c r="BB196" s="1">
        <v>299.0</v>
      </c>
      <c r="BC196" s="1">
        <v>304.0</v>
      </c>
      <c r="BD196" s="1" t="s">
        <v>74</v>
      </c>
      <c r="BE196" s="1" t="s">
        <v>2181</v>
      </c>
      <c r="BF196" s="2" t="str">
        <f>HYPERLINK("http://dx.doi.org/10.1109/WAINA.2014.77","http://dx.doi.org/10.1109/WAINA.2014.77")</f>
        <v>http://dx.doi.org/10.1109/WAINA.2014.77</v>
      </c>
      <c r="BG196" s="1" t="s">
        <v>74</v>
      </c>
      <c r="BH196" s="1" t="s">
        <v>74</v>
      </c>
      <c r="BI196" s="1" t="s">
        <v>74</v>
      </c>
      <c r="BJ196" s="1" t="s">
        <v>74</v>
      </c>
      <c r="BK196" s="1" t="s">
        <v>74</v>
      </c>
      <c r="BL196" s="1" t="s">
        <v>74</v>
      </c>
      <c r="BM196" s="1" t="s">
        <v>74</v>
      </c>
      <c r="BN196" s="1" t="s">
        <v>74</v>
      </c>
      <c r="BO196" s="1" t="s">
        <v>74</v>
      </c>
      <c r="BP196" s="1" t="s">
        <v>74</v>
      </c>
      <c r="BQ196" s="1" t="s">
        <v>74</v>
      </c>
      <c r="BR196" s="1" t="s">
        <v>74</v>
      </c>
      <c r="BS196" s="1" t="s">
        <v>2182</v>
      </c>
      <c r="BT196" s="1" t="str">
        <f>HYPERLINK("https%3A%2F%2Fwww.webofscience.com%2Fwos%2Fwoscc%2Ffull-record%2FWOS:000365294100051","View Full Record in Web of Science")</f>
        <v>View Full Record in Web of Science</v>
      </c>
    </row>
    <row r="197" ht="12.75" customHeight="1">
      <c r="A197" s="1" t="s">
        <v>72</v>
      </c>
      <c r="B197" s="1" t="s">
        <v>2183</v>
      </c>
      <c r="C197" s="1" t="s">
        <v>74</v>
      </c>
      <c r="D197" s="1" t="s">
        <v>74</v>
      </c>
      <c r="E197" s="1" t="s">
        <v>74</v>
      </c>
      <c r="F197" s="1" t="s">
        <v>2184</v>
      </c>
      <c r="G197" s="1" t="s">
        <v>74</v>
      </c>
      <c r="H197" s="1" t="s">
        <v>74</v>
      </c>
      <c r="I197" s="1" t="s">
        <v>2185</v>
      </c>
      <c r="J197" s="1" t="s">
        <v>2186</v>
      </c>
      <c r="K197" s="1" t="s">
        <v>74</v>
      </c>
      <c r="L197" s="1" t="s">
        <v>74</v>
      </c>
      <c r="M197" s="1" t="s">
        <v>74</v>
      </c>
      <c r="N197" s="1" t="s">
        <v>74</v>
      </c>
      <c r="O197" s="1" t="s">
        <v>74</v>
      </c>
      <c r="P197" s="1" t="s">
        <v>74</v>
      </c>
      <c r="Q197" s="1" t="s">
        <v>74</v>
      </c>
      <c r="R197" s="1" t="s">
        <v>74</v>
      </c>
      <c r="S197" s="1" t="s">
        <v>74</v>
      </c>
      <c r="T197" s="1" t="s">
        <v>74</v>
      </c>
      <c r="U197" s="1" t="s">
        <v>74</v>
      </c>
      <c r="V197" s="1" t="s">
        <v>2187</v>
      </c>
      <c r="W197" s="1" t="s">
        <v>74</v>
      </c>
      <c r="X197" s="1" t="s">
        <v>74</v>
      </c>
      <c r="Y197" s="1" t="s">
        <v>74</v>
      </c>
      <c r="Z197" s="1" t="s">
        <v>74</v>
      </c>
      <c r="AA197" s="1" t="s">
        <v>2188</v>
      </c>
      <c r="AB197" s="1" t="s">
        <v>2189</v>
      </c>
      <c r="AC197" s="1" t="s">
        <v>74</v>
      </c>
      <c r="AD197" s="1" t="s">
        <v>74</v>
      </c>
      <c r="AE197" s="1" t="s">
        <v>74</v>
      </c>
      <c r="AF197" s="1" t="s">
        <v>74</v>
      </c>
      <c r="AG197" s="1" t="s">
        <v>74</v>
      </c>
      <c r="AH197" s="1" t="s">
        <v>74</v>
      </c>
      <c r="AI197" s="1" t="s">
        <v>74</v>
      </c>
      <c r="AJ197" s="1" t="s">
        <v>74</v>
      </c>
      <c r="AK197" s="1" t="s">
        <v>74</v>
      </c>
      <c r="AL197" s="1" t="s">
        <v>74</v>
      </c>
      <c r="AM197" s="1" t="s">
        <v>74</v>
      </c>
      <c r="AN197" s="1" t="s">
        <v>74</v>
      </c>
      <c r="AO197" s="1" t="s">
        <v>2190</v>
      </c>
      <c r="AP197" s="1" t="s">
        <v>2191</v>
      </c>
      <c r="AQ197" s="1" t="s">
        <v>74</v>
      </c>
      <c r="AR197" s="1" t="s">
        <v>74</v>
      </c>
      <c r="AS197" s="1" t="s">
        <v>74</v>
      </c>
      <c r="AT197" s="1" t="s">
        <v>2192</v>
      </c>
      <c r="AU197" s="1">
        <v>2013.0</v>
      </c>
      <c r="AV197" s="1">
        <v>88.0</v>
      </c>
      <c r="AW197" s="1">
        <v>12.0</v>
      </c>
      <c r="AX197" s="1" t="s">
        <v>74</v>
      </c>
      <c r="AY197" s="1" t="s">
        <v>74</v>
      </c>
      <c r="AZ197" s="1" t="s">
        <v>74</v>
      </c>
      <c r="BA197" s="1" t="s">
        <v>74</v>
      </c>
      <c r="BB197" s="1" t="s">
        <v>74</v>
      </c>
      <c r="BC197" s="1" t="s">
        <v>74</v>
      </c>
      <c r="BD197" s="1">
        <v>124016.0</v>
      </c>
      <c r="BE197" s="1" t="s">
        <v>2193</v>
      </c>
      <c r="BF197" s="2" t="str">
        <f>HYPERLINK("http://dx.doi.org/10.1103/PhysRevD.88.124016","http://dx.doi.org/10.1103/PhysRevD.88.124016")</f>
        <v>http://dx.doi.org/10.1103/PhysRevD.88.124016</v>
      </c>
      <c r="BG197" s="1" t="s">
        <v>74</v>
      </c>
      <c r="BH197" s="1" t="s">
        <v>74</v>
      </c>
      <c r="BI197" s="1" t="s">
        <v>74</v>
      </c>
      <c r="BJ197" s="1" t="s">
        <v>74</v>
      </c>
      <c r="BK197" s="1" t="s">
        <v>74</v>
      </c>
      <c r="BL197" s="1" t="s">
        <v>74</v>
      </c>
      <c r="BM197" s="1" t="s">
        <v>74</v>
      </c>
      <c r="BN197" s="1" t="s">
        <v>74</v>
      </c>
      <c r="BO197" s="1" t="s">
        <v>74</v>
      </c>
      <c r="BP197" s="1" t="s">
        <v>74</v>
      </c>
      <c r="BQ197" s="1" t="s">
        <v>74</v>
      </c>
      <c r="BR197" s="1" t="s">
        <v>74</v>
      </c>
      <c r="BS197" s="1" t="s">
        <v>2194</v>
      </c>
      <c r="BT197" s="1" t="str">
        <f>HYPERLINK("https%3A%2F%2Fwww.webofscience.com%2Fwos%2Fwoscc%2Ffull-record%2FWOS:000328604600007","View Full Record in Web of Science")</f>
        <v>View Full Record in Web of Science</v>
      </c>
    </row>
    <row r="198" ht="12.75" customHeight="1">
      <c r="A198" s="1" t="s">
        <v>72</v>
      </c>
      <c r="B198" s="1" t="s">
        <v>2195</v>
      </c>
      <c r="C198" s="1" t="s">
        <v>74</v>
      </c>
      <c r="D198" s="1" t="s">
        <v>74</v>
      </c>
      <c r="E198" s="1" t="s">
        <v>74</v>
      </c>
      <c r="F198" s="1" t="s">
        <v>2196</v>
      </c>
      <c r="G198" s="1" t="s">
        <v>74</v>
      </c>
      <c r="H198" s="1" t="s">
        <v>74</v>
      </c>
      <c r="I198" s="1" t="s">
        <v>2197</v>
      </c>
      <c r="J198" s="1" t="s">
        <v>2198</v>
      </c>
      <c r="K198" s="1" t="s">
        <v>74</v>
      </c>
      <c r="L198" s="1" t="s">
        <v>74</v>
      </c>
      <c r="M198" s="1" t="s">
        <v>74</v>
      </c>
      <c r="N198" s="1" t="s">
        <v>74</v>
      </c>
      <c r="O198" s="1" t="s">
        <v>74</v>
      </c>
      <c r="P198" s="1" t="s">
        <v>74</v>
      </c>
      <c r="Q198" s="1" t="s">
        <v>74</v>
      </c>
      <c r="R198" s="1" t="s">
        <v>74</v>
      </c>
      <c r="S198" s="1" t="s">
        <v>74</v>
      </c>
      <c r="T198" s="1" t="s">
        <v>74</v>
      </c>
      <c r="U198" s="1" t="s">
        <v>74</v>
      </c>
      <c r="V198" s="1" t="s">
        <v>2199</v>
      </c>
      <c r="W198" s="1" t="s">
        <v>74</v>
      </c>
      <c r="X198" s="1" t="s">
        <v>74</v>
      </c>
      <c r="Y198" s="1" t="s">
        <v>74</v>
      </c>
      <c r="Z198" s="1" t="s">
        <v>74</v>
      </c>
      <c r="AA198" s="1" t="s">
        <v>2200</v>
      </c>
      <c r="AB198" s="1" t="s">
        <v>2201</v>
      </c>
      <c r="AC198" s="1" t="s">
        <v>74</v>
      </c>
      <c r="AD198" s="1" t="s">
        <v>74</v>
      </c>
      <c r="AE198" s="1" t="s">
        <v>74</v>
      </c>
      <c r="AF198" s="1" t="s">
        <v>74</v>
      </c>
      <c r="AG198" s="1" t="s">
        <v>74</v>
      </c>
      <c r="AH198" s="1" t="s">
        <v>74</v>
      </c>
      <c r="AI198" s="1" t="s">
        <v>74</v>
      </c>
      <c r="AJ198" s="1" t="s">
        <v>74</v>
      </c>
      <c r="AK198" s="1" t="s">
        <v>74</v>
      </c>
      <c r="AL198" s="1" t="s">
        <v>74</v>
      </c>
      <c r="AM198" s="1" t="s">
        <v>74</v>
      </c>
      <c r="AN198" s="1" t="s">
        <v>74</v>
      </c>
      <c r="AO198" s="1" t="s">
        <v>2202</v>
      </c>
      <c r="AP198" s="1" t="s">
        <v>74</v>
      </c>
      <c r="AQ198" s="1" t="s">
        <v>74</v>
      </c>
      <c r="AR198" s="1" t="s">
        <v>74</v>
      </c>
      <c r="AS198" s="1" t="s">
        <v>74</v>
      </c>
      <c r="AT198" s="1" t="s">
        <v>1702</v>
      </c>
      <c r="AU198" s="1">
        <v>2013.0</v>
      </c>
      <c r="AV198" s="1">
        <v>60.0</v>
      </c>
      <c r="AW198" s="1">
        <v>2.0</v>
      </c>
      <c r="AX198" s="1" t="s">
        <v>74</v>
      </c>
      <c r="AY198" s="1" t="s">
        <v>74</v>
      </c>
      <c r="AZ198" s="1" t="s">
        <v>74</v>
      </c>
      <c r="BA198" s="1" t="s">
        <v>74</v>
      </c>
      <c r="BB198" s="1">
        <v>136.0</v>
      </c>
      <c r="BC198" s="1">
        <v>140.0</v>
      </c>
      <c r="BD198" s="1" t="s">
        <v>74</v>
      </c>
      <c r="BE198" s="1" t="s">
        <v>2203</v>
      </c>
      <c r="BF198" s="2" t="str">
        <f>HYPERLINK("http://dx.doi.org/10.1080/09500340.2012.756555","http://dx.doi.org/10.1080/09500340.2012.756555")</f>
        <v>http://dx.doi.org/10.1080/09500340.2012.756555</v>
      </c>
      <c r="BG198" s="1" t="s">
        <v>74</v>
      </c>
      <c r="BH198" s="1" t="s">
        <v>74</v>
      </c>
      <c r="BI198" s="1" t="s">
        <v>74</v>
      </c>
      <c r="BJ198" s="1" t="s">
        <v>74</v>
      </c>
      <c r="BK198" s="1" t="s">
        <v>74</v>
      </c>
      <c r="BL198" s="1" t="s">
        <v>74</v>
      </c>
      <c r="BM198" s="1" t="s">
        <v>74</v>
      </c>
      <c r="BN198" s="1" t="s">
        <v>74</v>
      </c>
      <c r="BO198" s="1" t="s">
        <v>74</v>
      </c>
      <c r="BP198" s="1" t="s">
        <v>74</v>
      </c>
      <c r="BQ198" s="1" t="s">
        <v>74</v>
      </c>
      <c r="BR198" s="1" t="s">
        <v>74</v>
      </c>
      <c r="BS198" s="1" t="s">
        <v>2204</v>
      </c>
      <c r="BT198" s="1" t="str">
        <f>HYPERLINK("https%3A%2F%2Fwww.webofscience.com%2Fwos%2Fwoscc%2Ffull-record%2FWOS:000315436300005","View Full Record in Web of Science")</f>
        <v>View Full Record in Web of Science</v>
      </c>
    </row>
    <row r="199" ht="12.75" customHeight="1">
      <c r="A199" s="1" t="s">
        <v>72</v>
      </c>
      <c r="B199" s="1" t="s">
        <v>2205</v>
      </c>
      <c r="C199" s="1" t="s">
        <v>74</v>
      </c>
      <c r="D199" s="1" t="s">
        <v>74</v>
      </c>
      <c r="E199" s="1" t="s">
        <v>74</v>
      </c>
      <c r="F199" s="1" t="s">
        <v>2206</v>
      </c>
      <c r="G199" s="1" t="s">
        <v>74</v>
      </c>
      <c r="H199" s="1" t="s">
        <v>74</v>
      </c>
      <c r="I199" s="1" t="s">
        <v>2207</v>
      </c>
      <c r="J199" s="1" t="s">
        <v>2208</v>
      </c>
      <c r="K199" s="1" t="s">
        <v>74</v>
      </c>
      <c r="L199" s="1" t="s">
        <v>74</v>
      </c>
      <c r="M199" s="1" t="s">
        <v>74</v>
      </c>
      <c r="N199" s="1" t="s">
        <v>74</v>
      </c>
      <c r="O199" s="1" t="s">
        <v>74</v>
      </c>
      <c r="P199" s="1" t="s">
        <v>74</v>
      </c>
      <c r="Q199" s="1" t="s">
        <v>74</v>
      </c>
      <c r="R199" s="1" t="s">
        <v>74</v>
      </c>
      <c r="S199" s="1" t="s">
        <v>74</v>
      </c>
      <c r="T199" s="1" t="s">
        <v>74</v>
      </c>
      <c r="U199" s="1" t="s">
        <v>74</v>
      </c>
      <c r="V199" s="1" t="s">
        <v>2209</v>
      </c>
      <c r="W199" s="1" t="s">
        <v>74</v>
      </c>
      <c r="X199" s="1" t="s">
        <v>74</v>
      </c>
      <c r="Y199" s="1" t="s">
        <v>74</v>
      </c>
      <c r="Z199" s="1" t="s">
        <v>74</v>
      </c>
      <c r="AA199" s="1" t="s">
        <v>2210</v>
      </c>
      <c r="AB199" s="1" t="s">
        <v>2211</v>
      </c>
      <c r="AC199" s="1" t="s">
        <v>74</v>
      </c>
      <c r="AD199" s="1" t="s">
        <v>74</v>
      </c>
      <c r="AE199" s="1" t="s">
        <v>74</v>
      </c>
      <c r="AF199" s="1" t="s">
        <v>74</v>
      </c>
      <c r="AG199" s="1" t="s">
        <v>74</v>
      </c>
      <c r="AH199" s="1" t="s">
        <v>74</v>
      </c>
      <c r="AI199" s="1" t="s">
        <v>74</v>
      </c>
      <c r="AJ199" s="1" t="s">
        <v>74</v>
      </c>
      <c r="AK199" s="1" t="s">
        <v>74</v>
      </c>
      <c r="AL199" s="1" t="s">
        <v>74</v>
      </c>
      <c r="AM199" s="1" t="s">
        <v>74</v>
      </c>
      <c r="AN199" s="1" t="s">
        <v>74</v>
      </c>
      <c r="AO199" s="1" t="s">
        <v>2212</v>
      </c>
      <c r="AP199" s="1" t="s">
        <v>2213</v>
      </c>
      <c r="AQ199" s="1" t="s">
        <v>74</v>
      </c>
      <c r="AR199" s="1" t="s">
        <v>74</v>
      </c>
      <c r="AS199" s="1" t="s">
        <v>74</v>
      </c>
      <c r="AT199" s="1" t="s">
        <v>1018</v>
      </c>
      <c r="AU199" s="1">
        <v>2011.0</v>
      </c>
      <c r="AV199" s="1">
        <v>19.0</v>
      </c>
      <c r="AW199" s="1">
        <v>3.0</v>
      </c>
      <c r="AX199" s="1" t="s">
        <v>74</v>
      </c>
      <c r="AY199" s="1" t="s">
        <v>74</v>
      </c>
      <c r="AZ199" s="1" t="s">
        <v>74</v>
      </c>
      <c r="BA199" s="1" t="s">
        <v>74</v>
      </c>
      <c r="BB199" s="1">
        <v>379.0</v>
      </c>
      <c r="BC199" s="1">
        <v>405.0</v>
      </c>
      <c r="BD199" s="1" t="s">
        <v>74</v>
      </c>
      <c r="BE199" s="1" t="s">
        <v>2214</v>
      </c>
      <c r="BF199" s="2" t="str">
        <f>HYPERLINK("http://dx.doi.org/10.1515/JIIP.2011.036","http://dx.doi.org/10.1515/JIIP.2011.036")</f>
        <v>http://dx.doi.org/10.1515/JIIP.2011.036</v>
      </c>
      <c r="BG199" s="1" t="s">
        <v>74</v>
      </c>
      <c r="BH199" s="1" t="s">
        <v>74</v>
      </c>
      <c r="BI199" s="1" t="s">
        <v>74</v>
      </c>
      <c r="BJ199" s="1" t="s">
        <v>74</v>
      </c>
      <c r="BK199" s="1" t="s">
        <v>74</v>
      </c>
      <c r="BL199" s="1" t="s">
        <v>74</v>
      </c>
      <c r="BM199" s="1" t="s">
        <v>74</v>
      </c>
      <c r="BN199" s="1" t="s">
        <v>74</v>
      </c>
      <c r="BO199" s="1" t="s">
        <v>74</v>
      </c>
      <c r="BP199" s="1" t="s">
        <v>74</v>
      </c>
      <c r="BQ199" s="1" t="s">
        <v>74</v>
      </c>
      <c r="BR199" s="1" t="s">
        <v>74</v>
      </c>
      <c r="BS199" s="1" t="s">
        <v>2215</v>
      </c>
      <c r="BT199" s="1" t="str">
        <f>HYPERLINK("https%3A%2F%2Fwww.webofscience.com%2Fwos%2Fwoscc%2Ffull-record%2FWOS:000293596300003","View Full Record in Web of Science")</f>
        <v>View Full Record in Web of Science</v>
      </c>
    </row>
    <row r="200" ht="12.75" customHeight="1">
      <c r="A200" s="1" t="s">
        <v>72</v>
      </c>
      <c r="B200" s="1" t="s">
        <v>2216</v>
      </c>
      <c r="C200" s="1" t="s">
        <v>74</v>
      </c>
      <c r="D200" s="1" t="s">
        <v>74</v>
      </c>
      <c r="E200" s="1" t="s">
        <v>74</v>
      </c>
      <c r="F200" s="1" t="s">
        <v>2217</v>
      </c>
      <c r="G200" s="1" t="s">
        <v>74</v>
      </c>
      <c r="H200" s="1" t="s">
        <v>74</v>
      </c>
      <c r="I200" s="1" t="s">
        <v>2218</v>
      </c>
      <c r="J200" s="1" t="s">
        <v>354</v>
      </c>
      <c r="K200" s="1" t="s">
        <v>74</v>
      </c>
      <c r="L200" s="1" t="s">
        <v>74</v>
      </c>
      <c r="M200" s="1" t="s">
        <v>74</v>
      </c>
      <c r="N200" s="1" t="s">
        <v>74</v>
      </c>
      <c r="O200" s="1" t="s">
        <v>74</v>
      </c>
      <c r="P200" s="1" t="s">
        <v>74</v>
      </c>
      <c r="Q200" s="1" t="s">
        <v>74</v>
      </c>
      <c r="R200" s="1" t="s">
        <v>74</v>
      </c>
      <c r="S200" s="1" t="s">
        <v>74</v>
      </c>
      <c r="T200" s="1" t="s">
        <v>74</v>
      </c>
      <c r="U200" s="1" t="s">
        <v>74</v>
      </c>
      <c r="V200" s="1" t="s">
        <v>2219</v>
      </c>
      <c r="W200" s="1" t="s">
        <v>74</v>
      </c>
      <c r="X200" s="1" t="s">
        <v>74</v>
      </c>
      <c r="Y200" s="1" t="s">
        <v>74</v>
      </c>
      <c r="Z200" s="1" t="s">
        <v>74</v>
      </c>
      <c r="AA200" s="1" t="s">
        <v>2220</v>
      </c>
      <c r="AB200" s="1" t="s">
        <v>2221</v>
      </c>
      <c r="AC200" s="1" t="s">
        <v>74</v>
      </c>
      <c r="AD200" s="1" t="s">
        <v>74</v>
      </c>
      <c r="AE200" s="1" t="s">
        <v>74</v>
      </c>
      <c r="AF200" s="1" t="s">
        <v>74</v>
      </c>
      <c r="AG200" s="1" t="s">
        <v>74</v>
      </c>
      <c r="AH200" s="1" t="s">
        <v>74</v>
      </c>
      <c r="AI200" s="1" t="s">
        <v>74</v>
      </c>
      <c r="AJ200" s="1" t="s">
        <v>74</v>
      </c>
      <c r="AK200" s="1" t="s">
        <v>74</v>
      </c>
      <c r="AL200" s="1" t="s">
        <v>74</v>
      </c>
      <c r="AM200" s="1" t="s">
        <v>74</v>
      </c>
      <c r="AN200" s="1" t="s">
        <v>74</v>
      </c>
      <c r="AO200" s="1" t="s">
        <v>358</v>
      </c>
      <c r="AP200" s="1" t="s">
        <v>359</v>
      </c>
      <c r="AQ200" s="1" t="s">
        <v>74</v>
      </c>
      <c r="AR200" s="1" t="s">
        <v>74</v>
      </c>
      <c r="AS200" s="1" t="s">
        <v>74</v>
      </c>
      <c r="AT200" s="1" t="s">
        <v>2222</v>
      </c>
      <c r="AU200" s="1">
        <v>2010.0</v>
      </c>
      <c r="AV200" s="1">
        <v>55.0</v>
      </c>
      <c r="AW200" s="1">
        <v>8.0</v>
      </c>
      <c r="AX200" s="1" t="s">
        <v>74</v>
      </c>
      <c r="AY200" s="1" t="s">
        <v>74</v>
      </c>
      <c r="AZ200" s="1" t="s">
        <v>74</v>
      </c>
      <c r="BA200" s="1" t="s">
        <v>74</v>
      </c>
      <c r="BB200" s="1">
        <v>2782.0</v>
      </c>
      <c r="BC200" s="1">
        <v>2792.0</v>
      </c>
      <c r="BD200" s="1" t="s">
        <v>74</v>
      </c>
      <c r="BE200" s="1" t="s">
        <v>2223</v>
      </c>
      <c r="BF200" s="2" t="str">
        <f>HYPERLINK("http://dx.doi.org/10.1016/j.electacta.2009.12.064","http://dx.doi.org/10.1016/j.electacta.2009.12.064")</f>
        <v>http://dx.doi.org/10.1016/j.electacta.2009.12.064</v>
      </c>
      <c r="BG200" s="1" t="s">
        <v>74</v>
      </c>
      <c r="BH200" s="1" t="s">
        <v>74</v>
      </c>
      <c r="BI200" s="1" t="s">
        <v>74</v>
      </c>
      <c r="BJ200" s="1" t="s">
        <v>74</v>
      </c>
      <c r="BK200" s="1" t="s">
        <v>74</v>
      </c>
      <c r="BL200" s="1" t="s">
        <v>74</v>
      </c>
      <c r="BM200" s="1" t="s">
        <v>74</v>
      </c>
      <c r="BN200" s="1" t="s">
        <v>74</v>
      </c>
      <c r="BO200" s="1" t="s">
        <v>74</v>
      </c>
      <c r="BP200" s="1" t="s">
        <v>74</v>
      </c>
      <c r="BQ200" s="1" t="s">
        <v>74</v>
      </c>
      <c r="BR200" s="1" t="s">
        <v>74</v>
      </c>
      <c r="BS200" s="1" t="s">
        <v>2224</v>
      </c>
      <c r="BT200" s="1" t="str">
        <f>HYPERLINK("https%3A%2F%2Fwww.webofscience.com%2Fwos%2Fwoscc%2Ffull-record%2FWOS:000275985700026","View Full Record in Web of Science")</f>
        <v>View Full Record in Web of Science</v>
      </c>
    </row>
    <row r="201" ht="12.75" customHeight="1">
      <c r="A201" s="1" t="s">
        <v>72</v>
      </c>
      <c r="B201" s="1" t="s">
        <v>2225</v>
      </c>
      <c r="C201" s="1" t="s">
        <v>74</v>
      </c>
      <c r="D201" s="1" t="s">
        <v>74</v>
      </c>
      <c r="E201" s="1" t="s">
        <v>74</v>
      </c>
      <c r="F201" s="1" t="s">
        <v>2226</v>
      </c>
      <c r="G201" s="1" t="s">
        <v>74</v>
      </c>
      <c r="H201" s="1" t="s">
        <v>74</v>
      </c>
      <c r="I201" s="1" t="s">
        <v>2227</v>
      </c>
      <c r="J201" s="1" t="s">
        <v>2228</v>
      </c>
      <c r="K201" s="1" t="s">
        <v>74</v>
      </c>
      <c r="L201" s="1" t="s">
        <v>74</v>
      </c>
      <c r="M201" s="1" t="s">
        <v>74</v>
      </c>
      <c r="N201" s="1" t="s">
        <v>74</v>
      </c>
      <c r="O201" s="1" t="s">
        <v>74</v>
      </c>
      <c r="P201" s="1" t="s">
        <v>74</v>
      </c>
      <c r="Q201" s="1" t="s">
        <v>74</v>
      </c>
      <c r="R201" s="1" t="s">
        <v>74</v>
      </c>
      <c r="S201" s="1" t="s">
        <v>74</v>
      </c>
      <c r="T201" s="1" t="s">
        <v>74</v>
      </c>
      <c r="U201" s="1" t="s">
        <v>74</v>
      </c>
      <c r="V201" s="1" t="s">
        <v>2229</v>
      </c>
      <c r="W201" s="1" t="s">
        <v>74</v>
      </c>
      <c r="X201" s="1" t="s">
        <v>74</v>
      </c>
      <c r="Y201" s="1" t="s">
        <v>74</v>
      </c>
      <c r="Z201" s="1" t="s">
        <v>74</v>
      </c>
      <c r="AA201" s="1" t="s">
        <v>2230</v>
      </c>
      <c r="AB201" s="1" t="s">
        <v>2231</v>
      </c>
      <c r="AC201" s="1" t="s">
        <v>74</v>
      </c>
      <c r="AD201" s="1" t="s">
        <v>74</v>
      </c>
      <c r="AE201" s="1" t="s">
        <v>74</v>
      </c>
      <c r="AF201" s="1" t="s">
        <v>74</v>
      </c>
      <c r="AG201" s="1" t="s">
        <v>74</v>
      </c>
      <c r="AH201" s="1" t="s">
        <v>74</v>
      </c>
      <c r="AI201" s="1" t="s">
        <v>74</v>
      </c>
      <c r="AJ201" s="1" t="s">
        <v>74</v>
      </c>
      <c r="AK201" s="1" t="s">
        <v>74</v>
      </c>
      <c r="AL201" s="1" t="s">
        <v>74</v>
      </c>
      <c r="AM201" s="1" t="s">
        <v>74</v>
      </c>
      <c r="AN201" s="1" t="s">
        <v>74</v>
      </c>
      <c r="AO201" s="1" t="s">
        <v>2232</v>
      </c>
      <c r="AP201" s="1" t="s">
        <v>74</v>
      </c>
      <c r="AQ201" s="1" t="s">
        <v>74</v>
      </c>
      <c r="AR201" s="1" t="s">
        <v>74</v>
      </c>
      <c r="AS201" s="1" t="s">
        <v>74</v>
      </c>
      <c r="AT201" s="1" t="s">
        <v>2233</v>
      </c>
      <c r="AU201" s="1">
        <v>2008.0</v>
      </c>
      <c r="AV201" s="1">
        <v>28.0</v>
      </c>
      <c r="AW201" s="1">
        <v>51.0</v>
      </c>
      <c r="AX201" s="1" t="s">
        <v>74</v>
      </c>
      <c r="AY201" s="1" t="s">
        <v>74</v>
      </c>
      <c r="AZ201" s="1" t="s">
        <v>74</v>
      </c>
      <c r="BA201" s="1" t="s">
        <v>74</v>
      </c>
      <c r="BB201" s="1">
        <v>13907.0</v>
      </c>
      <c r="BC201" s="1">
        <v>13917.0</v>
      </c>
      <c r="BD201" s="1" t="s">
        <v>74</v>
      </c>
      <c r="BE201" s="1" t="s">
        <v>2234</v>
      </c>
      <c r="BF201" s="2" t="str">
        <f>HYPERLINK("http://dx.doi.org/10.1523/JNEUROSCI.4441-08.2008","http://dx.doi.org/10.1523/JNEUROSCI.4441-08.2008")</f>
        <v>http://dx.doi.org/10.1523/JNEUROSCI.4441-08.2008</v>
      </c>
      <c r="BG201" s="1" t="s">
        <v>74</v>
      </c>
      <c r="BH201" s="1" t="s">
        <v>74</v>
      </c>
      <c r="BI201" s="1" t="s">
        <v>74</v>
      </c>
      <c r="BJ201" s="1" t="s">
        <v>74</v>
      </c>
      <c r="BK201" s="1" t="s">
        <v>74</v>
      </c>
      <c r="BL201" s="1" t="s">
        <v>74</v>
      </c>
      <c r="BM201" s="1" t="s">
        <v>74</v>
      </c>
      <c r="BN201" s="1">
        <v>1.9091979E7</v>
      </c>
      <c r="BO201" s="1" t="s">
        <v>74</v>
      </c>
      <c r="BP201" s="1" t="s">
        <v>74</v>
      </c>
      <c r="BQ201" s="1" t="s">
        <v>74</v>
      </c>
      <c r="BR201" s="1" t="s">
        <v>74</v>
      </c>
      <c r="BS201" s="1" t="s">
        <v>2235</v>
      </c>
      <c r="BT201" s="1" t="str">
        <f>HYPERLINK("https%3A%2F%2Fwww.webofscience.com%2Fwos%2Fwoscc%2Ffull-record%2FWOS:000261780100019","View Full Record in Web of Science")</f>
        <v>View Full Record in Web of Science</v>
      </c>
    </row>
    <row r="202" ht="12.75" customHeight="1">
      <c r="A202" s="1" t="s">
        <v>72</v>
      </c>
      <c r="B202" s="1" t="s">
        <v>2236</v>
      </c>
      <c r="C202" s="1" t="s">
        <v>74</v>
      </c>
      <c r="D202" s="1" t="s">
        <v>74</v>
      </c>
      <c r="E202" s="1" t="s">
        <v>74</v>
      </c>
      <c r="F202" s="1" t="s">
        <v>2237</v>
      </c>
      <c r="G202" s="1" t="s">
        <v>74</v>
      </c>
      <c r="H202" s="1" t="s">
        <v>74</v>
      </c>
      <c r="I202" s="1" t="s">
        <v>2238</v>
      </c>
      <c r="J202" s="1" t="s">
        <v>858</v>
      </c>
      <c r="K202" s="1" t="s">
        <v>74</v>
      </c>
      <c r="L202" s="1" t="s">
        <v>74</v>
      </c>
      <c r="M202" s="1" t="s">
        <v>74</v>
      </c>
      <c r="N202" s="1" t="s">
        <v>74</v>
      </c>
      <c r="O202" s="1" t="s">
        <v>74</v>
      </c>
      <c r="P202" s="1" t="s">
        <v>74</v>
      </c>
      <c r="Q202" s="1" t="s">
        <v>74</v>
      </c>
      <c r="R202" s="1" t="s">
        <v>74</v>
      </c>
      <c r="S202" s="1" t="s">
        <v>74</v>
      </c>
      <c r="T202" s="1" t="s">
        <v>74</v>
      </c>
      <c r="U202" s="1" t="s">
        <v>74</v>
      </c>
      <c r="V202" s="1" t="s">
        <v>2239</v>
      </c>
      <c r="W202" s="1" t="s">
        <v>74</v>
      </c>
      <c r="X202" s="1" t="s">
        <v>74</v>
      </c>
      <c r="Y202" s="1" t="s">
        <v>74</v>
      </c>
      <c r="Z202" s="1" t="s">
        <v>74</v>
      </c>
      <c r="AA202" s="1" t="s">
        <v>2240</v>
      </c>
      <c r="AB202" s="1" t="s">
        <v>74</v>
      </c>
      <c r="AC202" s="1" t="s">
        <v>74</v>
      </c>
      <c r="AD202" s="1" t="s">
        <v>74</v>
      </c>
      <c r="AE202" s="1" t="s">
        <v>74</v>
      </c>
      <c r="AF202" s="1" t="s">
        <v>74</v>
      </c>
      <c r="AG202" s="1" t="s">
        <v>74</v>
      </c>
      <c r="AH202" s="1" t="s">
        <v>74</v>
      </c>
      <c r="AI202" s="1" t="s">
        <v>74</v>
      </c>
      <c r="AJ202" s="1" t="s">
        <v>74</v>
      </c>
      <c r="AK202" s="1" t="s">
        <v>74</v>
      </c>
      <c r="AL202" s="1" t="s">
        <v>74</v>
      </c>
      <c r="AM202" s="1" t="s">
        <v>74</v>
      </c>
      <c r="AN202" s="1" t="s">
        <v>74</v>
      </c>
      <c r="AO202" s="1" t="s">
        <v>862</v>
      </c>
      <c r="AP202" s="1" t="s">
        <v>863</v>
      </c>
      <c r="AQ202" s="1" t="s">
        <v>74</v>
      </c>
      <c r="AR202" s="1" t="s">
        <v>74</v>
      </c>
      <c r="AS202" s="1" t="s">
        <v>74</v>
      </c>
      <c r="AT202" s="1" t="s">
        <v>235</v>
      </c>
      <c r="AU202" s="1">
        <v>2008.0</v>
      </c>
      <c r="AV202" s="1">
        <v>77.0</v>
      </c>
      <c r="AW202" s="1">
        <v>4.0</v>
      </c>
      <c r="AX202" s="1">
        <v>2.0</v>
      </c>
      <c r="AY202" s="1" t="s">
        <v>74</v>
      </c>
      <c r="AZ202" s="1" t="s">
        <v>74</v>
      </c>
      <c r="BA202" s="1" t="s">
        <v>74</v>
      </c>
      <c r="BB202" s="1" t="s">
        <v>74</v>
      </c>
      <c r="BC202" s="1" t="s">
        <v>74</v>
      </c>
      <c r="BD202" s="1">
        <v>47601.0</v>
      </c>
      <c r="BE202" s="1" t="s">
        <v>2241</v>
      </c>
      <c r="BF202" s="2" t="str">
        <f>HYPERLINK("http://dx.doi.org/10.1103/PhysRevE.77.047601","http://dx.doi.org/10.1103/PhysRevE.77.047601")</f>
        <v>http://dx.doi.org/10.1103/PhysRevE.77.047601</v>
      </c>
      <c r="BG202" s="1" t="s">
        <v>74</v>
      </c>
      <c r="BH202" s="1" t="s">
        <v>74</v>
      </c>
      <c r="BI202" s="1" t="s">
        <v>74</v>
      </c>
      <c r="BJ202" s="1" t="s">
        <v>74</v>
      </c>
      <c r="BK202" s="1" t="s">
        <v>74</v>
      </c>
      <c r="BL202" s="1" t="s">
        <v>74</v>
      </c>
      <c r="BM202" s="1" t="s">
        <v>74</v>
      </c>
      <c r="BN202" s="1">
        <v>1.8517756E7</v>
      </c>
      <c r="BO202" s="1" t="s">
        <v>74</v>
      </c>
      <c r="BP202" s="1" t="s">
        <v>74</v>
      </c>
      <c r="BQ202" s="1" t="s">
        <v>74</v>
      </c>
      <c r="BR202" s="1" t="s">
        <v>74</v>
      </c>
      <c r="BS202" s="1" t="s">
        <v>2242</v>
      </c>
      <c r="BT202" s="1" t="str">
        <f>HYPERLINK("https%3A%2F%2Fwww.webofscience.com%2Fwos%2Fwoscc%2Ffull-record%2FWOS:000255457000080","View Full Record in Web of Science")</f>
        <v>View Full Record in Web of Science</v>
      </c>
    </row>
    <row r="203" ht="12.75" customHeight="1">
      <c r="A203" s="1" t="s">
        <v>72</v>
      </c>
      <c r="B203" s="1" t="s">
        <v>2243</v>
      </c>
      <c r="C203" s="1" t="s">
        <v>74</v>
      </c>
      <c r="D203" s="1" t="s">
        <v>74</v>
      </c>
      <c r="E203" s="1" t="s">
        <v>74</v>
      </c>
      <c r="F203" s="1" t="s">
        <v>2244</v>
      </c>
      <c r="G203" s="1" t="s">
        <v>74</v>
      </c>
      <c r="H203" s="1" t="s">
        <v>74</v>
      </c>
      <c r="I203" s="1" t="s">
        <v>2245</v>
      </c>
      <c r="J203" s="1" t="s">
        <v>2246</v>
      </c>
      <c r="K203" s="1" t="s">
        <v>74</v>
      </c>
      <c r="L203" s="1" t="s">
        <v>74</v>
      </c>
      <c r="M203" s="1" t="s">
        <v>74</v>
      </c>
      <c r="N203" s="1" t="s">
        <v>74</v>
      </c>
      <c r="O203" s="1" t="s">
        <v>74</v>
      </c>
      <c r="P203" s="1" t="s">
        <v>74</v>
      </c>
      <c r="Q203" s="1" t="s">
        <v>74</v>
      </c>
      <c r="R203" s="1" t="s">
        <v>74</v>
      </c>
      <c r="S203" s="1" t="s">
        <v>74</v>
      </c>
      <c r="T203" s="1" t="s">
        <v>74</v>
      </c>
      <c r="U203" s="1" t="s">
        <v>74</v>
      </c>
      <c r="V203" s="1" t="s">
        <v>2247</v>
      </c>
      <c r="W203" s="1" t="s">
        <v>74</v>
      </c>
      <c r="X203" s="1" t="s">
        <v>74</v>
      </c>
      <c r="Y203" s="1" t="s">
        <v>74</v>
      </c>
      <c r="Z203" s="1" t="s">
        <v>74</v>
      </c>
      <c r="AA203" s="1" t="s">
        <v>2248</v>
      </c>
      <c r="AB203" s="1" t="s">
        <v>2249</v>
      </c>
      <c r="AC203" s="1" t="s">
        <v>74</v>
      </c>
      <c r="AD203" s="1" t="s">
        <v>74</v>
      </c>
      <c r="AE203" s="1" t="s">
        <v>74</v>
      </c>
      <c r="AF203" s="1" t="s">
        <v>74</v>
      </c>
      <c r="AG203" s="1" t="s">
        <v>74</v>
      </c>
      <c r="AH203" s="1" t="s">
        <v>74</v>
      </c>
      <c r="AI203" s="1" t="s">
        <v>74</v>
      </c>
      <c r="AJ203" s="1" t="s">
        <v>74</v>
      </c>
      <c r="AK203" s="1" t="s">
        <v>74</v>
      </c>
      <c r="AL203" s="1" t="s">
        <v>74</v>
      </c>
      <c r="AM203" s="1" t="s">
        <v>74</v>
      </c>
      <c r="AN203" s="1" t="s">
        <v>74</v>
      </c>
      <c r="AO203" s="1" t="s">
        <v>2250</v>
      </c>
      <c r="AP203" s="1" t="s">
        <v>2251</v>
      </c>
      <c r="AQ203" s="1" t="s">
        <v>74</v>
      </c>
      <c r="AR203" s="1" t="s">
        <v>74</v>
      </c>
      <c r="AS203" s="1" t="s">
        <v>74</v>
      </c>
      <c r="AT203" s="1" t="s">
        <v>318</v>
      </c>
      <c r="AU203" s="1">
        <v>2008.0</v>
      </c>
      <c r="AV203" s="1">
        <v>21.0</v>
      </c>
      <c r="AW203" s="1">
        <v>2.0</v>
      </c>
      <c r="AX203" s="1" t="s">
        <v>74</v>
      </c>
      <c r="AY203" s="1" t="s">
        <v>74</v>
      </c>
      <c r="AZ203" s="1" t="s">
        <v>74</v>
      </c>
      <c r="BA203" s="1" t="s">
        <v>74</v>
      </c>
      <c r="BB203" s="1">
        <v>102.0</v>
      </c>
      <c r="BC203" s="1">
        <v>107.0</v>
      </c>
      <c r="BD203" s="1" t="s">
        <v>74</v>
      </c>
      <c r="BE203" s="1" t="s">
        <v>2252</v>
      </c>
      <c r="BF203" s="2" t="str">
        <f>HYPERLINK("http://dx.doi.org/10.1002/poc.1286","http://dx.doi.org/10.1002/poc.1286")</f>
        <v>http://dx.doi.org/10.1002/poc.1286</v>
      </c>
      <c r="BG203" s="1" t="s">
        <v>74</v>
      </c>
      <c r="BH203" s="1" t="s">
        <v>74</v>
      </c>
      <c r="BI203" s="1" t="s">
        <v>74</v>
      </c>
      <c r="BJ203" s="1" t="s">
        <v>74</v>
      </c>
      <c r="BK203" s="1" t="s">
        <v>74</v>
      </c>
      <c r="BL203" s="1" t="s">
        <v>74</v>
      </c>
      <c r="BM203" s="1" t="s">
        <v>74</v>
      </c>
      <c r="BN203" s="1" t="s">
        <v>74</v>
      </c>
      <c r="BO203" s="1" t="s">
        <v>74</v>
      </c>
      <c r="BP203" s="1" t="s">
        <v>74</v>
      </c>
      <c r="BQ203" s="1" t="s">
        <v>74</v>
      </c>
      <c r="BR203" s="1" t="s">
        <v>74</v>
      </c>
      <c r="BS203" s="1" t="s">
        <v>2253</v>
      </c>
      <c r="BT203" s="1" t="str">
        <f>HYPERLINK("https%3A%2F%2Fwww.webofscience.com%2Fwos%2Fwoscc%2Ffull-record%2FWOS:000253260800003","View Full Record in Web of Science")</f>
        <v>View Full Record in Web of Science</v>
      </c>
    </row>
    <row r="204" ht="12.75" customHeight="1">
      <c r="A204" s="1" t="s">
        <v>72</v>
      </c>
      <c r="B204" s="1" t="s">
        <v>2254</v>
      </c>
      <c r="C204" s="1" t="s">
        <v>74</v>
      </c>
      <c r="D204" s="1" t="s">
        <v>74</v>
      </c>
      <c r="E204" s="1" t="s">
        <v>74</v>
      </c>
      <c r="F204" s="1" t="s">
        <v>2255</v>
      </c>
      <c r="G204" s="1" t="s">
        <v>74</v>
      </c>
      <c r="H204" s="1" t="s">
        <v>74</v>
      </c>
      <c r="I204" s="1" t="s">
        <v>2256</v>
      </c>
      <c r="J204" s="1" t="s">
        <v>2186</v>
      </c>
      <c r="K204" s="1" t="s">
        <v>74</v>
      </c>
      <c r="L204" s="1" t="s">
        <v>74</v>
      </c>
      <c r="M204" s="1" t="s">
        <v>74</v>
      </c>
      <c r="N204" s="1" t="s">
        <v>74</v>
      </c>
      <c r="O204" s="1" t="s">
        <v>74</v>
      </c>
      <c r="P204" s="1" t="s">
        <v>74</v>
      </c>
      <c r="Q204" s="1" t="s">
        <v>74</v>
      </c>
      <c r="R204" s="1" t="s">
        <v>74</v>
      </c>
      <c r="S204" s="1" t="s">
        <v>74</v>
      </c>
      <c r="T204" s="1" t="s">
        <v>74</v>
      </c>
      <c r="U204" s="1" t="s">
        <v>74</v>
      </c>
      <c r="V204" s="1" t="s">
        <v>2257</v>
      </c>
      <c r="W204" s="1" t="s">
        <v>74</v>
      </c>
      <c r="X204" s="1" t="s">
        <v>74</v>
      </c>
      <c r="Y204" s="1" t="s">
        <v>74</v>
      </c>
      <c r="Z204" s="1" t="s">
        <v>74</v>
      </c>
      <c r="AA204" s="1" t="s">
        <v>2258</v>
      </c>
      <c r="AB204" s="1" t="s">
        <v>2259</v>
      </c>
      <c r="AC204" s="1" t="s">
        <v>74</v>
      </c>
      <c r="AD204" s="1" t="s">
        <v>74</v>
      </c>
      <c r="AE204" s="1" t="s">
        <v>74</v>
      </c>
      <c r="AF204" s="1" t="s">
        <v>74</v>
      </c>
      <c r="AG204" s="1" t="s">
        <v>74</v>
      </c>
      <c r="AH204" s="1" t="s">
        <v>74</v>
      </c>
      <c r="AI204" s="1" t="s">
        <v>74</v>
      </c>
      <c r="AJ204" s="1" t="s">
        <v>74</v>
      </c>
      <c r="AK204" s="1" t="s">
        <v>74</v>
      </c>
      <c r="AL204" s="1" t="s">
        <v>74</v>
      </c>
      <c r="AM204" s="1" t="s">
        <v>74</v>
      </c>
      <c r="AN204" s="1" t="s">
        <v>74</v>
      </c>
      <c r="AO204" s="1" t="s">
        <v>2260</v>
      </c>
      <c r="AP204" s="1" t="s">
        <v>2261</v>
      </c>
      <c r="AQ204" s="1" t="s">
        <v>74</v>
      </c>
      <c r="AR204" s="1" t="s">
        <v>74</v>
      </c>
      <c r="AS204" s="1" t="s">
        <v>74</v>
      </c>
      <c r="AT204" s="1" t="s">
        <v>164</v>
      </c>
      <c r="AU204" s="1">
        <v>2007.0</v>
      </c>
      <c r="AV204" s="1">
        <v>76.0</v>
      </c>
      <c r="AW204" s="1">
        <v>2.0</v>
      </c>
      <c r="AX204" s="1" t="s">
        <v>74</v>
      </c>
      <c r="AY204" s="1" t="s">
        <v>74</v>
      </c>
      <c r="AZ204" s="1" t="s">
        <v>74</v>
      </c>
      <c r="BA204" s="1" t="s">
        <v>74</v>
      </c>
      <c r="BB204" s="1" t="s">
        <v>74</v>
      </c>
      <c r="BC204" s="1" t="s">
        <v>74</v>
      </c>
      <c r="BD204" s="1">
        <v>25019.0</v>
      </c>
      <c r="BE204" s="1" t="s">
        <v>2262</v>
      </c>
      <c r="BF204" s="2" t="str">
        <f>HYPERLINK("http://dx.doi.org/10.1103/PhysRevD.76.025019","http://dx.doi.org/10.1103/PhysRevD.76.025019")</f>
        <v>http://dx.doi.org/10.1103/PhysRevD.76.025019</v>
      </c>
      <c r="BG204" s="1" t="s">
        <v>74</v>
      </c>
      <c r="BH204" s="1" t="s">
        <v>74</v>
      </c>
      <c r="BI204" s="1" t="s">
        <v>74</v>
      </c>
      <c r="BJ204" s="1" t="s">
        <v>74</v>
      </c>
      <c r="BK204" s="1" t="s">
        <v>74</v>
      </c>
      <c r="BL204" s="1" t="s">
        <v>74</v>
      </c>
      <c r="BM204" s="1" t="s">
        <v>74</v>
      </c>
      <c r="BN204" s="1" t="s">
        <v>74</v>
      </c>
      <c r="BO204" s="1" t="s">
        <v>74</v>
      </c>
      <c r="BP204" s="1" t="s">
        <v>74</v>
      </c>
      <c r="BQ204" s="1" t="s">
        <v>74</v>
      </c>
      <c r="BR204" s="1" t="s">
        <v>74</v>
      </c>
      <c r="BS204" s="1" t="s">
        <v>2263</v>
      </c>
      <c r="BT204" s="1" t="str">
        <f>HYPERLINK("https%3A%2F%2Fwww.webofscience.com%2Fwos%2Fwoscc%2Ffull-record%2FWOS:000248545200066","View Full Record in Web of Science")</f>
        <v>View Full Record in Web of Science</v>
      </c>
    </row>
    <row r="205" ht="12.75" customHeight="1">
      <c r="A205" s="1" t="s">
        <v>72</v>
      </c>
      <c r="B205" s="1" t="s">
        <v>2264</v>
      </c>
      <c r="C205" s="1" t="s">
        <v>74</v>
      </c>
      <c r="D205" s="1" t="s">
        <v>74</v>
      </c>
      <c r="E205" s="1" t="s">
        <v>74</v>
      </c>
      <c r="F205" s="1" t="s">
        <v>2265</v>
      </c>
      <c r="G205" s="1" t="s">
        <v>74</v>
      </c>
      <c r="H205" s="1" t="s">
        <v>74</v>
      </c>
      <c r="I205" s="1" t="s">
        <v>2266</v>
      </c>
      <c r="J205" s="1" t="s">
        <v>2267</v>
      </c>
      <c r="K205" s="1" t="s">
        <v>74</v>
      </c>
      <c r="L205" s="1" t="s">
        <v>74</v>
      </c>
      <c r="M205" s="1" t="s">
        <v>74</v>
      </c>
      <c r="N205" s="1" t="s">
        <v>74</v>
      </c>
      <c r="O205" s="1" t="s">
        <v>74</v>
      </c>
      <c r="P205" s="1" t="s">
        <v>74</v>
      </c>
      <c r="Q205" s="1" t="s">
        <v>74</v>
      </c>
      <c r="R205" s="1" t="s">
        <v>74</v>
      </c>
      <c r="S205" s="1" t="s">
        <v>74</v>
      </c>
      <c r="T205" s="1" t="s">
        <v>74</v>
      </c>
      <c r="U205" s="1" t="s">
        <v>74</v>
      </c>
      <c r="V205" s="1" t="s">
        <v>2268</v>
      </c>
      <c r="W205" s="1" t="s">
        <v>74</v>
      </c>
      <c r="X205" s="1" t="s">
        <v>74</v>
      </c>
      <c r="Y205" s="1" t="s">
        <v>74</v>
      </c>
      <c r="Z205" s="1" t="s">
        <v>74</v>
      </c>
      <c r="AA205" s="1" t="s">
        <v>2269</v>
      </c>
      <c r="AB205" s="1" t="s">
        <v>2270</v>
      </c>
      <c r="AC205" s="1" t="s">
        <v>74</v>
      </c>
      <c r="AD205" s="1" t="s">
        <v>74</v>
      </c>
      <c r="AE205" s="1" t="s">
        <v>74</v>
      </c>
      <c r="AF205" s="1" t="s">
        <v>74</v>
      </c>
      <c r="AG205" s="1" t="s">
        <v>74</v>
      </c>
      <c r="AH205" s="1" t="s">
        <v>74</v>
      </c>
      <c r="AI205" s="1" t="s">
        <v>74</v>
      </c>
      <c r="AJ205" s="1" t="s">
        <v>74</v>
      </c>
      <c r="AK205" s="1" t="s">
        <v>74</v>
      </c>
      <c r="AL205" s="1" t="s">
        <v>74</v>
      </c>
      <c r="AM205" s="1" t="s">
        <v>74</v>
      </c>
      <c r="AN205" s="1" t="s">
        <v>74</v>
      </c>
      <c r="AO205" s="1" t="s">
        <v>2271</v>
      </c>
      <c r="AP205" s="1" t="s">
        <v>74</v>
      </c>
      <c r="AQ205" s="1" t="s">
        <v>74</v>
      </c>
      <c r="AR205" s="1" t="s">
        <v>74</v>
      </c>
      <c r="AS205" s="1" t="s">
        <v>74</v>
      </c>
      <c r="AT205" s="1" t="s">
        <v>348</v>
      </c>
      <c r="AU205" s="1">
        <v>2006.0</v>
      </c>
      <c r="AV205" s="1">
        <v>40.0</v>
      </c>
      <c r="AW205" s="1">
        <v>28.0</v>
      </c>
      <c r="AX205" s="1" t="s">
        <v>74</v>
      </c>
      <c r="AY205" s="1" t="s">
        <v>74</v>
      </c>
      <c r="AZ205" s="1" t="s">
        <v>74</v>
      </c>
      <c r="BA205" s="1" t="s">
        <v>74</v>
      </c>
      <c r="BB205" s="1">
        <v>5464.0</v>
      </c>
      <c r="BC205" s="1">
        <v>5475.0</v>
      </c>
      <c r="BD205" s="1" t="s">
        <v>74</v>
      </c>
      <c r="BE205" s="1" t="s">
        <v>2272</v>
      </c>
      <c r="BF205" s="2" t="str">
        <f>HYPERLINK("http://dx.doi.org/10.1016/j.atmosenv.2006.03.062","http://dx.doi.org/10.1016/j.atmosenv.2006.03.062")</f>
        <v>http://dx.doi.org/10.1016/j.atmosenv.2006.03.062</v>
      </c>
      <c r="BG205" s="1" t="s">
        <v>74</v>
      </c>
      <c r="BH205" s="1" t="s">
        <v>74</v>
      </c>
      <c r="BI205" s="1" t="s">
        <v>74</v>
      </c>
      <c r="BJ205" s="1" t="s">
        <v>74</v>
      </c>
      <c r="BK205" s="1" t="s">
        <v>74</v>
      </c>
      <c r="BL205" s="1" t="s">
        <v>74</v>
      </c>
      <c r="BM205" s="1" t="s">
        <v>74</v>
      </c>
      <c r="BN205" s="1" t="s">
        <v>74</v>
      </c>
      <c r="BO205" s="1" t="s">
        <v>74</v>
      </c>
      <c r="BP205" s="1" t="s">
        <v>74</v>
      </c>
      <c r="BQ205" s="1" t="s">
        <v>74</v>
      </c>
      <c r="BR205" s="1" t="s">
        <v>74</v>
      </c>
      <c r="BS205" s="1" t="s">
        <v>2273</v>
      </c>
      <c r="BT205" s="1" t="str">
        <f>HYPERLINK("https%3A%2F%2Fwww.webofscience.com%2Fwos%2Fwoscc%2Ffull-record%2FWOS:000240790900011","View Full Record in Web of Science")</f>
        <v>View Full Record in Web of Science</v>
      </c>
    </row>
    <row r="206" ht="12.75" customHeight="1">
      <c r="A206" s="1" t="s">
        <v>72</v>
      </c>
      <c r="B206" s="1" t="s">
        <v>2274</v>
      </c>
      <c r="C206" s="1" t="s">
        <v>74</v>
      </c>
      <c r="D206" s="1" t="s">
        <v>74</v>
      </c>
      <c r="E206" s="1" t="s">
        <v>74</v>
      </c>
      <c r="F206" s="1" t="s">
        <v>2275</v>
      </c>
      <c r="G206" s="1" t="s">
        <v>74</v>
      </c>
      <c r="H206" s="1" t="s">
        <v>74</v>
      </c>
      <c r="I206" s="1" t="s">
        <v>2276</v>
      </c>
      <c r="J206" s="1" t="s">
        <v>1326</v>
      </c>
      <c r="K206" s="1" t="s">
        <v>74</v>
      </c>
      <c r="L206" s="1" t="s">
        <v>74</v>
      </c>
      <c r="M206" s="1" t="s">
        <v>74</v>
      </c>
      <c r="N206" s="1" t="s">
        <v>74</v>
      </c>
      <c r="O206" s="1" t="s">
        <v>74</v>
      </c>
      <c r="P206" s="1" t="s">
        <v>74</v>
      </c>
      <c r="Q206" s="1" t="s">
        <v>74</v>
      </c>
      <c r="R206" s="1" t="s">
        <v>74</v>
      </c>
      <c r="S206" s="1" t="s">
        <v>74</v>
      </c>
      <c r="T206" s="1" t="s">
        <v>74</v>
      </c>
      <c r="U206" s="1" t="s">
        <v>74</v>
      </c>
      <c r="V206" s="1" t="s">
        <v>2277</v>
      </c>
      <c r="W206" s="1" t="s">
        <v>74</v>
      </c>
      <c r="X206" s="1" t="s">
        <v>74</v>
      </c>
      <c r="Y206" s="1" t="s">
        <v>74</v>
      </c>
      <c r="Z206" s="1" t="s">
        <v>74</v>
      </c>
      <c r="AA206" s="1" t="s">
        <v>2278</v>
      </c>
      <c r="AB206" s="1" t="s">
        <v>2279</v>
      </c>
      <c r="AC206" s="1" t="s">
        <v>74</v>
      </c>
      <c r="AD206" s="1" t="s">
        <v>74</v>
      </c>
      <c r="AE206" s="1" t="s">
        <v>74</v>
      </c>
      <c r="AF206" s="1" t="s">
        <v>74</v>
      </c>
      <c r="AG206" s="1" t="s">
        <v>74</v>
      </c>
      <c r="AH206" s="1" t="s">
        <v>74</v>
      </c>
      <c r="AI206" s="1" t="s">
        <v>74</v>
      </c>
      <c r="AJ206" s="1" t="s">
        <v>74</v>
      </c>
      <c r="AK206" s="1" t="s">
        <v>74</v>
      </c>
      <c r="AL206" s="1" t="s">
        <v>74</v>
      </c>
      <c r="AM206" s="1" t="s">
        <v>74</v>
      </c>
      <c r="AN206" s="1" t="s">
        <v>74</v>
      </c>
      <c r="AO206" s="1" t="s">
        <v>2280</v>
      </c>
      <c r="AP206" s="1" t="s">
        <v>74</v>
      </c>
      <c r="AQ206" s="1" t="s">
        <v>74</v>
      </c>
      <c r="AR206" s="1" t="s">
        <v>74</v>
      </c>
      <c r="AS206" s="1" t="s">
        <v>74</v>
      </c>
      <c r="AT206" s="1" t="s">
        <v>2281</v>
      </c>
      <c r="AU206" s="1">
        <v>2006.0</v>
      </c>
      <c r="AV206" s="1">
        <v>589.0</v>
      </c>
      <c r="AW206" s="1">
        <v>2.0</v>
      </c>
      <c r="AX206" s="1" t="s">
        <v>74</v>
      </c>
      <c r="AY206" s="1" t="s">
        <v>74</v>
      </c>
      <c r="AZ206" s="1" t="s">
        <v>74</v>
      </c>
      <c r="BA206" s="1" t="s">
        <v>74</v>
      </c>
      <c r="BB206" s="1">
        <v>212.0</v>
      </c>
      <c r="BC206" s="1">
        <v>218.0</v>
      </c>
      <c r="BD206" s="1" t="s">
        <v>74</v>
      </c>
      <c r="BE206" s="1" t="s">
        <v>2282</v>
      </c>
      <c r="BF206" s="2" t="str">
        <f>HYPERLINK("http://dx.doi.org/10.1016/j.jelechem.2006.02.009","http://dx.doi.org/10.1016/j.jelechem.2006.02.009")</f>
        <v>http://dx.doi.org/10.1016/j.jelechem.2006.02.009</v>
      </c>
      <c r="BG206" s="1" t="s">
        <v>74</v>
      </c>
      <c r="BH206" s="1" t="s">
        <v>74</v>
      </c>
      <c r="BI206" s="1" t="s">
        <v>74</v>
      </c>
      <c r="BJ206" s="1" t="s">
        <v>74</v>
      </c>
      <c r="BK206" s="1" t="s">
        <v>74</v>
      </c>
      <c r="BL206" s="1" t="s">
        <v>74</v>
      </c>
      <c r="BM206" s="1" t="s">
        <v>74</v>
      </c>
      <c r="BN206" s="1" t="s">
        <v>74</v>
      </c>
      <c r="BO206" s="1" t="s">
        <v>74</v>
      </c>
      <c r="BP206" s="1" t="s">
        <v>74</v>
      </c>
      <c r="BQ206" s="1" t="s">
        <v>74</v>
      </c>
      <c r="BR206" s="1" t="s">
        <v>74</v>
      </c>
      <c r="BS206" s="1" t="s">
        <v>2283</v>
      </c>
      <c r="BT206" s="1" t="str">
        <f>HYPERLINK("https%3A%2F%2Fwww.webofscience.com%2Fwos%2Fwoscc%2Ffull-record%2FWOS:000237683300005","View Full Record in Web of Science")</f>
        <v>View Full Record in Web of Science</v>
      </c>
    </row>
    <row r="207" ht="12.75" customHeight="1">
      <c r="A207" s="1" t="s">
        <v>72</v>
      </c>
      <c r="B207" s="1" t="s">
        <v>2284</v>
      </c>
      <c r="C207" s="1" t="s">
        <v>74</v>
      </c>
      <c r="D207" s="1" t="s">
        <v>74</v>
      </c>
      <c r="E207" s="1" t="s">
        <v>74</v>
      </c>
      <c r="F207" s="1" t="s">
        <v>2284</v>
      </c>
      <c r="G207" s="1" t="s">
        <v>74</v>
      </c>
      <c r="H207" s="1" t="s">
        <v>74</v>
      </c>
      <c r="I207" s="1" t="s">
        <v>2285</v>
      </c>
      <c r="J207" s="1" t="s">
        <v>1955</v>
      </c>
      <c r="K207" s="1" t="s">
        <v>74</v>
      </c>
      <c r="L207" s="1" t="s">
        <v>74</v>
      </c>
      <c r="M207" s="1" t="s">
        <v>74</v>
      </c>
      <c r="N207" s="1" t="s">
        <v>74</v>
      </c>
      <c r="O207" s="1" t="s">
        <v>74</v>
      </c>
      <c r="P207" s="1" t="s">
        <v>74</v>
      </c>
      <c r="Q207" s="1" t="s">
        <v>74</v>
      </c>
      <c r="R207" s="1" t="s">
        <v>74</v>
      </c>
      <c r="S207" s="1" t="s">
        <v>74</v>
      </c>
      <c r="T207" s="1" t="s">
        <v>74</v>
      </c>
      <c r="U207" s="1" t="s">
        <v>74</v>
      </c>
      <c r="V207" s="1" t="s">
        <v>2286</v>
      </c>
      <c r="W207" s="1" t="s">
        <v>74</v>
      </c>
      <c r="X207" s="1" t="s">
        <v>74</v>
      </c>
      <c r="Y207" s="1" t="s">
        <v>74</v>
      </c>
      <c r="Z207" s="1" t="s">
        <v>74</v>
      </c>
      <c r="AA207" s="1" t="s">
        <v>2287</v>
      </c>
      <c r="AB207" s="1" t="s">
        <v>2288</v>
      </c>
      <c r="AC207" s="1" t="s">
        <v>74</v>
      </c>
      <c r="AD207" s="1" t="s">
        <v>74</v>
      </c>
      <c r="AE207" s="1" t="s">
        <v>74</v>
      </c>
      <c r="AF207" s="1" t="s">
        <v>74</v>
      </c>
      <c r="AG207" s="1" t="s">
        <v>74</v>
      </c>
      <c r="AH207" s="1" t="s">
        <v>74</v>
      </c>
      <c r="AI207" s="1" t="s">
        <v>74</v>
      </c>
      <c r="AJ207" s="1" t="s">
        <v>74</v>
      </c>
      <c r="AK207" s="1" t="s">
        <v>74</v>
      </c>
      <c r="AL207" s="1" t="s">
        <v>74</v>
      </c>
      <c r="AM207" s="1" t="s">
        <v>74</v>
      </c>
      <c r="AN207" s="1" t="s">
        <v>74</v>
      </c>
      <c r="AO207" s="1" t="s">
        <v>1959</v>
      </c>
      <c r="AP207" s="1" t="s">
        <v>1960</v>
      </c>
      <c r="AQ207" s="1" t="s">
        <v>74</v>
      </c>
      <c r="AR207" s="1" t="s">
        <v>74</v>
      </c>
      <c r="AS207" s="1" t="s">
        <v>74</v>
      </c>
      <c r="AT207" s="1" t="s">
        <v>537</v>
      </c>
      <c r="AU207" s="1">
        <v>2005.0</v>
      </c>
      <c r="AV207" s="1">
        <v>7.0</v>
      </c>
      <c r="AW207" s="1">
        <v>4.0</v>
      </c>
      <c r="AX207" s="1" t="s">
        <v>74</v>
      </c>
      <c r="AY207" s="1" t="s">
        <v>74</v>
      </c>
      <c r="AZ207" s="1" t="s">
        <v>74</v>
      </c>
      <c r="BA207" s="1" t="s">
        <v>74</v>
      </c>
      <c r="BB207" s="1">
        <v>191.0</v>
      </c>
      <c r="BC207" s="1">
        <v>197.0</v>
      </c>
      <c r="BD207" s="1" t="s">
        <v>74</v>
      </c>
      <c r="BE207" s="1" t="s">
        <v>2289</v>
      </c>
      <c r="BF207" s="2" t="str">
        <f>HYPERLINK("http://dx.doi.org/10.1007/s10035-005-0214-1","http://dx.doi.org/10.1007/s10035-005-0214-1")</f>
        <v>http://dx.doi.org/10.1007/s10035-005-0214-1</v>
      </c>
      <c r="BG207" s="1" t="s">
        <v>74</v>
      </c>
      <c r="BH207" s="1" t="s">
        <v>74</v>
      </c>
      <c r="BI207" s="1" t="s">
        <v>74</v>
      </c>
      <c r="BJ207" s="1" t="s">
        <v>74</v>
      </c>
      <c r="BK207" s="1" t="s">
        <v>74</v>
      </c>
      <c r="BL207" s="1" t="s">
        <v>74</v>
      </c>
      <c r="BM207" s="1" t="s">
        <v>74</v>
      </c>
      <c r="BN207" s="1" t="s">
        <v>74</v>
      </c>
      <c r="BO207" s="1" t="s">
        <v>74</v>
      </c>
      <c r="BP207" s="1" t="s">
        <v>74</v>
      </c>
      <c r="BQ207" s="1" t="s">
        <v>74</v>
      </c>
      <c r="BR207" s="1" t="s">
        <v>74</v>
      </c>
      <c r="BS207" s="1" t="s">
        <v>2290</v>
      </c>
      <c r="BT207" s="1" t="str">
        <f>HYPERLINK("https%3A%2F%2Fwww.webofscience.com%2Fwos%2Fwoscc%2Ffull-record%2FWOS:000233239700002","View Full Record in Web of Science")</f>
        <v>View Full Record in Web of Science</v>
      </c>
    </row>
    <row r="208" ht="12.75" customHeight="1">
      <c r="A208" s="1" t="s">
        <v>72</v>
      </c>
      <c r="B208" s="1" t="s">
        <v>2291</v>
      </c>
      <c r="C208" s="1" t="s">
        <v>74</v>
      </c>
      <c r="D208" s="1" t="s">
        <v>74</v>
      </c>
      <c r="E208" s="1" t="s">
        <v>74</v>
      </c>
      <c r="F208" s="1" t="s">
        <v>2291</v>
      </c>
      <c r="G208" s="1" t="s">
        <v>74</v>
      </c>
      <c r="H208" s="1" t="s">
        <v>74</v>
      </c>
      <c r="I208" s="1" t="s">
        <v>2292</v>
      </c>
      <c r="J208" s="1" t="s">
        <v>107</v>
      </c>
      <c r="K208" s="1" t="s">
        <v>74</v>
      </c>
      <c r="L208" s="1" t="s">
        <v>74</v>
      </c>
      <c r="M208" s="1" t="s">
        <v>74</v>
      </c>
      <c r="N208" s="1" t="s">
        <v>74</v>
      </c>
      <c r="O208" s="1" t="s">
        <v>74</v>
      </c>
      <c r="P208" s="1" t="s">
        <v>74</v>
      </c>
      <c r="Q208" s="1" t="s">
        <v>74</v>
      </c>
      <c r="R208" s="1" t="s">
        <v>74</v>
      </c>
      <c r="S208" s="1" t="s">
        <v>74</v>
      </c>
      <c r="T208" s="1" t="s">
        <v>74</v>
      </c>
      <c r="U208" s="1" t="s">
        <v>74</v>
      </c>
      <c r="V208" s="1" t="s">
        <v>2293</v>
      </c>
      <c r="W208" s="1" t="s">
        <v>74</v>
      </c>
      <c r="X208" s="1" t="s">
        <v>74</v>
      </c>
      <c r="Y208" s="1" t="s">
        <v>74</v>
      </c>
      <c r="Z208" s="1" t="s">
        <v>74</v>
      </c>
      <c r="AA208" s="1" t="s">
        <v>2294</v>
      </c>
      <c r="AB208" s="1" t="s">
        <v>74</v>
      </c>
      <c r="AC208" s="1" t="s">
        <v>74</v>
      </c>
      <c r="AD208" s="1" t="s">
        <v>74</v>
      </c>
      <c r="AE208" s="1" t="s">
        <v>74</v>
      </c>
      <c r="AF208" s="1" t="s">
        <v>74</v>
      </c>
      <c r="AG208" s="1" t="s">
        <v>74</v>
      </c>
      <c r="AH208" s="1" t="s">
        <v>74</v>
      </c>
      <c r="AI208" s="1" t="s">
        <v>74</v>
      </c>
      <c r="AJ208" s="1" t="s">
        <v>74</v>
      </c>
      <c r="AK208" s="1" t="s">
        <v>74</v>
      </c>
      <c r="AL208" s="1" t="s">
        <v>74</v>
      </c>
      <c r="AM208" s="1" t="s">
        <v>74</v>
      </c>
      <c r="AN208" s="1" t="s">
        <v>74</v>
      </c>
      <c r="AO208" s="1" t="s">
        <v>110</v>
      </c>
      <c r="AP208" s="1" t="s">
        <v>563</v>
      </c>
      <c r="AQ208" s="1" t="s">
        <v>74</v>
      </c>
      <c r="AR208" s="1" t="s">
        <v>74</v>
      </c>
      <c r="AS208" s="1" t="s">
        <v>74</v>
      </c>
      <c r="AT208" s="1" t="s">
        <v>1018</v>
      </c>
      <c r="AU208" s="1">
        <v>2005.0</v>
      </c>
      <c r="AV208" s="1">
        <v>91.0</v>
      </c>
      <c r="AW208" s="1">
        <v>4.0</v>
      </c>
      <c r="AX208" s="1" t="s">
        <v>74</v>
      </c>
      <c r="AY208" s="1" t="s">
        <v>74</v>
      </c>
      <c r="AZ208" s="1" t="s">
        <v>74</v>
      </c>
      <c r="BA208" s="1" t="s">
        <v>74</v>
      </c>
      <c r="BB208" s="1">
        <v>751.0</v>
      </c>
      <c r="BC208" s="1">
        <v>756.0</v>
      </c>
      <c r="BD208" s="1" t="s">
        <v>74</v>
      </c>
      <c r="BE208" s="1" t="s">
        <v>2295</v>
      </c>
      <c r="BF208" s="2" t="str">
        <f>HYPERLINK("http://dx.doi.org/10.1016/j.foodchem.2004.07.002","http://dx.doi.org/10.1016/j.foodchem.2004.07.002")</f>
        <v>http://dx.doi.org/10.1016/j.foodchem.2004.07.002</v>
      </c>
      <c r="BG208" s="1" t="s">
        <v>74</v>
      </c>
      <c r="BH208" s="1" t="s">
        <v>74</v>
      </c>
      <c r="BI208" s="1" t="s">
        <v>74</v>
      </c>
      <c r="BJ208" s="1" t="s">
        <v>74</v>
      </c>
      <c r="BK208" s="1" t="s">
        <v>74</v>
      </c>
      <c r="BL208" s="1" t="s">
        <v>74</v>
      </c>
      <c r="BM208" s="1" t="s">
        <v>74</v>
      </c>
      <c r="BN208" s="1" t="s">
        <v>74</v>
      </c>
      <c r="BO208" s="1" t="s">
        <v>74</v>
      </c>
      <c r="BP208" s="1" t="s">
        <v>74</v>
      </c>
      <c r="BQ208" s="1" t="s">
        <v>74</v>
      </c>
      <c r="BR208" s="1" t="s">
        <v>74</v>
      </c>
      <c r="BS208" s="1" t="s">
        <v>2296</v>
      </c>
      <c r="BT208" s="1" t="str">
        <f>HYPERLINK("https%3A%2F%2Fwww.webofscience.com%2Fwos%2Fwoscc%2Ffull-record%2FWOS:000227444100021","View Full Record in Web of Science")</f>
        <v>View Full Record in Web of Science</v>
      </c>
    </row>
    <row r="209" ht="12.75" customHeight="1">
      <c r="A209" s="1" t="s">
        <v>72</v>
      </c>
      <c r="B209" s="1" t="s">
        <v>2297</v>
      </c>
      <c r="C209" s="1" t="s">
        <v>74</v>
      </c>
      <c r="D209" s="1" t="s">
        <v>74</v>
      </c>
      <c r="E209" s="1" t="s">
        <v>74</v>
      </c>
      <c r="F209" s="1" t="s">
        <v>2297</v>
      </c>
      <c r="G209" s="1" t="s">
        <v>74</v>
      </c>
      <c r="H209" s="1" t="s">
        <v>74</v>
      </c>
      <c r="I209" s="1" t="s">
        <v>2298</v>
      </c>
      <c r="J209" s="1" t="s">
        <v>2299</v>
      </c>
      <c r="K209" s="1" t="s">
        <v>74</v>
      </c>
      <c r="L209" s="1" t="s">
        <v>74</v>
      </c>
      <c r="M209" s="1" t="s">
        <v>74</v>
      </c>
      <c r="N209" s="1" t="s">
        <v>74</v>
      </c>
      <c r="O209" s="1" t="s">
        <v>74</v>
      </c>
      <c r="P209" s="1" t="s">
        <v>74</v>
      </c>
      <c r="Q209" s="1" t="s">
        <v>74</v>
      </c>
      <c r="R209" s="1" t="s">
        <v>74</v>
      </c>
      <c r="S209" s="1" t="s">
        <v>74</v>
      </c>
      <c r="T209" s="1" t="s">
        <v>74</v>
      </c>
      <c r="U209" s="1" t="s">
        <v>74</v>
      </c>
      <c r="V209" s="1" t="s">
        <v>2300</v>
      </c>
      <c r="W209" s="1" t="s">
        <v>74</v>
      </c>
      <c r="X209" s="1" t="s">
        <v>74</v>
      </c>
      <c r="Y209" s="1" t="s">
        <v>74</v>
      </c>
      <c r="Z209" s="1" t="s">
        <v>74</v>
      </c>
      <c r="AA209" s="1" t="s">
        <v>2301</v>
      </c>
      <c r="AB209" s="1" t="s">
        <v>2302</v>
      </c>
      <c r="AC209" s="1" t="s">
        <v>74</v>
      </c>
      <c r="AD209" s="1" t="s">
        <v>74</v>
      </c>
      <c r="AE209" s="1" t="s">
        <v>74</v>
      </c>
      <c r="AF209" s="1" t="s">
        <v>74</v>
      </c>
      <c r="AG209" s="1" t="s">
        <v>74</v>
      </c>
      <c r="AH209" s="1" t="s">
        <v>74</v>
      </c>
      <c r="AI209" s="1" t="s">
        <v>74</v>
      </c>
      <c r="AJ209" s="1" t="s">
        <v>74</v>
      </c>
      <c r="AK209" s="1" t="s">
        <v>74</v>
      </c>
      <c r="AL209" s="1" t="s">
        <v>74</v>
      </c>
      <c r="AM209" s="1" t="s">
        <v>74</v>
      </c>
      <c r="AN209" s="1" t="s">
        <v>74</v>
      </c>
      <c r="AO209" s="1" t="s">
        <v>2303</v>
      </c>
      <c r="AP209" s="1" t="s">
        <v>2304</v>
      </c>
      <c r="AQ209" s="1" t="s">
        <v>74</v>
      </c>
      <c r="AR209" s="1" t="s">
        <v>74</v>
      </c>
      <c r="AS209" s="1" t="s">
        <v>74</v>
      </c>
      <c r="AT209" s="1" t="s">
        <v>2305</v>
      </c>
      <c r="AU209" s="1">
        <v>2002.0</v>
      </c>
      <c r="AV209" s="1">
        <v>1599.0</v>
      </c>
      <c r="AW209" s="1" t="s">
        <v>527</v>
      </c>
      <c r="AX209" s="1" t="s">
        <v>74</v>
      </c>
      <c r="AY209" s="1" t="s">
        <v>74</v>
      </c>
      <c r="AZ209" s="1" t="s">
        <v>74</v>
      </c>
      <c r="BA209" s="1" t="s">
        <v>74</v>
      </c>
      <c r="BB209" s="1">
        <v>65.0</v>
      </c>
      <c r="BC209" s="1">
        <v>71.0</v>
      </c>
      <c r="BD209" s="1" t="s">
        <v>2306</v>
      </c>
      <c r="BE209" s="1" t="s">
        <v>2307</v>
      </c>
      <c r="BF209" s="2" t="str">
        <f>HYPERLINK("http://dx.doi.org/10.1016/S1570-9639(02)00400-4","http://dx.doi.org/10.1016/S1570-9639(02)00400-4")</f>
        <v>http://dx.doi.org/10.1016/S1570-9639(02)00400-4</v>
      </c>
      <c r="BG209" s="1" t="s">
        <v>74</v>
      </c>
      <c r="BH209" s="1" t="s">
        <v>74</v>
      </c>
      <c r="BI209" s="1" t="s">
        <v>74</v>
      </c>
      <c r="BJ209" s="1" t="s">
        <v>74</v>
      </c>
      <c r="BK209" s="1" t="s">
        <v>74</v>
      </c>
      <c r="BL209" s="1" t="s">
        <v>74</v>
      </c>
      <c r="BM209" s="1" t="s">
        <v>74</v>
      </c>
      <c r="BN209" s="1">
        <v>1.2479406E7</v>
      </c>
      <c r="BO209" s="1" t="s">
        <v>74</v>
      </c>
      <c r="BP209" s="1" t="s">
        <v>74</v>
      </c>
      <c r="BQ209" s="1" t="s">
        <v>74</v>
      </c>
      <c r="BR209" s="1" t="s">
        <v>74</v>
      </c>
      <c r="BS209" s="1" t="s">
        <v>2308</v>
      </c>
      <c r="BT209" s="1" t="str">
        <f>HYPERLINK("https%3A%2F%2Fwww.webofscience.com%2Fwos%2Fwoscc%2Ffull-record%2FWOS:000178329100008","View Full Record in Web of Science")</f>
        <v>View Full Record in Web of Science</v>
      </c>
    </row>
    <row r="210" ht="12.75" customHeight="1">
      <c r="A210" s="1" t="s">
        <v>72</v>
      </c>
      <c r="B210" s="1" t="s">
        <v>2309</v>
      </c>
      <c r="C210" s="1" t="s">
        <v>74</v>
      </c>
      <c r="D210" s="1" t="s">
        <v>74</v>
      </c>
      <c r="E210" s="1" t="s">
        <v>74</v>
      </c>
      <c r="F210" s="1" t="s">
        <v>2309</v>
      </c>
      <c r="G210" s="1" t="s">
        <v>74</v>
      </c>
      <c r="H210" s="1" t="s">
        <v>74</v>
      </c>
      <c r="I210" s="1" t="s">
        <v>2310</v>
      </c>
      <c r="J210" s="1" t="s">
        <v>2311</v>
      </c>
      <c r="K210" s="1" t="s">
        <v>74</v>
      </c>
      <c r="L210" s="1" t="s">
        <v>74</v>
      </c>
      <c r="M210" s="1" t="s">
        <v>74</v>
      </c>
      <c r="N210" s="1" t="s">
        <v>74</v>
      </c>
      <c r="O210" s="1" t="s">
        <v>74</v>
      </c>
      <c r="P210" s="1" t="s">
        <v>74</v>
      </c>
      <c r="Q210" s="1" t="s">
        <v>74</v>
      </c>
      <c r="R210" s="1" t="s">
        <v>74</v>
      </c>
      <c r="S210" s="1" t="s">
        <v>74</v>
      </c>
      <c r="T210" s="1" t="s">
        <v>74</v>
      </c>
      <c r="U210" s="1" t="s">
        <v>74</v>
      </c>
      <c r="V210" s="1" t="s">
        <v>2312</v>
      </c>
      <c r="W210" s="1" t="s">
        <v>74</v>
      </c>
      <c r="X210" s="1" t="s">
        <v>74</v>
      </c>
      <c r="Y210" s="1" t="s">
        <v>74</v>
      </c>
      <c r="Z210" s="1" t="s">
        <v>74</v>
      </c>
      <c r="AA210" s="1" t="s">
        <v>2313</v>
      </c>
      <c r="AB210" s="1" t="s">
        <v>2314</v>
      </c>
      <c r="AC210" s="1" t="s">
        <v>74</v>
      </c>
      <c r="AD210" s="1" t="s">
        <v>74</v>
      </c>
      <c r="AE210" s="1" t="s">
        <v>74</v>
      </c>
      <c r="AF210" s="1" t="s">
        <v>74</v>
      </c>
      <c r="AG210" s="1" t="s">
        <v>74</v>
      </c>
      <c r="AH210" s="1" t="s">
        <v>74</v>
      </c>
      <c r="AI210" s="1" t="s">
        <v>74</v>
      </c>
      <c r="AJ210" s="1" t="s">
        <v>74</v>
      </c>
      <c r="AK210" s="1" t="s">
        <v>74</v>
      </c>
      <c r="AL210" s="1" t="s">
        <v>74</v>
      </c>
      <c r="AM210" s="1" t="s">
        <v>74</v>
      </c>
      <c r="AN210" s="1" t="s">
        <v>74</v>
      </c>
      <c r="AO210" s="1" t="s">
        <v>2315</v>
      </c>
      <c r="AP210" s="1" t="s">
        <v>2316</v>
      </c>
      <c r="AQ210" s="1" t="s">
        <v>74</v>
      </c>
      <c r="AR210" s="1" t="s">
        <v>74</v>
      </c>
      <c r="AS210" s="1" t="s">
        <v>74</v>
      </c>
      <c r="AT210" s="1" t="s">
        <v>2317</v>
      </c>
      <c r="AU210" s="1">
        <v>2002.0</v>
      </c>
      <c r="AV210" s="1">
        <v>234.0</v>
      </c>
      <c r="AW210" s="1" t="s">
        <v>527</v>
      </c>
      <c r="AX210" s="1" t="s">
        <v>74</v>
      </c>
      <c r="AY210" s="1" t="s">
        <v>74</v>
      </c>
      <c r="AZ210" s="1" t="s">
        <v>74</v>
      </c>
      <c r="BA210" s="1" t="s">
        <v>74</v>
      </c>
      <c r="BB210" s="1">
        <v>45.0</v>
      </c>
      <c r="BC210" s="1">
        <v>54.0</v>
      </c>
      <c r="BD210" s="1" t="s">
        <v>2318</v>
      </c>
      <c r="BE210" s="1" t="s">
        <v>2319</v>
      </c>
      <c r="BF210" s="2" t="str">
        <f>HYPERLINK("http://dx.doi.org/10.1016/S0926-860X(02)00197-7","http://dx.doi.org/10.1016/S0926-860X(02)00197-7")</f>
        <v>http://dx.doi.org/10.1016/S0926-860X(02)00197-7</v>
      </c>
      <c r="BG210" s="1" t="s">
        <v>74</v>
      </c>
      <c r="BH210" s="1" t="s">
        <v>74</v>
      </c>
      <c r="BI210" s="1" t="s">
        <v>74</v>
      </c>
      <c r="BJ210" s="1" t="s">
        <v>74</v>
      </c>
      <c r="BK210" s="1" t="s">
        <v>74</v>
      </c>
      <c r="BL210" s="1" t="s">
        <v>74</v>
      </c>
      <c r="BM210" s="1" t="s">
        <v>74</v>
      </c>
      <c r="BN210" s="1" t="s">
        <v>74</v>
      </c>
      <c r="BO210" s="1" t="s">
        <v>74</v>
      </c>
      <c r="BP210" s="1" t="s">
        <v>74</v>
      </c>
      <c r="BQ210" s="1" t="s">
        <v>74</v>
      </c>
      <c r="BR210" s="1" t="s">
        <v>74</v>
      </c>
      <c r="BS210" s="1" t="s">
        <v>2320</v>
      </c>
      <c r="BT210" s="1" t="str">
        <f>HYPERLINK("https%3A%2F%2Fwww.webofscience.com%2Fwos%2Fwoscc%2Ffull-record%2FWOS:000177239800004","View Full Record in Web of Science")</f>
        <v>View Full Record in Web of Science</v>
      </c>
    </row>
    <row r="211" ht="12.75" customHeight="1">
      <c r="A211" s="1" t="s">
        <v>72</v>
      </c>
      <c r="B211" s="1" t="s">
        <v>2321</v>
      </c>
      <c r="C211" s="1" t="s">
        <v>74</v>
      </c>
      <c r="D211" s="1" t="s">
        <v>74</v>
      </c>
      <c r="E211" s="1" t="s">
        <v>74</v>
      </c>
      <c r="F211" s="1" t="s">
        <v>2321</v>
      </c>
      <c r="G211" s="1" t="s">
        <v>74</v>
      </c>
      <c r="H211" s="1" t="s">
        <v>74</v>
      </c>
      <c r="I211" s="1" t="s">
        <v>2322</v>
      </c>
      <c r="J211" s="1" t="s">
        <v>2323</v>
      </c>
      <c r="K211" s="1" t="s">
        <v>74</v>
      </c>
      <c r="L211" s="1" t="s">
        <v>74</v>
      </c>
      <c r="M211" s="1" t="s">
        <v>74</v>
      </c>
      <c r="N211" s="1" t="s">
        <v>74</v>
      </c>
      <c r="O211" s="1" t="s">
        <v>74</v>
      </c>
      <c r="P211" s="1" t="s">
        <v>74</v>
      </c>
      <c r="Q211" s="1" t="s">
        <v>74</v>
      </c>
      <c r="R211" s="1" t="s">
        <v>74</v>
      </c>
      <c r="S211" s="1" t="s">
        <v>74</v>
      </c>
      <c r="T211" s="1" t="s">
        <v>74</v>
      </c>
      <c r="U211" s="1" t="s">
        <v>74</v>
      </c>
      <c r="V211" s="1" t="s">
        <v>2324</v>
      </c>
      <c r="W211" s="1" t="s">
        <v>74</v>
      </c>
      <c r="X211" s="1" t="s">
        <v>74</v>
      </c>
      <c r="Y211" s="1" t="s">
        <v>74</v>
      </c>
      <c r="Z211" s="1" t="s">
        <v>74</v>
      </c>
      <c r="AA211" s="1" t="s">
        <v>2325</v>
      </c>
      <c r="AB211" s="1" t="s">
        <v>2326</v>
      </c>
      <c r="AC211" s="1" t="s">
        <v>74</v>
      </c>
      <c r="AD211" s="1" t="s">
        <v>74</v>
      </c>
      <c r="AE211" s="1" t="s">
        <v>74</v>
      </c>
      <c r="AF211" s="1" t="s">
        <v>74</v>
      </c>
      <c r="AG211" s="1" t="s">
        <v>74</v>
      </c>
      <c r="AH211" s="1" t="s">
        <v>74</v>
      </c>
      <c r="AI211" s="1" t="s">
        <v>74</v>
      </c>
      <c r="AJ211" s="1" t="s">
        <v>74</v>
      </c>
      <c r="AK211" s="1" t="s">
        <v>74</v>
      </c>
      <c r="AL211" s="1" t="s">
        <v>74</v>
      </c>
      <c r="AM211" s="1" t="s">
        <v>74</v>
      </c>
      <c r="AN211" s="1" t="s">
        <v>74</v>
      </c>
      <c r="AO211" s="1" t="s">
        <v>2327</v>
      </c>
      <c r="AP211" s="1" t="s">
        <v>74</v>
      </c>
      <c r="AQ211" s="1" t="s">
        <v>74</v>
      </c>
      <c r="AR211" s="1" t="s">
        <v>74</v>
      </c>
      <c r="AS211" s="1" t="s">
        <v>74</v>
      </c>
      <c r="AT211" s="1" t="s">
        <v>485</v>
      </c>
      <c r="AU211" s="1">
        <v>2001.0</v>
      </c>
      <c r="AV211" s="1">
        <v>56.0</v>
      </c>
      <c r="AW211" s="1">
        <v>10.0</v>
      </c>
      <c r="AX211" s="1" t="s">
        <v>74</v>
      </c>
      <c r="AY211" s="1" t="s">
        <v>74</v>
      </c>
      <c r="AZ211" s="1" t="s">
        <v>74</v>
      </c>
      <c r="BA211" s="1" t="s">
        <v>74</v>
      </c>
      <c r="BB211" s="1">
        <v>3139.0</v>
      </c>
      <c r="BC211" s="1">
        <v>3148.0</v>
      </c>
      <c r="BD211" s="1" t="s">
        <v>74</v>
      </c>
      <c r="BE211" s="1" t="s">
        <v>2328</v>
      </c>
      <c r="BF211" s="2" t="str">
        <f>HYPERLINK("http://dx.doi.org/10.1016/S0009-2509(01)00017-3","http://dx.doi.org/10.1016/S0009-2509(01)00017-3")</f>
        <v>http://dx.doi.org/10.1016/S0009-2509(01)00017-3</v>
      </c>
      <c r="BG211" s="1" t="s">
        <v>74</v>
      </c>
      <c r="BH211" s="1" t="s">
        <v>74</v>
      </c>
      <c r="BI211" s="1" t="s">
        <v>74</v>
      </c>
      <c r="BJ211" s="1" t="s">
        <v>74</v>
      </c>
      <c r="BK211" s="1" t="s">
        <v>74</v>
      </c>
      <c r="BL211" s="1" t="s">
        <v>74</v>
      </c>
      <c r="BM211" s="1" t="s">
        <v>74</v>
      </c>
      <c r="BN211" s="1" t="s">
        <v>74</v>
      </c>
      <c r="BO211" s="1" t="s">
        <v>74</v>
      </c>
      <c r="BP211" s="1" t="s">
        <v>74</v>
      </c>
      <c r="BQ211" s="1" t="s">
        <v>74</v>
      </c>
      <c r="BR211" s="1" t="s">
        <v>74</v>
      </c>
      <c r="BS211" s="1" t="s">
        <v>2329</v>
      </c>
      <c r="BT211" s="1" t="str">
        <f>HYPERLINK("https%3A%2F%2Fwww.webofscience.com%2Fwos%2Fwoscc%2Ffull-record%2FWOS:000169348000010","View Full Record in Web of Science")</f>
        <v>View Full Record in Web of Science</v>
      </c>
    </row>
    <row r="212" ht="12.75" customHeight="1">
      <c r="A212" s="1" t="s">
        <v>72</v>
      </c>
      <c r="B212" s="1" t="s">
        <v>2330</v>
      </c>
      <c r="C212" s="1" t="s">
        <v>74</v>
      </c>
      <c r="D212" s="1" t="s">
        <v>74</v>
      </c>
      <c r="E212" s="1" t="s">
        <v>74</v>
      </c>
      <c r="F212" s="1" t="s">
        <v>2330</v>
      </c>
      <c r="G212" s="1" t="s">
        <v>74</v>
      </c>
      <c r="H212" s="1" t="s">
        <v>74</v>
      </c>
      <c r="I212" s="1" t="s">
        <v>2331</v>
      </c>
      <c r="J212" s="1" t="s">
        <v>2332</v>
      </c>
      <c r="K212" s="1" t="s">
        <v>74</v>
      </c>
      <c r="L212" s="1" t="s">
        <v>74</v>
      </c>
      <c r="M212" s="1" t="s">
        <v>74</v>
      </c>
      <c r="N212" s="1" t="s">
        <v>74</v>
      </c>
      <c r="O212" s="1" t="s">
        <v>74</v>
      </c>
      <c r="P212" s="1" t="s">
        <v>74</v>
      </c>
      <c r="Q212" s="1" t="s">
        <v>74</v>
      </c>
      <c r="R212" s="1" t="s">
        <v>74</v>
      </c>
      <c r="S212" s="1" t="s">
        <v>74</v>
      </c>
      <c r="T212" s="1" t="s">
        <v>74</v>
      </c>
      <c r="U212" s="1" t="s">
        <v>74</v>
      </c>
      <c r="V212" s="1" t="s">
        <v>2333</v>
      </c>
      <c r="W212" s="1" t="s">
        <v>74</v>
      </c>
      <c r="X212" s="1" t="s">
        <v>74</v>
      </c>
      <c r="Y212" s="1" t="s">
        <v>74</v>
      </c>
      <c r="Z212" s="1" t="s">
        <v>74</v>
      </c>
      <c r="AA212" s="1" t="s">
        <v>74</v>
      </c>
      <c r="AB212" s="1" t="s">
        <v>74</v>
      </c>
      <c r="AC212" s="1" t="s">
        <v>74</v>
      </c>
      <c r="AD212" s="1" t="s">
        <v>74</v>
      </c>
      <c r="AE212" s="1" t="s">
        <v>74</v>
      </c>
      <c r="AF212" s="1" t="s">
        <v>74</v>
      </c>
      <c r="AG212" s="1" t="s">
        <v>74</v>
      </c>
      <c r="AH212" s="1" t="s">
        <v>74</v>
      </c>
      <c r="AI212" s="1" t="s">
        <v>74</v>
      </c>
      <c r="AJ212" s="1" t="s">
        <v>74</v>
      </c>
      <c r="AK212" s="1" t="s">
        <v>74</v>
      </c>
      <c r="AL212" s="1" t="s">
        <v>74</v>
      </c>
      <c r="AM212" s="1" t="s">
        <v>74</v>
      </c>
      <c r="AN212" s="1" t="s">
        <v>74</v>
      </c>
      <c r="AO212" s="1" t="s">
        <v>2334</v>
      </c>
      <c r="AP212" s="1" t="s">
        <v>74</v>
      </c>
      <c r="AQ212" s="1" t="s">
        <v>74</v>
      </c>
      <c r="AR212" s="1" t="s">
        <v>74</v>
      </c>
      <c r="AS212" s="1" t="s">
        <v>74</v>
      </c>
      <c r="AT212" s="1" t="s">
        <v>1018</v>
      </c>
      <c r="AU212" s="1">
        <v>1998.0</v>
      </c>
      <c r="AV212" s="1">
        <v>28.0</v>
      </c>
      <c r="AW212" s="1">
        <v>8.0</v>
      </c>
      <c r="AX212" s="1" t="s">
        <v>74</v>
      </c>
      <c r="AY212" s="1" t="s">
        <v>74</v>
      </c>
      <c r="AZ212" s="1" t="s">
        <v>74</v>
      </c>
      <c r="BA212" s="1" t="s">
        <v>74</v>
      </c>
      <c r="BB212" s="1">
        <v>827.0</v>
      </c>
      <c r="BC212" s="1">
        <v>834.0</v>
      </c>
      <c r="BD212" s="1" t="s">
        <v>74</v>
      </c>
      <c r="BE212" s="1" t="s">
        <v>2335</v>
      </c>
      <c r="BF212" s="2" t="str">
        <f>HYPERLINK("http://dx.doi.org/10.1023/A:1003480225077","http://dx.doi.org/10.1023/A:1003480225077")</f>
        <v>http://dx.doi.org/10.1023/A:1003480225077</v>
      </c>
      <c r="BG212" s="1" t="s">
        <v>74</v>
      </c>
      <c r="BH212" s="1" t="s">
        <v>74</v>
      </c>
      <c r="BI212" s="1" t="s">
        <v>74</v>
      </c>
      <c r="BJ212" s="1" t="s">
        <v>74</v>
      </c>
      <c r="BK212" s="1" t="s">
        <v>74</v>
      </c>
      <c r="BL212" s="1" t="s">
        <v>74</v>
      </c>
      <c r="BM212" s="1" t="s">
        <v>74</v>
      </c>
      <c r="BN212" s="1" t="s">
        <v>74</v>
      </c>
      <c r="BO212" s="1" t="s">
        <v>74</v>
      </c>
      <c r="BP212" s="1" t="s">
        <v>74</v>
      </c>
      <c r="BQ212" s="1" t="s">
        <v>74</v>
      </c>
      <c r="BR212" s="1" t="s">
        <v>74</v>
      </c>
      <c r="BS212" s="1" t="s">
        <v>2336</v>
      </c>
      <c r="BT212" s="1" t="str">
        <f>HYPERLINK("https%3A%2F%2Fwww.webofscience.com%2Fwos%2Fwoscc%2Ffull-record%2FWOS:000077463100009","View Full Record in Web of Science")</f>
        <v>View Full Record in Web of Science</v>
      </c>
    </row>
    <row r="213" ht="12.75" customHeight="1">
      <c r="A213" s="1" t="s">
        <v>72</v>
      </c>
      <c r="B213" s="1" t="s">
        <v>2337</v>
      </c>
      <c r="C213" s="1" t="s">
        <v>74</v>
      </c>
      <c r="D213" s="1" t="s">
        <v>74</v>
      </c>
      <c r="E213" s="1" t="s">
        <v>74</v>
      </c>
      <c r="F213" s="1" t="s">
        <v>2337</v>
      </c>
      <c r="G213" s="1" t="s">
        <v>74</v>
      </c>
      <c r="H213" s="1" t="s">
        <v>74</v>
      </c>
      <c r="I213" s="1" t="s">
        <v>2338</v>
      </c>
      <c r="J213" s="1" t="s">
        <v>2339</v>
      </c>
      <c r="K213" s="1" t="s">
        <v>74</v>
      </c>
      <c r="L213" s="1" t="s">
        <v>74</v>
      </c>
      <c r="M213" s="1" t="s">
        <v>74</v>
      </c>
      <c r="N213" s="1" t="s">
        <v>74</v>
      </c>
      <c r="O213" s="1" t="s">
        <v>74</v>
      </c>
      <c r="P213" s="1" t="s">
        <v>74</v>
      </c>
      <c r="Q213" s="1" t="s">
        <v>74</v>
      </c>
      <c r="R213" s="1" t="s">
        <v>74</v>
      </c>
      <c r="S213" s="1" t="s">
        <v>74</v>
      </c>
      <c r="T213" s="1" t="s">
        <v>74</v>
      </c>
      <c r="U213" s="1" t="s">
        <v>74</v>
      </c>
      <c r="V213" s="1" t="s">
        <v>2340</v>
      </c>
      <c r="W213" s="1" t="s">
        <v>74</v>
      </c>
      <c r="X213" s="1" t="s">
        <v>74</v>
      </c>
      <c r="Y213" s="1" t="s">
        <v>74</v>
      </c>
      <c r="Z213" s="1" t="s">
        <v>74</v>
      </c>
      <c r="AA213" s="1" t="s">
        <v>2341</v>
      </c>
      <c r="AB213" s="1" t="s">
        <v>2342</v>
      </c>
      <c r="AC213" s="1" t="s">
        <v>74</v>
      </c>
      <c r="AD213" s="1" t="s">
        <v>74</v>
      </c>
      <c r="AE213" s="1" t="s">
        <v>74</v>
      </c>
      <c r="AF213" s="1" t="s">
        <v>74</v>
      </c>
      <c r="AG213" s="1" t="s">
        <v>74</v>
      </c>
      <c r="AH213" s="1" t="s">
        <v>74</v>
      </c>
      <c r="AI213" s="1" t="s">
        <v>74</v>
      </c>
      <c r="AJ213" s="1" t="s">
        <v>74</v>
      </c>
      <c r="AK213" s="1" t="s">
        <v>74</v>
      </c>
      <c r="AL213" s="1" t="s">
        <v>74</v>
      </c>
      <c r="AM213" s="1" t="s">
        <v>74</v>
      </c>
      <c r="AN213" s="1" t="s">
        <v>74</v>
      </c>
      <c r="AO213" s="1" t="s">
        <v>2343</v>
      </c>
      <c r="AP213" s="1" t="s">
        <v>74</v>
      </c>
      <c r="AQ213" s="1" t="s">
        <v>74</v>
      </c>
      <c r="AR213" s="1" t="s">
        <v>74</v>
      </c>
      <c r="AS213" s="1" t="s">
        <v>74</v>
      </c>
      <c r="AT213" s="1" t="s">
        <v>175</v>
      </c>
      <c r="AU213" s="1">
        <v>1997.0</v>
      </c>
      <c r="AV213" s="1">
        <v>53.0</v>
      </c>
      <c r="AW213" s="1" t="s">
        <v>74</v>
      </c>
      <c r="AX213" s="1">
        <v>11.0</v>
      </c>
      <c r="AY213" s="1" t="s">
        <v>74</v>
      </c>
      <c r="AZ213" s="1" t="s">
        <v>74</v>
      </c>
      <c r="BA213" s="1" t="s">
        <v>74</v>
      </c>
      <c r="BB213" s="1">
        <v>1555.0</v>
      </c>
      <c r="BC213" s="1">
        <v>1558.0</v>
      </c>
      <c r="BD213" s="1" t="s">
        <v>74</v>
      </c>
      <c r="BE213" s="1" t="s">
        <v>2344</v>
      </c>
      <c r="BF213" s="2" t="str">
        <f>HYPERLINK("http://dx.doi.org/10.1107/S0108270197008317","http://dx.doi.org/10.1107/S0108270197008317")</f>
        <v>http://dx.doi.org/10.1107/S0108270197008317</v>
      </c>
      <c r="BG213" s="1" t="s">
        <v>74</v>
      </c>
      <c r="BH213" s="1" t="s">
        <v>74</v>
      </c>
      <c r="BI213" s="1" t="s">
        <v>74</v>
      </c>
      <c r="BJ213" s="1" t="s">
        <v>74</v>
      </c>
      <c r="BK213" s="1" t="s">
        <v>74</v>
      </c>
      <c r="BL213" s="1" t="s">
        <v>74</v>
      </c>
      <c r="BM213" s="1" t="s">
        <v>74</v>
      </c>
      <c r="BN213" s="1" t="s">
        <v>74</v>
      </c>
      <c r="BO213" s="1" t="s">
        <v>74</v>
      </c>
      <c r="BP213" s="1" t="s">
        <v>74</v>
      </c>
      <c r="BQ213" s="1" t="s">
        <v>74</v>
      </c>
      <c r="BR213" s="1" t="s">
        <v>74</v>
      </c>
      <c r="BS213" s="1" t="s">
        <v>2345</v>
      </c>
      <c r="BT213" s="1" t="str">
        <f>HYPERLINK("https%3A%2F%2Fwww.webofscience.com%2Fwos%2Fwoscc%2Ffull-record%2FWOS:A1997YK41600018","View Full Record in Web of Science")</f>
        <v>View Full Record in Web of Science</v>
      </c>
    </row>
    <row r="214" ht="12.75" customHeight="1">
      <c r="A214" s="1" t="s">
        <v>72</v>
      </c>
      <c r="B214" s="1" t="s">
        <v>2346</v>
      </c>
      <c r="C214" s="1" t="s">
        <v>74</v>
      </c>
      <c r="D214" s="1" t="s">
        <v>74</v>
      </c>
      <c r="E214" s="1" t="s">
        <v>74</v>
      </c>
      <c r="F214" s="1" t="s">
        <v>2347</v>
      </c>
      <c r="G214" s="1" t="s">
        <v>74</v>
      </c>
      <c r="H214" s="1" t="s">
        <v>74</v>
      </c>
      <c r="I214" s="1" t="s">
        <v>2348</v>
      </c>
      <c r="J214" s="1" t="s">
        <v>2349</v>
      </c>
      <c r="K214" s="1" t="s">
        <v>74</v>
      </c>
      <c r="L214" s="1" t="s">
        <v>74</v>
      </c>
      <c r="M214" s="1" t="s">
        <v>74</v>
      </c>
      <c r="N214" s="1" t="s">
        <v>74</v>
      </c>
      <c r="O214" s="1" t="s">
        <v>74</v>
      </c>
      <c r="P214" s="1" t="s">
        <v>74</v>
      </c>
      <c r="Q214" s="1" t="s">
        <v>74</v>
      </c>
      <c r="R214" s="1" t="s">
        <v>74</v>
      </c>
      <c r="S214" s="1" t="s">
        <v>74</v>
      </c>
      <c r="T214" s="1" t="s">
        <v>74</v>
      </c>
      <c r="U214" s="1" t="s">
        <v>74</v>
      </c>
      <c r="V214" s="1" t="s">
        <v>2350</v>
      </c>
      <c r="W214" s="1" t="s">
        <v>74</v>
      </c>
      <c r="X214" s="1" t="s">
        <v>74</v>
      </c>
      <c r="Y214" s="1" t="s">
        <v>74</v>
      </c>
      <c r="Z214" s="1" t="s">
        <v>74</v>
      </c>
      <c r="AA214" s="1" t="s">
        <v>2351</v>
      </c>
      <c r="AB214" s="1" t="s">
        <v>2352</v>
      </c>
      <c r="AC214" s="1" t="s">
        <v>74</v>
      </c>
      <c r="AD214" s="1" t="s">
        <v>74</v>
      </c>
      <c r="AE214" s="1" t="s">
        <v>74</v>
      </c>
      <c r="AF214" s="1" t="s">
        <v>74</v>
      </c>
      <c r="AG214" s="1" t="s">
        <v>74</v>
      </c>
      <c r="AH214" s="1" t="s">
        <v>74</v>
      </c>
      <c r="AI214" s="1" t="s">
        <v>74</v>
      </c>
      <c r="AJ214" s="1" t="s">
        <v>74</v>
      </c>
      <c r="AK214" s="1" t="s">
        <v>74</v>
      </c>
      <c r="AL214" s="1" t="s">
        <v>74</v>
      </c>
      <c r="AM214" s="1" t="s">
        <v>74</v>
      </c>
      <c r="AN214" s="1" t="s">
        <v>74</v>
      </c>
      <c r="AO214" s="1" t="s">
        <v>74</v>
      </c>
      <c r="AP214" s="1" t="s">
        <v>2353</v>
      </c>
      <c r="AQ214" s="1" t="s">
        <v>74</v>
      </c>
      <c r="AR214" s="1" t="s">
        <v>74</v>
      </c>
      <c r="AS214" s="1" t="s">
        <v>74</v>
      </c>
      <c r="AT214" s="1" t="s">
        <v>318</v>
      </c>
      <c r="AU214" s="1">
        <v>2025.0</v>
      </c>
      <c r="AV214" s="1">
        <v>13.0</v>
      </c>
      <c r="AW214" s="1">
        <v>2.0</v>
      </c>
      <c r="AX214" s="1" t="s">
        <v>74</v>
      </c>
      <c r="AY214" s="1" t="s">
        <v>74</v>
      </c>
      <c r="AZ214" s="1" t="s">
        <v>74</v>
      </c>
      <c r="BA214" s="1" t="s">
        <v>74</v>
      </c>
      <c r="BB214" s="1" t="s">
        <v>74</v>
      </c>
      <c r="BC214" s="1" t="s">
        <v>74</v>
      </c>
      <c r="BD214" s="1">
        <v>272.0</v>
      </c>
      <c r="BE214" s="1" t="s">
        <v>2354</v>
      </c>
      <c r="BF214" s="2" t="str">
        <f>HYPERLINK("http://dx.doi.org/10.3390/jmse13020272","http://dx.doi.org/10.3390/jmse13020272")</f>
        <v>http://dx.doi.org/10.3390/jmse13020272</v>
      </c>
      <c r="BG214" s="1" t="s">
        <v>74</v>
      </c>
      <c r="BH214" s="1" t="s">
        <v>74</v>
      </c>
      <c r="BI214" s="1" t="s">
        <v>74</v>
      </c>
      <c r="BJ214" s="1" t="s">
        <v>74</v>
      </c>
      <c r="BK214" s="1" t="s">
        <v>74</v>
      </c>
      <c r="BL214" s="1" t="s">
        <v>74</v>
      </c>
      <c r="BM214" s="1" t="s">
        <v>74</v>
      </c>
      <c r="BN214" s="1" t="s">
        <v>74</v>
      </c>
      <c r="BO214" s="1" t="s">
        <v>74</v>
      </c>
      <c r="BP214" s="1" t="s">
        <v>74</v>
      </c>
      <c r="BQ214" s="1" t="s">
        <v>74</v>
      </c>
      <c r="BR214" s="1" t="s">
        <v>74</v>
      </c>
      <c r="BS214" s="1" t="s">
        <v>2355</v>
      </c>
      <c r="BT214" s="1" t="str">
        <f>HYPERLINK("https%3A%2F%2Fwww.webofscience.com%2Fwos%2Fwoscc%2Ffull-record%2FWOS:001430081500001","View Full Record in Web of Science")</f>
        <v>View Full Record in Web of Science</v>
      </c>
    </row>
    <row r="215" ht="12.75" customHeight="1">
      <c r="A215" s="1" t="s">
        <v>72</v>
      </c>
      <c r="B215" s="1" t="s">
        <v>2356</v>
      </c>
      <c r="C215" s="1" t="s">
        <v>74</v>
      </c>
      <c r="D215" s="1" t="s">
        <v>74</v>
      </c>
      <c r="E215" s="1" t="s">
        <v>74</v>
      </c>
      <c r="F215" s="1" t="s">
        <v>2357</v>
      </c>
      <c r="G215" s="1" t="s">
        <v>74</v>
      </c>
      <c r="H215" s="1" t="s">
        <v>74</v>
      </c>
      <c r="I215" s="1" t="s">
        <v>2358</v>
      </c>
      <c r="J215" s="1" t="s">
        <v>2359</v>
      </c>
      <c r="K215" s="1" t="s">
        <v>74</v>
      </c>
      <c r="L215" s="1" t="s">
        <v>74</v>
      </c>
      <c r="M215" s="1" t="s">
        <v>74</v>
      </c>
      <c r="N215" s="1" t="s">
        <v>74</v>
      </c>
      <c r="O215" s="1" t="s">
        <v>74</v>
      </c>
      <c r="P215" s="1" t="s">
        <v>74</v>
      </c>
      <c r="Q215" s="1" t="s">
        <v>74</v>
      </c>
      <c r="R215" s="1" t="s">
        <v>74</v>
      </c>
      <c r="S215" s="1" t="s">
        <v>74</v>
      </c>
      <c r="T215" s="1" t="s">
        <v>74</v>
      </c>
      <c r="U215" s="1" t="s">
        <v>74</v>
      </c>
      <c r="V215" s="1" t="s">
        <v>74</v>
      </c>
      <c r="W215" s="1" t="s">
        <v>74</v>
      </c>
      <c r="X215" s="1" t="s">
        <v>74</v>
      </c>
      <c r="Y215" s="1" t="s">
        <v>74</v>
      </c>
      <c r="Z215" s="1" t="s">
        <v>74</v>
      </c>
      <c r="AA215" s="1" t="s">
        <v>74</v>
      </c>
      <c r="AB215" s="1" t="s">
        <v>74</v>
      </c>
      <c r="AC215" s="1" t="s">
        <v>74</v>
      </c>
      <c r="AD215" s="1" t="s">
        <v>74</v>
      </c>
      <c r="AE215" s="1" t="s">
        <v>74</v>
      </c>
      <c r="AF215" s="1" t="s">
        <v>74</v>
      </c>
      <c r="AG215" s="1" t="s">
        <v>74</v>
      </c>
      <c r="AH215" s="1" t="s">
        <v>74</v>
      </c>
      <c r="AI215" s="1" t="s">
        <v>74</v>
      </c>
      <c r="AJ215" s="1" t="s">
        <v>74</v>
      </c>
      <c r="AK215" s="1" t="s">
        <v>74</v>
      </c>
      <c r="AL215" s="1" t="s">
        <v>74</v>
      </c>
      <c r="AM215" s="1" t="s">
        <v>74</v>
      </c>
      <c r="AN215" s="1" t="s">
        <v>74</v>
      </c>
      <c r="AO215" s="1" t="s">
        <v>2360</v>
      </c>
      <c r="AP215" s="1" t="s">
        <v>2361</v>
      </c>
      <c r="AQ215" s="1" t="s">
        <v>74</v>
      </c>
      <c r="AR215" s="1" t="s">
        <v>74</v>
      </c>
      <c r="AS215" s="1" t="s">
        <v>74</v>
      </c>
      <c r="AT215" s="1" t="s">
        <v>74</v>
      </c>
      <c r="AU215" s="1">
        <v>2024.0</v>
      </c>
      <c r="AV215" s="1">
        <v>24.0</v>
      </c>
      <c r="AW215" s="1">
        <v>85.0</v>
      </c>
      <c r="AX215" s="1" t="s">
        <v>74</v>
      </c>
      <c r="AY215" s="1" t="s">
        <v>74</v>
      </c>
      <c r="AZ215" s="1" t="s">
        <v>74</v>
      </c>
      <c r="BA215" s="1" t="s">
        <v>74</v>
      </c>
      <c r="BB215" s="1">
        <v>253.0</v>
      </c>
      <c r="BC215" s="1">
        <v>283.0</v>
      </c>
      <c r="BD215" s="1" t="s">
        <v>74</v>
      </c>
      <c r="BE215" s="1" t="s">
        <v>2362</v>
      </c>
      <c r="BF215" s="2" t="str">
        <f>HYPERLINK("http://dx.doi.org/10.18441/ibam.24.2024.85.253-283","http://dx.doi.org/10.18441/ibam.24.2024.85.253-283")</f>
        <v>http://dx.doi.org/10.18441/ibam.24.2024.85.253-283</v>
      </c>
      <c r="BG215" s="1" t="s">
        <v>74</v>
      </c>
      <c r="BH215" s="1" t="s">
        <v>74</v>
      </c>
      <c r="BI215" s="1" t="s">
        <v>74</v>
      </c>
      <c r="BJ215" s="1" t="s">
        <v>74</v>
      </c>
      <c r="BK215" s="1" t="s">
        <v>74</v>
      </c>
      <c r="BL215" s="1" t="s">
        <v>74</v>
      </c>
      <c r="BM215" s="1" t="s">
        <v>74</v>
      </c>
      <c r="BN215" s="1" t="s">
        <v>74</v>
      </c>
      <c r="BO215" s="1" t="s">
        <v>74</v>
      </c>
      <c r="BP215" s="1" t="s">
        <v>74</v>
      </c>
      <c r="BQ215" s="1" t="s">
        <v>74</v>
      </c>
      <c r="BR215" s="1" t="s">
        <v>74</v>
      </c>
      <c r="BS215" s="1" t="s">
        <v>2363</v>
      </c>
      <c r="BT215" s="1" t="str">
        <f>HYPERLINK("https%3A%2F%2Fwww.webofscience.com%2Fwos%2Fwoscc%2Ffull-record%2FWOS:001237505100001","View Full Record in Web of Science")</f>
        <v>View Full Record in Web of Science</v>
      </c>
    </row>
    <row r="216" ht="12.75" customHeight="1">
      <c r="A216" s="1" t="s">
        <v>72</v>
      </c>
      <c r="B216" s="1" t="s">
        <v>2364</v>
      </c>
      <c r="C216" s="1" t="s">
        <v>74</v>
      </c>
      <c r="D216" s="1" t="s">
        <v>74</v>
      </c>
      <c r="E216" s="1" t="s">
        <v>74</v>
      </c>
      <c r="F216" s="1" t="s">
        <v>2365</v>
      </c>
      <c r="G216" s="1" t="s">
        <v>74</v>
      </c>
      <c r="H216" s="1" t="s">
        <v>74</v>
      </c>
      <c r="I216" s="1" t="s">
        <v>2366</v>
      </c>
      <c r="J216" s="1" t="s">
        <v>2367</v>
      </c>
      <c r="K216" s="1" t="s">
        <v>74</v>
      </c>
      <c r="L216" s="1" t="s">
        <v>74</v>
      </c>
      <c r="M216" s="1" t="s">
        <v>74</v>
      </c>
      <c r="N216" s="1" t="s">
        <v>74</v>
      </c>
      <c r="O216" s="1" t="s">
        <v>74</v>
      </c>
      <c r="P216" s="1" t="s">
        <v>74</v>
      </c>
      <c r="Q216" s="1" t="s">
        <v>74</v>
      </c>
      <c r="R216" s="1" t="s">
        <v>74</v>
      </c>
      <c r="S216" s="1" t="s">
        <v>74</v>
      </c>
      <c r="T216" s="1" t="s">
        <v>74</v>
      </c>
      <c r="U216" s="1" t="s">
        <v>74</v>
      </c>
      <c r="V216" s="1" t="s">
        <v>2368</v>
      </c>
      <c r="W216" s="1" t="s">
        <v>74</v>
      </c>
      <c r="X216" s="1" t="s">
        <v>74</v>
      </c>
      <c r="Y216" s="1" t="s">
        <v>74</v>
      </c>
      <c r="Z216" s="1" t="s">
        <v>74</v>
      </c>
      <c r="AA216" s="1" t="s">
        <v>2369</v>
      </c>
      <c r="AB216" s="1" t="s">
        <v>2370</v>
      </c>
      <c r="AC216" s="1" t="s">
        <v>74</v>
      </c>
      <c r="AD216" s="1" t="s">
        <v>74</v>
      </c>
      <c r="AE216" s="1" t="s">
        <v>74</v>
      </c>
      <c r="AF216" s="1" t="s">
        <v>74</v>
      </c>
      <c r="AG216" s="1" t="s">
        <v>74</v>
      </c>
      <c r="AH216" s="1" t="s">
        <v>74</v>
      </c>
      <c r="AI216" s="1" t="s">
        <v>74</v>
      </c>
      <c r="AJ216" s="1" t="s">
        <v>74</v>
      </c>
      <c r="AK216" s="1" t="s">
        <v>74</v>
      </c>
      <c r="AL216" s="1" t="s">
        <v>74</v>
      </c>
      <c r="AM216" s="1" t="s">
        <v>74</v>
      </c>
      <c r="AN216" s="1" t="s">
        <v>74</v>
      </c>
      <c r="AO216" s="1" t="s">
        <v>2371</v>
      </c>
      <c r="AP216" s="1" t="s">
        <v>2372</v>
      </c>
      <c r="AQ216" s="1" t="s">
        <v>74</v>
      </c>
      <c r="AR216" s="1" t="s">
        <v>74</v>
      </c>
      <c r="AS216" s="1" t="s">
        <v>74</v>
      </c>
      <c r="AT216" s="1" t="s">
        <v>422</v>
      </c>
      <c r="AU216" s="1">
        <v>2024.0</v>
      </c>
      <c r="AV216" s="1">
        <v>40.0</v>
      </c>
      <c r="AW216" s="1">
        <v>1.0</v>
      </c>
      <c r="AX216" s="1" t="s">
        <v>74</v>
      </c>
      <c r="AY216" s="1" t="s">
        <v>74</v>
      </c>
      <c r="AZ216" s="1" t="s">
        <v>74</v>
      </c>
      <c r="BA216" s="1" t="s">
        <v>74</v>
      </c>
      <c r="BB216" s="1" t="s">
        <v>74</v>
      </c>
      <c r="BC216" s="1" t="s">
        <v>74</v>
      </c>
      <c r="BD216" s="1">
        <v>36.0</v>
      </c>
      <c r="BE216" s="1" t="s">
        <v>2373</v>
      </c>
      <c r="BF216" s="2" t="str">
        <f>HYPERLINK("http://dx.doi.org/10.1007/s11274-023-03808-9","http://dx.doi.org/10.1007/s11274-023-03808-9")</f>
        <v>http://dx.doi.org/10.1007/s11274-023-03808-9</v>
      </c>
      <c r="BG216" s="1" t="s">
        <v>74</v>
      </c>
      <c r="BH216" s="1" t="s">
        <v>74</v>
      </c>
      <c r="BI216" s="1" t="s">
        <v>74</v>
      </c>
      <c r="BJ216" s="1" t="s">
        <v>74</v>
      </c>
      <c r="BK216" s="1" t="s">
        <v>74</v>
      </c>
      <c r="BL216" s="1" t="s">
        <v>74</v>
      </c>
      <c r="BM216" s="1" t="s">
        <v>74</v>
      </c>
      <c r="BN216" s="1">
        <v>3.8057648E7</v>
      </c>
      <c r="BO216" s="1" t="s">
        <v>74</v>
      </c>
      <c r="BP216" s="1" t="s">
        <v>74</v>
      </c>
      <c r="BQ216" s="1" t="s">
        <v>74</v>
      </c>
      <c r="BR216" s="1" t="s">
        <v>74</v>
      </c>
      <c r="BS216" s="1" t="s">
        <v>2374</v>
      </c>
      <c r="BT216" s="1" t="str">
        <f>HYPERLINK("https%3A%2F%2Fwww.webofscience.com%2Fwos%2Fwoscc%2Ffull-record%2FWOS:001115493200013","View Full Record in Web of Science")</f>
        <v>View Full Record in Web of Science</v>
      </c>
    </row>
    <row r="217" ht="12.75" customHeight="1">
      <c r="A217" s="1" t="s">
        <v>72</v>
      </c>
      <c r="B217" s="1" t="s">
        <v>2375</v>
      </c>
      <c r="C217" s="1" t="s">
        <v>74</v>
      </c>
      <c r="D217" s="1" t="s">
        <v>74</v>
      </c>
      <c r="E217" s="1" t="s">
        <v>74</v>
      </c>
      <c r="F217" s="1" t="s">
        <v>2376</v>
      </c>
      <c r="G217" s="1" t="s">
        <v>74</v>
      </c>
      <c r="H217" s="1" t="s">
        <v>74</v>
      </c>
      <c r="I217" s="1" t="s">
        <v>2377</v>
      </c>
      <c r="J217" s="1" t="s">
        <v>2378</v>
      </c>
      <c r="K217" s="1" t="s">
        <v>74</v>
      </c>
      <c r="L217" s="1" t="s">
        <v>74</v>
      </c>
      <c r="M217" s="1" t="s">
        <v>74</v>
      </c>
      <c r="N217" s="1" t="s">
        <v>74</v>
      </c>
      <c r="O217" s="1" t="s">
        <v>74</v>
      </c>
      <c r="P217" s="1" t="s">
        <v>74</v>
      </c>
      <c r="Q217" s="1" t="s">
        <v>74</v>
      </c>
      <c r="R217" s="1" t="s">
        <v>74</v>
      </c>
      <c r="S217" s="1" t="s">
        <v>74</v>
      </c>
      <c r="T217" s="1" t="s">
        <v>74</v>
      </c>
      <c r="U217" s="1" t="s">
        <v>74</v>
      </c>
      <c r="V217" s="1" t="s">
        <v>2379</v>
      </c>
      <c r="W217" s="1" t="s">
        <v>74</v>
      </c>
      <c r="X217" s="1" t="s">
        <v>74</v>
      </c>
      <c r="Y217" s="1" t="s">
        <v>74</v>
      </c>
      <c r="Z217" s="1" t="s">
        <v>74</v>
      </c>
      <c r="AA217" s="1" t="s">
        <v>2380</v>
      </c>
      <c r="AB217" s="1" t="s">
        <v>2381</v>
      </c>
      <c r="AC217" s="1" t="s">
        <v>74</v>
      </c>
      <c r="AD217" s="1" t="s">
        <v>74</v>
      </c>
      <c r="AE217" s="1" t="s">
        <v>74</v>
      </c>
      <c r="AF217" s="1" t="s">
        <v>74</v>
      </c>
      <c r="AG217" s="1" t="s">
        <v>74</v>
      </c>
      <c r="AH217" s="1" t="s">
        <v>74</v>
      </c>
      <c r="AI217" s="1" t="s">
        <v>74</v>
      </c>
      <c r="AJ217" s="1" t="s">
        <v>74</v>
      </c>
      <c r="AK217" s="1" t="s">
        <v>74</v>
      </c>
      <c r="AL217" s="1" t="s">
        <v>74</v>
      </c>
      <c r="AM217" s="1" t="s">
        <v>74</v>
      </c>
      <c r="AN217" s="1" t="s">
        <v>74</v>
      </c>
      <c r="AO217" s="1" t="s">
        <v>2382</v>
      </c>
      <c r="AP217" s="1" t="s">
        <v>2383</v>
      </c>
      <c r="AQ217" s="1" t="s">
        <v>74</v>
      </c>
      <c r="AR217" s="1" t="s">
        <v>74</v>
      </c>
      <c r="AS217" s="1" t="s">
        <v>74</v>
      </c>
      <c r="AT217" s="1" t="s">
        <v>1702</v>
      </c>
      <c r="AU217" s="1">
        <v>2024.0</v>
      </c>
      <c r="AV217" s="1">
        <v>349.0</v>
      </c>
      <c r="AW217" s="1" t="s">
        <v>74</v>
      </c>
      <c r="AX217" s="1" t="s">
        <v>74</v>
      </c>
      <c r="AY217" s="1" t="s">
        <v>74</v>
      </c>
      <c r="AZ217" s="1" t="s">
        <v>74</v>
      </c>
      <c r="BA217" s="1" t="s">
        <v>74</v>
      </c>
      <c r="BB217" s="1" t="s">
        <v>74</v>
      </c>
      <c r="BC217" s="1" t="s">
        <v>74</v>
      </c>
      <c r="BD217" s="1">
        <v>119556.0</v>
      </c>
      <c r="BE217" s="1" t="s">
        <v>2384</v>
      </c>
      <c r="BF217" s="2" t="str">
        <f>HYPERLINK("http://dx.doi.org/10.1016/j.jenvman.2023.119556","http://dx.doi.org/10.1016/j.jenvman.2023.119556")</f>
        <v>http://dx.doi.org/10.1016/j.jenvman.2023.119556</v>
      </c>
      <c r="BG217" s="1" t="s">
        <v>74</v>
      </c>
      <c r="BH217" s="1" t="s">
        <v>2385</v>
      </c>
      <c r="BI217" s="1" t="s">
        <v>74</v>
      </c>
      <c r="BJ217" s="1" t="s">
        <v>74</v>
      </c>
      <c r="BK217" s="1" t="s">
        <v>74</v>
      </c>
      <c r="BL217" s="1" t="s">
        <v>74</v>
      </c>
      <c r="BM217" s="1" t="s">
        <v>74</v>
      </c>
      <c r="BN217" s="1">
        <v>3.7984271E7</v>
      </c>
      <c r="BO217" s="1" t="s">
        <v>74</v>
      </c>
      <c r="BP217" s="1" t="s">
        <v>74</v>
      </c>
      <c r="BQ217" s="1" t="s">
        <v>74</v>
      </c>
      <c r="BR217" s="1" t="s">
        <v>74</v>
      </c>
      <c r="BS217" s="1" t="s">
        <v>2386</v>
      </c>
      <c r="BT217" s="1" t="str">
        <f>HYPERLINK("https%3A%2F%2Fwww.webofscience.com%2Fwos%2Fwoscc%2Ffull-record%2FWOS:001122440600001","View Full Record in Web of Science")</f>
        <v>View Full Record in Web of Science</v>
      </c>
    </row>
    <row r="218" ht="12.75" customHeight="1">
      <c r="A218" s="1" t="s">
        <v>72</v>
      </c>
      <c r="B218" s="1" t="s">
        <v>2387</v>
      </c>
      <c r="C218" s="1" t="s">
        <v>74</v>
      </c>
      <c r="D218" s="1" t="s">
        <v>74</v>
      </c>
      <c r="E218" s="1" t="s">
        <v>74</v>
      </c>
      <c r="F218" s="1" t="s">
        <v>2388</v>
      </c>
      <c r="G218" s="1" t="s">
        <v>74</v>
      </c>
      <c r="H218" s="1" t="s">
        <v>74</v>
      </c>
      <c r="I218" s="1" t="s">
        <v>2389</v>
      </c>
      <c r="J218" s="1" t="s">
        <v>229</v>
      </c>
      <c r="K218" s="1" t="s">
        <v>74</v>
      </c>
      <c r="L218" s="1" t="s">
        <v>74</v>
      </c>
      <c r="M218" s="1" t="s">
        <v>74</v>
      </c>
      <c r="N218" s="1" t="s">
        <v>74</v>
      </c>
      <c r="O218" s="1" t="s">
        <v>74</v>
      </c>
      <c r="P218" s="1" t="s">
        <v>74</v>
      </c>
      <c r="Q218" s="1" t="s">
        <v>74</v>
      </c>
      <c r="R218" s="1" t="s">
        <v>74</v>
      </c>
      <c r="S218" s="1" t="s">
        <v>74</v>
      </c>
      <c r="T218" s="1" t="s">
        <v>74</v>
      </c>
      <c r="U218" s="1" t="s">
        <v>74</v>
      </c>
      <c r="V218" s="1" t="s">
        <v>2390</v>
      </c>
      <c r="W218" s="1" t="s">
        <v>74</v>
      </c>
      <c r="X218" s="1" t="s">
        <v>74</v>
      </c>
      <c r="Y218" s="1" t="s">
        <v>74</v>
      </c>
      <c r="Z218" s="1" t="s">
        <v>74</v>
      </c>
      <c r="AA218" s="1" t="s">
        <v>2391</v>
      </c>
      <c r="AB218" s="1" t="s">
        <v>74</v>
      </c>
      <c r="AC218" s="1" t="s">
        <v>74</v>
      </c>
      <c r="AD218" s="1" t="s">
        <v>74</v>
      </c>
      <c r="AE218" s="1" t="s">
        <v>74</v>
      </c>
      <c r="AF218" s="1" t="s">
        <v>74</v>
      </c>
      <c r="AG218" s="1" t="s">
        <v>74</v>
      </c>
      <c r="AH218" s="1" t="s">
        <v>74</v>
      </c>
      <c r="AI218" s="1" t="s">
        <v>74</v>
      </c>
      <c r="AJ218" s="1" t="s">
        <v>74</v>
      </c>
      <c r="AK218" s="1" t="s">
        <v>74</v>
      </c>
      <c r="AL218" s="1" t="s">
        <v>74</v>
      </c>
      <c r="AM218" s="1" t="s">
        <v>74</v>
      </c>
      <c r="AN218" s="1" t="s">
        <v>74</v>
      </c>
      <c r="AO218" s="1" t="s">
        <v>233</v>
      </c>
      <c r="AP218" s="1" t="s">
        <v>234</v>
      </c>
      <c r="AQ218" s="1" t="s">
        <v>74</v>
      </c>
      <c r="AR218" s="1" t="s">
        <v>74</v>
      </c>
      <c r="AS218" s="1" t="s">
        <v>74</v>
      </c>
      <c r="AT218" s="1" t="s">
        <v>201</v>
      </c>
      <c r="AU218" s="1">
        <v>2023.0</v>
      </c>
      <c r="AV218" s="1">
        <v>41.0</v>
      </c>
      <c r="AW218" s="1">
        <v>5.0</v>
      </c>
      <c r="AX218" s="1" t="s">
        <v>74</v>
      </c>
      <c r="AY218" s="1" t="s">
        <v>74</v>
      </c>
      <c r="AZ218" s="1" t="s">
        <v>74</v>
      </c>
      <c r="BA218" s="1" t="s">
        <v>74</v>
      </c>
      <c r="BB218" s="1">
        <v>1485.0</v>
      </c>
      <c r="BC218" s="1">
        <v>1491.0</v>
      </c>
      <c r="BD218" s="1" t="s">
        <v>74</v>
      </c>
      <c r="BE218" s="1" t="s">
        <v>74</v>
      </c>
      <c r="BF218" s="1" t="s">
        <v>74</v>
      </c>
      <c r="BG218" s="1" t="s">
        <v>74</v>
      </c>
      <c r="BH218" s="1" t="s">
        <v>74</v>
      </c>
      <c r="BI218" s="1" t="s">
        <v>74</v>
      </c>
      <c r="BJ218" s="1" t="s">
        <v>74</v>
      </c>
      <c r="BK218" s="1" t="s">
        <v>74</v>
      </c>
      <c r="BL218" s="1" t="s">
        <v>74</v>
      </c>
      <c r="BM218" s="1" t="s">
        <v>74</v>
      </c>
      <c r="BN218" s="1" t="s">
        <v>74</v>
      </c>
      <c r="BO218" s="1" t="s">
        <v>74</v>
      </c>
      <c r="BP218" s="1" t="s">
        <v>74</v>
      </c>
      <c r="BQ218" s="1" t="s">
        <v>74</v>
      </c>
      <c r="BR218" s="1" t="s">
        <v>74</v>
      </c>
      <c r="BS218" s="1" t="s">
        <v>2392</v>
      </c>
      <c r="BT218" s="1" t="str">
        <f>HYPERLINK("https%3A%2F%2Fwww.webofscience.com%2Fwos%2Fwoscc%2Ffull-record%2FWOS:001145205400032","View Full Record in Web of Science")</f>
        <v>View Full Record in Web of Science</v>
      </c>
    </row>
    <row r="219" ht="12.75" customHeight="1">
      <c r="A219" s="1" t="s">
        <v>72</v>
      </c>
      <c r="B219" s="1" t="s">
        <v>2393</v>
      </c>
      <c r="C219" s="1" t="s">
        <v>74</v>
      </c>
      <c r="D219" s="1" t="s">
        <v>74</v>
      </c>
      <c r="E219" s="1" t="s">
        <v>74</v>
      </c>
      <c r="F219" s="1" t="s">
        <v>2394</v>
      </c>
      <c r="G219" s="1" t="s">
        <v>74</v>
      </c>
      <c r="H219" s="1" t="s">
        <v>74</v>
      </c>
      <c r="I219" s="1" t="s">
        <v>2395</v>
      </c>
      <c r="J219" s="1" t="s">
        <v>2396</v>
      </c>
      <c r="K219" s="1" t="s">
        <v>74</v>
      </c>
      <c r="L219" s="1" t="s">
        <v>74</v>
      </c>
      <c r="M219" s="1" t="s">
        <v>74</v>
      </c>
      <c r="N219" s="1" t="s">
        <v>74</v>
      </c>
      <c r="O219" s="1" t="s">
        <v>74</v>
      </c>
      <c r="P219" s="1" t="s">
        <v>74</v>
      </c>
      <c r="Q219" s="1" t="s">
        <v>74</v>
      </c>
      <c r="R219" s="1" t="s">
        <v>74</v>
      </c>
      <c r="S219" s="1" t="s">
        <v>74</v>
      </c>
      <c r="T219" s="1" t="s">
        <v>74</v>
      </c>
      <c r="U219" s="1" t="s">
        <v>74</v>
      </c>
      <c r="V219" s="1" t="s">
        <v>2397</v>
      </c>
      <c r="W219" s="1" t="s">
        <v>74</v>
      </c>
      <c r="X219" s="1" t="s">
        <v>74</v>
      </c>
      <c r="Y219" s="1" t="s">
        <v>74</v>
      </c>
      <c r="Z219" s="1" t="s">
        <v>74</v>
      </c>
      <c r="AA219" s="1" t="s">
        <v>2398</v>
      </c>
      <c r="AB219" s="1" t="s">
        <v>2399</v>
      </c>
      <c r="AC219" s="1" t="s">
        <v>74</v>
      </c>
      <c r="AD219" s="1" t="s">
        <v>74</v>
      </c>
      <c r="AE219" s="1" t="s">
        <v>74</v>
      </c>
      <c r="AF219" s="1" t="s">
        <v>74</v>
      </c>
      <c r="AG219" s="1" t="s">
        <v>74</v>
      </c>
      <c r="AH219" s="1" t="s">
        <v>74</v>
      </c>
      <c r="AI219" s="1" t="s">
        <v>74</v>
      </c>
      <c r="AJ219" s="1" t="s">
        <v>74</v>
      </c>
      <c r="AK219" s="1" t="s">
        <v>74</v>
      </c>
      <c r="AL219" s="1" t="s">
        <v>74</v>
      </c>
      <c r="AM219" s="1" t="s">
        <v>74</v>
      </c>
      <c r="AN219" s="1" t="s">
        <v>74</v>
      </c>
      <c r="AO219" s="1" t="s">
        <v>2400</v>
      </c>
      <c r="AP219" s="1" t="s">
        <v>2401</v>
      </c>
      <c r="AQ219" s="1" t="s">
        <v>74</v>
      </c>
      <c r="AR219" s="1" t="s">
        <v>74</v>
      </c>
      <c r="AS219" s="1" t="s">
        <v>74</v>
      </c>
      <c r="AT219" s="1" t="s">
        <v>348</v>
      </c>
      <c r="AU219" s="1">
        <v>2023.0</v>
      </c>
      <c r="AV219" s="1">
        <v>103.0</v>
      </c>
      <c r="AW219" s="1" t="s">
        <v>74</v>
      </c>
      <c r="AX219" s="1" t="s">
        <v>74</v>
      </c>
      <c r="AY219" s="1" t="s">
        <v>74</v>
      </c>
      <c r="AZ219" s="1" t="s">
        <v>74</v>
      </c>
      <c r="BA219" s="1" t="s">
        <v>74</v>
      </c>
      <c r="BB219" s="1" t="s">
        <v>74</v>
      </c>
      <c r="BC219" s="1" t="s">
        <v>74</v>
      </c>
      <c r="BD219" s="1">
        <v>103224.0</v>
      </c>
      <c r="BE219" s="1" t="s">
        <v>2402</v>
      </c>
      <c r="BF219" s="2" t="str">
        <f>HYPERLINK("http://dx.doi.org/10.1016/j.erss.2023.103224","http://dx.doi.org/10.1016/j.erss.2023.103224")</f>
        <v>http://dx.doi.org/10.1016/j.erss.2023.103224</v>
      </c>
      <c r="BG219" s="1" t="s">
        <v>74</v>
      </c>
      <c r="BH219" s="1" t="s">
        <v>2403</v>
      </c>
      <c r="BI219" s="1" t="s">
        <v>74</v>
      </c>
      <c r="BJ219" s="1" t="s">
        <v>74</v>
      </c>
      <c r="BK219" s="1" t="s">
        <v>74</v>
      </c>
      <c r="BL219" s="1" t="s">
        <v>74</v>
      </c>
      <c r="BM219" s="1" t="s">
        <v>74</v>
      </c>
      <c r="BN219" s="1" t="s">
        <v>74</v>
      </c>
      <c r="BO219" s="1" t="s">
        <v>74</v>
      </c>
      <c r="BP219" s="1" t="s">
        <v>74</v>
      </c>
      <c r="BQ219" s="1" t="s">
        <v>74</v>
      </c>
      <c r="BR219" s="1" t="s">
        <v>74</v>
      </c>
      <c r="BS219" s="1" t="s">
        <v>2404</v>
      </c>
      <c r="BT219" s="1" t="str">
        <f>HYPERLINK("https%3A%2F%2Fwww.webofscience.com%2Fwos%2Fwoscc%2Ffull-record%2FWOS:001048786400001","View Full Record in Web of Science")</f>
        <v>View Full Record in Web of Science</v>
      </c>
    </row>
    <row r="220" ht="12.75" customHeight="1">
      <c r="A220" s="1" t="s">
        <v>72</v>
      </c>
      <c r="B220" s="1" t="s">
        <v>2405</v>
      </c>
      <c r="C220" s="1" t="s">
        <v>74</v>
      </c>
      <c r="D220" s="1" t="s">
        <v>74</v>
      </c>
      <c r="E220" s="1" t="s">
        <v>74</v>
      </c>
      <c r="F220" s="1" t="s">
        <v>2406</v>
      </c>
      <c r="G220" s="1" t="s">
        <v>74</v>
      </c>
      <c r="H220" s="1" t="s">
        <v>74</v>
      </c>
      <c r="I220" s="1" t="s">
        <v>2407</v>
      </c>
      <c r="J220" s="1" t="s">
        <v>2408</v>
      </c>
      <c r="K220" s="1" t="s">
        <v>74</v>
      </c>
      <c r="L220" s="1" t="s">
        <v>74</v>
      </c>
      <c r="M220" s="1" t="s">
        <v>74</v>
      </c>
      <c r="N220" s="1" t="s">
        <v>74</v>
      </c>
      <c r="O220" s="1" t="s">
        <v>74</v>
      </c>
      <c r="P220" s="1" t="s">
        <v>74</v>
      </c>
      <c r="Q220" s="1" t="s">
        <v>74</v>
      </c>
      <c r="R220" s="1" t="s">
        <v>74</v>
      </c>
      <c r="S220" s="1" t="s">
        <v>74</v>
      </c>
      <c r="T220" s="1" t="s">
        <v>74</v>
      </c>
      <c r="U220" s="1" t="s">
        <v>74</v>
      </c>
      <c r="V220" s="1" t="s">
        <v>2409</v>
      </c>
      <c r="W220" s="1" t="s">
        <v>74</v>
      </c>
      <c r="X220" s="1" t="s">
        <v>74</v>
      </c>
      <c r="Y220" s="1" t="s">
        <v>74</v>
      </c>
      <c r="Z220" s="1" t="s">
        <v>74</v>
      </c>
      <c r="AA220" s="1" t="s">
        <v>2410</v>
      </c>
      <c r="AB220" s="1" t="s">
        <v>2411</v>
      </c>
      <c r="AC220" s="1" t="s">
        <v>74</v>
      </c>
      <c r="AD220" s="1" t="s">
        <v>74</v>
      </c>
      <c r="AE220" s="1" t="s">
        <v>74</v>
      </c>
      <c r="AF220" s="1" t="s">
        <v>74</v>
      </c>
      <c r="AG220" s="1" t="s">
        <v>74</v>
      </c>
      <c r="AH220" s="1" t="s">
        <v>74</v>
      </c>
      <c r="AI220" s="1" t="s">
        <v>74</v>
      </c>
      <c r="AJ220" s="1" t="s">
        <v>74</v>
      </c>
      <c r="AK220" s="1" t="s">
        <v>74</v>
      </c>
      <c r="AL220" s="1" t="s">
        <v>74</v>
      </c>
      <c r="AM220" s="1" t="s">
        <v>74</v>
      </c>
      <c r="AN220" s="1" t="s">
        <v>74</v>
      </c>
      <c r="AO220" s="1" t="s">
        <v>2412</v>
      </c>
      <c r="AP220" s="1" t="s">
        <v>74</v>
      </c>
      <c r="AQ220" s="1" t="s">
        <v>74</v>
      </c>
      <c r="AR220" s="1" t="s">
        <v>74</v>
      </c>
      <c r="AS220" s="1" t="s">
        <v>74</v>
      </c>
      <c r="AT220" s="1" t="s">
        <v>2413</v>
      </c>
      <c r="AU220" s="1">
        <v>2023.0</v>
      </c>
      <c r="AV220" s="1">
        <v>11.0</v>
      </c>
      <c r="AW220" s="1" t="s">
        <v>74</v>
      </c>
      <c r="AX220" s="1" t="s">
        <v>74</v>
      </c>
      <c r="AY220" s="1" t="s">
        <v>74</v>
      </c>
      <c r="AZ220" s="1" t="s">
        <v>74</v>
      </c>
      <c r="BA220" s="1" t="s">
        <v>74</v>
      </c>
      <c r="BB220" s="1" t="s">
        <v>74</v>
      </c>
      <c r="BC220" s="1" t="s">
        <v>74</v>
      </c>
      <c r="BD220" s="1">
        <v>1226604.0</v>
      </c>
      <c r="BE220" s="1" t="s">
        <v>2414</v>
      </c>
      <c r="BF220" s="2" t="str">
        <f>HYPERLINK("http://dx.doi.org/10.3389/fcell.2023.1226604","http://dx.doi.org/10.3389/fcell.2023.1226604")</f>
        <v>http://dx.doi.org/10.3389/fcell.2023.1226604</v>
      </c>
      <c r="BG220" s="1" t="s">
        <v>74</v>
      </c>
      <c r="BH220" s="1" t="s">
        <v>74</v>
      </c>
      <c r="BI220" s="1" t="s">
        <v>74</v>
      </c>
      <c r="BJ220" s="1" t="s">
        <v>74</v>
      </c>
      <c r="BK220" s="1" t="s">
        <v>74</v>
      </c>
      <c r="BL220" s="1" t="s">
        <v>74</v>
      </c>
      <c r="BM220" s="1" t="s">
        <v>74</v>
      </c>
      <c r="BN220" s="1">
        <v>3.7645251E7</v>
      </c>
      <c r="BO220" s="1" t="s">
        <v>74</v>
      </c>
      <c r="BP220" s="1" t="s">
        <v>74</v>
      </c>
      <c r="BQ220" s="1" t="s">
        <v>74</v>
      </c>
      <c r="BR220" s="1" t="s">
        <v>74</v>
      </c>
      <c r="BS220" s="1" t="s">
        <v>2415</v>
      </c>
      <c r="BT220" s="1" t="str">
        <f>HYPERLINK("https%3A%2F%2Fwww.webofscience.com%2Fwos%2Fwoscc%2Ffull-record%2FWOS:001046596600001","View Full Record in Web of Science")</f>
        <v>View Full Record in Web of Science</v>
      </c>
    </row>
    <row r="221" ht="12.75" customHeight="1">
      <c r="A221" s="1" t="s">
        <v>72</v>
      </c>
      <c r="B221" s="1" t="s">
        <v>2416</v>
      </c>
      <c r="C221" s="1" t="s">
        <v>74</v>
      </c>
      <c r="D221" s="1" t="s">
        <v>74</v>
      </c>
      <c r="E221" s="1" t="s">
        <v>74</v>
      </c>
      <c r="F221" s="1" t="s">
        <v>2417</v>
      </c>
      <c r="G221" s="1" t="s">
        <v>74</v>
      </c>
      <c r="H221" s="1" t="s">
        <v>74</v>
      </c>
      <c r="I221" s="1" t="s">
        <v>2418</v>
      </c>
      <c r="J221" s="1" t="s">
        <v>1869</v>
      </c>
      <c r="K221" s="1" t="s">
        <v>74</v>
      </c>
      <c r="L221" s="1" t="s">
        <v>74</v>
      </c>
      <c r="M221" s="1" t="s">
        <v>74</v>
      </c>
      <c r="N221" s="1" t="s">
        <v>74</v>
      </c>
      <c r="O221" s="1" t="s">
        <v>74</v>
      </c>
      <c r="P221" s="1" t="s">
        <v>74</v>
      </c>
      <c r="Q221" s="1" t="s">
        <v>74</v>
      </c>
      <c r="R221" s="1" t="s">
        <v>74</v>
      </c>
      <c r="S221" s="1" t="s">
        <v>74</v>
      </c>
      <c r="T221" s="1" t="s">
        <v>74</v>
      </c>
      <c r="U221" s="1" t="s">
        <v>74</v>
      </c>
      <c r="V221" s="1" t="s">
        <v>2419</v>
      </c>
      <c r="W221" s="1" t="s">
        <v>74</v>
      </c>
      <c r="X221" s="1" t="s">
        <v>74</v>
      </c>
      <c r="Y221" s="1" t="s">
        <v>74</v>
      </c>
      <c r="Z221" s="1" t="s">
        <v>74</v>
      </c>
      <c r="AA221" s="1" t="s">
        <v>2420</v>
      </c>
      <c r="AB221" s="1" t="s">
        <v>2421</v>
      </c>
      <c r="AC221" s="1" t="s">
        <v>74</v>
      </c>
      <c r="AD221" s="1" t="s">
        <v>74</v>
      </c>
      <c r="AE221" s="1" t="s">
        <v>74</v>
      </c>
      <c r="AF221" s="1" t="s">
        <v>74</v>
      </c>
      <c r="AG221" s="1" t="s">
        <v>74</v>
      </c>
      <c r="AH221" s="1" t="s">
        <v>74</v>
      </c>
      <c r="AI221" s="1" t="s">
        <v>74</v>
      </c>
      <c r="AJ221" s="1" t="s">
        <v>74</v>
      </c>
      <c r="AK221" s="1" t="s">
        <v>74</v>
      </c>
      <c r="AL221" s="1" t="s">
        <v>74</v>
      </c>
      <c r="AM221" s="1" t="s">
        <v>74</v>
      </c>
      <c r="AN221" s="1" t="s">
        <v>74</v>
      </c>
      <c r="AO221" s="1" t="s">
        <v>1873</v>
      </c>
      <c r="AP221" s="1" t="s">
        <v>2422</v>
      </c>
      <c r="AQ221" s="1" t="s">
        <v>74</v>
      </c>
      <c r="AR221" s="1" t="s">
        <v>74</v>
      </c>
      <c r="AS221" s="1" t="s">
        <v>74</v>
      </c>
      <c r="AT221" s="1" t="s">
        <v>2423</v>
      </c>
      <c r="AU221" s="1">
        <v>2023.0</v>
      </c>
      <c r="AV221" s="1" t="s">
        <v>74</v>
      </c>
      <c r="AW221" s="1" t="s">
        <v>74</v>
      </c>
      <c r="AX221" s="1" t="s">
        <v>74</v>
      </c>
      <c r="AY221" s="1" t="s">
        <v>74</v>
      </c>
      <c r="AZ221" s="1" t="s">
        <v>74</v>
      </c>
      <c r="BA221" s="1" t="s">
        <v>74</v>
      </c>
      <c r="BB221" s="1" t="s">
        <v>74</v>
      </c>
      <c r="BC221" s="1" t="s">
        <v>74</v>
      </c>
      <c r="BD221" s="1" t="s">
        <v>74</v>
      </c>
      <c r="BE221" s="1" t="s">
        <v>2424</v>
      </c>
      <c r="BF221" s="2" t="str">
        <f>HYPERLINK("http://dx.doi.org/10.1108/ARLA-11-2022-0203","http://dx.doi.org/10.1108/ARLA-11-2022-0203")</f>
        <v>http://dx.doi.org/10.1108/ARLA-11-2022-0203</v>
      </c>
      <c r="BG221" s="1" t="s">
        <v>74</v>
      </c>
      <c r="BH221" s="1" t="s">
        <v>2425</v>
      </c>
      <c r="BI221" s="1" t="s">
        <v>74</v>
      </c>
      <c r="BJ221" s="1" t="s">
        <v>74</v>
      </c>
      <c r="BK221" s="1" t="s">
        <v>74</v>
      </c>
      <c r="BL221" s="1" t="s">
        <v>74</v>
      </c>
      <c r="BM221" s="1" t="s">
        <v>74</v>
      </c>
      <c r="BN221" s="1" t="s">
        <v>74</v>
      </c>
      <c r="BO221" s="1" t="s">
        <v>74</v>
      </c>
      <c r="BP221" s="1" t="s">
        <v>74</v>
      </c>
      <c r="BQ221" s="1" t="s">
        <v>74</v>
      </c>
      <c r="BR221" s="1" t="s">
        <v>74</v>
      </c>
      <c r="BS221" s="1" t="s">
        <v>2426</v>
      </c>
      <c r="BT221" s="1" t="str">
        <f>HYPERLINK("https%3A%2F%2Fwww.webofscience.com%2Fwos%2Fwoscc%2Ffull-record%2FWOS:001014125900001","View Full Record in Web of Science")</f>
        <v>View Full Record in Web of Science</v>
      </c>
    </row>
    <row r="222" ht="12.75" customHeight="1">
      <c r="A222" s="1" t="s">
        <v>72</v>
      </c>
      <c r="B222" s="1" t="s">
        <v>2427</v>
      </c>
      <c r="C222" s="1" t="s">
        <v>74</v>
      </c>
      <c r="D222" s="1" t="s">
        <v>74</v>
      </c>
      <c r="E222" s="1" t="s">
        <v>74</v>
      </c>
      <c r="F222" s="1" t="s">
        <v>2428</v>
      </c>
      <c r="G222" s="1" t="s">
        <v>74</v>
      </c>
      <c r="H222" s="1" t="s">
        <v>74</v>
      </c>
      <c r="I222" s="1" t="s">
        <v>2429</v>
      </c>
      <c r="J222" s="1" t="s">
        <v>2430</v>
      </c>
      <c r="K222" s="1" t="s">
        <v>74</v>
      </c>
      <c r="L222" s="1" t="s">
        <v>74</v>
      </c>
      <c r="M222" s="1" t="s">
        <v>74</v>
      </c>
      <c r="N222" s="1" t="s">
        <v>74</v>
      </c>
      <c r="O222" s="1" t="s">
        <v>74</v>
      </c>
      <c r="P222" s="1" t="s">
        <v>74</v>
      </c>
      <c r="Q222" s="1" t="s">
        <v>74</v>
      </c>
      <c r="R222" s="1" t="s">
        <v>74</v>
      </c>
      <c r="S222" s="1" t="s">
        <v>74</v>
      </c>
      <c r="T222" s="1" t="s">
        <v>74</v>
      </c>
      <c r="U222" s="1" t="s">
        <v>74</v>
      </c>
      <c r="V222" s="1" t="s">
        <v>2431</v>
      </c>
      <c r="W222" s="1" t="s">
        <v>74</v>
      </c>
      <c r="X222" s="1" t="s">
        <v>74</v>
      </c>
      <c r="Y222" s="1" t="s">
        <v>74</v>
      </c>
      <c r="Z222" s="1" t="s">
        <v>74</v>
      </c>
      <c r="AA222" s="1" t="s">
        <v>2432</v>
      </c>
      <c r="AB222" s="1" t="s">
        <v>2433</v>
      </c>
      <c r="AC222" s="1" t="s">
        <v>74</v>
      </c>
      <c r="AD222" s="1" t="s">
        <v>74</v>
      </c>
      <c r="AE222" s="1" t="s">
        <v>74</v>
      </c>
      <c r="AF222" s="1" t="s">
        <v>74</v>
      </c>
      <c r="AG222" s="1" t="s">
        <v>74</v>
      </c>
      <c r="AH222" s="1" t="s">
        <v>74</v>
      </c>
      <c r="AI222" s="1" t="s">
        <v>74</v>
      </c>
      <c r="AJ222" s="1" t="s">
        <v>74</v>
      </c>
      <c r="AK222" s="1" t="s">
        <v>74</v>
      </c>
      <c r="AL222" s="1" t="s">
        <v>74</v>
      </c>
      <c r="AM222" s="1" t="s">
        <v>74</v>
      </c>
      <c r="AN222" s="1" t="s">
        <v>74</v>
      </c>
      <c r="AO222" s="1" t="s">
        <v>2434</v>
      </c>
      <c r="AP222" s="1" t="s">
        <v>2435</v>
      </c>
      <c r="AQ222" s="1" t="s">
        <v>74</v>
      </c>
      <c r="AR222" s="1" t="s">
        <v>74</v>
      </c>
      <c r="AS222" s="1" t="s">
        <v>74</v>
      </c>
      <c r="AT222" s="1" t="s">
        <v>2436</v>
      </c>
      <c r="AU222" s="1">
        <v>2023.0</v>
      </c>
      <c r="AV222" s="1">
        <v>384.0</v>
      </c>
      <c r="AW222" s="1" t="s">
        <v>74</v>
      </c>
      <c r="AX222" s="1" t="s">
        <v>74</v>
      </c>
      <c r="AY222" s="1" t="s">
        <v>74</v>
      </c>
      <c r="AZ222" s="1" t="s">
        <v>74</v>
      </c>
      <c r="BA222" s="1" t="s">
        <v>74</v>
      </c>
      <c r="BB222" s="1" t="s">
        <v>74</v>
      </c>
      <c r="BC222" s="1" t="s">
        <v>74</v>
      </c>
      <c r="BD222" s="1">
        <v>122258.0</v>
      </c>
      <c r="BE222" s="1" t="s">
        <v>2437</v>
      </c>
      <c r="BF222" s="2" t="str">
        <f>HYPERLINK("http://dx.doi.org/10.1016/j.molliq.2023.122258","http://dx.doi.org/10.1016/j.molliq.2023.122258")</f>
        <v>http://dx.doi.org/10.1016/j.molliq.2023.122258</v>
      </c>
      <c r="BG222" s="1" t="s">
        <v>74</v>
      </c>
      <c r="BH222" s="1" t="s">
        <v>2425</v>
      </c>
      <c r="BI222" s="1" t="s">
        <v>74</v>
      </c>
      <c r="BJ222" s="1" t="s">
        <v>74</v>
      </c>
      <c r="BK222" s="1" t="s">
        <v>74</v>
      </c>
      <c r="BL222" s="1" t="s">
        <v>74</v>
      </c>
      <c r="BM222" s="1" t="s">
        <v>74</v>
      </c>
      <c r="BN222" s="1" t="s">
        <v>74</v>
      </c>
      <c r="BO222" s="1" t="s">
        <v>74</v>
      </c>
      <c r="BP222" s="1" t="s">
        <v>74</v>
      </c>
      <c r="BQ222" s="1" t="s">
        <v>74</v>
      </c>
      <c r="BR222" s="1" t="s">
        <v>74</v>
      </c>
      <c r="BS222" s="1" t="s">
        <v>2438</v>
      </c>
      <c r="BT222" s="1" t="str">
        <f>HYPERLINK("https%3A%2F%2Fwww.webofscience.com%2Fwos%2Fwoscc%2Ffull-record%2FWOS:001022227300001","View Full Record in Web of Science")</f>
        <v>View Full Record in Web of Science</v>
      </c>
    </row>
    <row r="223" ht="12.75" customHeight="1">
      <c r="A223" s="1" t="s">
        <v>72</v>
      </c>
      <c r="B223" s="1" t="s">
        <v>2439</v>
      </c>
      <c r="C223" s="1" t="s">
        <v>74</v>
      </c>
      <c r="D223" s="1" t="s">
        <v>74</v>
      </c>
      <c r="E223" s="1" t="s">
        <v>74</v>
      </c>
      <c r="F223" s="1" t="s">
        <v>2440</v>
      </c>
      <c r="G223" s="1" t="s">
        <v>74</v>
      </c>
      <c r="H223" s="1" t="s">
        <v>74</v>
      </c>
      <c r="I223" s="1" t="s">
        <v>2441</v>
      </c>
      <c r="J223" s="1" t="s">
        <v>2442</v>
      </c>
      <c r="K223" s="1" t="s">
        <v>74</v>
      </c>
      <c r="L223" s="1" t="s">
        <v>74</v>
      </c>
      <c r="M223" s="1" t="s">
        <v>74</v>
      </c>
      <c r="N223" s="1" t="s">
        <v>74</v>
      </c>
      <c r="O223" s="1" t="s">
        <v>74</v>
      </c>
      <c r="P223" s="1" t="s">
        <v>74</v>
      </c>
      <c r="Q223" s="1" t="s">
        <v>74</v>
      </c>
      <c r="R223" s="1" t="s">
        <v>74</v>
      </c>
      <c r="S223" s="1" t="s">
        <v>74</v>
      </c>
      <c r="T223" s="1" t="s">
        <v>74</v>
      </c>
      <c r="U223" s="1" t="s">
        <v>74</v>
      </c>
      <c r="V223" s="1" t="s">
        <v>2443</v>
      </c>
      <c r="W223" s="1" t="s">
        <v>74</v>
      </c>
      <c r="X223" s="1" t="s">
        <v>74</v>
      </c>
      <c r="Y223" s="1" t="s">
        <v>74</v>
      </c>
      <c r="Z223" s="1" t="s">
        <v>74</v>
      </c>
      <c r="AA223" s="1" t="s">
        <v>74</v>
      </c>
      <c r="AB223" s="1" t="s">
        <v>2444</v>
      </c>
      <c r="AC223" s="1" t="s">
        <v>74</v>
      </c>
      <c r="AD223" s="1" t="s">
        <v>74</v>
      </c>
      <c r="AE223" s="1" t="s">
        <v>74</v>
      </c>
      <c r="AF223" s="1" t="s">
        <v>74</v>
      </c>
      <c r="AG223" s="1" t="s">
        <v>74</v>
      </c>
      <c r="AH223" s="1" t="s">
        <v>74</v>
      </c>
      <c r="AI223" s="1" t="s">
        <v>74</v>
      </c>
      <c r="AJ223" s="1" t="s">
        <v>74</v>
      </c>
      <c r="AK223" s="1" t="s">
        <v>74</v>
      </c>
      <c r="AL223" s="1" t="s">
        <v>74</v>
      </c>
      <c r="AM223" s="1" t="s">
        <v>74</v>
      </c>
      <c r="AN223" s="1" t="s">
        <v>74</v>
      </c>
      <c r="AO223" s="1" t="s">
        <v>2445</v>
      </c>
      <c r="AP223" s="1" t="s">
        <v>2446</v>
      </c>
      <c r="AQ223" s="1" t="s">
        <v>74</v>
      </c>
      <c r="AR223" s="1" t="s">
        <v>74</v>
      </c>
      <c r="AS223" s="1" t="s">
        <v>74</v>
      </c>
      <c r="AT223" s="1" t="s">
        <v>2447</v>
      </c>
      <c r="AU223" s="1">
        <v>2023.0</v>
      </c>
      <c r="AV223" s="1">
        <v>2023.0</v>
      </c>
      <c r="AW223" s="1">
        <v>1.0</v>
      </c>
      <c r="AX223" s="1" t="s">
        <v>74</v>
      </c>
      <c r="AY223" s="1" t="s">
        <v>74</v>
      </c>
      <c r="AZ223" s="1" t="s">
        <v>74</v>
      </c>
      <c r="BA223" s="1" t="s">
        <v>74</v>
      </c>
      <c r="BB223" s="1">
        <v>372.0</v>
      </c>
      <c r="BC223" s="1">
        <v>405.0</v>
      </c>
      <c r="BD223" s="1" t="s">
        <v>74</v>
      </c>
      <c r="BE223" s="1" t="s">
        <v>2448</v>
      </c>
      <c r="BF223" s="2" t="str">
        <f>HYPERLINK("http://dx.doi.org/10.1093/imrn/rnab281","http://dx.doi.org/10.1093/imrn/rnab281")</f>
        <v>http://dx.doi.org/10.1093/imrn/rnab281</v>
      </c>
      <c r="BG223" s="1" t="s">
        <v>74</v>
      </c>
      <c r="BH223" s="1" t="s">
        <v>1405</v>
      </c>
      <c r="BI223" s="1" t="s">
        <v>74</v>
      </c>
      <c r="BJ223" s="1" t="s">
        <v>74</v>
      </c>
      <c r="BK223" s="1" t="s">
        <v>74</v>
      </c>
      <c r="BL223" s="1" t="s">
        <v>74</v>
      </c>
      <c r="BM223" s="1" t="s">
        <v>74</v>
      </c>
      <c r="BN223" s="1" t="s">
        <v>74</v>
      </c>
      <c r="BO223" s="1" t="s">
        <v>74</v>
      </c>
      <c r="BP223" s="1" t="s">
        <v>74</v>
      </c>
      <c r="BQ223" s="1" t="s">
        <v>74</v>
      </c>
      <c r="BR223" s="1" t="s">
        <v>74</v>
      </c>
      <c r="BS223" s="1" t="s">
        <v>2449</v>
      </c>
      <c r="BT223" s="1" t="str">
        <f>HYPERLINK("https%3A%2F%2Fwww.webofscience.com%2Fwos%2Fwoscc%2Ffull-record%2FWOS:000790056800001","View Full Record in Web of Science")</f>
        <v>View Full Record in Web of Science</v>
      </c>
    </row>
    <row r="224" ht="12.75" customHeight="1">
      <c r="A224" s="1" t="s">
        <v>72</v>
      </c>
      <c r="B224" s="1" t="s">
        <v>2450</v>
      </c>
      <c r="C224" s="1" t="s">
        <v>74</v>
      </c>
      <c r="D224" s="1" t="s">
        <v>74</v>
      </c>
      <c r="E224" s="1" t="s">
        <v>74</v>
      </c>
      <c r="F224" s="1" t="s">
        <v>2451</v>
      </c>
      <c r="G224" s="1" t="s">
        <v>74</v>
      </c>
      <c r="H224" s="1" t="s">
        <v>74</v>
      </c>
      <c r="I224" s="1" t="s">
        <v>2452</v>
      </c>
      <c r="J224" s="1" t="s">
        <v>2453</v>
      </c>
      <c r="K224" s="1" t="s">
        <v>74</v>
      </c>
      <c r="L224" s="1" t="s">
        <v>74</v>
      </c>
      <c r="M224" s="1" t="s">
        <v>74</v>
      </c>
      <c r="N224" s="1" t="s">
        <v>74</v>
      </c>
      <c r="O224" s="1" t="s">
        <v>74</v>
      </c>
      <c r="P224" s="1" t="s">
        <v>74</v>
      </c>
      <c r="Q224" s="1" t="s">
        <v>74</v>
      </c>
      <c r="R224" s="1" t="s">
        <v>74</v>
      </c>
      <c r="S224" s="1" t="s">
        <v>74</v>
      </c>
      <c r="T224" s="1" t="s">
        <v>74</v>
      </c>
      <c r="U224" s="1" t="s">
        <v>74</v>
      </c>
      <c r="V224" s="1" t="s">
        <v>2454</v>
      </c>
      <c r="W224" s="1" t="s">
        <v>74</v>
      </c>
      <c r="X224" s="1" t="s">
        <v>74</v>
      </c>
      <c r="Y224" s="1" t="s">
        <v>74</v>
      </c>
      <c r="Z224" s="1" t="s">
        <v>74</v>
      </c>
      <c r="AA224" s="1" t="s">
        <v>2455</v>
      </c>
      <c r="AB224" s="1" t="s">
        <v>2456</v>
      </c>
      <c r="AC224" s="1" t="s">
        <v>74</v>
      </c>
      <c r="AD224" s="1" t="s">
        <v>74</v>
      </c>
      <c r="AE224" s="1" t="s">
        <v>74</v>
      </c>
      <c r="AF224" s="1" t="s">
        <v>74</v>
      </c>
      <c r="AG224" s="1" t="s">
        <v>74</v>
      </c>
      <c r="AH224" s="1" t="s">
        <v>74</v>
      </c>
      <c r="AI224" s="1" t="s">
        <v>74</v>
      </c>
      <c r="AJ224" s="1" t="s">
        <v>74</v>
      </c>
      <c r="AK224" s="1" t="s">
        <v>74</v>
      </c>
      <c r="AL224" s="1" t="s">
        <v>74</v>
      </c>
      <c r="AM224" s="1" t="s">
        <v>74</v>
      </c>
      <c r="AN224" s="1" t="s">
        <v>74</v>
      </c>
      <c r="AO224" s="1" t="s">
        <v>2457</v>
      </c>
      <c r="AP224" s="1" t="s">
        <v>2458</v>
      </c>
      <c r="AQ224" s="1" t="s">
        <v>74</v>
      </c>
      <c r="AR224" s="1" t="s">
        <v>74</v>
      </c>
      <c r="AS224" s="1" t="s">
        <v>74</v>
      </c>
      <c r="AT224" s="1" t="s">
        <v>2459</v>
      </c>
      <c r="AU224" s="1">
        <v>2021.0</v>
      </c>
      <c r="AV224" s="1">
        <v>71.0</v>
      </c>
      <c r="AW224" s="1">
        <v>6.0</v>
      </c>
      <c r="AX224" s="1" t="s">
        <v>74</v>
      </c>
      <c r="AY224" s="1" t="s">
        <v>74</v>
      </c>
      <c r="AZ224" s="1" t="s">
        <v>74</v>
      </c>
      <c r="BA224" s="1" t="s">
        <v>74</v>
      </c>
      <c r="BB224" s="1">
        <v>721.0</v>
      </c>
      <c r="BC224" s="1">
        <v>736.0</v>
      </c>
      <c r="BD224" s="1" t="s">
        <v>74</v>
      </c>
      <c r="BE224" s="1" t="s">
        <v>2460</v>
      </c>
      <c r="BF224" s="2" t="str">
        <f>HYPERLINK("http://dx.doi.org/10.1080/10962247.2021.1877211","http://dx.doi.org/10.1080/10962247.2021.1877211")</f>
        <v>http://dx.doi.org/10.1080/10962247.2021.1877211</v>
      </c>
      <c r="BG224" s="1" t="s">
        <v>74</v>
      </c>
      <c r="BH224" s="1" t="s">
        <v>2461</v>
      </c>
      <c r="BI224" s="1" t="s">
        <v>74</v>
      </c>
      <c r="BJ224" s="1" t="s">
        <v>74</v>
      </c>
      <c r="BK224" s="1" t="s">
        <v>74</v>
      </c>
      <c r="BL224" s="1" t="s">
        <v>74</v>
      </c>
      <c r="BM224" s="1" t="s">
        <v>74</v>
      </c>
      <c r="BN224" s="1">
        <v>3.3507131E7</v>
      </c>
      <c r="BO224" s="1" t="s">
        <v>74</v>
      </c>
      <c r="BP224" s="1" t="s">
        <v>74</v>
      </c>
      <c r="BQ224" s="1" t="s">
        <v>74</v>
      </c>
      <c r="BR224" s="1" t="s">
        <v>74</v>
      </c>
      <c r="BS224" s="1" t="s">
        <v>2462</v>
      </c>
      <c r="BT224" s="1" t="str">
        <f>HYPERLINK("https%3A%2F%2Fwww.webofscience.com%2Fwos%2Fwoscc%2Ffull-record%2FWOS:000623874900001","View Full Record in Web of Science")</f>
        <v>View Full Record in Web of Science</v>
      </c>
    </row>
    <row r="225" ht="12.75" customHeight="1">
      <c r="A225" s="1" t="s">
        <v>72</v>
      </c>
      <c r="B225" s="1" t="s">
        <v>2463</v>
      </c>
      <c r="C225" s="1" t="s">
        <v>74</v>
      </c>
      <c r="D225" s="1" t="s">
        <v>74</v>
      </c>
      <c r="E225" s="1" t="s">
        <v>74</v>
      </c>
      <c r="F225" s="1" t="s">
        <v>2464</v>
      </c>
      <c r="G225" s="1" t="s">
        <v>74</v>
      </c>
      <c r="H225" s="1" t="s">
        <v>74</v>
      </c>
      <c r="I225" s="1" t="s">
        <v>2465</v>
      </c>
      <c r="J225" s="1" t="s">
        <v>2466</v>
      </c>
      <c r="K225" s="1" t="s">
        <v>74</v>
      </c>
      <c r="L225" s="1" t="s">
        <v>74</v>
      </c>
      <c r="M225" s="1" t="s">
        <v>74</v>
      </c>
      <c r="N225" s="1" t="s">
        <v>74</v>
      </c>
      <c r="O225" s="1" t="s">
        <v>74</v>
      </c>
      <c r="P225" s="1" t="s">
        <v>74</v>
      </c>
      <c r="Q225" s="1" t="s">
        <v>74</v>
      </c>
      <c r="R225" s="1" t="s">
        <v>74</v>
      </c>
      <c r="S225" s="1" t="s">
        <v>74</v>
      </c>
      <c r="T225" s="1" t="s">
        <v>74</v>
      </c>
      <c r="U225" s="1" t="s">
        <v>74</v>
      </c>
      <c r="V225" s="1" t="s">
        <v>2467</v>
      </c>
      <c r="W225" s="1" t="s">
        <v>74</v>
      </c>
      <c r="X225" s="1" t="s">
        <v>74</v>
      </c>
      <c r="Y225" s="1" t="s">
        <v>74</v>
      </c>
      <c r="Z225" s="1" t="s">
        <v>74</v>
      </c>
      <c r="AA225" s="1" t="s">
        <v>2468</v>
      </c>
      <c r="AB225" s="1" t="s">
        <v>2469</v>
      </c>
      <c r="AC225" s="1" t="s">
        <v>74</v>
      </c>
      <c r="AD225" s="1" t="s">
        <v>74</v>
      </c>
      <c r="AE225" s="1" t="s">
        <v>74</v>
      </c>
      <c r="AF225" s="1" t="s">
        <v>74</v>
      </c>
      <c r="AG225" s="1" t="s">
        <v>74</v>
      </c>
      <c r="AH225" s="1" t="s">
        <v>74</v>
      </c>
      <c r="AI225" s="1" t="s">
        <v>74</v>
      </c>
      <c r="AJ225" s="1" t="s">
        <v>74</v>
      </c>
      <c r="AK225" s="1" t="s">
        <v>74</v>
      </c>
      <c r="AL225" s="1" t="s">
        <v>74</v>
      </c>
      <c r="AM225" s="1" t="s">
        <v>74</v>
      </c>
      <c r="AN225" s="1" t="s">
        <v>74</v>
      </c>
      <c r="AO225" s="1" t="s">
        <v>2470</v>
      </c>
      <c r="AP225" s="1" t="s">
        <v>2471</v>
      </c>
      <c r="AQ225" s="1" t="s">
        <v>74</v>
      </c>
      <c r="AR225" s="1" t="s">
        <v>74</v>
      </c>
      <c r="AS225" s="1" t="s">
        <v>74</v>
      </c>
      <c r="AT225" s="1" t="s">
        <v>307</v>
      </c>
      <c r="AU225" s="1">
        <v>2019.0</v>
      </c>
      <c r="AV225" s="1">
        <v>38.0</v>
      </c>
      <c r="AW225" s="1">
        <v>6.0</v>
      </c>
      <c r="AX225" s="1" t="s">
        <v>74</v>
      </c>
      <c r="AY225" s="1" t="s">
        <v>74</v>
      </c>
      <c r="AZ225" s="1" t="s">
        <v>74</v>
      </c>
      <c r="BA225" s="1" t="s">
        <v>74</v>
      </c>
      <c r="BB225" s="1">
        <v>667.0</v>
      </c>
      <c r="BC225" s="1">
        <v>674.0</v>
      </c>
      <c r="BD225" s="1" t="s">
        <v>74</v>
      </c>
      <c r="BE225" s="1" t="s">
        <v>2472</v>
      </c>
      <c r="BF225" s="2" t="str">
        <f>HYPERLINK("http://dx.doi.org/10.1007/s10930-019-09865-0","http://dx.doi.org/10.1007/s10930-019-09865-0")</f>
        <v>http://dx.doi.org/10.1007/s10930-019-09865-0</v>
      </c>
      <c r="BG225" s="1" t="s">
        <v>74</v>
      </c>
      <c r="BH225" s="1" t="s">
        <v>74</v>
      </c>
      <c r="BI225" s="1" t="s">
        <v>74</v>
      </c>
      <c r="BJ225" s="1" t="s">
        <v>74</v>
      </c>
      <c r="BK225" s="1" t="s">
        <v>74</v>
      </c>
      <c r="BL225" s="1" t="s">
        <v>74</v>
      </c>
      <c r="BM225" s="1" t="s">
        <v>74</v>
      </c>
      <c r="BN225" s="1">
        <v>3.1512093E7</v>
      </c>
      <c r="BO225" s="1" t="s">
        <v>74</v>
      </c>
      <c r="BP225" s="1" t="s">
        <v>74</v>
      </c>
      <c r="BQ225" s="1" t="s">
        <v>74</v>
      </c>
      <c r="BR225" s="1" t="s">
        <v>74</v>
      </c>
      <c r="BS225" s="1" t="s">
        <v>2473</v>
      </c>
      <c r="BT225" s="1" t="str">
        <f>HYPERLINK("https%3A%2F%2Fwww.webofscience.com%2Fwos%2Fwoscc%2Ffull-record%2FWOS:000492662300007","View Full Record in Web of Science")</f>
        <v>View Full Record in Web of Science</v>
      </c>
    </row>
    <row r="226" ht="12.75" customHeight="1">
      <c r="A226" s="1" t="s">
        <v>72</v>
      </c>
      <c r="B226" s="1" t="s">
        <v>2474</v>
      </c>
      <c r="C226" s="1" t="s">
        <v>74</v>
      </c>
      <c r="D226" s="1" t="s">
        <v>74</v>
      </c>
      <c r="E226" s="1" t="s">
        <v>74</v>
      </c>
      <c r="F226" s="1" t="s">
        <v>2475</v>
      </c>
      <c r="G226" s="1" t="s">
        <v>74</v>
      </c>
      <c r="H226" s="1" t="s">
        <v>74</v>
      </c>
      <c r="I226" s="1" t="s">
        <v>2476</v>
      </c>
      <c r="J226" s="1" t="s">
        <v>2477</v>
      </c>
      <c r="K226" s="1" t="s">
        <v>74</v>
      </c>
      <c r="L226" s="1" t="s">
        <v>74</v>
      </c>
      <c r="M226" s="1" t="s">
        <v>74</v>
      </c>
      <c r="N226" s="1" t="s">
        <v>74</v>
      </c>
      <c r="O226" s="1" t="s">
        <v>74</v>
      </c>
      <c r="P226" s="1" t="s">
        <v>74</v>
      </c>
      <c r="Q226" s="1" t="s">
        <v>74</v>
      </c>
      <c r="R226" s="1" t="s">
        <v>74</v>
      </c>
      <c r="S226" s="1" t="s">
        <v>74</v>
      </c>
      <c r="T226" s="1" t="s">
        <v>74</v>
      </c>
      <c r="U226" s="1" t="s">
        <v>74</v>
      </c>
      <c r="V226" s="1" t="s">
        <v>2478</v>
      </c>
      <c r="W226" s="1" t="s">
        <v>74</v>
      </c>
      <c r="X226" s="1" t="s">
        <v>74</v>
      </c>
      <c r="Y226" s="1" t="s">
        <v>74</v>
      </c>
      <c r="Z226" s="1" t="s">
        <v>74</v>
      </c>
      <c r="AA226" s="1" t="s">
        <v>2479</v>
      </c>
      <c r="AB226" s="1" t="s">
        <v>2480</v>
      </c>
      <c r="AC226" s="1" t="s">
        <v>74</v>
      </c>
      <c r="AD226" s="1" t="s">
        <v>74</v>
      </c>
      <c r="AE226" s="1" t="s">
        <v>74</v>
      </c>
      <c r="AF226" s="1" t="s">
        <v>74</v>
      </c>
      <c r="AG226" s="1" t="s">
        <v>74</v>
      </c>
      <c r="AH226" s="1" t="s">
        <v>74</v>
      </c>
      <c r="AI226" s="1" t="s">
        <v>74</v>
      </c>
      <c r="AJ226" s="1" t="s">
        <v>74</v>
      </c>
      <c r="AK226" s="1" t="s">
        <v>74</v>
      </c>
      <c r="AL226" s="1" t="s">
        <v>74</v>
      </c>
      <c r="AM226" s="1" t="s">
        <v>74</v>
      </c>
      <c r="AN226" s="1" t="s">
        <v>74</v>
      </c>
      <c r="AO226" s="1" t="s">
        <v>2481</v>
      </c>
      <c r="AP226" s="1" t="s">
        <v>2482</v>
      </c>
      <c r="AQ226" s="1" t="s">
        <v>74</v>
      </c>
      <c r="AR226" s="1" t="s">
        <v>74</v>
      </c>
      <c r="AS226" s="1" t="s">
        <v>74</v>
      </c>
      <c r="AT226" s="1" t="s">
        <v>485</v>
      </c>
      <c r="AU226" s="1">
        <v>2019.0</v>
      </c>
      <c r="AV226" s="1">
        <v>19.0</v>
      </c>
      <c r="AW226" s="1">
        <v>2.0</v>
      </c>
      <c r="AX226" s="1" t="s">
        <v>74</v>
      </c>
      <c r="AY226" s="1" t="s">
        <v>74</v>
      </c>
      <c r="AZ226" s="1" t="s">
        <v>74</v>
      </c>
      <c r="BA226" s="1" t="s">
        <v>74</v>
      </c>
      <c r="BB226" s="1">
        <v>134.0</v>
      </c>
      <c r="BC226" s="1">
        <v>140.0</v>
      </c>
      <c r="BD226" s="1" t="s">
        <v>74</v>
      </c>
      <c r="BE226" s="1" t="s">
        <v>2483</v>
      </c>
      <c r="BF226" s="2" t="str">
        <f>HYPERLINK("http://dx.doi.org/10.1016/j.ijchp.2019.02.006","http://dx.doi.org/10.1016/j.ijchp.2019.02.006")</f>
        <v>http://dx.doi.org/10.1016/j.ijchp.2019.02.006</v>
      </c>
      <c r="BG226" s="1" t="s">
        <v>74</v>
      </c>
      <c r="BH226" s="1" t="s">
        <v>74</v>
      </c>
      <c r="BI226" s="1" t="s">
        <v>74</v>
      </c>
      <c r="BJ226" s="1" t="s">
        <v>74</v>
      </c>
      <c r="BK226" s="1" t="s">
        <v>74</v>
      </c>
      <c r="BL226" s="1" t="s">
        <v>74</v>
      </c>
      <c r="BM226" s="1" t="s">
        <v>74</v>
      </c>
      <c r="BN226" s="1">
        <v>3.1193131E7</v>
      </c>
      <c r="BO226" s="1" t="s">
        <v>74</v>
      </c>
      <c r="BP226" s="1" t="s">
        <v>74</v>
      </c>
      <c r="BQ226" s="1" t="s">
        <v>74</v>
      </c>
      <c r="BR226" s="1" t="s">
        <v>74</v>
      </c>
      <c r="BS226" s="1" t="s">
        <v>2484</v>
      </c>
      <c r="BT226" s="1" t="str">
        <f>HYPERLINK("https%3A%2F%2Fwww.webofscience.com%2Fwos%2Fwoscc%2Ffull-record%2FWOS:000467434100006","View Full Record in Web of Science")</f>
        <v>View Full Record in Web of Science</v>
      </c>
    </row>
    <row r="227" ht="12.75" customHeight="1">
      <c r="A227" s="1" t="s">
        <v>72</v>
      </c>
      <c r="B227" s="1" t="s">
        <v>2485</v>
      </c>
      <c r="C227" s="1" t="s">
        <v>74</v>
      </c>
      <c r="D227" s="1" t="s">
        <v>74</v>
      </c>
      <c r="E227" s="1" t="s">
        <v>74</v>
      </c>
      <c r="F227" s="1" t="s">
        <v>2486</v>
      </c>
      <c r="G227" s="1" t="s">
        <v>74</v>
      </c>
      <c r="H227" s="1" t="s">
        <v>74</v>
      </c>
      <c r="I227" s="1" t="s">
        <v>2487</v>
      </c>
      <c r="J227" s="1" t="s">
        <v>2488</v>
      </c>
      <c r="K227" s="1" t="s">
        <v>74</v>
      </c>
      <c r="L227" s="1" t="s">
        <v>74</v>
      </c>
      <c r="M227" s="1" t="s">
        <v>74</v>
      </c>
      <c r="N227" s="1" t="s">
        <v>74</v>
      </c>
      <c r="O227" s="1" t="s">
        <v>74</v>
      </c>
      <c r="P227" s="1" t="s">
        <v>74</v>
      </c>
      <c r="Q227" s="1" t="s">
        <v>74</v>
      </c>
      <c r="R227" s="1" t="s">
        <v>74</v>
      </c>
      <c r="S227" s="1" t="s">
        <v>74</v>
      </c>
      <c r="T227" s="1" t="s">
        <v>74</v>
      </c>
      <c r="U227" s="1" t="s">
        <v>74</v>
      </c>
      <c r="V227" s="1" t="s">
        <v>2489</v>
      </c>
      <c r="W227" s="1" t="s">
        <v>74</v>
      </c>
      <c r="X227" s="1" t="s">
        <v>74</v>
      </c>
      <c r="Y227" s="1" t="s">
        <v>74</v>
      </c>
      <c r="Z227" s="1" t="s">
        <v>74</v>
      </c>
      <c r="AA227" s="1" t="s">
        <v>2490</v>
      </c>
      <c r="AB227" s="1" t="s">
        <v>2491</v>
      </c>
      <c r="AC227" s="1" t="s">
        <v>74</v>
      </c>
      <c r="AD227" s="1" t="s">
        <v>74</v>
      </c>
      <c r="AE227" s="1" t="s">
        <v>74</v>
      </c>
      <c r="AF227" s="1" t="s">
        <v>74</v>
      </c>
      <c r="AG227" s="1" t="s">
        <v>74</v>
      </c>
      <c r="AH227" s="1" t="s">
        <v>74</v>
      </c>
      <c r="AI227" s="1" t="s">
        <v>74</v>
      </c>
      <c r="AJ227" s="1" t="s">
        <v>74</v>
      </c>
      <c r="AK227" s="1" t="s">
        <v>74</v>
      </c>
      <c r="AL227" s="1" t="s">
        <v>74</v>
      </c>
      <c r="AM227" s="1" t="s">
        <v>74</v>
      </c>
      <c r="AN227" s="1" t="s">
        <v>74</v>
      </c>
      <c r="AO227" s="1" t="s">
        <v>2492</v>
      </c>
      <c r="AP227" s="1" t="s">
        <v>2493</v>
      </c>
      <c r="AQ227" s="1" t="s">
        <v>74</v>
      </c>
      <c r="AR227" s="1" t="s">
        <v>74</v>
      </c>
      <c r="AS227" s="1" t="s">
        <v>74</v>
      </c>
      <c r="AT227" s="1" t="s">
        <v>422</v>
      </c>
      <c r="AU227" s="1">
        <v>2019.0</v>
      </c>
      <c r="AV227" s="1">
        <v>34.0</v>
      </c>
      <c r="AW227" s="1">
        <v>1.0</v>
      </c>
      <c r="AX227" s="1" t="s">
        <v>74</v>
      </c>
      <c r="AY227" s="1" t="s">
        <v>74</v>
      </c>
      <c r="AZ227" s="1" t="s">
        <v>74</v>
      </c>
      <c r="BA227" s="1" t="s">
        <v>74</v>
      </c>
      <c r="BB227" s="1">
        <v>79.0</v>
      </c>
      <c r="BC227" s="1">
        <v>92.0</v>
      </c>
      <c r="BD227" s="1" t="s">
        <v>74</v>
      </c>
      <c r="BE227" s="1" t="s">
        <v>2494</v>
      </c>
      <c r="BF227" s="2" t="str">
        <f>HYPERLINK("http://dx.doi.org/10.1007/s10980-018-0746-5","http://dx.doi.org/10.1007/s10980-018-0746-5")</f>
        <v>http://dx.doi.org/10.1007/s10980-018-0746-5</v>
      </c>
      <c r="BG227" s="1" t="s">
        <v>74</v>
      </c>
      <c r="BH227" s="1" t="s">
        <v>74</v>
      </c>
      <c r="BI227" s="1" t="s">
        <v>74</v>
      </c>
      <c r="BJ227" s="1" t="s">
        <v>74</v>
      </c>
      <c r="BK227" s="1" t="s">
        <v>74</v>
      </c>
      <c r="BL227" s="1" t="s">
        <v>74</v>
      </c>
      <c r="BM227" s="1" t="s">
        <v>74</v>
      </c>
      <c r="BN227" s="1" t="s">
        <v>74</v>
      </c>
      <c r="BO227" s="1" t="s">
        <v>74</v>
      </c>
      <c r="BP227" s="1" t="s">
        <v>74</v>
      </c>
      <c r="BQ227" s="1" t="s">
        <v>74</v>
      </c>
      <c r="BR227" s="1" t="s">
        <v>74</v>
      </c>
      <c r="BS227" s="1" t="s">
        <v>2495</v>
      </c>
      <c r="BT227" s="1" t="str">
        <f>HYPERLINK("https%3A%2F%2Fwww.webofscience.com%2Fwos%2Fwoscc%2Ffull-record%2FWOS:000458986300007","View Full Record in Web of Science")</f>
        <v>View Full Record in Web of Science</v>
      </c>
    </row>
    <row r="228" ht="12.75" customHeight="1">
      <c r="A228" s="1" t="s">
        <v>72</v>
      </c>
      <c r="B228" s="1" t="s">
        <v>2496</v>
      </c>
      <c r="C228" s="1" t="s">
        <v>74</v>
      </c>
      <c r="D228" s="1" t="s">
        <v>74</v>
      </c>
      <c r="E228" s="1" t="s">
        <v>74</v>
      </c>
      <c r="F228" s="1" t="s">
        <v>2497</v>
      </c>
      <c r="G228" s="1" t="s">
        <v>74</v>
      </c>
      <c r="H228" s="1" t="s">
        <v>74</v>
      </c>
      <c r="I228" s="1" t="s">
        <v>2498</v>
      </c>
      <c r="J228" s="1" t="s">
        <v>2499</v>
      </c>
      <c r="K228" s="1" t="s">
        <v>74</v>
      </c>
      <c r="L228" s="1" t="s">
        <v>74</v>
      </c>
      <c r="M228" s="1" t="s">
        <v>74</v>
      </c>
      <c r="N228" s="1" t="s">
        <v>74</v>
      </c>
      <c r="O228" s="1" t="s">
        <v>74</v>
      </c>
      <c r="P228" s="1" t="s">
        <v>74</v>
      </c>
      <c r="Q228" s="1" t="s">
        <v>74</v>
      </c>
      <c r="R228" s="1" t="s">
        <v>74</v>
      </c>
      <c r="S228" s="1" t="s">
        <v>74</v>
      </c>
      <c r="T228" s="1" t="s">
        <v>74</v>
      </c>
      <c r="U228" s="1" t="s">
        <v>74</v>
      </c>
      <c r="V228" s="1" t="s">
        <v>2500</v>
      </c>
      <c r="W228" s="1" t="s">
        <v>74</v>
      </c>
      <c r="X228" s="1" t="s">
        <v>74</v>
      </c>
      <c r="Y228" s="1" t="s">
        <v>74</v>
      </c>
      <c r="Z228" s="1" t="s">
        <v>74</v>
      </c>
      <c r="AA228" s="1" t="s">
        <v>74</v>
      </c>
      <c r="AB228" s="1" t="s">
        <v>74</v>
      </c>
      <c r="AC228" s="1" t="s">
        <v>74</v>
      </c>
      <c r="AD228" s="1" t="s">
        <v>74</v>
      </c>
      <c r="AE228" s="1" t="s">
        <v>74</v>
      </c>
      <c r="AF228" s="1" t="s">
        <v>74</v>
      </c>
      <c r="AG228" s="1" t="s">
        <v>74</v>
      </c>
      <c r="AH228" s="1" t="s">
        <v>74</v>
      </c>
      <c r="AI228" s="1" t="s">
        <v>74</v>
      </c>
      <c r="AJ228" s="1" t="s">
        <v>74</v>
      </c>
      <c r="AK228" s="1" t="s">
        <v>74</v>
      </c>
      <c r="AL228" s="1" t="s">
        <v>74</v>
      </c>
      <c r="AM228" s="1" t="s">
        <v>74</v>
      </c>
      <c r="AN228" s="1" t="s">
        <v>74</v>
      </c>
      <c r="AO228" s="1" t="s">
        <v>2501</v>
      </c>
      <c r="AP228" s="1" t="s">
        <v>74</v>
      </c>
      <c r="AQ228" s="1" t="s">
        <v>74</v>
      </c>
      <c r="AR228" s="1" t="s">
        <v>74</v>
      </c>
      <c r="AS228" s="1" t="s">
        <v>74</v>
      </c>
      <c r="AT228" s="1" t="s">
        <v>1018</v>
      </c>
      <c r="AU228" s="1">
        <v>2017.0</v>
      </c>
      <c r="AV228" s="1">
        <v>42.0</v>
      </c>
      <c r="AW228" s="1">
        <v>8.0</v>
      </c>
      <c r="AX228" s="1" t="s">
        <v>74</v>
      </c>
      <c r="AY228" s="1" t="s">
        <v>74</v>
      </c>
      <c r="AZ228" s="1" t="s">
        <v>74</v>
      </c>
      <c r="BA228" s="1" t="s">
        <v>74</v>
      </c>
      <c r="BB228" s="1">
        <v>542.0</v>
      </c>
      <c r="BC228" s="1">
        <v>547.0</v>
      </c>
      <c r="BD228" s="1" t="s">
        <v>74</v>
      </c>
      <c r="BE228" s="1" t="s">
        <v>74</v>
      </c>
      <c r="BF228" s="1" t="s">
        <v>74</v>
      </c>
      <c r="BG228" s="1" t="s">
        <v>74</v>
      </c>
      <c r="BH228" s="1" t="s">
        <v>74</v>
      </c>
      <c r="BI228" s="1" t="s">
        <v>74</v>
      </c>
      <c r="BJ228" s="1" t="s">
        <v>74</v>
      </c>
      <c r="BK228" s="1" t="s">
        <v>74</v>
      </c>
      <c r="BL228" s="1" t="s">
        <v>74</v>
      </c>
      <c r="BM228" s="1" t="s">
        <v>74</v>
      </c>
      <c r="BN228" s="1" t="s">
        <v>74</v>
      </c>
      <c r="BO228" s="1" t="s">
        <v>74</v>
      </c>
      <c r="BP228" s="1" t="s">
        <v>74</v>
      </c>
      <c r="BQ228" s="1" t="s">
        <v>74</v>
      </c>
      <c r="BR228" s="1" t="s">
        <v>74</v>
      </c>
      <c r="BS228" s="1" t="s">
        <v>2502</v>
      </c>
      <c r="BT228" s="1" t="str">
        <f>HYPERLINK("https%3A%2F%2Fwww.webofscience.com%2Fwos%2Fwoscc%2Ffull-record%2FWOS:000408519900010","View Full Record in Web of Science")</f>
        <v>View Full Record in Web of Science</v>
      </c>
    </row>
    <row r="229" ht="12.75" customHeight="1">
      <c r="A229" s="1" t="s">
        <v>72</v>
      </c>
      <c r="B229" s="1" t="s">
        <v>2503</v>
      </c>
      <c r="C229" s="1" t="s">
        <v>74</v>
      </c>
      <c r="D229" s="1" t="s">
        <v>74</v>
      </c>
      <c r="E229" s="1" t="s">
        <v>74</v>
      </c>
      <c r="F229" s="1" t="s">
        <v>2504</v>
      </c>
      <c r="G229" s="1" t="s">
        <v>74</v>
      </c>
      <c r="H229" s="1" t="s">
        <v>74</v>
      </c>
      <c r="I229" s="1" t="s">
        <v>2505</v>
      </c>
      <c r="J229" s="1" t="s">
        <v>2332</v>
      </c>
      <c r="K229" s="1" t="s">
        <v>74</v>
      </c>
      <c r="L229" s="1" t="s">
        <v>74</v>
      </c>
      <c r="M229" s="1" t="s">
        <v>74</v>
      </c>
      <c r="N229" s="1" t="s">
        <v>74</v>
      </c>
      <c r="O229" s="1" t="s">
        <v>2506</v>
      </c>
      <c r="P229" s="1" t="s">
        <v>2507</v>
      </c>
      <c r="Q229" s="1" t="s">
        <v>2508</v>
      </c>
      <c r="R229" s="1" t="s">
        <v>74</v>
      </c>
      <c r="S229" s="1" t="s">
        <v>74</v>
      </c>
      <c r="T229" s="1" t="s">
        <v>74</v>
      </c>
      <c r="U229" s="1" t="s">
        <v>74</v>
      </c>
      <c r="V229" s="1" t="s">
        <v>2509</v>
      </c>
      <c r="W229" s="1" t="s">
        <v>74</v>
      </c>
      <c r="X229" s="1" t="s">
        <v>74</v>
      </c>
      <c r="Y229" s="1" t="s">
        <v>74</v>
      </c>
      <c r="Z229" s="1" t="s">
        <v>74</v>
      </c>
      <c r="AA229" s="1" t="s">
        <v>2510</v>
      </c>
      <c r="AB229" s="1" t="s">
        <v>2511</v>
      </c>
      <c r="AC229" s="1" t="s">
        <v>74</v>
      </c>
      <c r="AD229" s="1" t="s">
        <v>74</v>
      </c>
      <c r="AE229" s="1" t="s">
        <v>74</v>
      </c>
      <c r="AF229" s="1" t="s">
        <v>74</v>
      </c>
      <c r="AG229" s="1" t="s">
        <v>74</v>
      </c>
      <c r="AH229" s="1" t="s">
        <v>74</v>
      </c>
      <c r="AI229" s="1" t="s">
        <v>74</v>
      </c>
      <c r="AJ229" s="1" t="s">
        <v>74</v>
      </c>
      <c r="AK229" s="1" t="s">
        <v>74</v>
      </c>
      <c r="AL229" s="1" t="s">
        <v>74</v>
      </c>
      <c r="AM229" s="1" t="s">
        <v>74</v>
      </c>
      <c r="AN229" s="1" t="s">
        <v>74</v>
      </c>
      <c r="AO229" s="1" t="s">
        <v>2334</v>
      </c>
      <c r="AP229" s="1" t="s">
        <v>2512</v>
      </c>
      <c r="AQ229" s="1" t="s">
        <v>74</v>
      </c>
      <c r="AR229" s="1" t="s">
        <v>74</v>
      </c>
      <c r="AS229" s="1" t="s">
        <v>74</v>
      </c>
      <c r="AT229" s="1" t="s">
        <v>307</v>
      </c>
      <c r="AU229" s="1">
        <v>2014.0</v>
      </c>
      <c r="AV229" s="1">
        <v>44.0</v>
      </c>
      <c r="AW229" s="1">
        <v>12.0</v>
      </c>
      <c r="AX229" s="1" t="s">
        <v>74</v>
      </c>
      <c r="AY229" s="1" t="s">
        <v>74</v>
      </c>
      <c r="AZ229" s="1" t="s">
        <v>1416</v>
      </c>
      <c r="BA229" s="1" t="s">
        <v>74</v>
      </c>
      <c r="BB229" s="1">
        <v>1295.0</v>
      </c>
      <c r="BC229" s="1">
        <v>1306.0</v>
      </c>
      <c r="BD229" s="1" t="s">
        <v>74</v>
      </c>
      <c r="BE229" s="1" t="s">
        <v>2513</v>
      </c>
      <c r="BF229" s="2" t="str">
        <f>HYPERLINK("http://dx.doi.org/10.1007/s10800-014-0763-2","http://dx.doi.org/10.1007/s10800-014-0763-2")</f>
        <v>http://dx.doi.org/10.1007/s10800-014-0763-2</v>
      </c>
      <c r="BG229" s="1" t="s">
        <v>74</v>
      </c>
      <c r="BH229" s="1" t="s">
        <v>74</v>
      </c>
      <c r="BI229" s="1" t="s">
        <v>74</v>
      </c>
      <c r="BJ229" s="1" t="s">
        <v>74</v>
      </c>
      <c r="BK229" s="1" t="s">
        <v>74</v>
      </c>
      <c r="BL229" s="1" t="s">
        <v>74</v>
      </c>
      <c r="BM229" s="1" t="s">
        <v>74</v>
      </c>
      <c r="BN229" s="1" t="s">
        <v>74</v>
      </c>
      <c r="BO229" s="1" t="s">
        <v>74</v>
      </c>
      <c r="BP229" s="1" t="s">
        <v>74</v>
      </c>
      <c r="BQ229" s="1" t="s">
        <v>74</v>
      </c>
      <c r="BR229" s="1" t="s">
        <v>74</v>
      </c>
      <c r="BS229" s="1" t="s">
        <v>2514</v>
      </c>
      <c r="BT229" s="1" t="str">
        <f>HYPERLINK("https%3A%2F%2Fwww.webofscience.com%2Fwos%2Fwoscc%2Ffull-record%2FWOS:000344778900007","View Full Record in Web of Science")</f>
        <v>View Full Record in Web of Science</v>
      </c>
    </row>
    <row r="230" ht="12.75" customHeight="1">
      <c r="A230" s="1" t="s">
        <v>72</v>
      </c>
      <c r="B230" s="1" t="s">
        <v>2515</v>
      </c>
      <c r="C230" s="1" t="s">
        <v>74</v>
      </c>
      <c r="D230" s="1" t="s">
        <v>74</v>
      </c>
      <c r="E230" s="1" t="s">
        <v>74</v>
      </c>
      <c r="F230" s="1" t="s">
        <v>2516</v>
      </c>
      <c r="G230" s="1" t="s">
        <v>74</v>
      </c>
      <c r="H230" s="1" t="s">
        <v>74</v>
      </c>
      <c r="I230" s="1" t="s">
        <v>2517</v>
      </c>
      <c r="J230" s="1" t="s">
        <v>2499</v>
      </c>
      <c r="K230" s="1" t="s">
        <v>74</v>
      </c>
      <c r="L230" s="1" t="s">
        <v>74</v>
      </c>
      <c r="M230" s="1" t="s">
        <v>74</v>
      </c>
      <c r="N230" s="1" t="s">
        <v>74</v>
      </c>
      <c r="O230" s="1" t="s">
        <v>74</v>
      </c>
      <c r="P230" s="1" t="s">
        <v>74</v>
      </c>
      <c r="Q230" s="1" t="s">
        <v>74</v>
      </c>
      <c r="R230" s="1" t="s">
        <v>74</v>
      </c>
      <c r="S230" s="1" t="s">
        <v>74</v>
      </c>
      <c r="T230" s="1" t="s">
        <v>74</v>
      </c>
      <c r="U230" s="1" t="s">
        <v>74</v>
      </c>
      <c r="V230" s="1" t="s">
        <v>2518</v>
      </c>
      <c r="W230" s="1" t="s">
        <v>74</v>
      </c>
      <c r="X230" s="1" t="s">
        <v>74</v>
      </c>
      <c r="Y230" s="1" t="s">
        <v>74</v>
      </c>
      <c r="Z230" s="1" t="s">
        <v>74</v>
      </c>
      <c r="AA230" s="1" t="s">
        <v>2519</v>
      </c>
      <c r="AB230" s="1" t="s">
        <v>74</v>
      </c>
      <c r="AC230" s="1" t="s">
        <v>74</v>
      </c>
      <c r="AD230" s="1" t="s">
        <v>74</v>
      </c>
      <c r="AE230" s="1" t="s">
        <v>74</v>
      </c>
      <c r="AF230" s="1" t="s">
        <v>74</v>
      </c>
      <c r="AG230" s="1" t="s">
        <v>74</v>
      </c>
      <c r="AH230" s="1" t="s">
        <v>74</v>
      </c>
      <c r="AI230" s="1" t="s">
        <v>74</v>
      </c>
      <c r="AJ230" s="1" t="s">
        <v>74</v>
      </c>
      <c r="AK230" s="1" t="s">
        <v>74</v>
      </c>
      <c r="AL230" s="1" t="s">
        <v>74</v>
      </c>
      <c r="AM230" s="1" t="s">
        <v>74</v>
      </c>
      <c r="AN230" s="1" t="s">
        <v>74</v>
      </c>
      <c r="AO230" s="1" t="s">
        <v>2501</v>
      </c>
      <c r="AP230" s="1" t="s">
        <v>74</v>
      </c>
      <c r="AQ230" s="1" t="s">
        <v>74</v>
      </c>
      <c r="AR230" s="1" t="s">
        <v>74</v>
      </c>
      <c r="AS230" s="1" t="s">
        <v>74</v>
      </c>
      <c r="AT230" s="1" t="s">
        <v>201</v>
      </c>
      <c r="AU230" s="1">
        <v>2014.0</v>
      </c>
      <c r="AV230" s="1">
        <v>39.0</v>
      </c>
      <c r="AW230" s="1">
        <v>10.0</v>
      </c>
      <c r="AX230" s="1" t="s">
        <v>74</v>
      </c>
      <c r="AY230" s="1" t="s">
        <v>74</v>
      </c>
      <c r="AZ230" s="1" t="s">
        <v>74</v>
      </c>
      <c r="BA230" s="1" t="s">
        <v>74</v>
      </c>
      <c r="BB230" s="1">
        <v>688.0</v>
      </c>
      <c r="BC230" s="1">
        <v>696.0</v>
      </c>
      <c r="BD230" s="1" t="s">
        <v>74</v>
      </c>
      <c r="BE230" s="1" t="s">
        <v>74</v>
      </c>
      <c r="BF230" s="1" t="s">
        <v>74</v>
      </c>
      <c r="BG230" s="1" t="s">
        <v>74</v>
      </c>
      <c r="BH230" s="1" t="s">
        <v>74</v>
      </c>
      <c r="BI230" s="1" t="s">
        <v>74</v>
      </c>
      <c r="BJ230" s="1" t="s">
        <v>74</v>
      </c>
      <c r="BK230" s="1" t="s">
        <v>74</v>
      </c>
      <c r="BL230" s="1" t="s">
        <v>74</v>
      </c>
      <c r="BM230" s="1" t="s">
        <v>74</v>
      </c>
      <c r="BN230" s="1" t="s">
        <v>74</v>
      </c>
      <c r="BO230" s="1" t="s">
        <v>74</v>
      </c>
      <c r="BP230" s="1" t="s">
        <v>74</v>
      </c>
      <c r="BQ230" s="1" t="s">
        <v>74</v>
      </c>
      <c r="BR230" s="1" t="s">
        <v>74</v>
      </c>
      <c r="BS230" s="1" t="s">
        <v>2520</v>
      </c>
      <c r="BT230" s="1" t="str">
        <f>HYPERLINK("https%3A%2F%2Fwww.webofscience.com%2Fwos%2Fwoscc%2Ffull-record%2FWOS:000344723600002","View Full Record in Web of Science")</f>
        <v>View Full Record in Web of Science</v>
      </c>
    </row>
    <row r="231" ht="12.75" customHeight="1">
      <c r="A231" s="1" t="s">
        <v>72</v>
      </c>
      <c r="B231" s="1" t="s">
        <v>2521</v>
      </c>
      <c r="C231" s="1" t="s">
        <v>74</v>
      </c>
      <c r="D231" s="1" t="s">
        <v>74</v>
      </c>
      <c r="E231" s="1" t="s">
        <v>74</v>
      </c>
      <c r="F231" s="1" t="s">
        <v>2522</v>
      </c>
      <c r="G231" s="1" t="s">
        <v>74</v>
      </c>
      <c r="H231" s="1" t="s">
        <v>74</v>
      </c>
      <c r="I231" s="1" t="s">
        <v>2523</v>
      </c>
      <c r="J231" s="1" t="s">
        <v>2524</v>
      </c>
      <c r="K231" s="1" t="s">
        <v>74</v>
      </c>
      <c r="L231" s="1" t="s">
        <v>74</v>
      </c>
      <c r="M231" s="1" t="s">
        <v>74</v>
      </c>
      <c r="N231" s="1" t="s">
        <v>74</v>
      </c>
      <c r="O231" s="1" t="s">
        <v>74</v>
      </c>
      <c r="P231" s="1" t="s">
        <v>74</v>
      </c>
      <c r="Q231" s="1" t="s">
        <v>74</v>
      </c>
      <c r="R231" s="1" t="s">
        <v>74</v>
      </c>
      <c r="S231" s="1" t="s">
        <v>74</v>
      </c>
      <c r="T231" s="1" t="s">
        <v>74</v>
      </c>
      <c r="U231" s="1" t="s">
        <v>74</v>
      </c>
      <c r="V231" s="1" t="s">
        <v>2525</v>
      </c>
      <c r="W231" s="1" t="s">
        <v>74</v>
      </c>
      <c r="X231" s="1" t="s">
        <v>74</v>
      </c>
      <c r="Y231" s="1" t="s">
        <v>74</v>
      </c>
      <c r="Z231" s="1" t="s">
        <v>74</v>
      </c>
      <c r="AA231" s="1" t="s">
        <v>2526</v>
      </c>
      <c r="AB231" s="1" t="s">
        <v>2527</v>
      </c>
      <c r="AC231" s="1" t="s">
        <v>74</v>
      </c>
      <c r="AD231" s="1" t="s">
        <v>74</v>
      </c>
      <c r="AE231" s="1" t="s">
        <v>74</v>
      </c>
      <c r="AF231" s="1" t="s">
        <v>74</v>
      </c>
      <c r="AG231" s="1" t="s">
        <v>74</v>
      </c>
      <c r="AH231" s="1" t="s">
        <v>74</v>
      </c>
      <c r="AI231" s="1" t="s">
        <v>74</v>
      </c>
      <c r="AJ231" s="1" t="s">
        <v>74</v>
      </c>
      <c r="AK231" s="1" t="s">
        <v>74</v>
      </c>
      <c r="AL231" s="1" t="s">
        <v>74</v>
      </c>
      <c r="AM231" s="1" t="s">
        <v>74</v>
      </c>
      <c r="AN231" s="1" t="s">
        <v>74</v>
      </c>
      <c r="AO231" s="1" t="s">
        <v>2528</v>
      </c>
      <c r="AP231" s="1" t="s">
        <v>2529</v>
      </c>
      <c r="AQ231" s="1" t="s">
        <v>74</v>
      </c>
      <c r="AR231" s="1" t="s">
        <v>74</v>
      </c>
      <c r="AS231" s="1" t="s">
        <v>74</v>
      </c>
      <c r="AT231" s="1" t="s">
        <v>2530</v>
      </c>
      <c r="AU231" s="1">
        <v>2014.0</v>
      </c>
      <c r="AV231" s="1">
        <v>40.0</v>
      </c>
      <c r="AW231" s="1" t="s">
        <v>74</v>
      </c>
      <c r="AX231" s="1" t="s">
        <v>74</v>
      </c>
      <c r="AY231" s="1" t="s">
        <v>74</v>
      </c>
      <c r="AZ231" s="1" t="s">
        <v>74</v>
      </c>
      <c r="BA231" s="1" t="s">
        <v>74</v>
      </c>
      <c r="BB231" s="1">
        <v>24.0</v>
      </c>
      <c r="BC231" s="1">
        <v>31.0</v>
      </c>
      <c r="BD231" s="1" t="s">
        <v>74</v>
      </c>
      <c r="BE231" s="1" t="s">
        <v>2531</v>
      </c>
      <c r="BF231" s="2" t="str">
        <f>HYPERLINK("http://dx.doi.org/10.1016/j.msec.2014.03.037","http://dx.doi.org/10.1016/j.msec.2014.03.037")</f>
        <v>http://dx.doi.org/10.1016/j.msec.2014.03.037</v>
      </c>
      <c r="BG231" s="1" t="s">
        <v>74</v>
      </c>
      <c r="BH231" s="1" t="s">
        <v>74</v>
      </c>
      <c r="BI231" s="1" t="s">
        <v>74</v>
      </c>
      <c r="BJ231" s="1" t="s">
        <v>74</v>
      </c>
      <c r="BK231" s="1" t="s">
        <v>74</v>
      </c>
      <c r="BL231" s="1" t="s">
        <v>74</v>
      </c>
      <c r="BM231" s="1" t="s">
        <v>74</v>
      </c>
      <c r="BN231" s="1">
        <v>2.4857461E7</v>
      </c>
      <c r="BO231" s="1" t="s">
        <v>74</v>
      </c>
      <c r="BP231" s="1" t="s">
        <v>74</v>
      </c>
      <c r="BQ231" s="1" t="s">
        <v>74</v>
      </c>
      <c r="BR231" s="1" t="s">
        <v>74</v>
      </c>
      <c r="BS231" s="1" t="s">
        <v>2532</v>
      </c>
      <c r="BT231" s="1" t="str">
        <f>HYPERLINK("https%3A%2F%2Fwww.webofscience.com%2Fwos%2Fwoscc%2Ffull-record%2FWOS:000338388400004","View Full Record in Web of Science")</f>
        <v>View Full Record in Web of Science</v>
      </c>
    </row>
    <row r="232" ht="12.75" customHeight="1">
      <c r="A232" s="1" t="s">
        <v>72</v>
      </c>
      <c r="B232" s="1" t="s">
        <v>2533</v>
      </c>
      <c r="C232" s="1" t="s">
        <v>74</v>
      </c>
      <c r="D232" s="1" t="s">
        <v>74</v>
      </c>
      <c r="E232" s="1" t="s">
        <v>74</v>
      </c>
      <c r="F232" s="1" t="s">
        <v>2534</v>
      </c>
      <c r="G232" s="1" t="s">
        <v>74</v>
      </c>
      <c r="H232" s="1" t="s">
        <v>74</v>
      </c>
      <c r="I232" s="1" t="s">
        <v>2535</v>
      </c>
      <c r="J232" s="1" t="s">
        <v>2536</v>
      </c>
      <c r="K232" s="1" t="s">
        <v>74</v>
      </c>
      <c r="L232" s="1" t="s">
        <v>74</v>
      </c>
      <c r="M232" s="1" t="s">
        <v>74</v>
      </c>
      <c r="N232" s="1" t="s">
        <v>74</v>
      </c>
      <c r="O232" s="1" t="s">
        <v>74</v>
      </c>
      <c r="P232" s="1" t="s">
        <v>74</v>
      </c>
      <c r="Q232" s="1" t="s">
        <v>74</v>
      </c>
      <c r="R232" s="1" t="s">
        <v>74</v>
      </c>
      <c r="S232" s="1" t="s">
        <v>74</v>
      </c>
      <c r="T232" s="1" t="s">
        <v>74</v>
      </c>
      <c r="U232" s="1" t="s">
        <v>74</v>
      </c>
      <c r="V232" s="1" t="s">
        <v>2537</v>
      </c>
      <c r="W232" s="1" t="s">
        <v>74</v>
      </c>
      <c r="X232" s="1" t="s">
        <v>74</v>
      </c>
      <c r="Y232" s="1" t="s">
        <v>74</v>
      </c>
      <c r="Z232" s="1" t="s">
        <v>74</v>
      </c>
      <c r="AA232" s="1" t="s">
        <v>2538</v>
      </c>
      <c r="AB232" s="1" t="s">
        <v>2539</v>
      </c>
      <c r="AC232" s="1" t="s">
        <v>74</v>
      </c>
      <c r="AD232" s="1" t="s">
        <v>74</v>
      </c>
      <c r="AE232" s="1" t="s">
        <v>74</v>
      </c>
      <c r="AF232" s="1" t="s">
        <v>74</v>
      </c>
      <c r="AG232" s="1" t="s">
        <v>74</v>
      </c>
      <c r="AH232" s="1" t="s">
        <v>74</v>
      </c>
      <c r="AI232" s="1" t="s">
        <v>74</v>
      </c>
      <c r="AJ232" s="1" t="s">
        <v>74</v>
      </c>
      <c r="AK232" s="1" t="s">
        <v>74</v>
      </c>
      <c r="AL232" s="1" t="s">
        <v>74</v>
      </c>
      <c r="AM232" s="1" t="s">
        <v>74</v>
      </c>
      <c r="AN232" s="1" t="s">
        <v>74</v>
      </c>
      <c r="AO232" s="1" t="s">
        <v>2540</v>
      </c>
      <c r="AP232" s="1" t="s">
        <v>2541</v>
      </c>
      <c r="AQ232" s="1" t="s">
        <v>74</v>
      </c>
      <c r="AR232" s="1" t="s">
        <v>74</v>
      </c>
      <c r="AS232" s="1" t="s">
        <v>74</v>
      </c>
      <c r="AT232" s="1" t="s">
        <v>318</v>
      </c>
      <c r="AU232" s="1">
        <v>2014.0</v>
      </c>
      <c r="AV232" s="1">
        <v>11.0</v>
      </c>
      <c r="AW232" s="1">
        <v>1.0</v>
      </c>
      <c r="AX232" s="1" t="s">
        <v>74</v>
      </c>
      <c r="AY232" s="1" t="s">
        <v>74</v>
      </c>
      <c r="AZ232" s="1" t="s">
        <v>74</v>
      </c>
      <c r="BA232" s="1" t="s">
        <v>74</v>
      </c>
      <c r="BB232" s="1">
        <v>43.0</v>
      </c>
      <c r="BC232" s="1">
        <v>52.0</v>
      </c>
      <c r="BD232" s="1" t="s">
        <v>74</v>
      </c>
      <c r="BE232" s="1" t="s">
        <v>2542</v>
      </c>
      <c r="BF232" s="2" t="str">
        <f>HYPERLINK("http://dx.doi.org/10.1007/s13762-013-0364-3","http://dx.doi.org/10.1007/s13762-013-0364-3")</f>
        <v>http://dx.doi.org/10.1007/s13762-013-0364-3</v>
      </c>
      <c r="BG232" s="1" t="s">
        <v>74</v>
      </c>
      <c r="BH232" s="1" t="s">
        <v>74</v>
      </c>
      <c r="BI232" s="1" t="s">
        <v>74</v>
      </c>
      <c r="BJ232" s="1" t="s">
        <v>74</v>
      </c>
      <c r="BK232" s="1" t="s">
        <v>74</v>
      </c>
      <c r="BL232" s="1" t="s">
        <v>74</v>
      </c>
      <c r="BM232" s="1" t="s">
        <v>74</v>
      </c>
      <c r="BN232" s="1" t="s">
        <v>74</v>
      </c>
      <c r="BO232" s="1" t="s">
        <v>74</v>
      </c>
      <c r="BP232" s="1" t="s">
        <v>74</v>
      </c>
      <c r="BQ232" s="1" t="s">
        <v>74</v>
      </c>
      <c r="BR232" s="1" t="s">
        <v>74</v>
      </c>
      <c r="BS232" s="1" t="s">
        <v>2543</v>
      </c>
      <c r="BT232" s="1" t="str">
        <f>HYPERLINK("https%3A%2F%2Fwww.webofscience.com%2Fwos%2Fwoscc%2Ffull-record%2FWOS:000331626100005","View Full Record in Web of Science")</f>
        <v>View Full Record in Web of Science</v>
      </c>
    </row>
    <row r="233" ht="12.75" customHeight="1">
      <c r="A233" s="1" t="s">
        <v>72</v>
      </c>
      <c r="B233" s="1" t="s">
        <v>2544</v>
      </c>
      <c r="C233" s="1" t="s">
        <v>74</v>
      </c>
      <c r="D233" s="1" t="s">
        <v>74</v>
      </c>
      <c r="E233" s="1" t="s">
        <v>74</v>
      </c>
      <c r="F233" s="1" t="s">
        <v>2545</v>
      </c>
      <c r="G233" s="1" t="s">
        <v>74</v>
      </c>
      <c r="H233" s="1" t="s">
        <v>74</v>
      </c>
      <c r="I233" s="1" t="s">
        <v>2546</v>
      </c>
      <c r="J233" s="1" t="s">
        <v>2547</v>
      </c>
      <c r="K233" s="1" t="s">
        <v>74</v>
      </c>
      <c r="L233" s="1" t="s">
        <v>74</v>
      </c>
      <c r="M233" s="1" t="s">
        <v>74</v>
      </c>
      <c r="N233" s="1" t="s">
        <v>74</v>
      </c>
      <c r="O233" s="1" t="s">
        <v>74</v>
      </c>
      <c r="P233" s="1" t="s">
        <v>74</v>
      </c>
      <c r="Q233" s="1" t="s">
        <v>74</v>
      </c>
      <c r="R233" s="1" t="s">
        <v>74</v>
      </c>
      <c r="S233" s="1" t="s">
        <v>74</v>
      </c>
      <c r="T233" s="1" t="s">
        <v>74</v>
      </c>
      <c r="U233" s="1" t="s">
        <v>74</v>
      </c>
      <c r="V233" s="1" t="s">
        <v>2548</v>
      </c>
      <c r="W233" s="1" t="s">
        <v>74</v>
      </c>
      <c r="X233" s="1" t="s">
        <v>74</v>
      </c>
      <c r="Y233" s="1" t="s">
        <v>74</v>
      </c>
      <c r="Z233" s="1" t="s">
        <v>74</v>
      </c>
      <c r="AA233" s="1" t="s">
        <v>2549</v>
      </c>
      <c r="AB233" s="1" t="s">
        <v>2550</v>
      </c>
      <c r="AC233" s="1" t="s">
        <v>74</v>
      </c>
      <c r="AD233" s="1" t="s">
        <v>74</v>
      </c>
      <c r="AE233" s="1" t="s">
        <v>74</v>
      </c>
      <c r="AF233" s="1" t="s">
        <v>74</v>
      </c>
      <c r="AG233" s="1" t="s">
        <v>74</v>
      </c>
      <c r="AH233" s="1" t="s">
        <v>74</v>
      </c>
      <c r="AI233" s="1" t="s">
        <v>74</v>
      </c>
      <c r="AJ233" s="1" t="s">
        <v>74</v>
      </c>
      <c r="AK233" s="1" t="s">
        <v>74</v>
      </c>
      <c r="AL233" s="1" t="s">
        <v>74</v>
      </c>
      <c r="AM233" s="1" t="s">
        <v>74</v>
      </c>
      <c r="AN233" s="1" t="s">
        <v>74</v>
      </c>
      <c r="AO233" s="1" t="s">
        <v>2551</v>
      </c>
      <c r="AP233" s="1" t="s">
        <v>2552</v>
      </c>
      <c r="AQ233" s="1" t="s">
        <v>74</v>
      </c>
      <c r="AR233" s="1" t="s">
        <v>74</v>
      </c>
      <c r="AS233" s="1" t="s">
        <v>74</v>
      </c>
      <c r="AT233" s="1" t="s">
        <v>422</v>
      </c>
      <c r="AU233" s="1">
        <v>2014.0</v>
      </c>
      <c r="AV233" s="1">
        <v>107.0</v>
      </c>
      <c r="AW233" s="1" t="s">
        <v>74</v>
      </c>
      <c r="AX233" s="1" t="s">
        <v>74</v>
      </c>
      <c r="AY233" s="1" t="s">
        <v>74</v>
      </c>
      <c r="AZ233" s="1" t="s">
        <v>74</v>
      </c>
      <c r="BA233" s="1" t="s">
        <v>74</v>
      </c>
      <c r="BB233" s="1">
        <v>13.0</v>
      </c>
      <c r="BC233" s="1">
        <v>18.0</v>
      </c>
      <c r="BD233" s="1" t="s">
        <v>74</v>
      </c>
      <c r="BE233" s="1" t="s">
        <v>2553</v>
      </c>
      <c r="BF233" s="2" t="str">
        <f>HYPERLINK("http://dx.doi.org/10.1016/j.nlm.2013.10.018","http://dx.doi.org/10.1016/j.nlm.2013.10.018")</f>
        <v>http://dx.doi.org/10.1016/j.nlm.2013.10.018</v>
      </c>
      <c r="BG233" s="1" t="s">
        <v>74</v>
      </c>
      <c r="BH233" s="1" t="s">
        <v>74</v>
      </c>
      <c r="BI233" s="1" t="s">
        <v>74</v>
      </c>
      <c r="BJ233" s="1" t="s">
        <v>74</v>
      </c>
      <c r="BK233" s="1" t="s">
        <v>74</v>
      </c>
      <c r="BL233" s="1" t="s">
        <v>74</v>
      </c>
      <c r="BM233" s="1" t="s">
        <v>74</v>
      </c>
      <c r="BN233" s="1">
        <v>2.42117E7</v>
      </c>
      <c r="BO233" s="1" t="s">
        <v>74</v>
      </c>
      <c r="BP233" s="1" t="s">
        <v>74</v>
      </c>
      <c r="BQ233" s="1" t="s">
        <v>74</v>
      </c>
      <c r="BR233" s="1" t="s">
        <v>74</v>
      </c>
      <c r="BS233" s="1" t="s">
        <v>2554</v>
      </c>
      <c r="BT233" s="1" t="str">
        <f>HYPERLINK("https%3A%2F%2Fwww.webofscience.com%2Fwos%2Fwoscc%2Ffull-record%2FWOS:000329562300002","View Full Record in Web of Science")</f>
        <v>View Full Record in Web of Science</v>
      </c>
    </row>
    <row r="234" ht="12.75" customHeight="1">
      <c r="A234" s="1" t="s">
        <v>86</v>
      </c>
      <c r="B234" s="1" t="s">
        <v>2555</v>
      </c>
      <c r="C234" s="1" t="s">
        <v>74</v>
      </c>
      <c r="D234" s="1" t="s">
        <v>2556</v>
      </c>
      <c r="E234" s="1" t="s">
        <v>74</v>
      </c>
      <c r="F234" s="1" t="s">
        <v>2557</v>
      </c>
      <c r="G234" s="1" t="s">
        <v>74</v>
      </c>
      <c r="H234" s="1" t="s">
        <v>74</v>
      </c>
      <c r="I234" s="1" t="s">
        <v>2558</v>
      </c>
      <c r="J234" s="1" t="s">
        <v>2559</v>
      </c>
      <c r="K234" s="1" t="s">
        <v>2560</v>
      </c>
      <c r="L234" s="1" t="s">
        <v>74</v>
      </c>
      <c r="M234" s="1" t="s">
        <v>74</v>
      </c>
      <c r="N234" s="1" t="s">
        <v>74</v>
      </c>
      <c r="O234" s="1" t="s">
        <v>2561</v>
      </c>
      <c r="P234" s="1" t="s">
        <v>2562</v>
      </c>
      <c r="Q234" s="1" t="s">
        <v>2563</v>
      </c>
      <c r="R234" s="1" t="s">
        <v>2564</v>
      </c>
      <c r="S234" s="1" t="s">
        <v>74</v>
      </c>
      <c r="T234" s="1" t="s">
        <v>74</v>
      </c>
      <c r="U234" s="1" t="s">
        <v>74</v>
      </c>
      <c r="V234" s="1" t="s">
        <v>2565</v>
      </c>
      <c r="W234" s="1" t="s">
        <v>74</v>
      </c>
      <c r="X234" s="1" t="s">
        <v>74</v>
      </c>
      <c r="Y234" s="1" t="s">
        <v>74</v>
      </c>
      <c r="Z234" s="1" t="s">
        <v>74</v>
      </c>
      <c r="AA234" s="1" t="s">
        <v>74</v>
      </c>
      <c r="AB234" s="1" t="s">
        <v>74</v>
      </c>
      <c r="AC234" s="1" t="s">
        <v>74</v>
      </c>
      <c r="AD234" s="1" t="s">
        <v>74</v>
      </c>
      <c r="AE234" s="1" t="s">
        <v>74</v>
      </c>
      <c r="AF234" s="1" t="s">
        <v>74</v>
      </c>
      <c r="AG234" s="1" t="s">
        <v>74</v>
      </c>
      <c r="AH234" s="1" t="s">
        <v>74</v>
      </c>
      <c r="AI234" s="1" t="s">
        <v>74</v>
      </c>
      <c r="AJ234" s="1" t="s">
        <v>74</v>
      </c>
      <c r="AK234" s="1" t="s">
        <v>74</v>
      </c>
      <c r="AL234" s="1" t="s">
        <v>74</v>
      </c>
      <c r="AM234" s="1" t="s">
        <v>74</v>
      </c>
      <c r="AN234" s="1" t="s">
        <v>74</v>
      </c>
      <c r="AO234" s="1" t="s">
        <v>2566</v>
      </c>
      <c r="AP234" s="1" t="s">
        <v>74</v>
      </c>
      <c r="AQ234" s="1" t="s">
        <v>2567</v>
      </c>
      <c r="AR234" s="1" t="s">
        <v>74</v>
      </c>
      <c r="AS234" s="1" t="s">
        <v>74</v>
      </c>
      <c r="AT234" s="1" t="s">
        <v>74</v>
      </c>
      <c r="AU234" s="1">
        <v>2014.0</v>
      </c>
      <c r="AV234" s="1">
        <v>49.0</v>
      </c>
      <c r="AW234" s="1" t="s">
        <v>74</v>
      </c>
      <c r="AX234" s="1" t="s">
        <v>74</v>
      </c>
      <c r="AY234" s="1" t="s">
        <v>74</v>
      </c>
      <c r="AZ234" s="1" t="s">
        <v>74</v>
      </c>
      <c r="BA234" s="1" t="s">
        <v>74</v>
      </c>
      <c r="BB234" s="1">
        <v>904.0</v>
      </c>
      <c r="BC234" s="1">
        <v>907.0</v>
      </c>
      <c r="BD234" s="1" t="s">
        <v>74</v>
      </c>
      <c r="BE234" s="1" t="s">
        <v>2568</v>
      </c>
      <c r="BF234" s="2" t="str">
        <f>HYPERLINK("http://dx.doi.org/10.1007/978-3-319-13117-7_229","http://dx.doi.org/10.1007/978-3-319-13117-7_229")</f>
        <v>http://dx.doi.org/10.1007/978-3-319-13117-7_229</v>
      </c>
      <c r="BG234" s="1" t="s">
        <v>74</v>
      </c>
      <c r="BH234" s="1" t="s">
        <v>74</v>
      </c>
      <c r="BI234" s="1" t="s">
        <v>74</v>
      </c>
      <c r="BJ234" s="1" t="s">
        <v>74</v>
      </c>
      <c r="BK234" s="1" t="s">
        <v>74</v>
      </c>
      <c r="BL234" s="1" t="s">
        <v>74</v>
      </c>
      <c r="BM234" s="1" t="s">
        <v>74</v>
      </c>
      <c r="BN234" s="1" t="s">
        <v>74</v>
      </c>
      <c r="BO234" s="1" t="s">
        <v>74</v>
      </c>
      <c r="BP234" s="1" t="s">
        <v>74</v>
      </c>
      <c r="BQ234" s="1" t="s">
        <v>74</v>
      </c>
      <c r="BR234" s="1" t="s">
        <v>74</v>
      </c>
      <c r="BS234" s="1" t="s">
        <v>2569</v>
      </c>
      <c r="BT234" s="1" t="str">
        <f>HYPERLINK("https%3A%2F%2Fwww.webofscience.com%2Fwos%2Fwoscc%2Ffull-record%2FWOS:000363767200228","View Full Record in Web of Science")</f>
        <v>View Full Record in Web of Science</v>
      </c>
    </row>
    <row r="235" ht="12.75" customHeight="1">
      <c r="A235" s="1" t="s">
        <v>72</v>
      </c>
      <c r="B235" s="1" t="s">
        <v>2570</v>
      </c>
      <c r="C235" s="1" t="s">
        <v>74</v>
      </c>
      <c r="D235" s="1" t="s">
        <v>74</v>
      </c>
      <c r="E235" s="1" t="s">
        <v>74</v>
      </c>
      <c r="F235" s="1" t="s">
        <v>2571</v>
      </c>
      <c r="G235" s="1" t="s">
        <v>74</v>
      </c>
      <c r="H235" s="1" t="s">
        <v>74</v>
      </c>
      <c r="I235" s="1" t="s">
        <v>2572</v>
      </c>
      <c r="J235" s="1" t="s">
        <v>2573</v>
      </c>
      <c r="K235" s="1" t="s">
        <v>74</v>
      </c>
      <c r="L235" s="1" t="s">
        <v>74</v>
      </c>
      <c r="M235" s="1" t="s">
        <v>74</v>
      </c>
      <c r="N235" s="1" t="s">
        <v>74</v>
      </c>
      <c r="O235" s="1" t="s">
        <v>74</v>
      </c>
      <c r="P235" s="1" t="s">
        <v>74</v>
      </c>
      <c r="Q235" s="1" t="s">
        <v>74</v>
      </c>
      <c r="R235" s="1" t="s">
        <v>74</v>
      </c>
      <c r="S235" s="1" t="s">
        <v>74</v>
      </c>
      <c r="T235" s="1" t="s">
        <v>74</v>
      </c>
      <c r="U235" s="1" t="s">
        <v>74</v>
      </c>
      <c r="V235" s="1" t="s">
        <v>2574</v>
      </c>
      <c r="W235" s="1" t="s">
        <v>74</v>
      </c>
      <c r="X235" s="1" t="s">
        <v>74</v>
      </c>
      <c r="Y235" s="1" t="s">
        <v>74</v>
      </c>
      <c r="Z235" s="1" t="s">
        <v>74</v>
      </c>
      <c r="AA235" s="1" t="s">
        <v>2575</v>
      </c>
      <c r="AB235" s="1" t="s">
        <v>2576</v>
      </c>
      <c r="AC235" s="1" t="s">
        <v>74</v>
      </c>
      <c r="AD235" s="1" t="s">
        <v>74</v>
      </c>
      <c r="AE235" s="1" t="s">
        <v>74</v>
      </c>
      <c r="AF235" s="1" t="s">
        <v>74</v>
      </c>
      <c r="AG235" s="1" t="s">
        <v>74</v>
      </c>
      <c r="AH235" s="1" t="s">
        <v>74</v>
      </c>
      <c r="AI235" s="1" t="s">
        <v>74</v>
      </c>
      <c r="AJ235" s="1" t="s">
        <v>74</v>
      </c>
      <c r="AK235" s="1" t="s">
        <v>74</v>
      </c>
      <c r="AL235" s="1" t="s">
        <v>74</v>
      </c>
      <c r="AM235" s="1" t="s">
        <v>74</v>
      </c>
      <c r="AN235" s="1" t="s">
        <v>74</v>
      </c>
      <c r="AO235" s="1" t="s">
        <v>2577</v>
      </c>
      <c r="AP235" s="1" t="s">
        <v>74</v>
      </c>
      <c r="AQ235" s="1" t="s">
        <v>74</v>
      </c>
      <c r="AR235" s="1" t="s">
        <v>74</v>
      </c>
      <c r="AS235" s="1" t="s">
        <v>74</v>
      </c>
      <c r="AT235" s="1" t="s">
        <v>1213</v>
      </c>
      <c r="AU235" s="1">
        <v>2013.0</v>
      </c>
      <c r="AV235" s="1">
        <v>12.0</v>
      </c>
      <c r="AW235" s="1">
        <v>2.0</v>
      </c>
      <c r="AX235" s="1" t="s">
        <v>74</v>
      </c>
      <c r="AY235" s="1" t="s">
        <v>74</v>
      </c>
      <c r="AZ235" s="1" t="s">
        <v>74</v>
      </c>
      <c r="BA235" s="1" t="s">
        <v>74</v>
      </c>
      <c r="BB235" s="1">
        <v>196.0</v>
      </c>
      <c r="BC235" s="1">
        <v>200.0</v>
      </c>
      <c r="BD235" s="1" t="s">
        <v>74</v>
      </c>
      <c r="BE235" s="1" t="s">
        <v>74</v>
      </c>
      <c r="BF235" s="1" t="s">
        <v>74</v>
      </c>
      <c r="BG235" s="1" t="s">
        <v>74</v>
      </c>
      <c r="BH235" s="1" t="s">
        <v>74</v>
      </c>
      <c r="BI235" s="1" t="s">
        <v>74</v>
      </c>
      <c r="BJ235" s="1" t="s">
        <v>74</v>
      </c>
      <c r="BK235" s="1" t="s">
        <v>74</v>
      </c>
      <c r="BL235" s="1" t="s">
        <v>74</v>
      </c>
      <c r="BM235" s="1" t="s">
        <v>74</v>
      </c>
      <c r="BN235" s="1" t="s">
        <v>74</v>
      </c>
      <c r="BO235" s="1" t="s">
        <v>74</v>
      </c>
      <c r="BP235" s="1" t="s">
        <v>74</v>
      </c>
      <c r="BQ235" s="1" t="s">
        <v>74</v>
      </c>
      <c r="BR235" s="1" t="s">
        <v>74</v>
      </c>
      <c r="BS235" s="1" t="s">
        <v>2578</v>
      </c>
      <c r="BT235" s="1" t="str">
        <f>HYPERLINK("https%3A%2F%2Fwww.webofscience.com%2Fwos%2Fwoscc%2Ffull-record%2FWOS:000316942700009","View Full Record in Web of Science")</f>
        <v>View Full Record in Web of Science</v>
      </c>
    </row>
    <row r="236" ht="12.75" customHeight="1">
      <c r="A236" s="1" t="s">
        <v>72</v>
      </c>
      <c r="B236" s="1" t="s">
        <v>2579</v>
      </c>
      <c r="C236" s="1" t="s">
        <v>74</v>
      </c>
      <c r="D236" s="1" t="s">
        <v>74</v>
      </c>
      <c r="E236" s="1" t="s">
        <v>74</v>
      </c>
      <c r="F236" s="1" t="s">
        <v>2580</v>
      </c>
      <c r="G236" s="1" t="s">
        <v>74</v>
      </c>
      <c r="H236" s="1" t="s">
        <v>74</v>
      </c>
      <c r="I236" s="1" t="s">
        <v>2581</v>
      </c>
      <c r="J236" s="1" t="s">
        <v>810</v>
      </c>
      <c r="K236" s="1" t="s">
        <v>74</v>
      </c>
      <c r="L236" s="1" t="s">
        <v>74</v>
      </c>
      <c r="M236" s="1" t="s">
        <v>74</v>
      </c>
      <c r="N236" s="1" t="s">
        <v>74</v>
      </c>
      <c r="O236" s="1" t="s">
        <v>74</v>
      </c>
      <c r="P236" s="1" t="s">
        <v>74</v>
      </c>
      <c r="Q236" s="1" t="s">
        <v>74</v>
      </c>
      <c r="R236" s="1" t="s">
        <v>74</v>
      </c>
      <c r="S236" s="1" t="s">
        <v>74</v>
      </c>
      <c r="T236" s="1" t="s">
        <v>74</v>
      </c>
      <c r="U236" s="1" t="s">
        <v>74</v>
      </c>
      <c r="V236" s="1" t="s">
        <v>2582</v>
      </c>
      <c r="W236" s="1" t="s">
        <v>74</v>
      </c>
      <c r="X236" s="1" t="s">
        <v>74</v>
      </c>
      <c r="Y236" s="1" t="s">
        <v>74</v>
      </c>
      <c r="Z236" s="1" t="s">
        <v>74</v>
      </c>
      <c r="AA236" s="1" t="s">
        <v>2583</v>
      </c>
      <c r="AB236" s="1" t="s">
        <v>2584</v>
      </c>
      <c r="AC236" s="1" t="s">
        <v>74</v>
      </c>
      <c r="AD236" s="1" t="s">
        <v>74</v>
      </c>
      <c r="AE236" s="1" t="s">
        <v>74</v>
      </c>
      <c r="AF236" s="1" t="s">
        <v>74</v>
      </c>
      <c r="AG236" s="1" t="s">
        <v>74</v>
      </c>
      <c r="AH236" s="1" t="s">
        <v>74</v>
      </c>
      <c r="AI236" s="1" t="s">
        <v>74</v>
      </c>
      <c r="AJ236" s="1" t="s">
        <v>74</v>
      </c>
      <c r="AK236" s="1" t="s">
        <v>74</v>
      </c>
      <c r="AL236" s="1" t="s">
        <v>74</v>
      </c>
      <c r="AM236" s="1" t="s">
        <v>74</v>
      </c>
      <c r="AN236" s="1" t="s">
        <v>74</v>
      </c>
      <c r="AO236" s="1" t="s">
        <v>814</v>
      </c>
      <c r="AP236" s="1" t="s">
        <v>815</v>
      </c>
      <c r="AQ236" s="1" t="s">
        <v>74</v>
      </c>
      <c r="AR236" s="1" t="s">
        <v>74</v>
      </c>
      <c r="AS236" s="1" t="s">
        <v>74</v>
      </c>
      <c r="AT236" s="1" t="s">
        <v>74</v>
      </c>
      <c r="AU236" s="1">
        <v>2010.0</v>
      </c>
      <c r="AV236" s="1">
        <v>21.0</v>
      </c>
      <c r="AW236" s="1">
        <v>2.0</v>
      </c>
      <c r="AX236" s="1" t="s">
        <v>74</v>
      </c>
      <c r="AY236" s="1" t="s">
        <v>74</v>
      </c>
      <c r="AZ236" s="1" t="s">
        <v>74</v>
      </c>
      <c r="BA236" s="1" t="s">
        <v>74</v>
      </c>
      <c r="BB236" s="1">
        <v>255.0</v>
      </c>
      <c r="BC236" s="1">
        <v>261.0</v>
      </c>
      <c r="BD236" s="1" t="s">
        <v>74</v>
      </c>
      <c r="BE236" s="1" t="s">
        <v>2585</v>
      </c>
      <c r="BF236" s="2" t="str">
        <f>HYPERLINK("http://dx.doi.org/10.1590/S0103-50532010000200010","http://dx.doi.org/10.1590/S0103-50532010000200010")</f>
        <v>http://dx.doi.org/10.1590/S0103-50532010000200010</v>
      </c>
      <c r="BG236" s="1" t="s">
        <v>74</v>
      </c>
      <c r="BH236" s="1" t="s">
        <v>74</v>
      </c>
      <c r="BI236" s="1" t="s">
        <v>74</v>
      </c>
      <c r="BJ236" s="1" t="s">
        <v>74</v>
      </c>
      <c r="BK236" s="1" t="s">
        <v>74</v>
      </c>
      <c r="BL236" s="1" t="s">
        <v>74</v>
      </c>
      <c r="BM236" s="1" t="s">
        <v>74</v>
      </c>
      <c r="BN236" s="1" t="s">
        <v>74</v>
      </c>
      <c r="BO236" s="1" t="s">
        <v>74</v>
      </c>
      <c r="BP236" s="1" t="s">
        <v>74</v>
      </c>
      <c r="BQ236" s="1" t="s">
        <v>74</v>
      </c>
      <c r="BR236" s="1" t="s">
        <v>74</v>
      </c>
      <c r="BS236" s="1" t="s">
        <v>2586</v>
      </c>
      <c r="BT236" s="1" t="str">
        <f>HYPERLINK("https%3A%2F%2Fwww.webofscience.com%2Fwos%2Fwoscc%2Ffull-record%2FWOS:000276085500010","View Full Record in Web of Science")</f>
        <v>View Full Record in Web of Science</v>
      </c>
    </row>
    <row r="237" ht="12.75" customHeight="1">
      <c r="A237" s="1" t="s">
        <v>86</v>
      </c>
      <c r="B237" s="1" t="s">
        <v>2587</v>
      </c>
      <c r="C237" s="1" t="s">
        <v>74</v>
      </c>
      <c r="D237" s="1" t="s">
        <v>2588</v>
      </c>
      <c r="E237" s="1" t="s">
        <v>74</v>
      </c>
      <c r="F237" s="1" t="s">
        <v>2589</v>
      </c>
      <c r="G237" s="1" t="s">
        <v>74</v>
      </c>
      <c r="H237" s="1" t="s">
        <v>74</v>
      </c>
      <c r="I237" s="1" t="s">
        <v>2590</v>
      </c>
      <c r="J237" s="1" t="s">
        <v>2591</v>
      </c>
      <c r="K237" s="1" t="s">
        <v>74</v>
      </c>
      <c r="L237" s="1" t="s">
        <v>74</v>
      </c>
      <c r="M237" s="1" t="s">
        <v>74</v>
      </c>
      <c r="N237" s="1" t="s">
        <v>74</v>
      </c>
      <c r="O237" s="1" t="s">
        <v>2592</v>
      </c>
      <c r="P237" s="1" t="s">
        <v>2593</v>
      </c>
      <c r="Q237" s="1" t="s">
        <v>2594</v>
      </c>
      <c r="R237" s="1" t="s">
        <v>2595</v>
      </c>
      <c r="S237" s="1" t="s">
        <v>74</v>
      </c>
      <c r="T237" s="1" t="s">
        <v>74</v>
      </c>
      <c r="U237" s="1" t="s">
        <v>74</v>
      </c>
      <c r="V237" s="1" t="s">
        <v>2596</v>
      </c>
      <c r="W237" s="1" t="s">
        <v>74</v>
      </c>
      <c r="X237" s="1" t="s">
        <v>74</v>
      </c>
      <c r="Y237" s="1" t="s">
        <v>74</v>
      </c>
      <c r="Z237" s="1" t="s">
        <v>74</v>
      </c>
      <c r="AA237" s="1" t="s">
        <v>74</v>
      </c>
      <c r="AB237" s="1" t="s">
        <v>74</v>
      </c>
      <c r="AC237" s="1" t="s">
        <v>74</v>
      </c>
      <c r="AD237" s="1" t="s">
        <v>74</v>
      </c>
      <c r="AE237" s="1" t="s">
        <v>74</v>
      </c>
      <c r="AF237" s="1" t="s">
        <v>74</v>
      </c>
      <c r="AG237" s="1" t="s">
        <v>74</v>
      </c>
      <c r="AH237" s="1" t="s">
        <v>74</v>
      </c>
      <c r="AI237" s="1" t="s">
        <v>74</v>
      </c>
      <c r="AJ237" s="1" t="s">
        <v>74</v>
      </c>
      <c r="AK237" s="1" t="s">
        <v>74</v>
      </c>
      <c r="AL237" s="1" t="s">
        <v>74</v>
      </c>
      <c r="AM237" s="1" t="s">
        <v>74</v>
      </c>
      <c r="AN237" s="1" t="s">
        <v>74</v>
      </c>
      <c r="AO237" s="1" t="s">
        <v>74</v>
      </c>
      <c r="AP237" s="1" t="s">
        <v>74</v>
      </c>
      <c r="AQ237" s="1" t="s">
        <v>2597</v>
      </c>
      <c r="AR237" s="1" t="s">
        <v>74</v>
      </c>
      <c r="AS237" s="1" t="s">
        <v>74</v>
      </c>
      <c r="AT237" s="1" t="s">
        <v>74</v>
      </c>
      <c r="AU237" s="1">
        <v>2009.0</v>
      </c>
      <c r="AV237" s="1" t="s">
        <v>74</v>
      </c>
      <c r="AW237" s="1" t="s">
        <v>74</v>
      </c>
      <c r="AX237" s="1" t="s">
        <v>74</v>
      </c>
      <c r="AY237" s="1" t="s">
        <v>74</v>
      </c>
      <c r="AZ237" s="1" t="s">
        <v>74</v>
      </c>
      <c r="BA237" s="1" t="s">
        <v>74</v>
      </c>
      <c r="BB237" s="1">
        <v>522.0</v>
      </c>
      <c r="BC237" s="1" t="s">
        <v>142</v>
      </c>
      <c r="BD237" s="1" t="s">
        <v>74</v>
      </c>
      <c r="BE237" s="1" t="s">
        <v>74</v>
      </c>
      <c r="BF237" s="1" t="s">
        <v>74</v>
      </c>
      <c r="BG237" s="1" t="s">
        <v>74</v>
      </c>
      <c r="BH237" s="1" t="s">
        <v>74</v>
      </c>
      <c r="BI237" s="1" t="s">
        <v>74</v>
      </c>
      <c r="BJ237" s="1" t="s">
        <v>74</v>
      </c>
      <c r="BK237" s="1" t="s">
        <v>74</v>
      </c>
      <c r="BL237" s="1" t="s">
        <v>74</v>
      </c>
      <c r="BM237" s="1" t="s">
        <v>74</v>
      </c>
      <c r="BN237" s="1" t="s">
        <v>74</v>
      </c>
      <c r="BO237" s="1" t="s">
        <v>74</v>
      </c>
      <c r="BP237" s="1" t="s">
        <v>74</v>
      </c>
      <c r="BQ237" s="1" t="s">
        <v>74</v>
      </c>
      <c r="BR237" s="1" t="s">
        <v>74</v>
      </c>
      <c r="BS237" s="1" t="s">
        <v>2598</v>
      </c>
      <c r="BT237" s="1" t="str">
        <f>HYPERLINK("https%3A%2F%2Fwww.webofscience.com%2Fwos%2Fwoscc%2Ffull-record%2FWOS:000290915300077","View Full Record in Web of Science")</f>
        <v>View Full Record in Web of Science</v>
      </c>
    </row>
    <row r="238" ht="12.75" customHeight="1">
      <c r="A238" s="1" t="s">
        <v>72</v>
      </c>
      <c r="B238" s="1" t="s">
        <v>2599</v>
      </c>
      <c r="C238" s="1" t="s">
        <v>74</v>
      </c>
      <c r="D238" s="1" t="s">
        <v>74</v>
      </c>
      <c r="E238" s="1" t="s">
        <v>74</v>
      </c>
      <c r="F238" s="1" t="s">
        <v>2600</v>
      </c>
      <c r="G238" s="1" t="s">
        <v>74</v>
      </c>
      <c r="H238" s="1" t="s">
        <v>74</v>
      </c>
      <c r="I238" s="1" t="s">
        <v>2601</v>
      </c>
      <c r="J238" s="1" t="s">
        <v>847</v>
      </c>
      <c r="K238" s="1" t="s">
        <v>74</v>
      </c>
      <c r="L238" s="1" t="s">
        <v>74</v>
      </c>
      <c r="M238" s="1" t="s">
        <v>74</v>
      </c>
      <c r="N238" s="1" t="s">
        <v>74</v>
      </c>
      <c r="O238" s="1" t="s">
        <v>2602</v>
      </c>
      <c r="P238" s="1" t="s">
        <v>2603</v>
      </c>
      <c r="Q238" s="1" t="s">
        <v>2604</v>
      </c>
      <c r="R238" s="1" t="s">
        <v>2605</v>
      </c>
      <c r="S238" s="1" t="s">
        <v>74</v>
      </c>
      <c r="T238" s="1" t="s">
        <v>74</v>
      </c>
      <c r="U238" s="1" t="s">
        <v>74</v>
      </c>
      <c r="V238" s="1" t="s">
        <v>2606</v>
      </c>
      <c r="W238" s="1" t="s">
        <v>74</v>
      </c>
      <c r="X238" s="1" t="s">
        <v>74</v>
      </c>
      <c r="Y238" s="1" t="s">
        <v>74</v>
      </c>
      <c r="Z238" s="1" t="s">
        <v>74</v>
      </c>
      <c r="AA238" s="1" t="s">
        <v>2607</v>
      </c>
      <c r="AB238" s="1" t="s">
        <v>2608</v>
      </c>
      <c r="AC238" s="1" t="s">
        <v>74</v>
      </c>
      <c r="AD238" s="1" t="s">
        <v>74</v>
      </c>
      <c r="AE238" s="1" t="s">
        <v>74</v>
      </c>
      <c r="AF238" s="1" t="s">
        <v>74</v>
      </c>
      <c r="AG238" s="1" t="s">
        <v>74</v>
      </c>
      <c r="AH238" s="1" t="s">
        <v>74</v>
      </c>
      <c r="AI238" s="1" t="s">
        <v>74</v>
      </c>
      <c r="AJ238" s="1" t="s">
        <v>74</v>
      </c>
      <c r="AK238" s="1" t="s">
        <v>74</v>
      </c>
      <c r="AL238" s="1" t="s">
        <v>74</v>
      </c>
      <c r="AM238" s="1" t="s">
        <v>74</v>
      </c>
      <c r="AN238" s="1" t="s">
        <v>74</v>
      </c>
      <c r="AO238" s="1" t="s">
        <v>851</v>
      </c>
      <c r="AP238" s="1" t="s">
        <v>852</v>
      </c>
      <c r="AQ238" s="1" t="s">
        <v>74</v>
      </c>
      <c r="AR238" s="1" t="s">
        <v>74</v>
      </c>
      <c r="AS238" s="1" t="s">
        <v>74</v>
      </c>
      <c r="AT238" s="1" t="s">
        <v>348</v>
      </c>
      <c r="AU238" s="1">
        <v>2007.0</v>
      </c>
      <c r="AV238" s="1">
        <v>316.0</v>
      </c>
      <c r="AW238" s="1">
        <v>2.0</v>
      </c>
      <c r="AX238" s="1" t="s">
        <v>74</v>
      </c>
      <c r="AY238" s="1" t="s">
        <v>74</v>
      </c>
      <c r="AZ238" s="1" t="s">
        <v>74</v>
      </c>
      <c r="BA238" s="1" t="s">
        <v>74</v>
      </c>
      <c r="BB238" s="1" t="s">
        <v>2609</v>
      </c>
      <c r="BC238" s="1" t="s">
        <v>2610</v>
      </c>
      <c r="BD238" s="1" t="s">
        <v>74</v>
      </c>
      <c r="BE238" s="1" t="s">
        <v>2611</v>
      </c>
      <c r="BF238" s="2" t="str">
        <f>HYPERLINK("http://dx.doi.org/10.1016/j.jmmm.2007.03.127","http://dx.doi.org/10.1016/j.jmmm.2007.03.127")</f>
        <v>http://dx.doi.org/10.1016/j.jmmm.2007.03.127</v>
      </c>
      <c r="BG238" s="1" t="s">
        <v>74</v>
      </c>
      <c r="BH238" s="1" t="s">
        <v>74</v>
      </c>
      <c r="BI238" s="1" t="s">
        <v>74</v>
      </c>
      <c r="BJ238" s="1" t="s">
        <v>74</v>
      </c>
      <c r="BK238" s="1" t="s">
        <v>74</v>
      </c>
      <c r="BL238" s="1" t="s">
        <v>74</v>
      </c>
      <c r="BM238" s="1" t="s">
        <v>74</v>
      </c>
      <c r="BN238" s="1" t="s">
        <v>74</v>
      </c>
      <c r="BO238" s="1" t="s">
        <v>74</v>
      </c>
      <c r="BP238" s="1" t="s">
        <v>74</v>
      </c>
      <c r="BQ238" s="1" t="s">
        <v>74</v>
      </c>
      <c r="BR238" s="1" t="s">
        <v>74</v>
      </c>
      <c r="BS238" s="1" t="s">
        <v>2612</v>
      </c>
      <c r="BT238" s="1" t="str">
        <f>HYPERLINK("https%3A%2F%2Fwww.webofscience.com%2Fwos%2Fwoscc%2Ffull-record%2FWOS:000248150000336","View Full Record in Web of Science")</f>
        <v>View Full Record in Web of Science</v>
      </c>
    </row>
    <row r="239" ht="12.75" customHeight="1">
      <c r="A239" s="1" t="s">
        <v>72</v>
      </c>
      <c r="B239" s="1" t="s">
        <v>2613</v>
      </c>
      <c r="C239" s="1" t="s">
        <v>74</v>
      </c>
      <c r="D239" s="1" t="s">
        <v>74</v>
      </c>
      <c r="E239" s="1" t="s">
        <v>74</v>
      </c>
      <c r="F239" s="1" t="s">
        <v>2614</v>
      </c>
      <c r="G239" s="1" t="s">
        <v>74</v>
      </c>
      <c r="H239" s="1" t="s">
        <v>74</v>
      </c>
      <c r="I239" s="1" t="s">
        <v>2615</v>
      </c>
      <c r="J239" s="1" t="s">
        <v>2616</v>
      </c>
      <c r="K239" s="1" t="s">
        <v>74</v>
      </c>
      <c r="L239" s="1" t="s">
        <v>74</v>
      </c>
      <c r="M239" s="1" t="s">
        <v>74</v>
      </c>
      <c r="N239" s="1" t="s">
        <v>74</v>
      </c>
      <c r="O239" s="1" t="s">
        <v>74</v>
      </c>
      <c r="P239" s="1" t="s">
        <v>74</v>
      </c>
      <c r="Q239" s="1" t="s">
        <v>74</v>
      </c>
      <c r="R239" s="1" t="s">
        <v>74</v>
      </c>
      <c r="S239" s="1" t="s">
        <v>74</v>
      </c>
      <c r="T239" s="1" t="s">
        <v>74</v>
      </c>
      <c r="U239" s="1" t="s">
        <v>74</v>
      </c>
      <c r="V239" s="1" t="s">
        <v>2617</v>
      </c>
      <c r="W239" s="1" t="s">
        <v>74</v>
      </c>
      <c r="X239" s="1" t="s">
        <v>74</v>
      </c>
      <c r="Y239" s="1" t="s">
        <v>74</v>
      </c>
      <c r="Z239" s="1" t="s">
        <v>74</v>
      </c>
      <c r="AA239" s="1" t="s">
        <v>2618</v>
      </c>
      <c r="AB239" s="1" t="s">
        <v>2619</v>
      </c>
      <c r="AC239" s="1" t="s">
        <v>74</v>
      </c>
      <c r="AD239" s="1" t="s">
        <v>74</v>
      </c>
      <c r="AE239" s="1" t="s">
        <v>74</v>
      </c>
      <c r="AF239" s="1" t="s">
        <v>74</v>
      </c>
      <c r="AG239" s="1" t="s">
        <v>74</v>
      </c>
      <c r="AH239" s="1" t="s">
        <v>74</v>
      </c>
      <c r="AI239" s="1" t="s">
        <v>74</v>
      </c>
      <c r="AJ239" s="1" t="s">
        <v>74</v>
      </c>
      <c r="AK239" s="1" t="s">
        <v>74</v>
      </c>
      <c r="AL239" s="1" t="s">
        <v>74</v>
      </c>
      <c r="AM239" s="1" t="s">
        <v>74</v>
      </c>
      <c r="AN239" s="1" t="s">
        <v>74</v>
      </c>
      <c r="AO239" s="1" t="s">
        <v>2620</v>
      </c>
      <c r="AP239" s="1" t="s">
        <v>2621</v>
      </c>
      <c r="AQ239" s="1" t="s">
        <v>74</v>
      </c>
      <c r="AR239" s="1" t="s">
        <v>74</v>
      </c>
      <c r="AS239" s="1" t="s">
        <v>74</v>
      </c>
      <c r="AT239" s="1" t="s">
        <v>2622</v>
      </c>
      <c r="AU239" s="1">
        <v>2007.0</v>
      </c>
      <c r="AV239" s="1">
        <v>577.0</v>
      </c>
      <c r="AW239" s="1" t="s">
        <v>74</v>
      </c>
      <c r="AX239" s="1" t="s">
        <v>74</v>
      </c>
      <c r="AY239" s="1" t="s">
        <v>74</v>
      </c>
      <c r="AZ239" s="1" t="s">
        <v>74</v>
      </c>
      <c r="BA239" s="1" t="s">
        <v>74</v>
      </c>
      <c r="BB239" s="1">
        <v>385.0</v>
      </c>
      <c r="BC239" s="1">
        <v>415.0</v>
      </c>
      <c r="BD239" s="1" t="s">
        <v>74</v>
      </c>
      <c r="BE239" s="1" t="s">
        <v>2623</v>
      </c>
      <c r="BF239" s="2" t="str">
        <f>HYPERLINK("http://dx.doi.org/10.1017/S002211200700479X","http://dx.doi.org/10.1017/S002211200700479X")</f>
        <v>http://dx.doi.org/10.1017/S002211200700479X</v>
      </c>
      <c r="BG239" s="1" t="s">
        <v>74</v>
      </c>
      <c r="BH239" s="1" t="s">
        <v>74</v>
      </c>
      <c r="BI239" s="1" t="s">
        <v>74</v>
      </c>
      <c r="BJ239" s="1" t="s">
        <v>74</v>
      </c>
      <c r="BK239" s="1" t="s">
        <v>74</v>
      </c>
      <c r="BL239" s="1" t="s">
        <v>74</v>
      </c>
      <c r="BM239" s="1" t="s">
        <v>74</v>
      </c>
      <c r="BN239" s="1" t="s">
        <v>74</v>
      </c>
      <c r="BO239" s="1" t="s">
        <v>74</v>
      </c>
      <c r="BP239" s="1" t="s">
        <v>74</v>
      </c>
      <c r="BQ239" s="1" t="s">
        <v>74</v>
      </c>
      <c r="BR239" s="1" t="s">
        <v>74</v>
      </c>
      <c r="BS239" s="1" t="s">
        <v>2624</v>
      </c>
      <c r="BT239" s="1" t="str">
        <f>HYPERLINK("https%3A%2F%2Fwww.webofscience.com%2Fwos%2Fwoscc%2Ffull-record%2FWOS:000246332900019","View Full Record in Web of Science")</f>
        <v>View Full Record in Web of Science</v>
      </c>
    </row>
    <row r="240" ht="12.75" customHeight="1">
      <c r="A240" s="1" t="s">
        <v>72</v>
      </c>
      <c r="B240" s="1" t="s">
        <v>2625</v>
      </c>
      <c r="C240" s="1" t="s">
        <v>74</v>
      </c>
      <c r="D240" s="1" t="s">
        <v>74</v>
      </c>
      <c r="E240" s="1" t="s">
        <v>74</v>
      </c>
      <c r="F240" s="1" t="s">
        <v>2625</v>
      </c>
      <c r="G240" s="1" t="s">
        <v>74</v>
      </c>
      <c r="H240" s="1" t="s">
        <v>74</v>
      </c>
      <c r="I240" s="1" t="s">
        <v>2626</v>
      </c>
      <c r="J240" s="1" t="s">
        <v>2627</v>
      </c>
      <c r="K240" s="1" t="s">
        <v>74</v>
      </c>
      <c r="L240" s="1" t="s">
        <v>74</v>
      </c>
      <c r="M240" s="1" t="s">
        <v>74</v>
      </c>
      <c r="N240" s="1" t="s">
        <v>74</v>
      </c>
      <c r="O240" s="1" t="s">
        <v>74</v>
      </c>
      <c r="P240" s="1" t="s">
        <v>74</v>
      </c>
      <c r="Q240" s="1" t="s">
        <v>74</v>
      </c>
      <c r="R240" s="1" t="s">
        <v>74</v>
      </c>
      <c r="S240" s="1" t="s">
        <v>74</v>
      </c>
      <c r="T240" s="1" t="s">
        <v>74</v>
      </c>
      <c r="U240" s="1" t="s">
        <v>74</v>
      </c>
      <c r="V240" s="1" t="s">
        <v>2628</v>
      </c>
      <c r="W240" s="1" t="s">
        <v>74</v>
      </c>
      <c r="X240" s="1" t="s">
        <v>74</v>
      </c>
      <c r="Y240" s="1" t="s">
        <v>74</v>
      </c>
      <c r="Z240" s="1" t="s">
        <v>74</v>
      </c>
      <c r="AA240" s="1" t="s">
        <v>74</v>
      </c>
      <c r="AB240" s="1" t="s">
        <v>2629</v>
      </c>
      <c r="AC240" s="1" t="s">
        <v>74</v>
      </c>
      <c r="AD240" s="1" t="s">
        <v>74</v>
      </c>
      <c r="AE240" s="1" t="s">
        <v>74</v>
      </c>
      <c r="AF240" s="1" t="s">
        <v>74</v>
      </c>
      <c r="AG240" s="1" t="s">
        <v>74</v>
      </c>
      <c r="AH240" s="1" t="s">
        <v>74</v>
      </c>
      <c r="AI240" s="1" t="s">
        <v>74</v>
      </c>
      <c r="AJ240" s="1" t="s">
        <v>74</v>
      </c>
      <c r="AK240" s="1" t="s">
        <v>74</v>
      </c>
      <c r="AL240" s="1" t="s">
        <v>74</v>
      </c>
      <c r="AM240" s="1" t="s">
        <v>74</v>
      </c>
      <c r="AN240" s="1" t="s">
        <v>74</v>
      </c>
      <c r="AO240" s="1" t="s">
        <v>2630</v>
      </c>
      <c r="AP240" s="1" t="s">
        <v>2631</v>
      </c>
      <c r="AQ240" s="1" t="s">
        <v>74</v>
      </c>
      <c r="AR240" s="1" t="s">
        <v>74</v>
      </c>
      <c r="AS240" s="1" t="s">
        <v>74</v>
      </c>
      <c r="AT240" s="1" t="s">
        <v>348</v>
      </c>
      <c r="AU240" s="1">
        <v>2005.0</v>
      </c>
      <c r="AV240" s="1">
        <v>112.0</v>
      </c>
      <c r="AW240" s="1" t="s">
        <v>527</v>
      </c>
      <c r="AX240" s="1" t="s">
        <v>74</v>
      </c>
      <c r="AY240" s="1" t="s">
        <v>74</v>
      </c>
      <c r="AZ240" s="1" t="s">
        <v>74</v>
      </c>
      <c r="BA240" s="1" t="s">
        <v>74</v>
      </c>
      <c r="BB240" s="1">
        <v>132.0</v>
      </c>
      <c r="BC240" s="1">
        <v>135.0</v>
      </c>
      <c r="BD240" s="1" t="s">
        <v>74</v>
      </c>
      <c r="BE240" s="1" t="s">
        <v>2632</v>
      </c>
      <c r="BF240" s="2" t="str">
        <f>HYPERLINK("http://dx.doi.org/10.1016/j.virusres.2005.02.011","http://dx.doi.org/10.1016/j.virusres.2005.02.011")</f>
        <v>http://dx.doi.org/10.1016/j.virusres.2005.02.011</v>
      </c>
      <c r="BG240" s="1" t="s">
        <v>74</v>
      </c>
      <c r="BH240" s="1" t="s">
        <v>74</v>
      </c>
      <c r="BI240" s="1" t="s">
        <v>74</v>
      </c>
      <c r="BJ240" s="1" t="s">
        <v>74</v>
      </c>
      <c r="BK240" s="1" t="s">
        <v>74</v>
      </c>
      <c r="BL240" s="1" t="s">
        <v>74</v>
      </c>
      <c r="BM240" s="1" t="s">
        <v>74</v>
      </c>
      <c r="BN240" s="1">
        <v>1.6022907E7</v>
      </c>
      <c r="BO240" s="1" t="s">
        <v>74</v>
      </c>
      <c r="BP240" s="1" t="s">
        <v>74</v>
      </c>
      <c r="BQ240" s="1" t="s">
        <v>74</v>
      </c>
      <c r="BR240" s="1" t="s">
        <v>74</v>
      </c>
      <c r="BS240" s="1" t="s">
        <v>2633</v>
      </c>
      <c r="BT240" s="1" t="str">
        <f>HYPERLINK("https%3A%2F%2Fwww.webofscience.com%2Fwos%2Fwoscc%2Ffull-record%2FWOS:000231004300017","View Full Record in Web of Science")</f>
        <v>View Full Record in Web of Science</v>
      </c>
    </row>
    <row r="241" ht="12.75" customHeight="1">
      <c r="A241" s="1" t="s">
        <v>72</v>
      </c>
      <c r="B241" s="1" t="s">
        <v>2634</v>
      </c>
      <c r="C241" s="1" t="s">
        <v>74</v>
      </c>
      <c r="D241" s="1" t="s">
        <v>74</v>
      </c>
      <c r="E241" s="1" t="s">
        <v>74</v>
      </c>
      <c r="F241" s="1" t="s">
        <v>2634</v>
      </c>
      <c r="G241" s="1" t="s">
        <v>74</v>
      </c>
      <c r="H241" s="1" t="s">
        <v>74</v>
      </c>
      <c r="I241" s="1" t="s">
        <v>2635</v>
      </c>
      <c r="J241" s="1" t="s">
        <v>2636</v>
      </c>
      <c r="K241" s="1" t="s">
        <v>74</v>
      </c>
      <c r="L241" s="1" t="s">
        <v>74</v>
      </c>
      <c r="M241" s="1" t="s">
        <v>74</v>
      </c>
      <c r="N241" s="1" t="s">
        <v>74</v>
      </c>
      <c r="O241" s="1" t="s">
        <v>74</v>
      </c>
      <c r="P241" s="1" t="s">
        <v>74</v>
      </c>
      <c r="Q241" s="1" t="s">
        <v>74</v>
      </c>
      <c r="R241" s="1" t="s">
        <v>74</v>
      </c>
      <c r="S241" s="1" t="s">
        <v>74</v>
      </c>
      <c r="T241" s="1" t="s">
        <v>74</v>
      </c>
      <c r="U241" s="1" t="s">
        <v>74</v>
      </c>
      <c r="V241" s="1" t="s">
        <v>2637</v>
      </c>
      <c r="W241" s="1" t="s">
        <v>74</v>
      </c>
      <c r="X241" s="1" t="s">
        <v>74</v>
      </c>
      <c r="Y241" s="1" t="s">
        <v>74</v>
      </c>
      <c r="Z241" s="1" t="s">
        <v>74</v>
      </c>
      <c r="AA241" s="1" t="s">
        <v>440</v>
      </c>
      <c r="AB241" s="1" t="s">
        <v>74</v>
      </c>
      <c r="AC241" s="1" t="s">
        <v>74</v>
      </c>
      <c r="AD241" s="1" t="s">
        <v>74</v>
      </c>
      <c r="AE241" s="1" t="s">
        <v>74</v>
      </c>
      <c r="AF241" s="1" t="s">
        <v>74</v>
      </c>
      <c r="AG241" s="1" t="s">
        <v>74</v>
      </c>
      <c r="AH241" s="1" t="s">
        <v>74</v>
      </c>
      <c r="AI241" s="1" t="s">
        <v>74</v>
      </c>
      <c r="AJ241" s="1" t="s">
        <v>74</v>
      </c>
      <c r="AK241" s="1" t="s">
        <v>74</v>
      </c>
      <c r="AL241" s="1" t="s">
        <v>74</v>
      </c>
      <c r="AM241" s="1" t="s">
        <v>74</v>
      </c>
      <c r="AN241" s="1" t="s">
        <v>74</v>
      </c>
      <c r="AO241" s="1" t="s">
        <v>2638</v>
      </c>
      <c r="AP241" s="1" t="s">
        <v>2639</v>
      </c>
      <c r="AQ241" s="1" t="s">
        <v>74</v>
      </c>
      <c r="AR241" s="1" t="s">
        <v>74</v>
      </c>
      <c r="AS241" s="1" t="s">
        <v>74</v>
      </c>
      <c r="AT241" s="1" t="s">
        <v>164</v>
      </c>
      <c r="AU241" s="1">
        <v>2004.0</v>
      </c>
      <c r="AV241" s="1">
        <v>9.0</v>
      </c>
      <c r="AW241" s="1">
        <v>5.0</v>
      </c>
      <c r="AX241" s="1" t="s">
        <v>74</v>
      </c>
      <c r="AY241" s="1" t="s">
        <v>74</v>
      </c>
      <c r="AZ241" s="1" t="s">
        <v>74</v>
      </c>
      <c r="BA241" s="1" t="s">
        <v>74</v>
      </c>
      <c r="BB241" s="1">
        <v>609.0</v>
      </c>
      <c r="BC241" s="1">
        <v>615.0</v>
      </c>
      <c r="BD241" s="1" t="s">
        <v>74</v>
      </c>
      <c r="BE241" s="1" t="s">
        <v>2640</v>
      </c>
      <c r="BF241" s="2" t="str">
        <f>HYPERLINK("http://dx.doi.org/10.1007/s00775-004-0554-z","http://dx.doi.org/10.1007/s00775-004-0554-z")</f>
        <v>http://dx.doi.org/10.1007/s00775-004-0554-z</v>
      </c>
      <c r="BG241" s="1" t="s">
        <v>74</v>
      </c>
      <c r="BH241" s="1" t="s">
        <v>74</v>
      </c>
      <c r="BI241" s="1" t="s">
        <v>74</v>
      </c>
      <c r="BJ241" s="1" t="s">
        <v>74</v>
      </c>
      <c r="BK241" s="1" t="s">
        <v>74</v>
      </c>
      <c r="BL241" s="1" t="s">
        <v>74</v>
      </c>
      <c r="BM241" s="1" t="s">
        <v>74</v>
      </c>
      <c r="BN241" s="1">
        <v>1.5164269E7</v>
      </c>
      <c r="BO241" s="1" t="s">
        <v>74</v>
      </c>
      <c r="BP241" s="1" t="s">
        <v>74</v>
      </c>
      <c r="BQ241" s="1" t="s">
        <v>74</v>
      </c>
      <c r="BR241" s="1" t="s">
        <v>74</v>
      </c>
      <c r="BS241" s="1" t="s">
        <v>2641</v>
      </c>
      <c r="BT241" s="1" t="str">
        <f>HYPERLINK("https%3A%2F%2Fwww.webofscience.com%2Fwos%2Fwoscc%2Ffull-record%2FWOS:000223014000012","View Full Record in Web of Science")</f>
        <v>View Full Record in Web of Science</v>
      </c>
    </row>
    <row r="242" ht="12.75" customHeight="1">
      <c r="A242" s="1" t="s">
        <v>72</v>
      </c>
      <c r="B242" s="1" t="s">
        <v>2642</v>
      </c>
      <c r="C242" s="1" t="s">
        <v>74</v>
      </c>
      <c r="D242" s="1" t="s">
        <v>74</v>
      </c>
      <c r="E242" s="1" t="s">
        <v>74</v>
      </c>
      <c r="F242" s="1" t="s">
        <v>2642</v>
      </c>
      <c r="G242" s="1" t="s">
        <v>74</v>
      </c>
      <c r="H242" s="1" t="s">
        <v>74</v>
      </c>
      <c r="I242" s="1" t="s">
        <v>2643</v>
      </c>
      <c r="J242" s="1" t="s">
        <v>2644</v>
      </c>
      <c r="K242" s="1" t="s">
        <v>74</v>
      </c>
      <c r="L242" s="1" t="s">
        <v>74</v>
      </c>
      <c r="M242" s="1" t="s">
        <v>74</v>
      </c>
      <c r="N242" s="1" t="s">
        <v>74</v>
      </c>
      <c r="O242" s="1" t="s">
        <v>74</v>
      </c>
      <c r="P242" s="1" t="s">
        <v>74</v>
      </c>
      <c r="Q242" s="1" t="s">
        <v>74</v>
      </c>
      <c r="R242" s="1" t="s">
        <v>74</v>
      </c>
      <c r="S242" s="1" t="s">
        <v>74</v>
      </c>
      <c r="T242" s="1" t="s">
        <v>74</v>
      </c>
      <c r="U242" s="1" t="s">
        <v>74</v>
      </c>
      <c r="V242" s="1" t="s">
        <v>74</v>
      </c>
      <c r="W242" s="1" t="s">
        <v>74</v>
      </c>
      <c r="X242" s="1" t="s">
        <v>74</v>
      </c>
      <c r="Y242" s="1" t="s">
        <v>74</v>
      </c>
      <c r="Z242" s="1" t="s">
        <v>74</v>
      </c>
      <c r="AA242" s="1" t="s">
        <v>74</v>
      </c>
      <c r="AB242" s="1" t="s">
        <v>74</v>
      </c>
      <c r="AC242" s="1" t="s">
        <v>74</v>
      </c>
      <c r="AD242" s="1" t="s">
        <v>74</v>
      </c>
      <c r="AE242" s="1" t="s">
        <v>74</v>
      </c>
      <c r="AF242" s="1" t="s">
        <v>74</v>
      </c>
      <c r="AG242" s="1" t="s">
        <v>74</v>
      </c>
      <c r="AH242" s="1" t="s">
        <v>74</v>
      </c>
      <c r="AI242" s="1" t="s">
        <v>74</v>
      </c>
      <c r="AJ242" s="1" t="s">
        <v>74</v>
      </c>
      <c r="AK242" s="1" t="s">
        <v>74</v>
      </c>
      <c r="AL242" s="1" t="s">
        <v>74</v>
      </c>
      <c r="AM242" s="1" t="s">
        <v>74</v>
      </c>
      <c r="AN242" s="1" t="s">
        <v>74</v>
      </c>
      <c r="AO242" s="1" t="s">
        <v>2645</v>
      </c>
      <c r="AP242" s="1" t="s">
        <v>74</v>
      </c>
      <c r="AQ242" s="1" t="s">
        <v>74</v>
      </c>
      <c r="AR242" s="1" t="s">
        <v>74</v>
      </c>
      <c r="AS242" s="1" t="s">
        <v>74</v>
      </c>
      <c r="AT242" s="1" t="s">
        <v>164</v>
      </c>
      <c r="AU242" s="1">
        <v>2003.0</v>
      </c>
      <c r="AV242" s="1">
        <v>22.0</v>
      </c>
      <c r="AW242" s="1">
        <v>7.0</v>
      </c>
      <c r="AX242" s="1" t="s">
        <v>74</v>
      </c>
      <c r="AY242" s="1" t="s">
        <v>74</v>
      </c>
      <c r="AZ242" s="1" t="s">
        <v>74</v>
      </c>
      <c r="BA242" s="1" t="s">
        <v>74</v>
      </c>
      <c r="BB242" s="1">
        <v>731.0</v>
      </c>
      <c r="BC242" s="1">
        <v>735.0</v>
      </c>
      <c r="BD242" s="1" t="s">
        <v>74</v>
      </c>
      <c r="BE242" s="1" t="s">
        <v>2646</v>
      </c>
      <c r="BF242" s="2" t="str">
        <f>HYPERLINK("http://dx.doi.org/10.7863/jum.2003.22.7.731","http://dx.doi.org/10.7863/jum.2003.22.7.731")</f>
        <v>http://dx.doi.org/10.7863/jum.2003.22.7.731</v>
      </c>
      <c r="BG242" s="1" t="s">
        <v>74</v>
      </c>
      <c r="BH242" s="1" t="s">
        <v>74</v>
      </c>
      <c r="BI242" s="1" t="s">
        <v>74</v>
      </c>
      <c r="BJ242" s="1" t="s">
        <v>74</v>
      </c>
      <c r="BK242" s="1" t="s">
        <v>74</v>
      </c>
      <c r="BL242" s="1" t="s">
        <v>74</v>
      </c>
      <c r="BM242" s="1" t="s">
        <v>74</v>
      </c>
      <c r="BN242" s="1">
        <v>1.2862275E7</v>
      </c>
      <c r="BO242" s="1" t="s">
        <v>74</v>
      </c>
      <c r="BP242" s="1" t="s">
        <v>74</v>
      </c>
      <c r="BQ242" s="1" t="s">
        <v>74</v>
      </c>
      <c r="BR242" s="1" t="s">
        <v>74</v>
      </c>
      <c r="BS242" s="1" t="s">
        <v>2647</v>
      </c>
      <c r="BT242" s="1" t="str">
        <f>HYPERLINK("https%3A%2F%2Fwww.webofscience.com%2Fwos%2Fwoscc%2Ffull-record%2FWOS:000183827100014","View Full Record in Web of Science")</f>
        <v>View Full Record in Web of Science</v>
      </c>
    </row>
    <row r="243" ht="12.75" customHeight="1">
      <c r="A243" s="1" t="s">
        <v>72</v>
      </c>
      <c r="B243" s="1" t="s">
        <v>2648</v>
      </c>
      <c r="C243" s="1" t="s">
        <v>74</v>
      </c>
      <c r="D243" s="1" t="s">
        <v>74</v>
      </c>
      <c r="E243" s="1" t="s">
        <v>74</v>
      </c>
      <c r="F243" s="1" t="s">
        <v>2648</v>
      </c>
      <c r="G243" s="1" t="s">
        <v>74</v>
      </c>
      <c r="H243" s="1" t="s">
        <v>74</v>
      </c>
      <c r="I243" s="1" t="s">
        <v>2649</v>
      </c>
      <c r="J243" s="1" t="s">
        <v>2650</v>
      </c>
      <c r="K243" s="1" t="s">
        <v>74</v>
      </c>
      <c r="L243" s="1" t="s">
        <v>74</v>
      </c>
      <c r="M243" s="1" t="s">
        <v>74</v>
      </c>
      <c r="N243" s="1" t="s">
        <v>74</v>
      </c>
      <c r="O243" s="1" t="s">
        <v>74</v>
      </c>
      <c r="P243" s="1" t="s">
        <v>74</v>
      </c>
      <c r="Q243" s="1" t="s">
        <v>74</v>
      </c>
      <c r="R243" s="1" t="s">
        <v>74</v>
      </c>
      <c r="S243" s="1" t="s">
        <v>74</v>
      </c>
      <c r="T243" s="1" t="s">
        <v>74</v>
      </c>
      <c r="U243" s="1" t="s">
        <v>74</v>
      </c>
      <c r="V243" s="1" t="s">
        <v>2651</v>
      </c>
      <c r="W243" s="1" t="s">
        <v>74</v>
      </c>
      <c r="X243" s="1" t="s">
        <v>74</v>
      </c>
      <c r="Y243" s="1" t="s">
        <v>74</v>
      </c>
      <c r="Z243" s="1" t="s">
        <v>74</v>
      </c>
      <c r="AA243" s="1" t="s">
        <v>2652</v>
      </c>
      <c r="AB243" s="1" t="s">
        <v>2653</v>
      </c>
      <c r="AC243" s="1" t="s">
        <v>74</v>
      </c>
      <c r="AD243" s="1" t="s">
        <v>74</v>
      </c>
      <c r="AE243" s="1" t="s">
        <v>74</v>
      </c>
      <c r="AF243" s="1" t="s">
        <v>74</v>
      </c>
      <c r="AG243" s="1" t="s">
        <v>74</v>
      </c>
      <c r="AH243" s="1" t="s">
        <v>74</v>
      </c>
      <c r="AI243" s="1" t="s">
        <v>74</v>
      </c>
      <c r="AJ243" s="1" t="s">
        <v>74</v>
      </c>
      <c r="AK243" s="1" t="s">
        <v>74</v>
      </c>
      <c r="AL243" s="1" t="s">
        <v>74</v>
      </c>
      <c r="AM243" s="1" t="s">
        <v>74</v>
      </c>
      <c r="AN243" s="1" t="s">
        <v>74</v>
      </c>
      <c r="AO243" s="1" t="s">
        <v>2654</v>
      </c>
      <c r="AP243" s="1" t="s">
        <v>74</v>
      </c>
      <c r="AQ243" s="1" t="s">
        <v>74</v>
      </c>
      <c r="AR243" s="1" t="s">
        <v>74</v>
      </c>
      <c r="AS243" s="1" t="s">
        <v>74</v>
      </c>
      <c r="AT243" s="1" t="s">
        <v>2655</v>
      </c>
      <c r="AU243" s="1">
        <v>1998.0</v>
      </c>
      <c r="AV243" s="1">
        <v>52.0</v>
      </c>
      <c r="AW243" s="1">
        <v>2.0</v>
      </c>
      <c r="AX243" s="1" t="s">
        <v>74</v>
      </c>
      <c r="AY243" s="1" t="s">
        <v>74</v>
      </c>
      <c r="AZ243" s="1" t="s">
        <v>74</v>
      </c>
      <c r="BA243" s="1" t="s">
        <v>74</v>
      </c>
      <c r="BB243" s="1">
        <v>123.0</v>
      </c>
      <c r="BC243" s="1">
        <v>130.0</v>
      </c>
      <c r="BD243" s="1" t="s">
        <v>74</v>
      </c>
      <c r="BE243" s="1" t="s">
        <v>2656</v>
      </c>
      <c r="BF243" s="2" t="str">
        <f>HYPERLINK("http://dx.doi.org/10.1016/S0378-4320(98)00094-3","http://dx.doi.org/10.1016/S0378-4320(98)00094-3")</f>
        <v>http://dx.doi.org/10.1016/S0378-4320(98)00094-3</v>
      </c>
      <c r="BG243" s="1" t="s">
        <v>74</v>
      </c>
      <c r="BH243" s="1" t="s">
        <v>74</v>
      </c>
      <c r="BI243" s="1" t="s">
        <v>74</v>
      </c>
      <c r="BJ243" s="1" t="s">
        <v>74</v>
      </c>
      <c r="BK243" s="1" t="s">
        <v>74</v>
      </c>
      <c r="BL243" s="1" t="s">
        <v>74</v>
      </c>
      <c r="BM243" s="1" t="s">
        <v>74</v>
      </c>
      <c r="BN243" s="1">
        <v>9776485.0</v>
      </c>
      <c r="BO243" s="1" t="s">
        <v>74</v>
      </c>
      <c r="BP243" s="1" t="s">
        <v>74</v>
      </c>
      <c r="BQ243" s="1" t="s">
        <v>74</v>
      </c>
      <c r="BR243" s="1" t="s">
        <v>74</v>
      </c>
      <c r="BS243" s="1" t="s">
        <v>2657</v>
      </c>
      <c r="BT243" s="1" t="str">
        <f>HYPERLINK("https%3A%2F%2Fwww.webofscience.com%2Fwos%2Fwoscc%2Ffull-record%2FWOS:000076058900004","View Full Record in Web of Science")</f>
        <v>View Full Record in Web of Science</v>
      </c>
    </row>
    <row r="244" ht="12.75" customHeight="1">
      <c r="A244" s="1" t="s">
        <v>72</v>
      </c>
      <c r="B244" s="1" t="s">
        <v>2658</v>
      </c>
      <c r="C244" s="1" t="s">
        <v>74</v>
      </c>
      <c r="D244" s="1" t="s">
        <v>74</v>
      </c>
      <c r="E244" s="1" t="s">
        <v>74</v>
      </c>
      <c r="F244" s="1" t="s">
        <v>2658</v>
      </c>
      <c r="G244" s="1" t="s">
        <v>74</v>
      </c>
      <c r="H244" s="1" t="s">
        <v>74</v>
      </c>
      <c r="I244" s="1" t="s">
        <v>2659</v>
      </c>
      <c r="J244" s="1" t="s">
        <v>2660</v>
      </c>
      <c r="K244" s="1" t="s">
        <v>74</v>
      </c>
      <c r="L244" s="1" t="s">
        <v>74</v>
      </c>
      <c r="M244" s="1" t="s">
        <v>74</v>
      </c>
      <c r="N244" s="1" t="s">
        <v>74</v>
      </c>
      <c r="O244" s="1" t="s">
        <v>74</v>
      </c>
      <c r="P244" s="1" t="s">
        <v>74</v>
      </c>
      <c r="Q244" s="1" t="s">
        <v>74</v>
      </c>
      <c r="R244" s="1" t="s">
        <v>74</v>
      </c>
      <c r="S244" s="1" t="s">
        <v>74</v>
      </c>
      <c r="T244" s="1" t="s">
        <v>74</v>
      </c>
      <c r="U244" s="1" t="s">
        <v>74</v>
      </c>
      <c r="V244" s="1" t="s">
        <v>2661</v>
      </c>
      <c r="W244" s="1" t="s">
        <v>74</v>
      </c>
      <c r="X244" s="1" t="s">
        <v>74</v>
      </c>
      <c r="Y244" s="1" t="s">
        <v>74</v>
      </c>
      <c r="Z244" s="1" t="s">
        <v>74</v>
      </c>
      <c r="AA244" s="1" t="s">
        <v>2662</v>
      </c>
      <c r="AB244" s="1" t="s">
        <v>2663</v>
      </c>
      <c r="AC244" s="1" t="s">
        <v>74</v>
      </c>
      <c r="AD244" s="1" t="s">
        <v>74</v>
      </c>
      <c r="AE244" s="1" t="s">
        <v>74</v>
      </c>
      <c r="AF244" s="1" t="s">
        <v>74</v>
      </c>
      <c r="AG244" s="1" t="s">
        <v>74</v>
      </c>
      <c r="AH244" s="1" t="s">
        <v>74</v>
      </c>
      <c r="AI244" s="1" t="s">
        <v>74</v>
      </c>
      <c r="AJ244" s="1" t="s">
        <v>74</v>
      </c>
      <c r="AK244" s="1" t="s">
        <v>74</v>
      </c>
      <c r="AL244" s="1" t="s">
        <v>74</v>
      </c>
      <c r="AM244" s="1" t="s">
        <v>74</v>
      </c>
      <c r="AN244" s="1" t="s">
        <v>74</v>
      </c>
      <c r="AO244" s="1" t="s">
        <v>2664</v>
      </c>
      <c r="AP244" s="1" t="s">
        <v>2665</v>
      </c>
      <c r="AQ244" s="1" t="s">
        <v>74</v>
      </c>
      <c r="AR244" s="1" t="s">
        <v>74</v>
      </c>
      <c r="AS244" s="1" t="s">
        <v>74</v>
      </c>
      <c r="AT244" s="1" t="s">
        <v>2530</v>
      </c>
      <c r="AU244" s="1">
        <v>1997.0</v>
      </c>
      <c r="AV244" s="1">
        <v>82.0</v>
      </c>
      <c r="AW244" s="1">
        <v>1.0</v>
      </c>
      <c r="AX244" s="1" t="s">
        <v>74</v>
      </c>
      <c r="AY244" s="1" t="s">
        <v>74</v>
      </c>
      <c r="AZ244" s="1" t="s">
        <v>74</v>
      </c>
      <c r="BA244" s="1" t="s">
        <v>74</v>
      </c>
      <c r="BB244" s="1">
        <v>270.0</v>
      </c>
      <c r="BC244" s="1">
        <v>274.0</v>
      </c>
      <c r="BD244" s="1" t="s">
        <v>74</v>
      </c>
      <c r="BE244" s="1" t="s">
        <v>2666</v>
      </c>
      <c r="BF244" s="2" t="str">
        <f>HYPERLINK("http://dx.doi.org/10.1063/1.365807","http://dx.doi.org/10.1063/1.365807")</f>
        <v>http://dx.doi.org/10.1063/1.365807</v>
      </c>
      <c r="BG244" s="1" t="s">
        <v>74</v>
      </c>
      <c r="BH244" s="1" t="s">
        <v>74</v>
      </c>
      <c r="BI244" s="1" t="s">
        <v>74</v>
      </c>
      <c r="BJ244" s="1" t="s">
        <v>74</v>
      </c>
      <c r="BK244" s="1" t="s">
        <v>74</v>
      </c>
      <c r="BL244" s="1" t="s">
        <v>74</v>
      </c>
      <c r="BM244" s="1" t="s">
        <v>74</v>
      </c>
      <c r="BN244" s="1" t="s">
        <v>74</v>
      </c>
      <c r="BO244" s="1" t="s">
        <v>74</v>
      </c>
      <c r="BP244" s="1" t="s">
        <v>74</v>
      </c>
      <c r="BQ244" s="1" t="s">
        <v>74</v>
      </c>
      <c r="BR244" s="1" t="s">
        <v>74</v>
      </c>
      <c r="BS244" s="1" t="s">
        <v>2667</v>
      </c>
      <c r="BT244" s="1" t="str">
        <f>HYPERLINK("https%3A%2F%2Fwww.webofscience.com%2Fwos%2Fwoscc%2Ffull-record%2FWOS:A1997XG88000035","View Full Record in Web of Science")</f>
        <v>View Full Record in Web of Science</v>
      </c>
    </row>
    <row r="245" ht="12.75" customHeight="1">
      <c r="A245" s="1" t="s">
        <v>72</v>
      </c>
      <c r="B245" s="1" t="s">
        <v>2668</v>
      </c>
      <c r="C245" s="1" t="s">
        <v>74</v>
      </c>
      <c r="D245" s="1" t="s">
        <v>74</v>
      </c>
      <c r="E245" s="1" t="s">
        <v>74</v>
      </c>
      <c r="F245" s="1" t="s">
        <v>2668</v>
      </c>
      <c r="G245" s="1" t="s">
        <v>74</v>
      </c>
      <c r="H245" s="1" t="s">
        <v>74</v>
      </c>
      <c r="I245" s="1" t="s">
        <v>2669</v>
      </c>
      <c r="J245" s="1" t="s">
        <v>2670</v>
      </c>
      <c r="K245" s="1" t="s">
        <v>74</v>
      </c>
      <c r="L245" s="1" t="s">
        <v>74</v>
      </c>
      <c r="M245" s="1" t="s">
        <v>74</v>
      </c>
      <c r="N245" s="1" t="s">
        <v>74</v>
      </c>
      <c r="O245" s="1" t="s">
        <v>2671</v>
      </c>
      <c r="P245" s="1" t="s">
        <v>2672</v>
      </c>
      <c r="Q245" s="1" t="s">
        <v>2673</v>
      </c>
      <c r="R245" s="1" t="s">
        <v>2674</v>
      </c>
      <c r="S245" s="1" t="s">
        <v>74</v>
      </c>
      <c r="T245" s="1" t="s">
        <v>74</v>
      </c>
      <c r="U245" s="1" t="s">
        <v>74</v>
      </c>
      <c r="V245" s="1" t="s">
        <v>2675</v>
      </c>
      <c r="W245" s="1" t="s">
        <v>74</v>
      </c>
      <c r="X245" s="1" t="s">
        <v>74</v>
      </c>
      <c r="Y245" s="1" t="s">
        <v>74</v>
      </c>
      <c r="Z245" s="1" t="s">
        <v>74</v>
      </c>
      <c r="AA245" s="1" t="s">
        <v>74</v>
      </c>
      <c r="AB245" s="1" t="s">
        <v>74</v>
      </c>
      <c r="AC245" s="1" t="s">
        <v>74</v>
      </c>
      <c r="AD245" s="1" t="s">
        <v>74</v>
      </c>
      <c r="AE245" s="1" t="s">
        <v>74</v>
      </c>
      <c r="AF245" s="1" t="s">
        <v>74</v>
      </c>
      <c r="AG245" s="1" t="s">
        <v>74</v>
      </c>
      <c r="AH245" s="1" t="s">
        <v>74</v>
      </c>
      <c r="AI245" s="1" t="s">
        <v>74</v>
      </c>
      <c r="AJ245" s="1" t="s">
        <v>74</v>
      </c>
      <c r="AK245" s="1" t="s">
        <v>74</v>
      </c>
      <c r="AL245" s="1" t="s">
        <v>74</v>
      </c>
      <c r="AM245" s="1" t="s">
        <v>74</v>
      </c>
      <c r="AN245" s="1" t="s">
        <v>74</v>
      </c>
      <c r="AO245" s="1" t="s">
        <v>2676</v>
      </c>
      <c r="AP245" s="1" t="s">
        <v>74</v>
      </c>
      <c r="AQ245" s="1" t="s">
        <v>74</v>
      </c>
      <c r="AR245" s="1" t="s">
        <v>74</v>
      </c>
      <c r="AS245" s="1" t="s">
        <v>74</v>
      </c>
      <c r="AT245" s="1" t="s">
        <v>74</v>
      </c>
      <c r="AU245" s="1">
        <v>1994.0</v>
      </c>
      <c r="AV245" s="1">
        <v>83.0</v>
      </c>
      <c r="AW245" s="1" t="s">
        <v>1214</v>
      </c>
      <c r="AX245" s="1" t="s">
        <v>74</v>
      </c>
      <c r="AY245" s="1" t="s">
        <v>74</v>
      </c>
      <c r="AZ245" s="1" t="s">
        <v>74</v>
      </c>
      <c r="BA245" s="1" t="s">
        <v>74</v>
      </c>
      <c r="BB245" s="1">
        <v>443.0</v>
      </c>
      <c r="BC245" s="1">
        <v>450.0</v>
      </c>
      <c r="BD245" s="1" t="s">
        <v>74</v>
      </c>
      <c r="BE245" s="1" t="s">
        <v>2677</v>
      </c>
      <c r="BF245" s="2" t="str">
        <f>HYPERLINK("http://dx.doi.org/10.1007/BF02074315","http://dx.doi.org/10.1007/BF02074315")</f>
        <v>http://dx.doi.org/10.1007/BF02074315</v>
      </c>
      <c r="BG245" s="1" t="s">
        <v>74</v>
      </c>
      <c r="BH245" s="1" t="s">
        <v>74</v>
      </c>
      <c r="BI245" s="1" t="s">
        <v>74</v>
      </c>
      <c r="BJ245" s="1" t="s">
        <v>74</v>
      </c>
      <c r="BK245" s="1" t="s">
        <v>74</v>
      </c>
      <c r="BL245" s="1" t="s">
        <v>74</v>
      </c>
      <c r="BM245" s="1" t="s">
        <v>74</v>
      </c>
      <c r="BN245" s="1" t="s">
        <v>74</v>
      </c>
      <c r="BO245" s="1" t="s">
        <v>74</v>
      </c>
      <c r="BP245" s="1" t="s">
        <v>74</v>
      </c>
      <c r="BQ245" s="1" t="s">
        <v>74</v>
      </c>
      <c r="BR245" s="1" t="s">
        <v>74</v>
      </c>
      <c r="BS245" s="1" t="s">
        <v>2678</v>
      </c>
      <c r="BT245" s="1" t="str">
        <f>HYPERLINK("https%3A%2F%2Fwww.webofscience.com%2Fwos%2Fwoscc%2Ffull-record%2FWOS:A1994MW39900062","View Full Record in Web of Science")</f>
        <v>View Full Record in Web of Science</v>
      </c>
    </row>
    <row r="246" ht="12.75" customHeight="1">
      <c r="A246" s="1" t="s">
        <v>72</v>
      </c>
      <c r="B246" s="1" t="s">
        <v>2679</v>
      </c>
      <c r="C246" s="1" t="s">
        <v>74</v>
      </c>
      <c r="D246" s="1" t="s">
        <v>74</v>
      </c>
      <c r="E246" s="1" t="s">
        <v>74</v>
      </c>
      <c r="F246" s="1" t="s">
        <v>2680</v>
      </c>
      <c r="G246" s="1" t="s">
        <v>74</v>
      </c>
      <c r="H246" s="1" t="s">
        <v>74</v>
      </c>
      <c r="I246" s="1" t="s">
        <v>2681</v>
      </c>
      <c r="J246" s="1" t="s">
        <v>2682</v>
      </c>
      <c r="K246" s="1" t="s">
        <v>74</v>
      </c>
      <c r="L246" s="1" t="s">
        <v>74</v>
      </c>
      <c r="M246" s="1" t="s">
        <v>74</v>
      </c>
      <c r="N246" s="1" t="s">
        <v>74</v>
      </c>
      <c r="O246" s="1" t="s">
        <v>74</v>
      </c>
      <c r="P246" s="1" t="s">
        <v>74</v>
      </c>
      <c r="Q246" s="1" t="s">
        <v>74</v>
      </c>
      <c r="R246" s="1" t="s">
        <v>74</v>
      </c>
      <c r="S246" s="1" t="s">
        <v>74</v>
      </c>
      <c r="T246" s="1" t="s">
        <v>74</v>
      </c>
      <c r="U246" s="1" t="s">
        <v>74</v>
      </c>
      <c r="V246" s="1" t="s">
        <v>2683</v>
      </c>
      <c r="W246" s="1" t="s">
        <v>74</v>
      </c>
      <c r="X246" s="1" t="s">
        <v>74</v>
      </c>
      <c r="Y246" s="1" t="s">
        <v>74</v>
      </c>
      <c r="Z246" s="1" t="s">
        <v>74</v>
      </c>
      <c r="AA246" s="1" t="s">
        <v>74</v>
      </c>
      <c r="AB246" s="1" t="s">
        <v>74</v>
      </c>
      <c r="AC246" s="1" t="s">
        <v>74</v>
      </c>
      <c r="AD246" s="1" t="s">
        <v>74</v>
      </c>
      <c r="AE246" s="1" t="s">
        <v>74</v>
      </c>
      <c r="AF246" s="1" t="s">
        <v>74</v>
      </c>
      <c r="AG246" s="1" t="s">
        <v>74</v>
      </c>
      <c r="AH246" s="1" t="s">
        <v>74</v>
      </c>
      <c r="AI246" s="1" t="s">
        <v>74</v>
      </c>
      <c r="AJ246" s="1" t="s">
        <v>74</v>
      </c>
      <c r="AK246" s="1" t="s">
        <v>74</v>
      </c>
      <c r="AL246" s="1" t="s">
        <v>74</v>
      </c>
      <c r="AM246" s="1" t="s">
        <v>74</v>
      </c>
      <c r="AN246" s="1" t="s">
        <v>74</v>
      </c>
      <c r="AO246" s="1" t="s">
        <v>74</v>
      </c>
      <c r="AP246" s="1" t="s">
        <v>2684</v>
      </c>
      <c r="AQ246" s="1" t="s">
        <v>74</v>
      </c>
      <c r="AR246" s="1" t="s">
        <v>74</v>
      </c>
      <c r="AS246" s="1" t="s">
        <v>74</v>
      </c>
      <c r="AT246" s="1" t="s">
        <v>2685</v>
      </c>
      <c r="AU246" s="1">
        <v>2025.0</v>
      </c>
      <c r="AV246" s="1">
        <v>9.0</v>
      </c>
      <c r="AW246" s="1">
        <v>2.0</v>
      </c>
      <c r="AX246" s="1" t="s">
        <v>74</v>
      </c>
      <c r="AY246" s="1" t="s">
        <v>74</v>
      </c>
      <c r="AZ246" s="1" t="s">
        <v>74</v>
      </c>
      <c r="BA246" s="1" t="s">
        <v>74</v>
      </c>
      <c r="BB246" s="1" t="s">
        <v>74</v>
      </c>
      <c r="BC246" s="1" t="s">
        <v>74</v>
      </c>
      <c r="BD246" s="1">
        <v>16.0</v>
      </c>
      <c r="BE246" s="1" t="s">
        <v>2686</v>
      </c>
      <c r="BF246" s="2" t="str">
        <f>HYPERLINK("http://dx.doi.org/10.3390/colloids9020016","http://dx.doi.org/10.3390/colloids9020016")</f>
        <v>http://dx.doi.org/10.3390/colloids9020016</v>
      </c>
      <c r="BG246" s="1" t="s">
        <v>74</v>
      </c>
      <c r="BH246" s="1" t="s">
        <v>74</v>
      </c>
      <c r="BI246" s="1" t="s">
        <v>74</v>
      </c>
      <c r="BJ246" s="1" t="s">
        <v>74</v>
      </c>
      <c r="BK246" s="1" t="s">
        <v>74</v>
      </c>
      <c r="BL246" s="1" t="s">
        <v>74</v>
      </c>
      <c r="BM246" s="1" t="s">
        <v>74</v>
      </c>
      <c r="BN246" s="1" t="s">
        <v>74</v>
      </c>
      <c r="BO246" s="1" t="s">
        <v>74</v>
      </c>
      <c r="BP246" s="1" t="s">
        <v>74</v>
      </c>
      <c r="BQ246" s="1" t="s">
        <v>74</v>
      </c>
      <c r="BR246" s="1" t="s">
        <v>74</v>
      </c>
      <c r="BS246" s="1" t="s">
        <v>2687</v>
      </c>
      <c r="BT246" s="1" t="str">
        <f>HYPERLINK("https%3A%2F%2Fwww.webofscience.com%2Fwos%2Fwoscc%2Ffull-record%2FWOS:001474361900001","View Full Record in Web of Science")</f>
        <v>View Full Record in Web of Science</v>
      </c>
    </row>
    <row r="247" ht="12.75" customHeight="1">
      <c r="A247" s="1" t="s">
        <v>72</v>
      </c>
      <c r="B247" s="1" t="s">
        <v>2688</v>
      </c>
      <c r="C247" s="1" t="s">
        <v>74</v>
      </c>
      <c r="D247" s="1" t="s">
        <v>74</v>
      </c>
      <c r="E247" s="1" t="s">
        <v>74</v>
      </c>
      <c r="F247" s="1" t="s">
        <v>2689</v>
      </c>
      <c r="G247" s="1" t="s">
        <v>74</v>
      </c>
      <c r="H247" s="1" t="s">
        <v>74</v>
      </c>
      <c r="I247" s="1" t="s">
        <v>2690</v>
      </c>
      <c r="J247" s="1" t="s">
        <v>2691</v>
      </c>
      <c r="K247" s="1" t="s">
        <v>74</v>
      </c>
      <c r="L247" s="1" t="s">
        <v>74</v>
      </c>
      <c r="M247" s="1" t="s">
        <v>74</v>
      </c>
      <c r="N247" s="1" t="s">
        <v>74</v>
      </c>
      <c r="O247" s="1" t="s">
        <v>74</v>
      </c>
      <c r="P247" s="1" t="s">
        <v>74</v>
      </c>
      <c r="Q247" s="1" t="s">
        <v>74</v>
      </c>
      <c r="R247" s="1" t="s">
        <v>74</v>
      </c>
      <c r="S247" s="1" t="s">
        <v>74</v>
      </c>
      <c r="T247" s="1" t="s">
        <v>74</v>
      </c>
      <c r="U247" s="1" t="s">
        <v>74</v>
      </c>
      <c r="V247" s="1" t="s">
        <v>2692</v>
      </c>
      <c r="W247" s="1" t="s">
        <v>74</v>
      </c>
      <c r="X247" s="1" t="s">
        <v>74</v>
      </c>
      <c r="Y247" s="1" t="s">
        <v>74</v>
      </c>
      <c r="Z247" s="1" t="s">
        <v>74</v>
      </c>
      <c r="AA247" s="1" t="s">
        <v>2693</v>
      </c>
      <c r="AB247" s="1" t="s">
        <v>2694</v>
      </c>
      <c r="AC247" s="1" t="s">
        <v>74</v>
      </c>
      <c r="AD247" s="1" t="s">
        <v>74</v>
      </c>
      <c r="AE247" s="1" t="s">
        <v>74</v>
      </c>
      <c r="AF247" s="1" t="s">
        <v>74</v>
      </c>
      <c r="AG247" s="1" t="s">
        <v>74</v>
      </c>
      <c r="AH247" s="1" t="s">
        <v>74</v>
      </c>
      <c r="AI247" s="1" t="s">
        <v>74</v>
      </c>
      <c r="AJ247" s="1" t="s">
        <v>74</v>
      </c>
      <c r="AK247" s="1" t="s">
        <v>74</v>
      </c>
      <c r="AL247" s="1" t="s">
        <v>74</v>
      </c>
      <c r="AM247" s="1" t="s">
        <v>74</v>
      </c>
      <c r="AN247" s="1" t="s">
        <v>74</v>
      </c>
      <c r="AO247" s="1" t="s">
        <v>74</v>
      </c>
      <c r="AP247" s="1" t="s">
        <v>2695</v>
      </c>
      <c r="AQ247" s="1" t="s">
        <v>74</v>
      </c>
      <c r="AR247" s="1" t="s">
        <v>74</v>
      </c>
      <c r="AS247" s="1" t="s">
        <v>74</v>
      </c>
      <c r="AT247" s="1" t="s">
        <v>422</v>
      </c>
      <c r="AU247" s="1">
        <v>2025.0</v>
      </c>
      <c r="AV247" s="1">
        <v>17.0</v>
      </c>
      <c r="AW247" s="1">
        <v>1.0</v>
      </c>
      <c r="AX247" s="1" t="s">
        <v>74</v>
      </c>
      <c r="AY247" s="1" t="s">
        <v>74</v>
      </c>
      <c r="AZ247" s="1" t="s">
        <v>74</v>
      </c>
      <c r="BA247" s="1" t="s">
        <v>74</v>
      </c>
      <c r="BB247" s="1" t="s">
        <v>74</v>
      </c>
      <c r="BC247" s="1" t="s">
        <v>74</v>
      </c>
      <c r="BD247" s="1">
        <v>141.0</v>
      </c>
      <c r="BE247" s="1" t="s">
        <v>2696</v>
      </c>
      <c r="BF247" s="2" t="str">
        <f>HYPERLINK("http://dx.doi.org/10.3390/sym17010141","http://dx.doi.org/10.3390/sym17010141")</f>
        <v>http://dx.doi.org/10.3390/sym17010141</v>
      </c>
      <c r="BG247" s="1" t="s">
        <v>74</v>
      </c>
      <c r="BH247" s="1" t="s">
        <v>74</v>
      </c>
      <c r="BI247" s="1" t="s">
        <v>74</v>
      </c>
      <c r="BJ247" s="1" t="s">
        <v>74</v>
      </c>
      <c r="BK247" s="1" t="s">
        <v>74</v>
      </c>
      <c r="BL247" s="1" t="s">
        <v>74</v>
      </c>
      <c r="BM247" s="1" t="s">
        <v>74</v>
      </c>
      <c r="BN247" s="1" t="s">
        <v>74</v>
      </c>
      <c r="BO247" s="1" t="s">
        <v>74</v>
      </c>
      <c r="BP247" s="1" t="s">
        <v>74</v>
      </c>
      <c r="BQ247" s="1" t="s">
        <v>74</v>
      </c>
      <c r="BR247" s="1" t="s">
        <v>74</v>
      </c>
      <c r="BS247" s="1" t="s">
        <v>2697</v>
      </c>
      <c r="BT247" s="1" t="str">
        <f>HYPERLINK("https%3A%2F%2Fwww.webofscience.com%2Fwos%2Fwoscc%2Ffull-record%2FWOS:001405198700001","View Full Record in Web of Science")</f>
        <v>View Full Record in Web of Science</v>
      </c>
    </row>
    <row r="248" ht="12.75" customHeight="1">
      <c r="A248" s="1" t="s">
        <v>72</v>
      </c>
      <c r="B248" s="1" t="s">
        <v>2698</v>
      </c>
      <c r="C248" s="1" t="s">
        <v>74</v>
      </c>
      <c r="D248" s="1" t="s">
        <v>74</v>
      </c>
      <c r="E248" s="1" t="s">
        <v>74</v>
      </c>
      <c r="F248" s="1" t="s">
        <v>2699</v>
      </c>
      <c r="G248" s="1" t="s">
        <v>74</v>
      </c>
      <c r="H248" s="1" t="s">
        <v>74</v>
      </c>
      <c r="I248" s="1" t="s">
        <v>2700</v>
      </c>
      <c r="J248" s="1" t="s">
        <v>2701</v>
      </c>
      <c r="K248" s="1" t="s">
        <v>74</v>
      </c>
      <c r="L248" s="1" t="s">
        <v>74</v>
      </c>
      <c r="M248" s="1" t="s">
        <v>74</v>
      </c>
      <c r="N248" s="1" t="s">
        <v>74</v>
      </c>
      <c r="O248" s="1" t="s">
        <v>74</v>
      </c>
      <c r="P248" s="1" t="s">
        <v>74</v>
      </c>
      <c r="Q248" s="1" t="s">
        <v>74</v>
      </c>
      <c r="R248" s="1" t="s">
        <v>74</v>
      </c>
      <c r="S248" s="1" t="s">
        <v>74</v>
      </c>
      <c r="T248" s="1" t="s">
        <v>74</v>
      </c>
      <c r="U248" s="1" t="s">
        <v>74</v>
      </c>
      <c r="V248" s="1" t="s">
        <v>2702</v>
      </c>
      <c r="W248" s="1" t="s">
        <v>74</v>
      </c>
      <c r="X248" s="1" t="s">
        <v>74</v>
      </c>
      <c r="Y248" s="1" t="s">
        <v>74</v>
      </c>
      <c r="Z248" s="1" t="s">
        <v>74</v>
      </c>
      <c r="AA248" s="1" t="s">
        <v>2703</v>
      </c>
      <c r="AB248" s="1" t="s">
        <v>2704</v>
      </c>
      <c r="AC248" s="1" t="s">
        <v>74</v>
      </c>
      <c r="AD248" s="1" t="s">
        <v>74</v>
      </c>
      <c r="AE248" s="1" t="s">
        <v>74</v>
      </c>
      <c r="AF248" s="1" t="s">
        <v>74</v>
      </c>
      <c r="AG248" s="1" t="s">
        <v>74</v>
      </c>
      <c r="AH248" s="1" t="s">
        <v>74</v>
      </c>
      <c r="AI248" s="1" t="s">
        <v>74</v>
      </c>
      <c r="AJ248" s="1" t="s">
        <v>74</v>
      </c>
      <c r="AK248" s="1" t="s">
        <v>74</v>
      </c>
      <c r="AL248" s="1" t="s">
        <v>74</v>
      </c>
      <c r="AM248" s="1" t="s">
        <v>74</v>
      </c>
      <c r="AN248" s="1" t="s">
        <v>74</v>
      </c>
      <c r="AO248" s="1" t="s">
        <v>2705</v>
      </c>
      <c r="AP248" s="1" t="s">
        <v>2706</v>
      </c>
      <c r="AQ248" s="1" t="s">
        <v>74</v>
      </c>
      <c r="AR248" s="1" t="s">
        <v>74</v>
      </c>
      <c r="AS248" s="1" t="s">
        <v>74</v>
      </c>
      <c r="AT248" s="1" t="s">
        <v>2707</v>
      </c>
      <c r="AU248" s="1">
        <v>2024.0</v>
      </c>
      <c r="AV248" s="1">
        <v>123.0</v>
      </c>
      <c r="AW248" s="1">
        <v>17.0</v>
      </c>
      <c r="AX248" s="1" t="s">
        <v>74</v>
      </c>
      <c r="AY248" s="1" t="s">
        <v>74</v>
      </c>
      <c r="AZ248" s="1" t="s">
        <v>74</v>
      </c>
      <c r="BA248" s="1" t="s">
        <v>74</v>
      </c>
      <c r="BB248" s="1">
        <v>2860.0</v>
      </c>
      <c r="BC248" s="1">
        <v>2868.0</v>
      </c>
      <c r="BD248" s="1" t="s">
        <v>74</v>
      </c>
      <c r="BE248" s="1" t="s">
        <v>2708</v>
      </c>
      <c r="BF248" s="2" t="str">
        <f>HYPERLINK("http://dx.doi.org/10.1016/j.bpj.2024.04.006","http://dx.doi.org/10.1016/j.bpj.2024.04.006")</f>
        <v>http://dx.doi.org/10.1016/j.bpj.2024.04.006</v>
      </c>
      <c r="BG248" s="1" t="s">
        <v>74</v>
      </c>
      <c r="BH248" s="1" t="s">
        <v>2709</v>
      </c>
      <c r="BI248" s="1" t="s">
        <v>74</v>
      </c>
      <c r="BJ248" s="1" t="s">
        <v>74</v>
      </c>
      <c r="BK248" s="1" t="s">
        <v>74</v>
      </c>
      <c r="BL248" s="1" t="s">
        <v>74</v>
      </c>
      <c r="BM248" s="1" t="s">
        <v>74</v>
      </c>
      <c r="BN248" s="1">
        <v>3.8600698E7</v>
      </c>
      <c r="BO248" s="1" t="s">
        <v>74</v>
      </c>
      <c r="BP248" s="1" t="s">
        <v>74</v>
      </c>
      <c r="BQ248" s="1" t="s">
        <v>74</v>
      </c>
      <c r="BR248" s="1" t="s">
        <v>74</v>
      </c>
      <c r="BS248" s="1" t="s">
        <v>2710</v>
      </c>
      <c r="BT248" s="1" t="str">
        <f>HYPERLINK("https%3A%2F%2Fwww.webofscience.com%2Fwos%2Fwoscc%2Ffull-record%2FWOS:001306743400001","View Full Record in Web of Science")</f>
        <v>View Full Record in Web of Science</v>
      </c>
    </row>
    <row r="249" ht="12.75" customHeight="1">
      <c r="A249" s="1" t="s">
        <v>72</v>
      </c>
      <c r="B249" s="1" t="s">
        <v>2711</v>
      </c>
      <c r="C249" s="1" t="s">
        <v>74</v>
      </c>
      <c r="D249" s="1" t="s">
        <v>74</v>
      </c>
      <c r="E249" s="1" t="s">
        <v>74</v>
      </c>
      <c r="F249" s="1" t="s">
        <v>2712</v>
      </c>
      <c r="G249" s="1" t="s">
        <v>74</v>
      </c>
      <c r="H249" s="1" t="s">
        <v>74</v>
      </c>
      <c r="I249" s="1" t="s">
        <v>2713</v>
      </c>
      <c r="J249" s="1" t="s">
        <v>2714</v>
      </c>
      <c r="K249" s="1" t="s">
        <v>74</v>
      </c>
      <c r="L249" s="1" t="s">
        <v>74</v>
      </c>
      <c r="M249" s="1" t="s">
        <v>74</v>
      </c>
      <c r="N249" s="1" t="s">
        <v>74</v>
      </c>
      <c r="O249" s="1" t="s">
        <v>74</v>
      </c>
      <c r="P249" s="1" t="s">
        <v>74</v>
      </c>
      <c r="Q249" s="1" t="s">
        <v>74</v>
      </c>
      <c r="R249" s="1" t="s">
        <v>74</v>
      </c>
      <c r="S249" s="1" t="s">
        <v>74</v>
      </c>
      <c r="T249" s="1" t="s">
        <v>74</v>
      </c>
      <c r="U249" s="1" t="s">
        <v>74</v>
      </c>
      <c r="V249" s="1" t="s">
        <v>2715</v>
      </c>
      <c r="W249" s="1" t="s">
        <v>74</v>
      </c>
      <c r="X249" s="1" t="s">
        <v>74</v>
      </c>
      <c r="Y249" s="1" t="s">
        <v>74</v>
      </c>
      <c r="Z249" s="1" t="s">
        <v>74</v>
      </c>
      <c r="AA249" s="1" t="s">
        <v>74</v>
      </c>
      <c r="AB249" s="1" t="s">
        <v>74</v>
      </c>
      <c r="AC249" s="1" t="s">
        <v>74</v>
      </c>
      <c r="AD249" s="1" t="s">
        <v>74</v>
      </c>
      <c r="AE249" s="1" t="s">
        <v>74</v>
      </c>
      <c r="AF249" s="1" t="s">
        <v>74</v>
      </c>
      <c r="AG249" s="1" t="s">
        <v>74</v>
      </c>
      <c r="AH249" s="1" t="s">
        <v>74</v>
      </c>
      <c r="AI249" s="1" t="s">
        <v>74</v>
      </c>
      <c r="AJ249" s="1" t="s">
        <v>74</v>
      </c>
      <c r="AK249" s="1" t="s">
        <v>74</v>
      </c>
      <c r="AL249" s="1" t="s">
        <v>74</v>
      </c>
      <c r="AM249" s="1" t="s">
        <v>74</v>
      </c>
      <c r="AN249" s="1" t="s">
        <v>74</v>
      </c>
      <c r="AO249" s="1" t="s">
        <v>2716</v>
      </c>
      <c r="AP249" s="1" t="s">
        <v>74</v>
      </c>
      <c r="AQ249" s="1" t="s">
        <v>74</v>
      </c>
      <c r="AR249" s="1" t="s">
        <v>74</v>
      </c>
      <c r="AS249" s="1" t="s">
        <v>74</v>
      </c>
      <c r="AT249" s="1" t="s">
        <v>485</v>
      </c>
      <c r="AU249" s="1">
        <v>2024.0</v>
      </c>
      <c r="AV249" s="1">
        <v>11.0</v>
      </c>
      <c r="AW249" s="1">
        <v>32.0</v>
      </c>
      <c r="AX249" s="1" t="s">
        <v>74</v>
      </c>
      <c r="AY249" s="1" t="s">
        <v>74</v>
      </c>
      <c r="AZ249" s="1" t="s">
        <v>74</v>
      </c>
      <c r="BA249" s="1" t="s">
        <v>74</v>
      </c>
      <c r="BB249" s="1">
        <v>170.0</v>
      </c>
      <c r="BC249" s="1">
        <v>189.0</v>
      </c>
      <c r="BD249" s="1" t="s">
        <v>74</v>
      </c>
      <c r="BE249" s="1" t="s">
        <v>2717</v>
      </c>
      <c r="BF249" s="2" t="str">
        <f>HYPERLINK("http://dx.doi.org/10.35588/rivar.v11i32.6153","http://dx.doi.org/10.35588/rivar.v11i32.6153")</f>
        <v>http://dx.doi.org/10.35588/rivar.v11i32.6153</v>
      </c>
      <c r="BG249" s="1" t="s">
        <v>74</v>
      </c>
      <c r="BH249" s="1" t="s">
        <v>74</v>
      </c>
      <c r="BI249" s="1" t="s">
        <v>74</v>
      </c>
      <c r="BJ249" s="1" t="s">
        <v>74</v>
      </c>
      <c r="BK249" s="1" t="s">
        <v>74</v>
      </c>
      <c r="BL249" s="1" t="s">
        <v>74</v>
      </c>
      <c r="BM249" s="1" t="s">
        <v>74</v>
      </c>
      <c r="BN249" s="1" t="s">
        <v>74</v>
      </c>
      <c r="BO249" s="1" t="s">
        <v>74</v>
      </c>
      <c r="BP249" s="1" t="s">
        <v>74</v>
      </c>
      <c r="BQ249" s="1" t="s">
        <v>74</v>
      </c>
      <c r="BR249" s="1" t="s">
        <v>74</v>
      </c>
      <c r="BS249" s="1" t="s">
        <v>2718</v>
      </c>
      <c r="BT249" s="1" t="str">
        <f>HYPERLINK("https%3A%2F%2Fwww.webofscience.com%2Fwos%2Fwoscc%2Ffull-record%2FWOS:001296167100010","View Full Record in Web of Science")</f>
        <v>View Full Record in Web of Science</v>
      </c>
    </row>
    <row r="250" ht="12.75" customHeight="1">
      <c r="A250" s="1" t="s">
        <v>72</v>
      </c>
      <c r="B250" s="1" t="s">
        <v>2719</v>
      </c>
      <c r="C250" s="1" t="s">
        <v>74</v>
      </c>
      <c r="D250" s="1" t="s">
        <v>74</v>
      </c>
      <c r="E250" s="1" t="s">
        <v>74</v>
      </c>
      <c r="F250" s="1" t="s">
        <v>2720</v>
      </c>
      <c r="G250" s="1" t="s">
        <v>74</v>
      </c>
      <c r="H250" s="1" t="s">
        <v>74</v>
      </c>
      <c r="I250" s="1" t="s">
        <v>2721</v>
      </c>
      <c r="J250" s="1" t="s">
        <v>2722</v>
      </c>
      <c r="K250" s="1" t="s">
        <v>74</v>
      </c>
      <c r="L250" s="1" t="s">
        <v>74</v>
      </c>
      <c r="M250" s="1" t="s">
        <v>74</v>
      </c>
      <c r="N250" s="1" t="s">
        <v>74</v>
      </c>
      <c r="O250" s="1" t="s">
        <v>74</v>
      </c>
      <c r="P250" s="1" t="s">
        <v>74</v>
      </c>
      <c r="Q250" s="1" t="s">
        <v>74</v>
      </c>
      <c r="R250" s="1" t="s">
        <v>74</v>
      </c>
      <c r="S250" s="1" t="s">
        <v>74</v>
      </c>
      <c r="T250" s="1" t="s">
        <v>74</v>
      </c>
      <c r="U250" s="1" t="s">
        <v>74</v>
      </c>
      <c r="V250" s="1" t="s">
        <v>2723</v>
      </c>
      <c r="W250" s="1" t="s">
        <v>74</v>
      </c>
      <c r="X250" s="1" t="s">
        <v>74</v>
      </c>
      <c r="Y250" s="1" t="s">
        <v>74</v>
      </c>
      <c r="Z250" s="1" t="s">
        <v>74</v>
      </c>
      <c r="AA250" s="1" t="s">
        <v>2724</v>
      </c>
      <c r="AB250" s="1" t="s">
        <v>2725</v>
      </c>
      <c r="AC250" s="1" t="s">
        <v>74</v>
      </c>
      <c r="AD250" s="1" t="s">
        <v>74</v>
      </c>
      <c r="AE250" s="1" t="s">
        <v>74</v>
      </c>
      <c r="AF250" s="1" t="s">
        <v>74</v>
      </c>
      <c r="AG250" s="1" t="s">
        <v>74</v>
      </c>
      <c r="AH250" s="1" t="s">
        <v>74</v>
      </c>
      <c r="AI250" s="1" t="s">
        <v>74</v>
      </c>
      <c r="AJ250" s="1" t="s">
        <v>74</v>
      </c>
      <c r="AK250" s="1" t="s">
        <v>74</v>
      </c>
      <c r="AL250" s="1" t="s">
        <v>74</v>
      </c>
      <c r="AM250" s="1" t="s">
        <v>74</v>
      </c>
      <c r="AN250" s="1" t="s">
        <v>74</v>
      </c>
      <c r="AO250" s="1" t="s">
        <v>2726</v>
      </c>
      <c r="AP250" s="1" t="s">
        <v>2727</v>
      </c>
      <c r="AQ250" s="1" t="s">
        <v>74</v>
      </c>
      <c r="AR250" s="1" t="s">
        <v>74</v>
      </c>
      <c r="AS250" s="1" t="s">
        <v>74</v>
      </c>
      <c r="AT250" s="1" t="s">
        <v>2728</v>
      </c>
      <c r="AU250" s="1">
        <v>2024.0</v>
      </c>
      <c r="AV250" s="1">
        <v>15.0</v>
      </c>
      <c r="AW250" s="1">
        <v>2.0</v>
      </c>
      <c r="AX250" s="1" t="s">
        <v>74</v>
      </c>
      <c r="AY250" s="1" t="s">
        <v>74</v>
      </c>
      <c r="AZ250" s="1" t="s">
        <v>74</v>
      </c>
      <c r="BA250" s="1" t="s">
        <v>74</v>
      </c>
      <c r="BB250" s="1" t="s">
        <v>74</v>
      </c>
      <c r="BC250" s="1" t="s">
        <v>74</v>
      </c>
      <c r="BD250" s="1" t="s">
        <v>2729</v>
      </c>
      <c r="BE250" s="1" t="s">
        <v>2730</v>
      </c>
      <c r="BF250" s="2" t="str">
        <f>HYPERLINK("http://dx.doi.org/10.15649/cuidarte.3841","http://dx.doi.org/10.15649/cuidarte.3841")</f>
        <v>http://dx.doi.org/10.15649/cuidarte.3841</v>
      </c>
      <c r="BG250" s="1" t="s">
        <v>74</v>
      </c>
      <c r="BH250" s="1" t="s">
        <v>74</v>
      </c>
      <c r="BI250" s="1" t="s">
        <v>74</v>
      </c>
      <c r="BJ250" s="1" t="s">
        <v>74</v>
      </c>
      <c r="BK250" s="1" t="s">
        <v>74</v>
      </c>
      <c r="BL250" s="1" t="s">
        <v>74</v>
      </c>
      <c r="BM250" s="1" t="s">
        <v>74</v>
      </c>
      <c r="BN250" s="1">
        <v>4.0114691E7</v>
      </c>
      <c r="BO250" s="1" t="s">
        <v>74</v>
      </c>
      <c r="BP250" s="1" t="s">
        <v>74</v>
      </c>
      <c r="BQ250" s="1" t="s">
        <v>74</v>
      </c>
      <c r="BR250" s="1" t="s">
        <v>74</v>
      </c>
      <c r="BS250" s="1" t="s">
        <v>2731</v>
      </c>
      <c r="BT250" s="1" t="str">
        <f>HYPERLINK("https%3A%2F%2Fwww.webofscience.com%2Fwos%2Fwoscc%2Ffull-record%2FWOS:001300107600001","View Full Record in Web of Science")</f>
        <v>View Full Record in Web of Science</v>
      </c>
    </row>
    <row r="251" ht="12.75" customHeight="1">
      <c r="A251" s="1" t="s">
        <v>72</v>
      </c>
      <c r="B251" s="1" t="s">
        <v>2732</v>
      </c>
      <c r="C251" s="1" t="s">
        <v>74</v>
      </c>
      <c r="D251" s="1" t="s">
        <v>74</v>
      </c>
      <c r="E251" s="1" t="s">
        <v>74</v>
      </c>
      <c r="F251" s="1" t="s">
        <v>2733</v>
      </c>
      <c r="G251" s="1" t="s">
        <v>74</v>
      </c>
      <c r="H251" s="1" t="s">
        <v>74</v>
      </c>
      <c r="I251" s="1" t="s">
        <v>2734</v>
      </c>
      <c r="J251" s="1" t="s">
        <v>595</v>
      </c>
      <c r="K251" s="1" t="s">
        <v>74</v>
      </c>
      <c r="L251" s="1" t="s">
        <v>74</v>
      </c>
      <c r="M251" s="1" t="s">
        <v>74</v>
      </c>
      <c r="N251" s="1" t="s">
        <v>74</v>
      </c>
      <c r="O251" s="1" t="s">
        <v>74</v>
      </c>
      <c r="P251" s="1" t="s">
        <v>74</v>
      </c>
      <c r="Q251" s="1" t="s">
        <v>74</v>
      </c>
      <c r="R251" s="1" t="s">
        <v>74</v>
      </c>
      <c r="S251" s="1" t="s">
        <v>74</v>
      </c>
      <c r="T251" s="1" t="s">
        <v>74</v>
      </c>
      <c r="U251" s="1" t="s">
        <v>74</v>
      </c>
      <c r="V251" s="1" t="s">
        <v>2735</v>
      </c>
      <c r="W251" s="1" t="s">
        <v>74</v>
      </c>
      <c r="X251" s="1" t="s">
        <v>74</v>
      </c>
      <c r="Y251" s="1" t="s">
        <v>74</v>
      </c>
      <c r="Z251" s="1" t="s">
        <v>74</v>
      </c>
      <c r="AA251" s="1" t="s">
        <v>2736</v>
      </c>
      <c r="AB251" s="1" t="s">
        <v>2737</v>
      </c>
      <c r="AC251" s="1" t="s">
        <v>74</v>
      </c>
      <c r="AD251" s="1" t="s">
        <v>74</v>
      </c>
      <c r="AE251" s="1" t="s">
        <v>74</v>
      </c>
      <c r="AF251" s="1" t="s">
        <v>74</v>
      </c>
      <c r="AG251" s="1" t="s">
        <v>74</v>
      </c>
      <c r="AH251" s="1" t="s">
        <v>74</v>
      </c>
      <c r="AI251" s="1" t="s">
        <v>74</v>
      </c>
      <c r="AJ251" s="1" t="s">
        <v>74</v>
      </c>
      <c r="AK251" s="1" t="s">
        <v>74</v>
      </c>
      <c r="AL251" s="1" t="s">
        <v>74</v>
      </c>
      <c r="AM251" s="1" t="s">
        <v>74</v>
      </c>
      <c r="AN251" s="1" t="s">
        <v>74</v>
      </c>
      <c r="AO251" s="1" t="s">
        <v>74</v>
      </c>
      <c r="AP251" s="1" t="s">
        <v>599</v>
      </c>
      <c r="AQ251" s="1" t="s">
        <v>74</v>
      </c>
      <c r="AR251" s="1" t="s">
        <v>74</v>
      </c>
      <c r="AS251" s="1" t="s">
        <v>74</v>
      </c>
      <c r="AT251" s="1" t="s">
        <v>1213</v>
      </c>
      <c r="AU251" s="1">
        <v>2024.0</v>
      </c>
      <c r="AV251" s="1">
        <v>16.0</v>
      </c>
      <c r="AW251" s="1">
        <v>6.0</v>
      </c>
      <c r="AX251" s="1" t="s">
        <v>74</v>
      </c>
      <c r="AY251" s="1" t="s">
        <v>74</v>
      </c>
      <c r="AZ251" s="1" t="s">
        <v>74</v>
      </c>
      <c r="BA251" s="1" t="s">
        <v>74</v>
      </c>
      <c r="BB251" s="1" t="s">
        <v>74</v>
      </c>
      <c r="BC251" s="1" t="s">
        <v>74</v>
      </c>
      <c r="BD251" s="1">
        <v>798.0</v>
      </c>
      <c r="BE251" s="1" t="s">
        <v>2738</v>
      </c>
      <c r="BF251" s="2" t="str">
        <f>HYPERLINK("http://dx.doi.org/10.3390/polym16060798","http://dx.doi.org/10.3390/polym16060798")</f>
        <v>http://dx.doi.org/10.3390/polym16060798</v>
      </c>
      <c r="BG251" s="1" t="s">
        <v>74</v>
      </c>
      <c r="BH251" s="1" t="s">
        <v>74</v>
      </c>
      <c r="BI251" s="1" t="s">
        <v>74</v>
      </c>
      <c r="BJ251" s="1" t="s">
        <v>74</v>
      </c>
      <c r="BK251" s="1" t="s">
        <v>74</v>
      </c>
      <c r="BL251" s="1" t="s">
        <v>74</v>
      </c>
      <c r="BM251" s="1" t="s">
        <v>74</v>
      </c>
      <c r="BN251" s="1">
        <v>3.8543404E7</v>
      </c>
      <c r="BO251" s="1" t="s">
        <v>74</v>
      </c>
      <c r="BP251" s="1" t="s">
        <v>74</v>
      </c>
      <c r="BQ251" s="1" t="s">
        <v>74</v>
      </c>
      <c r="BR251" s="1" t="s">
        <v>74</v>
      </c>
      <c r="BS251" s="1" t="s">
        <v>2739</v>
      </c>
      <c r="BT251" s="1" t="str">
        <f>HYPERLINK("https%3A%2F%2Fwww.webofscience.com%2Fwos%2Fwoscc%2Ffull-record%2FWOS:001193446200001","View Full Record in Web of Science")</f>
        <v>View Full Record in Web of Science</v>
      </c>
    </row>
    <row r="252" ht="12.75" customHeight="1">
      <c r="A252" s="1" t="s">
        <v>72</v>
      </c>
      <c r="B252" s="1" t="s">
        <v>2740</v>
      </c>
      <c r="C252" s="1" t="s">
        <v>74</v>
      </c>
      <c r="D252" s="1" t="s">
        <v>74</v>
      </c>
      <c r="E252" s="1" t="s">
        <v>74</v>
      </c>
      <c r="F252" s="1" t="s">
        <v>2741</v>
      </c>
      <c r="G252" s="1" t="s">
        <v>74</v>
      </c>
      <c r="H252" s="1" t="s">
        <v>74</v>
      </c>
      <c r="I252" s="1" t="s">
        <v>2742</v>
      </c>
      <c r="J252" s="1" t="s">
        <v>2743</v>
      </c>
      <c r="K252" s="1" t="s">
        <v>74</v>
      </c>
      <c r="L252" s="1" t="s">
        <v>74</v>
      </c>
      <c r="M252" s="1" t="s">
        <v>74</v>
      </c>
      <c r="N252" s="1" t="s">
        <v>74</v>
      </c>
      <c r="O252" s="1" t="s">
        <v>74</v>
      </c>
      <c r="P252" s="1" t="s">
        <v>74</v>
      </c>
      <c r="Q252" s="1" t="s">
        <v>74</v>
      </c>
      <c r="R252" s="1" t="s">
        <v>74</v>
      </c>
      <c r="S252" s="1" t="s">
        <v>74</v>
      </c>
      <c r="T252" s="1" t="s">
        <v>74</v>
      </c>
      <c r="U252" s="1" t="s">
        <v>74</v>
      </c>
      <c r="V252" s="1" t="s">
        <v>2744</v>
      </c>
      <c r="W252" s="1" t="s">
        <v>74</v>
      </c>
      <c r="X252" s="1" t="s">
        <v>74</v>
      </c>
      <c r="Y252" s="1" t="s">
        <v>74</v>
      </c>
      <c r="Z252" s="1" t="s">
        <v>74</v>
      </c>
      <c r="AA252" s="1" t="s">
        <v>74</v>
      </c>
      <c r="AB252" s="1" t="s">
        <v>2745</v>
      </c>
      <c r="AC252" s="1" t="s">
        <v>74</v>
      </c>
      <c r="AD252" s="1" t="s">
        <v>74</v>
      </c>
      <c r="AE252" s="1" t="s">
        <v>74</v>
      </c>
      <c r="AF252" s="1" t="s">
        <v>74</v>
      </c>
      <c r="AG252" s="1" t="s">
        <v>74</v>
      </c>
      <c r="AH252" s="1" t="s">
        <v>74</v>
      </c>
      <c r="AI252" s="1" t="s">
        <v>74</v>
      </c>
      <c r="AJ252" s="1" t="s">
        <v>74</v>
      </c>
      <c r="AK252" s="1" t="s">
        <v>74</v>
      </c>
      <c r="AL252" s="1" t="s">
        <v>74</v>
      </c>
      <c r="AM252" s="1" t="s">
        <v>74</v>
      </c>
      <c r="AN252" s="1" t="s">
        <v>74</v>
      </c>
      <c r="AO252" s="1" t="s">
        <v>2746</v>
      </c>
      <c r="AP252" s="1" t="s">
        <v>2747</v>
      </c>
      <c r="AQ252" s="1" t="s">
        <v>74</v>
      </c>
      <c r="AR252" s="1" t="s">
        <v>74</v>
      </c>
      <c r="AS252" s="1" t="s">
        <v>74</v>
      </c>
      <c r="AT252" s="1" t="s">
        <v>74</v>
      </c>
      <c r="AU252" s="1">
        <v>2024.0</v>
      </c>
      <c r="AV252" s="1">
        <v>37.0</v>
      </c>
      <c r="AW252" s="1">
        <v>1.0</v>
      </c>
      <c r="AX252" s="1" t="s">
        <v>74</v>
      </c>
      <c r="AY252" s="1" t="s">
        <v>74</v>
      </c>
      <c r="AZ252" s="1" t="s">
        <v>74</v>
      </c>
      <c r="BA252" s="1" t="s">
        <v>74</v>
      </c>
      <c r="BB252" s="1">
        <v>19.0</v>
      </c>
      <c r="BC252" s="1">
        <v>33.0</v>
      </c>
      <c r="BD252" s="1" t="s">
        <v>74</v>
      </c>
      <c r="BE252" s="1" t="s">
        <v>2748</v>
      </c>
      <c r="BF252" s="2" t="str">
        <f>HYPERLINK("http://dx.doi.org/10.18261/njrs.37.1.2","http://dx.doi.org/10.18261/njrs.37.1.2")</f>
        <v>http://dx.doi.org/10.18261/njrs.37.1.2</v>
      </c>
      <c r="BG252" s="1" t="s">
        <v>74</v>
      </c>
      <c r="BH252" s="1" t="s">
        <v>74</v>
      </c>
      <c r="BI252" s="1" t="s">
        <v>74</v>
      </c>
      <c r="BJ252" s="1" t="s">
        <v>74</v>
      </c>
      <c r="BK252" s="1" t="s">
        <v>74</v>
      </c>
      <c r="BL252" s="1" t="s">
        <v>74</v>
      </c>
      <c r="BM252" s="1" t="s">
        <v>74</v>
      </c>
      <c r="BN252" s="1" t="s">
        <v>74</v>
      </c>
      <c r="BO252" s="1" t="s">
        <v>74</v>
      </c>
      <c r="BP252" s="1" t="s">
        <v>74</v>
      </c>
      <c r="BQ252" s="1" t="s">
        <v>74</v>
      </c>
      <c r="BR252" s="1" t="s">
        <v>74</v>
      </c>
      <c r="BS252" s="1" t="s">
        <v>2749</v>
      </c>
      <c r="BT252" s="1" t="str">
        <f>HYPERLINK("https%3A%2F%2Fwww.webofscience.com%2Fwos%2Fwoscc%2Ffull-record%2FWOS:001294254300002","View Full Record in Web of Science")</f>
        <v>View Full Record in Web of Science</v>
      </c>
    </row>
    <row r="253" ht="12.75" customHeight="1">
      <c r="A253" s="1" t="s">
        <v>72</v>
      </c>
      <c r="B253" s="1" t="s">
        <v>2750</v>
      </c>
      <c r="C253" s="1" t="s">
        <v>74</v>
      </c>
      <c r="D253" s="1" t="s">
        <v>74</v>
      </c>
      <c r="E253" s="1" t="s">
        <v>74</v>
      </c>
      <c r="F253" s="1" t="s">
        <v>2751</v>
      </c>
      <c r="G253" s="1" t="s">
        <v>74</v>
      </c>
      <c r="H253" s="1" t="s">
        <v>74</v>
      </c>
      <c r="I253" s="1" t="s">
        <v>2752</v>
      </c>
      <c r="J253" s="1" t="s">
        <v>2753</v>
      </c>
      <c r="K253" s="1" t="s">
        <v>74</v>
      </c>
      <c r="L253" s="1" t="s">
        <v>74</v>
      </c>
      <c r="M253" s="1" t="s">
        <v>74</v>
      </c>
      <c r="N253" s="1" t="s">
        <v>74</v>
      </c>
      <c r="O253" s="1" t="s">
        <v>74</v>
      </c>
      <c r="P253" s="1" t="s">
        <v>74</v>
      </c>
      <c r="Q253" s="1" t="s">
        <v>74</v>
      </c>
      <c r="R253" s="1" t="s">
        <v>74</v>
      </c>
      <c r="S253" s="1" t="s">
        <v>74</v>
      </c>
      <c r="T253" s="1" t="s">
        <v>74</v>
      </c>
      <c r="U253" s="1" t="s">
        <v>74</v>
      </c>
      <c r="V253" s="1" t="s">
        <v>2754</v>
      </c>
      <c r="W253" s="1" t="s">
        <v>74</v>
      </c>
      <c r="X253" s="1" t="s">
        <v>74</v>
      </c>
      <c r="Y253" s="1" t="s">
        <v>74</v>
      </c>
      <c r="Z253" s="1" t="s">
        <v>74</v>
      </c>
      <c r="AA253" s="1" t="s">
        <v>2755</v>
      </c>
      <c r="AB253" s="1" t="s">
        <v>2756</v>
      </c>
      <c r="AC253" s="1" t="s">
        <v>74</v>
      </c>
      <c r="AD253" s="1" t="s">
        <v>74</v>
      </c>
      <c r="AE253" s="1" t="s">
        <v>74</v>
      </c>
      <c r="AF253" s="1" t="s">
        <v>74</v>
      </c>
      <c r="AG253" s="1" t="s">
        <v>74</v>
      </c>
      <c r="AH253" s="1" t="s">
        <v>74</v>
      </c>
      <c r="AI253" s="1" t="s">
        <v>74</v>
      </c>
      <c r="AJ253" s="1" t="s">
        <v>74</v>
      </c>
      <c r="AK253" s="1" t="s">
        <v>74</v>
      </c>
      <c r="AL253" s="1" t="s">
        <v>74</v>
      </c>
      <c r="AM253" s="1" t="s">
        <v>74</v>
      </c>
      <c r="AN253" s="1" t="s">
        <v>74</v>
      </c>
      <c r="AO253" s="1" t="s">
        <v>2757</v>
      </c>
      <c r="AP253" s="1" t="s">
        <v>74</v>
      </c>
      <c r="AQ253" s="1" t="s">
        <v>74</v>
      </c>
      <c r="AR253" s="1" t="s">
        <v>74</v>
      </c>
      <c r="AS253" s="1" t="s">
        <v>74</v>
      </c>
      <c r="AT253" s="1" t="s">
        <v>939</v>
      </c>
      <c r="AU253" s="1">
        <v>2022.0</v>
      </c>
      <c r="AV253" s="1">
        <v>37.0</v>
      </c>
      <c r="AW253" s="1" t="s">
        <v>74</v>
      </c>
      <c r="AX253" s="1" t="s">
        <v>74</v>
      </c>
      <c r="AY253" s="1" t="s">
        <v>74</v>
      </c>
      <c r="AZ253" s="1" t="s">
        <v>74</v>
      </c>
      <c r="BA253" s="1" t="s">
        <v>74</v>
      </c>
      <c r="BB253" s="1" t="s">
        <v>74</v>
      </c>
      <c r="BC253" s="1" t="s">
        <v>74</v>
      </c>
      <c r="BD253" s="1">
        <v>105530.0</v>
      </c>
      <c r="BE253" s="1" t="s">
        <v>2758</v>
      </c>
      <c r="BF253" s="2" t="str">
        <f>HYPERLINK("http://dx.doi.org/10.1016/j.rinp.2022.105530","http://dx.doi.org/10.1016/j.rinp.2022.105530")</f>
        <v>http://dx.doi.org/10.1016/j.rinp.2022.105530</v>
      </c>
      <c r="BG253" s="1" t="s">
        <v>74</v>
      </c>
      <c r="BH253" s="1" t="s">
        <v>1729</v>
      </c>
      <c r="BI253" s="1" t="s">
        <v>74</v>
      </c>
      <c r="BJ253" s="1" t="s">
        <v>74</v>
      </c>
      <c r="BK253" s="1" t="s">
        <v>74</v>
      </c>
      <c r="BL253" s="1" t="s">
        <v>74</v>
      </c>
      <c r="BM253" s="1" t="s">
        <v>74</v>
      </c>
      <c r="BN253" s="1" t="s">
        <v>74</v>
      </c>
      <c r="BO253" s="1" t="s">
        <v>74</v>
      </c>
      <c r="BP253" s="1" t="s">
        <v>74</v>
      </c>
      <c r="BQ253" s="1" t="s">
        <v>74</v>
      </c>
      <c r="BR253" s="1" t="s">
        <v>74</v>
      </c>
      <c r="BS253" s="1" t="s">
        <v>2759</v>
      </c>
      <c r="BT253" s="1" t="str">
        <f>HYPERLINK("https%3A%2F%2Fwww.webofscience.com%2Fwos%2Fwoscc%2Ffull-record%2FWOS:000798984500006","View Full Record in Web of Science")</f>
        <v>View Full Record in Web of Science</v>
      </c>
    </row>
    <row r="254" ht="12.75" customHeight="1">
      <c r="A254" s="1" t="s">
        <v>72</v>
      </c>
      <c r="B254" s="1" t="s">
        <v>2760</v>
      </c>
      <c r="C254" s="1" t="s">
        <v>74</v>
      </c>
      <c r="D254" s="1" t="s">
        <v>74</v>
      </c>
      <c r="E254" s="1" t="s">
        <v>74</v>
      </c>
      <c r="F254" s="1" t="s">
        <v>2761</v>
      </c>
      <c r="G254" s="1" t="s">
        <v>74</v>
      </c>
      <c r="H254" s="1" t="s">
        <v>74</v>
      </c>
      <c r="I254" s="1" t="s">
        <v>2762</v>
      </c>
      <c r="J254" s="1" t="s">
        <v>2763</v>
      </c>
      <c r="K254" s="1" t="s">
        <v>74</v>
      </c>
      <c r="L254" s="1" t="s">
        <v>74</v>
      </c>
      <c r="M254" s="1" t="s">
        <v>74</v>
      </c>
      <c r="N254" s="1" t="s">
        <v>74</v>
      </c>
      <c r="O254" s="1" t="s">
        <v>74</v>
      </c>
      <c r="P254" s="1" t="s">
        <v>74</v>
      </c>
      <c r="Q254" s="1" t="s">
        <v>74</v>
      </c>
      <c r="R254" s="1" t="s">
        <v>74</v>
      </c>
      <c r="S254" s="1" t="s">
        <v>74</v>
      </c>
      <c r="T254" s="1" t="s">
        <v>74</v>
      </c>
      <c r="U254" s="1" t="s">
        <v>74</v>
      </c>
      <c r="V254" s="1" t="s">
        <v>2764</v>
      </c>
      <c r="W254" s="1" t="s">
        <v>74</v>
      </c>
      <c r="X254" s="1" t="s">
        <v>74</v>
      </c>
      <c r="Y254" s="1" t="s">
        <v>74</v>
      </c>
      <c r="Z254" s="1" t="s">
        <v>74</v>
      </c>
      <c r="AA254" s="1" t="s">
        <v>2765</v>
      </c>
      <c r="AB254" s="1" t="s">
        <v>2766</v>
      </c>
      <c r="AC254" s="1" t="s">
        <v>74</v>
      </c>
      <c r="AD254" s="1" t="s">
        <v>74</v>
      </c>
      <c r="AE254" s="1" t="s">
        <v>74</v>
      </c>
      <c r="AF254" s="1" t="s">
        <v>74</v>
      </c>
      <c r="AG254" s="1" t="s">
        <v>74</v>
      </c>
      <c r="AH254" s="1" t="s">
        <v>74</v>
      </c>
      <c r="AI254" s="1" t="s">
        <v>74</v>
      </c>
      <c r="AJ254" s="1" t="s">
        <v>74</v>
      </c>
      <c r="AK254" s="1" t="s">
        <v>74</v>
      </c>
      <c r="AL254" s="1" t="s">
        <v>74</v>
      </c>
      <c r="AM254" s="1" t="s">
        <v>74</v>
      </c>
      <c r="AN254" s="1" t="s">
        <v>74</v>
      </c>
      <c r="AO254" s="1" t="s">
        <v>2767</v>
      </c>
      <c r="AP254" s="1" t="s">
        <v>2768</v>
      </c>
      <c r="AQ254" s="1" t="s">
        <v>74</v>
      </c>
      <c r="AR254" s="1" t="s">
        <v>74</v>
      </c>
      <c r="AS254" s="1" t="s">
        <v>74</v>
      </c>
      <c r="AT254" s="1" t="s">
        <v>1347</v>
      </c>
      <c r="AU254" s="1">
        <v>2022.0</v>
      </c>
      <c r="AV254" s="1">
        <v>290.0</v>
      </c>
      <c r="AW254" s="1" t="s">
        <v>74</v>
      </c>
      <c r="AX254" s="1" t="s">
        <v>74</v>
      </c>
      <c r="AY254" s="1" t="s">
        <v>74</v>
      </c>
      <c r="AZ254" s="1" t="s">
        <v>74</v>
      </c>
      <c r="BA254" s="1" t="s">
        <v>74</v>
      </c>
      <c r="BB254" s="1" t="s">
        <v>74</v>
      </c>
      <c r="BC254" s="1" t="s">
        <v>74</v>
      </c>
      <c r="BD254" s="1">
        <v>120879.0</v>
      </c>
      <c r="BE254" s="1" t="s">
        <v>2769</v>
      </c>
      <c r="BF254" s="2" t="str">
        <f>HYPERLINK("http://dx.doi.org/10.1016/j.seppur.2022.120879","http://dx.doi.org/10.1016/j.seppur.2022.120879")</f>
        <v>http://dx.doi.org/10.1016/j.seppur.2022.120879</v>
      </c>
      <c r="BG254" s="1" t="s">
        <v>74</v>
      </c>
      <c r="BH254" s="1" t="s">
        <v>1740</v>
      </c>
      <c r="BI254" s="1" t="s">
        <v>74</v>
      </c>
      <c r="BJ254" s="1" t="s">
        <v>74</v>
      </c>
      <c r="BK254" s="1" t="s">
        <v>74</v>
      </c>
      <c r="BL254" s="1" t="s">
        <v>74</v>
      </c>
      <c r="BM254" s="1" t="s">
        <v>74</v>
      </c>
      <c r="BN254" s="1" t="s">
        <v>74</v>
      </c>
      <c r="BO254" s="1" t="s">
        <v>74</v>
      </c>
      <c r="BP254" s="1" t="s">
        <v>74</v>
      </c>
      <c r="BQ254" s="1" t="s">
        <v>74</v>
      </c>
      <c r="BR254" s="1" t="s">
        <v>74</v>
      </c>
      <c r="BS254" s="1" t="s">
        <v>2770</v>
      </c>
      <c r="BT254" s="1" t="str">
        <f>HYPERLINK("https%3A%2F%2Fwww.webofscience.com%2Fwos%2Fwoscc%2Ffull-record%2FWOS:000807531700005","View Full Record in Web of Science")</f>
        <v>View Full Record in Web of Science</v>
      </c>
    </row>
    <row r="255" ht="12.75" customHeight="1">
      <c r="A255" s="1" t="s">
        <v>72</v>
      </c>
      <c r="B255" s="1" t="s">
        <v>2771</v>
      </c>
      <c r="C255" s="1" t="s">
        <v>74</v>
      </c>
      <c r="D255" s="1" t="s">
        <v>74</v>
      </c>
      <c r="E255" s="1" t="s">
        <v>74</v>
      </c>
      <c r="F255" s="1" t="s">
        <v>2772</v>
      </c>
      <c r="G255" s="1" t="s">
        <v>74</v>
      </c>
      <c r="H255" s="1" t="s">
        <v>74</v>
      </c>
      <c r="I255" s="1" t="s">
        <v>2773</v>
      </c>
      <c r="J255" s="1" t="s">
        <v>2774</v>
      </c>
      <c r="K255" s="1" t="s">
        <v>74</v>
      </c>
      <c r="L255" s="1" t="s">
        <v>74</v>
      </c>
      <c r="M255" s="1" t="s">
        <v>74</v>
      </c>
      <c r="N255" s="1" t="s">
        <v>74</v>
      </c>
      <c r="O255" s="1" t="s">
        <v>74</v>
      </c>
      <c r="P255" s="1" t="s">
        <v>74</v>
      </c>
      <c r="Q255" s="1" t="s">
        <v>74</v>
      </c>
      <c r="R255" s="1" t="s">
        <v>74</v>
      </c>
      <c r="S255" s="1" t="s">
        <v>74</v>
      </c>
      <c r="T255" s="1" t="s">
        <v>74</v>
      </c>
      <c r="U255" s="1" t="s">
        <v>74</v>
      </c>
      <c r="V255" s="1" t="s">
        <v>2775</v>
      </c>
      <c r="W255" s="1" t="s">
        <v>74</v>
      </c>
      <c r="X255" s="1" t="s">
        <v>74</v>
      </c>
      <c r="Y255" s="1" t="s">
        <v>74</v>
      </c>
      <c r="Z255" s="1" t="s">
        <v>74</v>
      </c>
      <c r="AA255" s="1" t="s">
        <v>2776</v>
      </c>
      <c r="AB255" s="1" t="s">
        <v>2777</v>
      </c>
      <c r="AC255" s="1" t="s">
        <v>74</v>
      </c>
      <c r="AD255" s="1" t="s">
        <v>74</v>
      </c>
      <c r="AE255" s="1" t="s">
        <v>74</v>
      </c>
      <c r="AF255" s="1" t="s">
        <v>74</v>
      </c>
      <c r="AG255" s="1" t="s">
        <v>74</v>
      </c>
      <c r="AH255" s="1" t="s">
        <v>74</v>
      </c>
      <c r="AI255" s="1" t="s">
        <v>74</v>
      </c>
      <c r="AJ255" s="1" t="s">
        <v>74</v>
      </c>
      <c r="AK255" s="1" t="s">
        <v>74</v>
      </c>
      <c r="AL255" s="1" t="s">
        <v>74</v>
      </c>
      <c r="AM255" s="1" t="s">
        <v>74</v>
      </c>
      <c r="AN255" s="1" t="s">
        <v>74</v>
      </c>
      <c r="AO255" s="1" t="s">
        <v>2778</v>
      </c>
      <c r="AP255" s="1" t="s">
        <v>74</v>
      </c>
      <c r="AQ255" s="1" t="s">
        <v>74</v>
      </c>
      <c r="AR255" s="1" t="s">
        <v>74</v>
      </c>
      <c r="AS255" s="1" t="s">
        <v>74</v>
      </c>
      <c r="AT255" s="1" t="s">
        <v>2779</v>
      </c>
      <c r="AU255" s="1">
        <v>2021.0</v>
      </c>
      <c r="AV255" s="1">
        <v>6.0</v>
      </c>
      <c r="AW255" s="1">
        <v>25.0</v>
      </c>
      <c r="AX255" s="1" t="s">
        <v>74</v>
      </c>
      <c r="AY255" s="1" t="s">
        <v>74</v>
      </c>
      <c r="AZ255" s="1" t="s">
        <v>74</v>
      </c>
      <c r="BA255" s="1" t="s">
        <v>74</v>
      </c>
      <c r="BB255" s="1">
        <v>16553.0</v>
      </c>
      <c r="BC255" s="1">
        <v>16564.0</v>
      </c>
      <c r="BD255" s="1" t="s">
        <v>74</v>
      </c>
      <c r="BE255" s="1" t="s">
        <v>2780</v>
      </c>
      <c r="BF255" s="2" t="str">
        <f>HYPERLINK("http://dx.doi.org/10.1021/acsomega.1c01790","http://dx.doi.org/10.1021/acsomega.1c01790")</f>
        <v>http://dx.doi.org/10.1021/acsomega.1c01790</v>
      </c>
      <c r="BG255" s="1" t="s">
        <v>74</v>
      </c>
      <c r="BH255" s="1" t="s">
        <v>2056</v>
      </c>
      <c r="BI255" s="1" t="s">
        <v>74</v>
      </c>
      <c r="BJ255" s="1" t="s">
        <v>74</v>
      </c>
      <c r="BK255" s="1" t="s">
        <v>74</v>
      </c>
      <c r="BL255" s="1" t="s">
        <v>74</v>
      </c>
      <c r="BM255" s="1" t="s">
        <v>74</v>
      </c>
      <c r="BN255" s="1">
        <v>3.4235327E7</v>
      </c>
      <c r="BO255" s="1" t="s">
        <v>74</v>
      </c>
      <c r="BP255" s="1" t="s">
        <v>74</v>
      </c>
      <c r="BQ255" s="1" t="s">
        <v>74</v>
      </c>
      <c r="BR255" s="1" t="s">
        <v>74</v>
      </c>
      <c r="BS255" s="1" t="s">
        <v>2781</v>
      </c>
      <c r="BT255" s="1" t="str">
        <f>HYPERLINK("https%3A%2F%2Fwww.webofscience.com%2Fwos%2Fwoscc%2Ffull-record%2FWOS:000670306400034","View Full Record in Web of Science")</f>
        <v>View Full Record in Web of Science</v>
      </c>
    </row>
    <row r="256" ht="12.75" customHeight="1">
      <c r="A256" s="1" t="s">
        <v>72</v>
      </c>
      <c r="B256" s="1" t="s">
        <v>2782</v>
      </c>
      <c r="C256" s="1" t="s">
        <v>74</v>
      </c>
      <c r="D256" s="1" t="s">
        <v>74</v>
      </c>
      <c r="E256" s="1" t="s">
        <v>74</v>
      </c>
      <c r="F256" s="1" t="s">
        <v>2783</v>
      </c>
      <c r="G256" s="1" t="s">
        <v>74</v>
      </c>
      <c r="H256" s="1" t="s">
        <v>74</v>
      </c>
      <c r="I256" s="1" t="s">
        <v>2784</v>
      </c>
      <c r="J256" s="1" t="s">
        <v>2785</v>
      </c>
      <c r="K256" s="1" t="s">
        <v>74</v>
      </c>
      <c r="L256" s="1" t="s">
        <v>74</v>
      </c>
      <c r="M256" s="1" t="s">
        <v>74</v>
      </c>
      <c r="N256" s="1" t="s">
        <v>74</v>
      </c>
      <c r="O256" s="1" t="s">
        <v>74</v>
      </c>
      <c r="P256" s="1" t="s">
        <v>74</v>
      </c>
      <c r="Q256" s="1" t="s">
        <v>74</v>
      </c>
      <c r="R256" s="1" t="s">
        <v>74</v>
      </c>
      <c r="S256" s="1" t="s">
        <v>74</v>
      </c>
      <c r="T256" s="1" t="s">
        <v>74</v>
      </c>
      <c r="U256" s="1" t="s">
        <v>74</v>
      </c>
      <c r="V256" s="1" t="s">
        <v>2786</v>
      </c>
      <c r="W256" s="1" t="s">
        <v>74</v>
      </c>
      <c r="X256" s="1" t="s">
        <v>74</v>
      </c>
      <c r="Y256" s="1" t="s">
        <v>74</v>
      </c>
      <c r="Z256" s="1" t="s">
        <v>74</v>
      </c>
      <c r="AA256" s="1" t="s">
        <v>2787</v>
      </c>
      <c r="AB256" s="1" t="s">
        <v>2788</v>
      </c>
      <c r="AC256" s="1" t="s">
        <v>74</v>
      </c>
      <c r="AD256" s="1" t="s">
        <v>74</v>
      </c>
      <c r="AE256" s="1" t="s">
        <v>74</v>
      </c>
      <c r="AF256" s="1" t="s">
        <v>74</v>
      </c>
      <c r="AG256" s="1" t="s">
        <v>74</v>
      </c>
      <c r="AH256" s="1" t="s">
        <v>74</v>
      </c>
      <c r="AI256" s="1" t="s">
        <v>74</v>
      </c>
      <c r="AJ256" s="1" t="s">
        <v>74</v>
      </c>
      <c r="AK256" s="1" t="s">
        <v>74</v>
      </c>
      <c r="AL256" s="1" t="s">
        <v>74</v>
      </c>
      <c r="AM256" s="1" t="s">
        <v>74</v>
      </c>
      <c r="AN256" s="1" t="s">
        <v>74</v>
      </c>
      <c r="AO256" s="1" t="s">
        <v>2789</v>
      </c>
      <c r="AP256" s="1" t="s">
        <v>2790</v>
      </c>
      <c r="AQ256" s="1" t="s">
        <v>74</v>
      </c>
      <c r="AR256" s="1" t="s">
        <v>74</v>
      </c>
      <c r="AS256" s="1" t="s">
        <v>74</v>
      </c>
      <c r="AT256" s="1" t="s">
        <v>441</v>
      </c>
      <c r="AU256" s="1">
        <v>2021.0</v>
      </c>
      <c r="AV256" s="1">
        <v>530.0</v>
      </c>
      <c r="AW256" s="1" t="s">
        <v>74</v>
      </c>
      <c r="AX256" s="1" t="s">
        <v>74</v>
      </c>
      <c r="AY256" s="1" t="s">
        <v>74</v>
      </c>
      <c r="AZ256" s="1" t="s">
        <v>74</v>
      </c>
      <c r="BA256" s="1" t="s">
        <v>74</v>
      </c>
      <c r="BB256" s="1" t="s">
        <v>74</v>
      </c>
      <c r="BC256" s="1" t="s">
        <v>74</v>
      </c>
      <c r="BD256" s="1">
        <v>735954.0</v>
      </c>
      <c r="BE256" s="1" t="s">
        <v>2791</v>
      </c>
      <c r="BF256" s="2" t="str">
        <f>HYPERLINK("http://dx.doi.org/10.1016/j.aquaculture.2020.735954","http://dx.doi.org/10.1016/j.aquaculture.2020.735954")</f>
        <v>http://dx.doi.org/10.1016/j.aquaculture.2020.735954</v>
      </c>
      <c r="BG256" s="1" t="s">
        <v>74</v>
      </c>
      <c r="BH256" s="1" t="s">
        <v>74</v>
      </c>
      <c r="BI256" s="1" t="s">
        <v>74</v>
      </c>
      <c r="BJ256" s="1" t="s">
        <v>74</v>
      </c>
      <c r="BK256" s="1" t="s">
        <v>74</v>
      </c>
      <c r="BL256" s="1" t="s">
        <v>74</v>
      </c>
      <c r="BM256" s="1" t="s">
        <v>74</v>
      </c>
      <c r="BN256" s="1" t="s">
        <v>74</v>
      </c>
      <c r="BO256" s="1" t="s">
        <v>74</v>
      </c>
      <c r="BP256" s="1" t="s">
        <v>74</v>
      </c>
      <c r="BQ256" s="1" t="s">
        <v>74</v>
      </c>
      <c r="BR256" s="1" t="s">
        <v>74</v>
      </c>
      <c r="BS256" s="1" t="s">
        <v>2792</v>
      </c>
      <c r="BT256" s="1" t="str">
        <f>HYPERLINK("https%3A%2F%2Fwww.webofscience.com%2Fwos%2Fwoscc%2Ffull-record%2FWOS:000582169700105","View Full Record in Web of Science")</f>
        <v>View Full Record in Web of Science</v>
      </c>
    </row>
    <row r="257" ht="12.75" customHeight="1">
      <c r="A257" s="1" t="s">
        <v>72</v>
      </c>
      <c r="B257" s="1" t="s">
        <v>2793</v>
      </c>
      <c r="C257" s="1" t="s">
        <v>74</v>
      </c>
      <c r="D257" s="1" t="s">
        <v>74</v>
      </c>
      <c r="E257" s="1" t="s">
        <v>74</v>
      </c>
      <c r="F257" s="1" t="s">
        <v>2794</v>
      </c>
      <c r="G257" s="1" t="s">
        <v>74</v>
      </c>
      <c r="H257" s="1" t="s">
        <v>74</v>
      </c>
      <c r="I257" s="1" t="s">
        <v>2795</v>
      </c>
      <c r="J257" s="1" t="s">
        <v>2796</v>
      </c>
      <c r="K257" s="1" t="s">
        <v>74</v>
      </c>
      <c r="L257" s="1" t="s">
        <v>74</v>
      </c>
      <c r="M257" s="1" t="s">
        <v>74</v>
      </c>
      <c r="N257" s="1" t="s">
        <v>74</v>
      </c>
      <c r="O257" s="1" t="s">
        <v>74</v>
      </c>
      <c r="P257" s="1" t="s">
        <v>74</v>
      </c>
      <c r="Q257" s="1" t="s">
        <v>74</v>
      </c>
      <c r="R257" s="1" t="s">
        <v>74</v>
      </c>
      <c r="S257" s="1" t="s">
        <v>74</v>
      </c>
      <c r="T257" s="1" t="s">
        <v>74</v>
      </c>
      <c r="U257" s="1" t="s">
        <v>74</v>
      </c>
      <c r="V257" s="1" t="s">
        <v>2797</v>
      </c>
      <c r="W257" s="1" t="s">
        <v>74</v>
      </c>
      <c r="X257" s="1" t="s">
        <v>74</v>
      </c>
      <c r="Y257" s="1" t="s">
        <v>74</v>
      </c>
      <c r="Z257" s="1" t="s">
        <v>74</v>
      </c>
      <c r="AA257" s="1" t="s">
        <v>2798</v>
      </c>
      <c r="AB257" s="1" t="s">
        <v>802</v>
      </c>
      <c r="AC257" s="1" t="s">
        <v>74</v>
      </c>
      <c r="AD257" s="1" t="s">
        <v>74</v>
      </c>
      <c r="AE257" s="1" t="s">
        <v>74</v>
      </c>
      <c r="AF257" s="1" t="s">
        <v>74</v>
      </c>
      <c r="AG257" s="1" t="s">
        <v>74</v>
      </c>
      <c r="AH257" s="1" t="s">
        <v>74</v>
      </c>
      <c r="AI257" s="1" t="s">
        <v>74</v>
      </c>
      <c r="AJ257" s="1" t="s">
        <v>74</v>
      </c>
      <c r="AK257" s="1" t="s">
        <v>74</v>
      </c>
      <c r="AL257" s="1" t="s">
        <v>74</v>
      </c>
      <c r="AM257" s="1" t="s">
        <v>74</v>
      </c>
      <c r="AN257" s="1" t="s">
        <v>74</v>
      </c>
      <c r="AO257" s="1" t="s">
        <v>2799</v>
      </c>
      <c r="AP257" s="1" t="s">
        <v>2800</v>
      </c>
      <c r="AQ257" s="1" t="s">
        <v>74</v>
      </c>
      <c r="AR257" s="1" t="s">
        <v>74</v>
      </c>
      <c r="AS257" s="1" t="s">
        <v>74</v>
      </c>
      <c r="AT257" s="1" t="s">
        <v>74</v>
      </c>
      <c r="AU257" s="1">
        <v>2021.0</v>
      </c>
      <c r="AV257" s="1">
        <v>34.0</v>
      </c>
      <c r="AW257" s="1">
        <v>1.0</v>
      </c>
      <c r="AX257" s="1" t="s">
        <v>74</v>
      </c>
      <c r="AY257" s="1" t="s">
        <v>74</v>
      </c>
      <c r="AZ257" s="1" t="s">
        <v>74</v>
      </c>
      <c r="BA257" s="1" t="s">
        <v>74</v>
      </c>
      <c r="BB257" s="1">
        <v>39.0</v>
      </c>
      <c r="BC257" s="1">
        <v>51.0</v>
      </c>
      <c r="BD257" s="1" t="s">
        <v>74</v>
      </c>
      <c r="BE257" s="1" t="s">
        <v>2801</v>
      </c>
      <c r="BF257" s="2" t="str">
        <f>HYPERLINK("http://dx.doi.org/10.13075/ijomeh.1896.01647","http://dx.doi.org/10.13075/ijomeh.1896.01647")</f>
        <v>http://dx.doi.org/10.13075/ijomeh.1896.01647</v>
      </c>
      <c r="BG257" s="1" t="s">
        <v>74</v>
      </c>
      <c r="BH257" s="1" t="s">
        <v>74</v>
      </c>
      <c r="BI257" s="1" t="s">
        <v>74</v>
      </c>
      <c r="BJ257" s="1" t="s">
        <v>74</v>
      </c>
      <c r="BK257" s="1" t="s">
        <v>74</v>
      </c>
      <c r="BL257" s="1" t="s">
        <v>74</v>
      </c>
      <c r="BM257" s="1" t="s">
        <v>74</v>
      </c>
      <c r="BN257" s="1">
        <v>3.316973E7</v>
      </c>
      <c r="BO257" s="1" t="s">
        <v>74</v>
      </c>
      <c r="BP257" s="1" t="s">
        <v>74</v>
      </c>
      <c r="BQ257" s="1" t="s">
        <v>74</v>
      </c>
      <c r="BR257" s="1" t="s">
        <v>74</v>
      </c>
      <c r="BS257" s="1" t="s">
        <v>2802</v>
      </c>
      <c r="BT257" s="1" t="str">
        <f>HYPERLINK("https%3A%2F%2Fwww.webofscience.com%2Fwos%2Fwoscc%2Ffull-record%2FWOS:000613156800003","View Full Record in Web of Science")</f>
        <v>View Full Record in Web of Science</v>
      </c>
    </row>
    <row r="258" ht="12.75" customHeight="1">
      <c r="A258" s="1" t="s">
        <v>72</v>
      </c>
      <c r="B258" s="1" t="s">
        <v>2803</v>
      </c>
      <c r="C258" s="1" t="s">
        <v>74</v>
      </c>
      <c r="D258" s="1" t="s">
        <v>74</v>
      </c>
      <c r="E258" s="1" t="s">
        <v>74</v>
      </c>
      <c r="F258" s="1" t="s">
        <v>2804</v>
      </c>
      <c r="G258" s="1" t="s">
        <v>74</v>
      </c>
      <c r="H258" s="1" t="s">
        <v>74</v>
      </c>
      <c r="I258" s="1" t="s">
        <v>2805</v>
      </c>
      <c r="J258" s="1" t="s">
        <v>2030</v>
      </c>
      <c r="K258" s="1" t="s">
        <v>74</v>
      </c>
      <c r="L258" s="1" t="s">
        <v>74</v>
      </c>
      <c r="M258" s="1" t="s">
        <v>74</v>
      </c>
      <c r="N258" s="1" t="s">
        <v>74</v>
      </c>
      <c r="O258" s="1" t="s">
        <v>74</v>
      </c>
      <c r="P258" s="1" t="s">
        <v>74</v>
      </c>
      <c r="Q258" s="1" t="s">
        <v>74</v>
      </c>
      <c r="R258" s="1" t="s">
        <v>74</v>
      </c>
      <c r="S258" s="1" t="s">
        <v>74</v>
      </c>
      <c r="T258" s="1" t="s">
        <v>74</v>
      </c>
      <c r="U258" s="1" t="s">
        <v>74</v>
      </c>
      <c r="V258" s="1" t="s">
        <v>2806</v>
      </c>
      <c r="W258" s="1" t="s">
        <v>74</v>
      </c>
      <c r="X258" s="1" t="s">
        <v>74</v>
      </c>
      <c r="Y258" s="1" t="s">
        <v>74</v>
      </c>
      <c r="Z258" s="1" t="s">
        <v>74</v>
      </c>
      <c r="AA258" s="1" t="s">
        <v>2807</v>
      </c>
      <c r="AB258" s="1" t="s">
        <v>2808</v>
      </c>
      <c r="AC258" s="1" t="s">
        <v>74</v>
      </c>
      <c r="AD258" s="1" t="s">
        <v>74</v>
      </c>
      <c r="AE258" s="1" t="s">
        <v>74</v>
      </c>
      <c r="AF258" s="1" t="s">
        <v>74</v>
      </c>
      <c r="AG258" s="1" t="s">
        <v>74</v>
      </c>
      <c r="AH258" s="1" t="s">
        <v>74</v>
      </c>
      <c r="AI258" s="1" t="s">
        <v>74</v>
      </c>
      <c r="AJ258" s="1" t="s">
        <v>74</v>
      </c>
      <c r="AK258" s="1" t="s">
        <v>74</v>
      </c>
      <c r="AL258" s="1" t="s">
        <v>74</v>
      </c>
      <c r="AM258" s="1" t="s">
        <v>74</v>
      </c>
      <c r="AN258" s="1" t="s">
        <v>74</v>
      </c>
      <c r="AO258" s="1" t="s">
        <v>74</v>
      </c>
      <c r="AP258" s="1" t="s">
        <v>2034</v>
      </c>
      <c r="AQ258" s="1" t="s">
        <v>74</v>
      </c>
      <c r="AR258" s="1" t="s">
        <v>74</v>
      </c>
      <c r="AS258" s="1" t="s">
        <v>74</v>
      </c>
      <c r="AT258" s="1" t="s">
        <v>307</v>
      </c>
      <c r="AU258" s="1">
        <v>2020.0</v>
      </c>
      <c r="AV258" s="1">
        <v>12.0</v>
      </c>
      <c r="AW258" s="1">
        <v>24.0</v>
      </c>
      <c r="AX258" s="1" t="s">
        <v>74</v>
      </c>
      <c r="AY258" s="1" t="s">
        <v>74</v>
      </c>
      <c r="AZ258" s="1" t="s">
        <v>74</v>
      </c>
      <c r="BA258" s="1" t="s">
        <v>74</v>
      </c>
      <c r="BB258" s="1" t="s">
        <v>74</v>
      </c>
      <c r="BC258" s="1" t="s">
        <v>74</v>
      </c>
      <c r="BD258" s="1">
        <v>10401.0</v>
      </c>
      <c r="BE258" s="1" t="s">
        <v>2809</v>
      </c>
      <c r="BF258" s="2" t="str">
        <f>HYPERLINK("http://dx.doi.org/10.3390/su122410401","http://dx.doi.org/10.3390/su122410401")</f>
        <v>http://dx.doi.org/10.3390/su122410401</v>
      </c>
      <c r="BG258" s="1" t="s">
        <v>74</v>
      </c>
      <c r="BH258" s="1" t="s">
        <v>74</v>
      </c>
      <c r="BI258" s="1" t="s">
        <v>74</v>
      </c>
      <c r="BJ258" s="1" t="s">
        <v>74</v>
      </c>
      <c r="BK258" s="1" t="s">
        <v>74</v>
      </c>
      <c r="BL258" s="1" t="s">
        <v>74</v>
      </c>
      <c r="BM258" s="1" t="s">
        <v>74</v>
      </c>
      <c r="BN258" s="1" t="s">
        <v>74</v>
      </c>
      <c r="BO258" s="1" t="s">
        <v>74</v>
      </c>
      <c r="BP258" s="1" t="s">
        <v>74</v>
      </c>
      <c r="BQ258" s="1" t="s">
        <v>74</v>
      </c>
      <c r="BR258" s="1" t="s">
        <v>74</v>
      </c>
      <c r="BS258" s="1" t="s">
        <v>2810</v>
      </c>
      <c r="BT258" s="1" t="str">
        <f>HYPERLINK("https%3A%2F%2Fwww.webofscience.com%2Fwos%2Fwoscc%2Ffull-record%2FWOS:000603175900001","View Full Record in Web of Science")</f>
        <v>View Full Record in Web of Science</v>
      </c>
    </row>
    <row r="259" ht="12.75" customHeight="1">
      <c r="A259" s="1" t="s">
        <v>72</v>
      </c>
      <c r="B259" s="1" t="s">
        <v>2811</v>
      </c>
      <c r="C259" s="1" t="s">
        <v>74</v>
      </c>
      <c r="D259" s="1" t="s">
        <v>74</v>
      </c>
      <c r="E259" s="1" t="s">
        <v>74</v>
      </c>
      <c r="F259" s="1" t="s">
        <v>2812</v>
      </c>
      <c r="G259" s="1" t="s">
        <v>74</v>
      </c>
      <c r="H259" s="1" t="s">
        <v>74</v>
      </c>
      <c r="I259" s="1" t="s">
        <v>2813</v>
      </c>
      <c r="J259" s="1" t="s">
        <v>2814</v>
      </c>
      <c r="K259" s="1" t="s">
        <v>74</v>
      </c>
      <c r="L259" s="1" t="s">
        <v>74</v>
      </c>
      <c r="M259" s="1" t="s">
        <v>74</v>
      </c>
      <c r="N259" s="1" t="s">
        <v>74</v>
      </c>
      <c r="O259" s="1" t="s">
        <v>74</v>
      </c>
      <c r="P259" s="1" t="s">
        <v>74</v>
      </c>
      <c r="Q259" s="1" t="s">
        <v>74</v>
      </c>
      <c r="R259" s="1" t="s">
        <v>74</v>
      </c>
      <c r="S259" s="1" t="s">
        <v>74</v>
      </c>
      <c r="T259" s="1" t="s">
        <v>74</v>
      </c>
      <c r="U259" s="1" t="s">
        <v>74</v>
      </c>
      <c r="V259" s="1" t="s">
        <v>2815</v>
      </c>
      <c r="W259" s="1" t="s">
        <v>74</v>
      </c>
      <c r="X259" s="1" t="s">
        <v>74</v>
      </c>
      <c r="Y259" s="1" t="s">
        <v>74</v>
      </c>
      <c r="Z259" s="1" t="s">
        <v>74</v>
      </c>
      <c r="AA259" s="1" t="s">
        <v>2816</v>
      </c>
      <c r="AB259" s="1" t="s">
        <v>2817</v>
      </c>
      <c r="AC259" s="1" t="s">
        <v>74</v>
      </c>
      <c r="AD259" s="1" t="s">
        <v>74</v>
      </c>
      <c r="AE259" s="1" t="s">
        <v>74</v>
      </c>
      <c r="AF259" s="1" t="s">
        <v>74</v>
      </c>
      <c r="AG259" s="1" t="s">
        <v>74</v>
      </c>
      <c r="AH259" s="1" t="s">
        <v>74</v>
      </c>
      <c r="AI259" s="1" t="s">
        <v>74</v>
      </c>
      <c r="AJ259" s="1" t="s">
        <v>74</v>
      </c>
      <c r="AK259" s="1" t="s">
        <v>74</v>
      </c>
      <c r="AL259" s="1" t="s">
        <v>74</v>
      </c>
      <c r="AM259" s="1" t="s">
        <v>74</v>
      </c>
      <c r="AN259" s="1" t="s">
        <v>74</v>
      </c>
      <c r="AO259" s="1" t="s">
        <v>2818</v>
      </c>
      <c r="AP259" s="1" t="s">
        <v>74</v>
      </c>
      <c r="AQ259" s="1" t="s">
        <v>74</v>
      </c>
      <c r="AR259" s="1" t="s">
        <v>74</v>
      </c>
      <c r="AS259" s="1" t="s">
        <v>74</v>
      </c>
      <c r="AT259" s="1" t="s">
        <v>153</v>
      </c>
      <c r="AU259" s="1">
        <v>2020.0</v>
      </c>
      <c r="AV259" s="1">
        <v>11.0</v>
      </c>
      <c r="AW259" s="1" t="s">
        <v>74</v>
      </c>
      <c r="AX259" s="1" t="s">
        <v>74</v>
      </c>
      <c r="AY259" s="1" t="s">
        <v>74</v>
      </c>
      <c r="AZ259" s="1" t="s">
        <v>74</v>
      </c>
      <c r="BA259" s="1" t="s">
        <v>74</v>
      </c>
      <c r="BB259" s="1" t="s">
        <v>74</v>
      </c>
      <c r="BC259" s="1" t="s">
        <v>74</v>
      </c>
      <c r="BD259" s="1">
        <v>316.0</v>
      </c>
      <c r="BE259" s="1" t="s">
        <v>2819</v>
      </c>
      <c r="BF259" s="2" t="str">
        <f>HYPERLINK("http://dx.doi.org/10.3389/fendo.2020.00316","http://dx.doi.org/10.3389/fendo.2020.00316")</f>
        <v>http://dx.doi.org/10.3389/fendo.2020.00316</v>
      </c>
      <c r="BG259" s="1" t="s">
        <v>74</v>
      </c>
      <c r="BH259" s="1" t="s">
        <v>74</v>
      </c>
      <c r="BI259" s="1" t="s">
        <v>74</v>
      </c>
      <c r="BJ259" s="1" t="s">
        <v>74</v>
      </c>
      <c r="BK259" s="1" t="s">
        <v>74</v>
      </c>
      <c r="BL259" s="1" t="s">
        <v>74</v>
      </c>
      <c r="BM259" s="1" t="s">
        <v>74</v>
      </c>
      <c r="BN259" s="1">
        <v>3.2499759E7</v>
      </c>
      <c r="BO259" s="1" t="s">
        <v>74</v>
      </c>
      <c r="BP259" s="1" t="s">
        <v>74</v>
      </c>
      <c r="BQ259" s="1" t="s">
        <v>74</v>
      </c>
      <c r="BR259" s="1" t="s">
        <v>74</v>
      </c>
      <c r="BS259" s="1" t="s">
        <v>2820</v>
      </c>
      <c r="BT259" s="1" t="str">
        <f>HYPERLINK("https%3A%2F%2Fwww.webofscience.com%2Fwos%2Fwoscc%2Ffull-record%2FWOS:000538536900001","View Full Record in Web of Science")</f>
        <v>View Full Record in Web of Science</v>
      </c>
    </row>
    <row r="260" ht="12.75" customHeight="1">
      <c r="A260" s="1" t="s">
        <v>72</v>
      </c>
      <c r="B260" s="1" t="s">
        <v>2821</v>
      </c>
      <c r="C260" s="1" t="s">
        <v>74</v>
      </c>
      <c r="D260" s="1" t="s">
        <v>74</v>
      </c>
      <c r="E260" s="1" t="s">
        <v>74</v>
      </c>
      <c r="F260" s="1" t="s">
        <v>2822</v>
      </c>
      <c r="G260" s="1" t="s">
        <v>74</v>
      </c>
      <c r="H260" s="1" t="s">
        <v>74</v>
      </c>
      <c r="I260" s="1" t="s">
        <v>2823</v>
      </c>
      <c r="J260" s="1" t="s">
        <v>2824</v>
      </c>
      <c r="K260" s="1" t="s">
        <v>74</v>
      </c>
      <c r="L260" s="1" t="s">
        <v>74</v>
      </c>
      <c r="M260" s="1" t="s">
        <v>74</v>
      </c>
      <c r="N260" s="1" t="s">
        <v>74</v>
      </c>
      <c r="O260" s="1" t="s">
        <v>74</v>
      </c>
      <c r="P260" s="1" t="s">
        <v>74</v>
      </c>
      <c r="Q260" s="1" t="s">
        <v>74</v>
      </c>
      <c r="R260" s="1" t="s">
        <v>74</v>
      </c>
      <c r="S260" s="1" t="s">
        <v>74</v>
      </c>
      <c r="T260" s="1" t="s">
        <v>74</v>
      </c>
      <c r="U260" s="1" t="s">
        <v>74</v>
      </c>
      <c r="V260" s="1" t="s">
        <v>2825</v>
      </c>
      <c r="W260" s="1" t="s">
        <v>74</v>
      </c>
      <c r="X260" s="1" t="s">
        <v>74</v>
      </c>
      <c r="Y260" s="1" t="s">
        <v>74</v>
      </c>
      <c r="Z260" s="1" t="s">
        <v>74</v>
      </c>
      <c r="AA260" s="1" t="s">
        <v>2826</v>
      </c>
      <c r="AB260" s="1" t="s">
        <v>2827</v>
      </c>
      <c r="AC260" s="1" t="s">
        <v>74</v>
      </c>
      <c r="AD260" s="1" t="s">
        <v>74</v>
      </c>
      <c r="AE260" s="1" t="s">
        <v>74</v>
      </c>
      <c r="AF260" s="1" t="s">
        <v>74</v>
      </c>
      <c r="AG260" s="1" t="s">
        <v>74</v>
      </c>
      <c r="AH260" s="1" t="s">
        <v>74</v>
      </c>
      <c r="AI260" s="1" t="s">
        <v>74</v>
      </c>
      <c r="AJ260" s="1" t="s">
        <v>74</v>
      </c>
      <c r="AK260" s="1" t="s">
        <v>74</v>
      </c>
      <c r="AL260" s="1" t="s">
        <v>74</v>
      </c>
      <c r="AM260" s="1" t="s">
        <v>74</v>
      </c>
      <c r="AN260" s="1" t="s">
        <v>74</v>
      </c>
      <c r="AO260" s="1" t="s">
        <v>2828</v>
      </c>
      <c r="AP260" s="1" t="s">
        <v>2829</v>
      </c>
      <c r="AQ260" s="1" t="s">
        <v>74</v>
      </c>
      <c r="AR260" s="1" t="s">
        <v>74</v>
      </c>
      <c r="AS260" s="1" t="s">
        <v>74</v>
      </c>
      <c r="AT260" s="1" t="s">
        <v>318</v>
      </c>
      <c r="AU260" s="1">
        <v>2020.0</v>
      </c>
      <c r="AV260" s="1">
        <v>113.0</v>
      </c>
      <c r="AW260" s="1">
        <v>2.0</v>
      </c>
      <c r="AX260" s="1" t="s">
        <v>74</v>
      </c>
      <c r="AY260" s="1" t="s">
        <v>74</v>
      </c>
      <c r="AZ260" s="1" t="s">
        <v>74</v>
      </c>
      <c r="BA260" s="1" t="s">
        <v>74</v>
      </c>
      <c r="BB260" s="1">
        <v>185.0</v>
      </c>
      <c r="BC260" s="1">
        <v>195.0</v>
      </c>
      <c r="BD260" s="1" t="s">
        <v>74</v>
      </c>
      <c r="BE260" s="1" t="s">
        <v>2830</v>
      </c>
      <c r="BF260" s="2" t="str">
        <f>HYPERLINK("http://dx.doi.org/10.1007/s10482-019-01328-x","http://dx.doi.org/10.1007/s10482-019-01328-x")</f>
        <v>http://dx.doi.org/10.1007/s10482-019-01328-x</v>
      </c>
      <c r="BG260" s="1" t="s">
        <v>74</v>
      </c>
      <c r="BH260" s="1" t="s">
        <v>74</v>
      </c>
      <c r="BI260" s="1" t="s">
        <v>74</v>
      </c>
      <c r="BJ260" s="1" t="s">
        <v>74</v>
      </c>
      <c r="BK260" s="1" t="s">
        <v>74</v>
      </c>
      <c r="BL260" s="1" t="s">
        <v>74</v>
      </c>
      <c r="BM260" s="1" t="s">
        <v>74</v>
      </c>
      <c r="BN260" s="1">
        <v>3.1535335E7</v>
      </c>
      <c r="BO260" s="1" t="s">
        <v>74</v>
      </c>
      <c r="BP260" s="1" t="s">
        <v>74</v>
      </c>
      <c r="BQ260" s="1" t="s">
        <v>74</v>
      </c>
      <c r="BR260" s="1" t="s">
        <v>74</v>
      </c>
      <c r="BS260" s="1" t="s">
        <v>2831</v>
      </c>
      <c r="BT260" s="1" t="str">
        <f>HYPERLINK("https%3A%2F%2Fwww.webofscience.com%2Fwos%2Fwoscc%2Ffull-record%2FWOS:000512010300004","View Full Record in Web of Science")</f>
        <v>View Full Record in Web of Science</v>
      </c>
    </row>
    <row r="261" ht="12.75" customHeight="1">
      <c r="A261" s="1" t="s">
        <v>72</v>
      </c>
      <c r="B261" s="1" t="s">
        <v>2832</v>
      </c>
      <c r="C261" s="1" t="s">
        <v>74</v>
      </c>
      <c r="D261" s="1" t="s">
        <v>74</v>
      </c>
      <c r="E261" s="1" t="s">
        <v>74</v>
      </c>
      <c r="F261" s="1" t="s">
        <v>2833</v>
      </c>
      <c r="G261" s="1" t="s">
        <v>74</v>
      </c>
      <c r="H261" s="1" t="s">
        <v>74</v>
      </c>
      <c r="I261" s="1" t="s">
        <v>2834</v>
      </c>
      <c r="J261" s="1" t="s">
        <v>2835</v>
      </c>
      <c r="K261" s="1" t="s">
        <v>74</v>
      </c>
      <c r="L261" s="1" t="s">
        <v>74</v>
      </c>
      <c r="M261" s="1" t="s">
        <v>74</v>
      </c>
      <c r="N261" s="1" t="s">
        <v>74</v>
      </c>
      <c r="O261" s="1" t="s">
        <v>74</v>
      </c>
      <c r="P261" s="1" t="s">
        <v>74</v>
      </c>
      <c r="Q261" s="1" t="s">
        <v>74</v>
      </c>
      <c r="R261" s="1" t="s">
        <v>74</v>
      </c>
      <c r="S261" s="1" t="s">
        <v>74</v>
      </c>
      <c r="T261" s="1" t="s">
        <v>74</v>
      </c>
      <c r="U261" s="1" t="s">
        <v>74</v>
      </c>
      <c r="V261" s="1" t="s">
        <v>2836</v>
      </c>
      <c r="W261" s="1" t="s">
        <v>74</v>
      </c>
      <c r="X261" s="1" t="s">
        <v>74</v>
      </c>
      <c r="Y261" s="1" t="s">
        <v>74</v>
      </c>
      <c r="Z261" s="1" t="s">
        <v>74</v>
      </c>
      <c r="AA261" s="1" t="s">
        <v>2837</v>
      </c>
      <c r="AB261" s="1" t="s">
        <v>2838</v>
      </c>
      <c r="AC261" s="1" t="s">
        <v>74</v>
      </c>
      <c r="AD261" s="1" t="s">
        <v>74</v>
      </c>
      <c r="AE261" s="1" t="s">
        <v>74</v>
      </c>
      <c r="AF261" s="1" t="s">
        <v>74</v>
      </c>
      <c r="AG261" s="1" t="s">
        <v>74</v>
      </c>
      <c r="AH261" s="1" t="s">
        <v>74</v>
      </c>
      <c r="AI261" s="1" t="s">
        <v>74</v>
      </c>
      <c r="AJ261" s="1" t="s">
        <v>74</v>
      </c>
      <c r="AK261" s="1" t="s">
        <v>74</v>
      </c>
      <c r="AL261" s="1" t="s">
        <v>74</v>
      </c>
      <c r="AM261" s="1" t="s">
        <v>74</v>
      </c>
      <c r="AN261" s="1" t="s">
        <v>74</v>
      </c>
      <c r="AO261" s="1" t="s">
        <v>2839</v>
      </c>
      <c r="AP261" s="1" t="s">
        <v>2840</v>
      </c>
      <c r="AQ261" s="1" t="s">
        <v>74</v>
      </c>
      <c r="AR261" s="1" t="s">
        <v>74</v>
      </c>
      <c r="AS261" s="1" t="s">
        <v>74</v>
      </c>
      <c r="AT261" s="1" t="s">
        <v>2841</v>
      </c>
      <c r="AU261" s="1">
        <v>2019.0</v>
      </c>
      <c r="AV261" s="1">
        <v>43.0</v>
      </c>
      <c r="AW261" s="1">
        <v>26.0</v>
      </c>
      <c r="AX261" s="1" t="s">
        <v>74</v>
      </c>
      <c r="AY261" s="1" t="s">
        <v>74</v>
      </c>
      <c r="AZ261" s="1" t="s">
        <v>74</v>
      </c>
      <c r="BA261" s="1" t="s">
        <v>74</v>
      </c>
      <c r="BB261" s="1">
        <v>10545.0</v>
      </c>
      <c r="BC261" s="1">
        <v>10553.0</v>
      </c>
      <c r="BD261" s="1" t="s">
        <v>74</v>
      </c>
      <c r="BE261" s="1" t="s">
        <v>2842</v>
      </c>
      <c r="BF261" s="2" t="str">
        <f>HYPERLINK("http://dx.doi.org/10.1039/c8nj06250a","http://dx.doi.org/10.1039/c8nj06250a")</f>
        <v>http://dx.doi.org/10.1039/c8nj06250a</v>
      </c>
      <c r="BG261" s="1" t="s">
        <v>74</v>
      </c>
      <c r="BH261" s="1" t="s">
        <v>74</v>
      </c>
      <c r="BI261" s="1" t="s">
        <v>74</v>
      </c>
      <c r="BJ261" s="1" t="s">
        <v>74</v>
      </c>
      <c r="BK261" s="1" t="s">
        <v>74</v>
      </c>
      <c r="BL261" s="1" t="s">
        <v>74</v>
      </c>
      <c r="BM261" s="1" t="s">
        <v>74</v>
      </c>
      <c r="BN261" s="1" t="s">
        <v>74</v>
      </c>
      <c r="BO261" s="1" t="s">
        <v>74</v>
      </c>
      <c r="BP261" s="1" t="s">
        <v>74</v>
      </c>
      <c r="BQ261" s="1" t="s">
        <v>74</v>
      </c>
      <c r="BR261" s="1" t="s">
        <v>74</v>
      </c>
      <c r="BS261" s="1" t="s">
        <v>2843</v>
      </c>
      <c r="BT261" s="1" t="str">
        <f>HYPERLINK("https%3A%2F%2Fwww.webofscience.com%2Fwos%2Fwoscc%2Ffull-record%2FWOS:000474625700036","View Full Record in Web of Science")</f>
        <v>View Full Record in Web of Science</v>
      </c>
    </row>
    <row r="262" ht="12.75" customHeight="1">
      <c r="A262" s="1" t="s">
        <v>72</v>
      </c>
      <c r="B262" s="1" t="s">
        <v>2844</v>
      </c>
      <c r="C262" s="1" t="s">
        <v>74</v>
      </c>
      <c r="D262" s="1" t="s">
        <v>74</v>
      </c>
      <c r="E262" s="1" t="s">
        <v>74</v>
      </c>
      <c r="F262" s="1" t="s">
        <v>2845</v>
      </c>
      <c r="G262" s="1" t="s">
        <v>74</v>
      </c>
      <c r="H262" s="1" t="s">
        <v>74</v>
      </c>
      <c r="I262" s="1" t="s">
        <v>2846</v>
      </c>
      <c r="J262" s="1" t="s">
        <v>858</v>
      </c>
      <c r="K262" s="1" t="s">
        <v>74</v>
      </c>
      <c r="L262" s="1" t="s">
        <v>74</v>
      </c>
      <c r="M262" s="1" t="s">
        <v>74</v>
      </c>
      <c r="N262" s="1" t="s">
        <v>74</v>
      </c>
      <c r="O262" s="1" t="s">
        <v>74</v>
      </c>
      <c r="P262" s="1" t="s">
        <v>74</v>
      </c>
      <c r="Q262" s="1" t="s">
        <v>74</v>
      </c>
      <c r="R262" s="1" t="s">
        <v>74</v>
      </c>
      <c r="S262" s="1" t="s">
        <v>74</v>
      </c>
      <c r="T262" s="1" t="s">
        <v>74</v>
      </c>
      <c r="U262" s="1" t="s">
        <v>74</v>
      </c>
      <c r="V262" s="1" t="s">
        <v>2847</v>
      </c>
      <c r="W262" s="1" t="s">
        <v>74</v>
      </c>
      <c r="X262" s="1" t="s">
        <v>74</v>
      </c>
      <c r="Y262" s="1" t="s">
        <v>74</v>
      </c>
      <c r="Z262" s="1" t="s">
        <v>74</v>
      </c>
      <c r="AA262" s="1" t="s">
        <v>2848</v>
      </c>
      <c r="AB262" s="1" t="s">
        <v>2849</v>
      </c>
      <c r="AC262" s="1" t="s">
        <v>74</v>
      </c>
      <c r="AD262" s="1" t="s">
        <v>74</v>
      </c>
      <c r="AE262" s="1" t="s">
        <v>74</v>
      </c>
      <c r="AF262" s="1" t="s">
        <v>74</v>
      </c>
      <c r="AG262" s="1" t="s">
        <v>74</v>
      </c>
      <c r="AH262" s="1" t="s">
        <v>74</v>
      </c>
      <c r="AI262" s="1" t="s">
        <v>74</v>
      </c>
      <c r="AJ262" s="1" t="s">
        <v>74</v>
      </c>
      <c r="AK262" s="1" t="s">
        <v>74</v>
      </c>
      <c r="AL262" s="1" t="s">
        <v>74</v>
      </c>
      <c r="AM262" s="1" t="s">
        <v>74</v>
      </c>
      <c r="AN262" s="1" t="s">
        <v>74</v>
      </c>
      <c r="AO262" s="1" t="s">
        <v>2850</v>
      </c>
      <c r="AP262" s="1" t="s">
        <v>2851</v>
      </c>
      <c r="AQ262" s="1" t="s">
        <v>74</v>
      </c>
      <c r="AR262" s="1" t="s">
        <v>74</v>
      </c>
      <c r="AS262" s="1" t="s">
        <v>74</v>
      </c>
      <c r="AT262" s="1" t="s">
        <v>2852</v>
      </c>
      <c r="AU262" s="1">
        <v>2019.0</v>
      </c>
      <c r="AV262" s="1">
        <v>99.0</v>
      </c>
      <c r="AW262" s="1">
        <v>3.0</v>
      </c>
      <c r="AX262" s="1" t="s">
        <v>74</v>
      </c>
      <c r="AY262" s="1" t="s">
        <v>74</v>
      </c>
      <c r="AZ262" s="1" t="s">
        <v>74</v>
      </c>
      <c r="BA262" s="1" t="s">
        <v>74</v>
      </c>
      <c r="BB262" s="1" t="s">
        <v>74</v>
      </c>
      <c r="BC262" s="1" t="s">
        <v>74</v>
      </c>
      <c r="BD262" s="1">
        <v>32210.0</v>
      </c>
      <c r="BE262" s="1" t="s">
        <v>2853</v>
      </c>
      <c r="BF262" s="2" t="str">
        <f>HYPERLINK("http://dx.doi.org/10.1103/PhysRevE.99.032210","http://dx.doi.org/10.1103/PhysRevE.99.032210")</f>
        <v>http://dx.doi.org/10.1103/PhysRevE.99.032210</v>
      </c>
      <c r="BG262" s="1" t="s">
        <v>74</v>
      </c>
      <c r="BH262" s="1" t="s">
        <v>74</v>
      </c>
      <c r="BI262" s="1" t="s">
        <v>74</v>
      </c>
      <c r="BJ262" s="1" t="s">
        <v>74</v>
      </c>
      <c r="BK262" s="1" t="s">
        <v>74</v>
      </c>
      <c r="BL262" s="1" t="s">
        <v>74</v>
      </c>
      <c r="BM262" s="1" t="s">
        <v>74</v>
      </c>
      <c r="BN262" s="1">
        <v>3.0999469E7</v>
      </c>
      <c r="BO262" s="1" t="s">
        <v>74</v>
      </c>
      <c r="BP262" s="1" t="s">
        <v>74</v>
      </c>
      <c r="BQ262" s="1" t="s">
        <v>74</v>
      </c>
      <c r="BR262" s="1" t="s">
        <v>74</v>
      </c>
      <c r="BS262" s="1" t="s">
        <v>2854</v>
      </c>
      <c r="BT262" s="1" t="str">
        <f>HYPERLINK("https%3A%2F%2Fwww.webofscience.com%2Fwos%2Fwoscc%2Ffull-record%2FWOS:000461060500006","View Full Record in Web of Science")</f>
        <v>View Full Record in Web of Science</v>
      </c>
    </row>
    <row r="263" ht="12.75" customHeight="1">
      <c r="A263" s="1" t="s">
        <v>72</v>
      </c>
      <c r="B263" s="1" t="s">
        <v>2855</v>
      </c>
      <c r="C263" s="1" t="s">
        <v>74</v>
      </c>
      <c r="D263" s="1" t="s">
        <v>74</v>
      </c>
      <c r="E263" s="1" t="s">
        <v>74</v>
      </c>
      <c r="F263" s="1" t="s">
        <v>2856</v>
      </c>
      <c r="G263" s="1" t="s">
        <v>74</v>
      </c>
      <c r="H263" s="1" t="s">
        <v>74</v>
      </c>
      <c r="I263" s="1" t="s">
        <v>2857</v>
      </c>
      <c r="J263" s="1" t="s">
        <v>2858</v>
      </c>
      <c r="K263" s="1" t="s">
        <v>74</v>
      </c>
      <c r="L263" s="1" t="s">
        <v>74</v>
      </c>
      <c r="M263" s="1" t="s">
        <v>74</v>
      </c>
      <c r="N263" s="1" t="s">
        <v>74</v>
      </c>
      <c r="O263" s="1" t="s">
        <v>74</v>
      </c>
      <c r="P263" s="1" t="s">
        <v>74</v>
      </c>
      <c r="Q263" s="1" t="s">
        <v>74</v>
      </c>
      <c r="R263" s="1" t="s">
        <v>74</v>
      </c>
      <c r="S263" s="1" t="s">
        <v>74</v>
      </c>
      <c r="T263" s="1" t="s">
        <v>74</v>
      </c>
      <c r="U263" s="1" t="s">
        <v>74</v>
      </c>
      <c r="V263" s="1" t="s">
        <v>74</v>
      </c>
      <c r="W263" s="1" t="s">
        <v>74</v>
      </c>
      <c r="X263" s="1" t="s">
        <v>74</v>
      </c>
      <c r="Y263" s="1" t="s">
        <v>74</v>
      </c>
      <c r="Z263" s="1" t="s">
        <v>74</v>
      </c>
      <c r="AA263" s="1" t="s">
        <v>2859</v>
      </c>
      <c r="AB263" s="1" t="s">
        <v>74</v>
      </c>
      <c r="AC263" s="1" t="s">
        <v>74</v>
      </c>
      <c r="AD263" s="1" t="s">
        <v>74</v>
      </c>
      <c r="AE263" s="1" t="s">
        <v>74</v>
      </c>
      <c r="AF263" s="1" t="s">
        <v>74</v>
      </c>
      <c r="AG263" s="1" t="s">
        <v>74</v>
      </c>
      <c r="AH263" s="1" t="s">
        <v>74</v>
      </c>
      <c r="AI263" s="1" t="s">
        <v>74</v>
      </c>
      <c r="AJ263" s="1" t="s">
        <v>74</v>
      </c>
      <c r="AK263" s="1" t="s">
        <v>74</v>
      </c>
      <c r="AL263" s="1" t="s">
        <v>74</v>
      </c>
      <c r="AM263" s="1" t="s">
        <v>74</v>
      </c>
      <c r="AN263" s="1" t="s">
        <v>74</v>
      </c>
      <c r="AO263" s="1" t="s">
        <v>2860</v>
      </c>
      <c r="AP263" s="1" t="s">
        <v>2861</v>
      </c>
      <c r="AQ263" s="1" t="s">
        <v>74</v>
      </c>
      <c r="AR263" s="1" t="s">
        <v>74</v>
      </c>
      <c r="AS263" s="1" t="s">
        <v>74</v>
      </c>
      <c r="AT263" s="1" t="s">
        <v>1018</v>
      </c>
      <c r="AU263" s="1">
        <v>2018.0</v>
      </c>
      <c r="AV263" s="1">
        <v>29.0</v>
      </c>
      <c r="AW263" s="1" t="s">
        <v>74</v>
      </c>
      <c r="AX263" s="1" t="s">
        <v>74</v>
      </c>
      <c r="AY263" s="1">
        <v>1.0</v>
      </c>
      <c r="AZ263" s="1" t="s">
        <v>74</v>
      </c>
      <c r="BA263" s="1">
        <v>254.0</v>
      </c>
      <c r="BB263" s="1" t="s">
        <v>2862</v>
      </c>
      <c r="BC263" s="1" t="s">
        <v>2863</v>
      </c>
      <c r="BD263" s="1" t="s">
        <v>74</v>
      </c>
      <c r="BE263" s="1" t="s">
        <v>74</v>
      </c>
      <c r="BF263" s="1" t="s">
        <v>74</v>
      </c>
      <c r="BG263" s="1" t="s">
        <v>74</v>
      </c>
      <c r="BH263" s="1" t="s">
        <v>74</v>
      </c>
      <c r="BI263" s="1" t="s">
        <v>74</v>
      </c>
      <c r="BJ263" s="1" t="s">
        <v>74</v>
      </c>
      <c r="BK263" s="1" t="s">
        <v>74</v>
      </c>
      <c r="BL263" s="1" t="s">
        <v>74</v>
      </c>
      <c r="BM263" s="1" t="s">
        <v>74</v>
      </c>
      <c r="BN263" s="1" t="s">
        <v>74</v>
      </c>
      <c r="BO263" s="1" t="s">
        <v>74</v>
      </c>
      <c r="BP263" s="1" t="s">
        <v>74</v>
      </c>
      <c r="BQ263" s="1" t="s">
        <v>74</v>
      </c>
      <c r="BR263" s="1" t="s">
        <v>74</v>
      </c>
      <c r="BS263" s="1" t="s">
        <v>2864</v>
      </c>
      <c r="BT263" s="1" t="str">
        <f>HYPERLINK("https%3A%2F%2Fwww.webofscience.com%2Fwos%2Fwoscc%2Ffull-record%2FWOS:000473610400251","View Full Record in Web of Science")</f>
        <v>View Full Record in Web of Science</v>
      </c>
    </row>
    <row r="264" ht="12.75" customHeight="1">
      <c r="A264" s="1" t="s">
        <v>72</v>
      </c>
      <c r="B264" s="1" t="s">
        <v>2865</v>
      </c>
      <c r="C264" s="1" t="s">
        <v>74</v>
      </c>
      <c r="D264" s="1" t="s">
        <v>74</v>
      </c>
      <c r="E264" s="1" t="s">
        <v>74</v>
      </c>
      <c r="F264" s="1" t="s">
        <v>2866</v>
      </c>
      <c r="G264" s="1" t="s">
        <v>74</v>
      </c>
      <c r="H264" s="1" t="s">
        <v>74</v>
      </c>
      <c r="I264" s="1" t="s">
        <v>2867</v>
      </c>
      <c r="J264" s="1" t="s">
        <v>787</v>
      </c>
      <c r="K264" s="1" t="s">
        <v>74</v>
      </c>
      <c r="L264" s="1" t="s">
        <v>74</v>
      </c>
      <c r="M264" s="1" t="s">
        <v>74</v>
      </c>
      <c r="N264" s="1" t="s">
        <v>74</v>
      </c>
      <c r="O264" s="1" t="s">
        <v>74</v>
      </c>
      <c r="P264" s="1" t="s">
        <v>74</v>
      </c>
      <c r="Q264" s="1" t="s">
        <v>74</v>
      </c>
      <c r="R264" s="1" t="s">
        <v>74</v>
      </c>
      <c r="S264" s="1" t="s">
        <v>74</v>
      </c>
      <c r="T264" s="1" t="s">
        <v>74</v>
      </c>
      <c r="U264" s="1" t="s">
        <v>74</v>
      </c>
      <c r="V264" s="1" t="s">
        <v>2868</v>
      </c>
      <c r="W264" s="1" t="s">
        <v>74</v>
      </c>
      <c r="X264" s="1" t="s">
        <v>74</v>
      </c>
      <c r="Y264" s="1" t="s">
        <v>74</v>
      </c>
      <c r="Z264" s="1" t="s">
        <v>74</v>
      </c>
      <c r="AA264" s="1" t="s">
        <v>2869</v>
      </c>
      <c r="AB264" s="1" t="s">
        <v>2870</v>
      </c>
      <c r="AC264" s="1" t="s">
        <v>74</v>
      </c>
      <c r="AD264" s="1" t="s">
        <v>74</v>
      </c>
      <c r="AE264" s="1" t="s">
        <v>74</v>
      </c>
      <c r="AF264" s="1" t="s">
        <v>74</v>
      </c>
      <c r="AG264" s="1" t="s">
        <v>74</v>
      </c>
      <c r="AH264" s="1" t="s">
        <v>74</v>
      </c>
      <c r="AI264" s="1" t="s">
        <v>74</v>
      </c>
      <c r="AJ264" s="1" t="s">
        <v>74</v>
      </c>
      <c r="AK264" s="1" t="s">
        <v>74</v>
      </c>
      <c r="AL264" s="1" t="s">
        <v>74</v>
      </c>
      <c r="AM264" s="1" t="s">
        <v>74</v>
      </c>
      <c r="AN264" s="1" t="s">
        <v>74</v>
      </c>
      <c r="AO264" s="1" t="s">
        <v>791</v>
      </c>
      <c r="AP264" s="1" t="s">
        <v>792</v>
      </c>
      <c r="AQ264" s="1" t="s">
        <v>74</v>
      </c>
      <c r="AR264" s="1" t="s">
        <v>74</v>
      </c>
      <c r="AS264" s="1" t="s">
        <v>74</v>
      </c>
      <c r="AT264" s="1" t="s">
        <v>2871</v>
      </c>
      <c r="AU264" s="1">
        <v>2018.0</v>
      </c>
      <c r="AV264" s="1">
        <v>57.0</v>
      </c>
      <c r="AW264" s="1">
        <v>10.0</v>
      </c>
      <c r="AX264" s="1" t="s">
        <v>74</v>
      </c>
      <c r="AY264" s="1" t="s">
        <v>74</v>
      </c>
      <c r="AZ264" s="1" t="s">
        <v>74</v>
      </c>
      <c r="BA264" s="1" t="s">
        <v>74</v>
      </c>
      <c r="BB264" s="1">
        <v>2727.0</v>
      </c>
      <c r="BC264" s="1">
        <v>2735.0</v>
      </c>
      <c r="BD264" s="1" t="s">
        <v>74</v>
      </c>
      <c r="BE264" s="1" t="s">
        <v>2872</v>
      </c>
      <c r="BF264" s="2" t="str">
        <f>HYPERLINK("http://dx.doi.org/10.1364/AO.57.002727","http://dx.doi.org/10.1364/AO.57.002727")</f>
        <v>http://dx.doi.org/10.1364/AO.57.002727</v>
      </c>
      <c r="BG264" s="1" t="s">
        <v>74</v>
      </c>
      <c r="BH264" s="1" t="s">
        <v>74</v>
      </c>
      <c r="BI264" s="1" t="s">
        <v>74</v>
      </c>
      <c r="BJ264" s="1" t="s">
        <v>74</v>
      </c>
      <c r="BK264" s="1" t="s">
        <v>74</v>
      </c>
      <c r="BL264" s="1" t="s">
        <v>74</v>
      </c>
      <c r="BM264" s="1" t="s">
        <v>74</v>
      </c>
      <c r="BN264" s="1">
        <v>2.9714259E7</v>
      </c>
      <c r="BO264" s="1" t="s">
        <v>74</v>
      </c>
      <c r="BP264" s="1" t="s">
        <v>74</v>
      </c>
      <c r="BQ264" s="1" t="s">
        <v>74</v>
      </c>
      <c r="BR264" s="1" t="s">
        <v>74</v>
      </c>
      <c r="BS264" s="1" t="s">
        <v>2873</v>
      </c>
      <c r="BT264" s="1" t="str">
        <f>HYPERLINK("https%3A%2F%2Fwww.webofscience.com%2Fwos%2Fwoscc%2Ffull-record%2FWOS:000428998400067","View Full Record in Web of Science")</f>
        <v>View Full Record in Web of Science</v>
      </c>
    </row>
    <row r="265" ht="12.75" customHeight="1">
      <c r="A265" s="1" t="s">
        <v>72</v>
      </c>
      <c r="B265" s="1" t="s">
        <v>2874</v>
      </c>
      <c r="C265" s="1" t="s">
        <v>74</v>
      </c>
      <c r="D265" s="1" t="s">
        <v>74</v>
      </c>
      <c r="E265" s="1" t="s">
        <v>74</v>
      </c>
      <c r="F265" s="1" t="s">
        <v>2875</v>
      </c>
      <c r="G265" s="1" t="s">
        <v>74</v>
      </c>
      <c r="H265" s="1" t="s">
        <v>74</v>
      </c>
      <c r="I265" s="1" t="s">
        <v>2876</v>
      </c>
      <c r="J265" s="1" t="s">
        <v>1775</v>
      </c>
      <c r="K265" s="1" t="s">
        <v>74</v>
      </c>
      <c r="L265" s="1" t="s">
        <v>74</v>
      </c>
      <c r="M265" s="1" t="s">
        <v>74</v>
      </c>
      <c r="N265" s="1" t="s">
        <v>74</v>
      </c>
      <c r="O265" s="1" t="s">
        <v>74</v>
      </c>
      <c r="P265" s="1" t="s">
        <v>74</v>
      </c>
      <c r="Q265" s="1" t="s">
        <v>74</v>
      </c>
      <c r="R265" s="1" t="s">
        <v>74</v>
      </c>
      <c r="S265" s="1" t="s">
        <v>74</v>
      </c>
      <c r="T265" s="1" t="s">
        <v>74</v>
      </c>
      <c r="U265" s="1" t="s">
        <v>74</v>
      </c>
      <c r="V265" s="1" t="s">
        <v>2877</v>
      </c>
      <c r="W265" s="1" t="s">
        <v>74</v>
      </c>
      <c r="X265" s="1" t="s">
        <v>74</v>
      </c>
      <c r="Y265" s="1" t="s">
        <v>74</v>
      </c>
      <c r="Z265" s="1" t="s">
        <v>74</v>
      </c>
      <c r="AA265" s="1" t="s">
        <v>2878</v>
      </c>
      <c r="AB265" s="1" t="s">
        <v>2879</v>
      </c>
      <c r="AC265" s="1" t="s">
        <v>74</v>
      </c>
      <c r="AD265" s="1" t="s">
        <v>74</v>
      </c>
      <c r="AE265" s="1" t="s">
        <v>74</v>
      </c>
      <c r="AF265" s="1" t="s">
        <v>74</v>
      </c>
      <c r="AG265" s="1" t="s">
        <v>74</v>
      </c>
      <c r="AH265" s="1" t="s">
        <v>74</v>
      </c>
      <c r="AI265" s="1" t="s">
        <v>74</v>
      </c>
      <c r="AJ265" s="1" t="s">
        <v>74</v>
      </c>
      <c r="AK265" s="1" t="s">
        <v>74</v>
      </c>
      <c r="AL265" s="1" t="s">
        <v>74</v>
      </c>
      <c r="AM265" s="1" t="s">
        <v>74</v>
      </c>
      <c r="AN265" s="1" t="s">
        <v>74</v>
      </c>
      <c r="AO265" s="1" t="s">
        <v>1779</v>
      </c>
      <c r="AP265" s="1" t="s">
        <v>74</v>
      </c>
      <c r="AQ265" s="1" t="s">
        <v>74</v>
      </c>
      <c r="AR265" s="1" t="s">
        <v>74</v>
      </c>
      <c r="AS265" s="1" t="s">
        <v>74</v>
      </c>
      <c r="AT265" s="1" t="s">
        <v>2880</v>
      </c>
      <c r="AU265" s="1">
        <v>2017.0</v>
      </c>
      <c r="AV265" s="1">
        <v>8.0</v>
      </c>
      <c r="AW265" s="1" t="s">
        <v>74</v>
      </c>
      <c r="AX265" s="1" t="s">
        <v>74</v>
      </c>
      <c r="AY265" s="1" t="s">
        <v>74</v>
      </c>
      <c r="AZ265" s="1" t="s">
        <v>74</v>
      </c>
      <c r="BA265" s="1" t="s">
        <v>74</v>
      </c>
      <c r="BB265" s="1" t="s">
        <v>74</v>
      </c>
      <c r="BC265" s="1" t="s">
        <v>74</v>
      </c>
      <c r="BD265" s="1">
        <v>813.0</v>
      </c>
      <c r="BE265" s="1" t="s">
        <v>2881</v>
      </c>
      <c r="BF265" s="2" t="str">
        <f>HYPERLINK("http://dx.doi.org/10.3389/fmicb.2017.00813","http://dx.doi.org/10.3389/fmicb.2017.00813")</f>
        <v>http://dx.doi.org/10.3389/fmicb.2017.00813</v>
      </c>
      <c r="BG265" s="1" t="s">
        <v>74</v>
      </c>
      <c r="BH265" s="1" t="s">
        <v>74</v>
      </c>
      <c r="BI265" s="1" t="s">
        <v>74</v>
      </c>
      <c r="BJ265" s="1" t="s">
        <v>74</v>
      </c>
      <c r="BK265" s="1" t="s">
        <v>74</v>
      </c>
      <c r="BL265" s="1" t="s">
        <v>74</v>
      </c>
      <c r="BM265" s="1" t="s">
        <v>74</v>
      </c>
      <c r="BN265" s="1">
        <v>2.8529508E7</v>
      </c>
      <c r="BO265" s="1" t="s">
        <v>74</v>
      </c>
      <c r="BP265" s="1" t="s">
        <v>74</v>
      </c>
      <c r="BQ265" s="1" t="s">
        <v>74</v>
      </c>
      <c r="BR265" s="1" t="s">
        <v>74</v>
      </c>
      <c r="BS265" s="1" t="s">
        <v>2882</v>
      </c>
      <c r="BT265" s="1" t="str">
        <f>HYPERLINK("https%3A%2F%2Fwww.webofscience.com%2Fwos%2Fwoscc%2Ffull-record%2FWOS:000400641200002","View Full Record in Web of Science")</f>
        <v>View Full Record in Web of Science</v>
      </c>
    </row>
    <row r="266" ht="12.75" customHeight="1">
      <c r="A266" s="1" t="s">
        <v>72</v>
      </c>
      <c r="B266" s="1" t="s">
        <v>2883</v>
      </c>
      <c r="C266" s="1" t="s">
        <v>74</v>
      </c>
      <c r="D266" s="1" t="s">
        <v>74</v>
      </c>
      <c r="E266" s="1" t="s">
        <v>74</v>
      </c>
      <c r="F266" s="1" t="s">
        <v>2884</v>
      </c>
      <c r="G266" s="1" t="s">
        <v>74</v>
      </c>
      <c r="H266" s="1" t="s">
        <v>74</v>
      </c>
      <c r="I266" s="1" t="s">
        <v>2885</v>
      </c>
      <c r="J266" s="1" t="s">
        <v>2886</v>
      </c>
      <c r="K266" s="1" t="s">
        <v>74</v>
      </c>
      <c r="L266" s="1" t="s">
        <v>74</v>
      </c>
      <c r="M266" s="1" t="s">
        <v>74</v>
      </c>
      <c r="N266" s="1" t="s">
        <v>74</v>
      </c>
      <c r="O266" s="1" t="s">
        <v>74</v>
      </c>
      <c r="P266" s="1" t="s">
        <v>74</v>
      </c>
      <c r="Q266" s="1" t="s">
        <v>74</v>
      </c>
      <c r="R266" s="1" t="s">
        <v>74</v>
      </c>
      <c r="S266" s="1" t="s">
        <v>74</v>
      </c>
      <c r="T266" s="1" t="s">
        <v>74</v>
      </c>
      <c r="U266" s="1" t="s">
        <v>74</v>
      </c>
      <c r="V266" s="1" t="s">
        <v>2887</v>
      </c>
      <c r="W266" s="1" t="s">
        <v>74</v>
      </c>
      <c r="X266" s="1" t="s">
        <v>74</v>
      </c>
      <c r="Y266" s="1" t="s">
        <v>74</v>
      </c>
      <c r="Z266" s="1" t="s">
        <v>74</v>
      </c>
      <c r="AA266" s="1" t="s">
        <v>2888</v>
      </c>
      <c r="AB266" s="1" t="s">
        <v>2889</v>
      </c>
      <c r="AC266" s="1" t="s">
        <v>74</v>
      </c>
      <c r="AD266" s="1" t="s">
        <v>74</v>
      </c>
      <c r="AE266" s="1" t="s">
        <v>74</v>
      </c>
      <c r="AF266" s="1" t="s">
        <v>74</v>
      </c>
      <c r="AG266" s="1" t="s">
        <v>74</v>
      </c>
      <c r="AH266" s="1" t="s">
        <v>74</v>
      </c>
      <c r="AI266" s="1" t="s">
        <v>74</v>
      </c>
      <c r="AJ266" s="1" t="s">
        <v>74</v>
      </c>
      <c r="AK266" s="1" t="s">
        <v>74</v>
      </c>
      <c r="AL266" s="1" t="s">
        <v>74</v>
      </c>
      <c r="AM266" s="1" t="s">
        <v>74</v>
      </c>
      <c r="AN266" s="1" t="s">
        <v>74</v>
      </c>
      <c r="AO266" s="1" t="s">
        <v>2890</v>
      </c>
      <c r="AP266" s="1" t="s">
        <v>74</v>
      </c>
      <c r="AQ266" s="1" t="s">
        <v>74</v>
      </c>
      <c r="AR266" s="1" t="s">
        <v>74</v>
      </c>
      <c r="AS266" s="1" t="s">
        <v>74</v>
      </c>
      <c r="AT266" s="1" t="s">
        <v>2891</v>
      </c>
      <c r="AU266" s="1">
        <v>2016.0</v>
      </c>
      <c r="AV266" s="1">
        <v>7.0</v>
      </c>
      <c r="AW266" s="1" t="s">
        <v>74</v>
      </c>
      <c r="AX266" s="1" t="s">
        <v>74</v>
      </c>
      <c r="AY266" s="1" t="s">
        <v>74</v>
      </c>
      <c r="AZ266" s="1" t="s">
        <v>74</v>
      </c>
      <c r="BA266" s="1" t="s">
        <v>74</v>
      </c>
      <c r="BB266" s="1" t="s">
        <v>74</v>
      </c>
      <c r="BC266" s="1" t="s">
        <v>74</v>
      </c>
      <c r="BD266" s="1">
        <v>788.0</v>
      </c>
      <c r="BE266" s="1" t="s">
        <v>2892</v>
      </c>
      <c r="BF266" s="2" t="str">
        <f>HYPERLINK("http://dx.doi.org/10.3389/fpls.2016.00788","http://dx.doi.org/10.3389/fpls.2016.00788")</f>
        <v>http://dx.doi.org/10.3389/fpls.2016.00788</v>
      </c>
      <c r="BG266" s="1" t="s">
        <v>74</v>
      </c>
      <c r="BH266" s="1" t="s">
        <v>74</v>
      </c>
      <c r="BI266" s="1" t="s">
        <v>74</v>
      </c>
      <c r="BJ266" s="1" t="s">
        <v>74</v>
      </c>
      <c r="BK266" s="1" t="s">
        <v>74</v>
      </c>
      <c r="BL266" s="1" t="s">
        <v>74</v>
      </c>
      <c r="BM266" s="1" t="s">
        <v>74</v>
      </c>
      <c r="BN266" s="1">
        <v>2.7379111E7</v>
      </c>
      <c r="BO266" s="1" t="s">
        <v>74</v>
      </c>
      <c r="BP266" s="1" t="s">
        <v>74</v>
      </c>
      <c r="BQ266" s="1" t="s">
        <v>74</v>
      </c>
      <c r="BR266" s="1" t="s">
        <v>74</v>
      </c>
      <c r="BS266" s="1" t="s">
        <v>2893</v>
      </c>
      <c r="BT266" s="1" t="str">
        <f>HYPERLINK("https%3A%2F%2Fwww.webofscience.com%2Fwos%2Fwoscc%2Ffull-record%2FWOS:000377651700001","View Full Record in Web of Science")</f>
        <v>View Full Record in Web of Science</v>
      </c>
    </row>
    <row r="267" ht="12.75" customHeight="1">
      <c r="A267" s="1" t="s">
        <v>72</v>
      </c>
      <c r="B267" s="1" t="s">
        <v>2894</v>
      </c>
      <c r="C267" s="1" t="s">
        <v>74</v>
      </c>
      <c r="D267" s="1" t="s">
        <v>74</v>
      </c>
      <c r="E267" s="1" t="s">
        <v>74</v>
      </c>
      <c r="F267" s="1" t="s">
        <v>2895</v>
      </c>
      <c r="G267" s="1" t="s">
        <v>74</v>
      </c>
      <c r="H267" s="1" t="s">
        <v>74</v>
      </c>
      <c r="I267" s="1" t="s">
        <v>2896</v>
      </c>
      <c r="J267" s="1" t="s">
        <v>384</v>
      </c>
      <c r="K267" s="1" t="s">
        <v>74</v>
      </c>
      <c r="L267" s="1" t="s">
        <v>74</v>
      </c>
      <c r="M267" s="1" t="s">
        <v>74</v>
      </c>
      <c r="N267" s="1" t="s">
        <v>74</v>
      </c>
      <c r="O267" s="1" t="s">
        <v>74</v>
      </c>
      <c r="P267" s="1" t="s">
        <v>74</v>
      </c>
      <c r="Q267" s="1" t="s">
        <v>74</v>
      </c>
      <c r="R267" s="1" t="s">
        <v>74</v>
      </c>
      <c r="S267" s="1" t="s">
        <v>74</v>
      </c>
      <c r="T267" s="1" t="s">
        <v>74</v>
      </c>
      <c r="U267" s="1" t="s">
        <v>74</v>
      </c>
      <c r="V267" s="1" t="s">
        <v>2897</v>
      </c>
      <c r="W267" s="1" t="s">
        <v>74</v>
      </c>
      <c r="X267" s="1" t="s">
        <v>74</v>
      </c>
      <c r="Y267" s="1" t="s">
        <v>74</v>
      </c>
      <c r="Z267" s="1" t="s">
        <v>74</v>
      </c>
      <c r="AA267" s="1" t="s">
        <v>2538</v>
      </c>
      <c r="AB267" s="1" t="s">
        <v>2539</v>
      </c>
      <c r="AC267" s="1" t="s">
        <v>74</v>
      </c>
      <c r="AD267" s="1" t="s">
        <v>74</v>
      </c>
      <c r="AE267" s="1" t="s">
        <v>74</v>
      </c>
      <c r="AF267" s="1" t="s">
        <v>74</v>
      </c>
      <c r="AG267" s="1" t="s">
        <v>74</v>
      </c>
      <c r="AH267" s="1" t="s">
        <v>74</v>
      </c>
      <c r="AI267" s="1" t="s">
        <v>74</v>
      </c>
      <c r="AJ267" s="1" t="s">
        <v>74</v>
      </c>
      <c r="AK267" s="1" t="s">
        <v>74</v>
      </c>
      <c r="AL267" s="1" t="s">
        <v>74</v>
      </c>
      <c r="AM267" s="1" t="s">
        <v>74</v>
      </c>
      <c r="AN267" s="1" t="s">
        <v>74</v>
      </c>
      <c r="AO267" s="1" t="s">
        <v>388</v>
      </c>
      <c r="AP267" s="1" t="s">
        <v>74</v>
      </c>
      <c r="AQ267" s="1" t="s">
        <v>74</v>
      </c>
      <c r="AR267" s="1" t="s">
        <v>74</v>
      </c>
      <c r="AS267" s="1" t="s">
        <v>74</v>
      </c>
      <c r="AT267" s="1" t="s">
        <v>2898</v>
      </c>
      <c r="AU267" s="1">
        <v>2013.0</v>
      </c>
      <c r="AV267" s="1">
        <v>48.0</v>
      </c>
      <c r="AW267" s="1">
        <v>10.0</v>
      </c>
      <c r="AX267" s="1" t="s">
        <v>74</v>
      </c>
      <c r="AY267" s="1" t="s">
        <v>74</v>
      </c>
      <c r="AZ267" s="1" t="s">
        <v>74</v>
      </c>
      <c r="BA267" s="1" t="s">
        <v>74</v>
      </c>
      <c r="BB267" s="1">
        <v>1301.0</v>
      </c>
      <c r="BC267" s="1">
        <v>1310.0</v>
      </c>
      <c r="BD267" s="1" t="s">
        <v>74</v>
      </c>
      <c r="BE267" s="1" t="s">
        <v>2899</v>
      </c>
      <c r="BF267" s="2" t="str">
        <f>HYPERLINK("http://dx.doi.org/10.1080/10934529.2013.777268","http://dx.doi.org/10.1080/10934529.2013.777268")</f>
        <v>http://dx.doi.org/10.1080/10934529.2013.777268</v>
      </c>
      <c r="BG267" s="1" t="s">
        <v>74</v>
      </c>
      <c r="BH267" s="1" t="s">
        <v>74</v>
      </c>
      <c r="BI267" s="1" t="s">
        <v>74</v>
      </c>
      <c r="BJ267" s="1" t="s">
        <v>74</v>
      </c>
      <c r="BK267" s="1" t="s">
        <v>74</v>
      </c>
      <c r="BL267" s="1" t="s">
        <v>74</v>
      </c>
      <c r="BM267" s="1" t="s">
        <v>74</v>
      </c>
      <c r="BN267" s="1">
        <v>2.3647121E7</v>
      </c>
      <c r="BO267" s="1" t="s">
        <v>74</v>
      </c>
      <c r="BP267" s="1" t="s">
        <v>74</v>
      </c>
      <c r="BQ267" s="1" t="s">
        <v>74</v>
      </c>
      <c r="BR267" s="1" t="s">
        <v>74</v>
      </c>
      <c r="BS267" s="1" t="s">
        <v>2900</v>
      </c>
      <c r="BT267" s="1" t="str">
        <f>HYPERLINK("https%3A%2F%2Fwww.webofscience.com%2Fwos%2Fwoscc%2Ffull-record%2FWOS:000318406500015","View Full Record in Web of Science")</f>
        <v>View Full Record in Web of Science</v>
      </c>
    </row>
    <row r="268" ht="12.75" customHeight="1">
      <c r="A268" s="1" t="s">
        <v>72</v>
      </c>
      <c r="B268" s="1" t="s">
        <v>2901</v>
      </c>
      <c r="C268" s="1" t="s">
        <v>74</v>
      </c>
      <c r="D268" s="1" t="s">
        <v>74</v>
      </c>
      <c r="E268" s="1" t="s">
        <v>74</v>
      </c>
      <c r="F268" s="1" t="s">
        <v>2902</v>
      </c>
      <c r="G268" s="1" t="s">
        <v>74</v>
      </c>
      <c r="H268" s="1" t="s">
        <v>74</v>
      </c>
      <c r="I268" s="1" t="s">
        <v>2903</v>
      </c>
      <c r="J268" s="1" t="s">
        <v>2904</v>
      </c>
      <c r="K268" s="1" t="s">
        <v>74</v>
      </c>
      <c r="L268" s="1" t="s">
        <v>74</v>
      </c>
      <c r="M268" s="1" t="s">
        <v>74</v>
      </c>
      <c r="N268" s="1" t="s">
        <v>74</v>
      </c>
      <c r="O268" s="1" t="s">
        <v>74</v>
      </c>
      <c r="P268" s="1" t="s">
        <v>74</v>
      </c>
      <c r="Q268" s="1" t="s">
        <v>74</v>
      </c>
      <c r="R268" s="1" t="s">
        <v>74</v>
      </c>
      <c r="S268" s="1" t="s">
        <v>74</v>
      </c>
      <c r="T268" s="1" t="s">
        <v>74</v>
      </c>
      <c r="U268" s="1" t="s">
        <v>74</v>
      </c>
      <c r="V268" s="1" t="s">
        <v>2905</v>
      </c>
      <c r="W268" s="1" t="s">
        <v>74</v>
      </c>
      <c r="X268" s="1" t="s">
        <v>74</v>
      </c>
      <c r="Y268" s="1" t="s">
        <v>74</v>
      </c>
      <c r="Z268" s="1" t="s">
        <v>74</v>
      </c>
      <c r="AA268" s="1" t="s">
        <v>2906</v>
      </c>
      <c r="AB268" s="1" t="s">
        <v>2907</v>
      </c>
      <c r="AC268" s="1" t="s">
        <v>74</v>
      </c>
      <c r="AD268" s="1" t="s">
        <v>74</v>
      </c>
      <c r="AE268" s="1" t="s">
        <v>74</v>
      </c>
      <c r="AF268" s="1" t="s">
        <v>74</v>
      </c>
      <c r="AG268" s="1" t="s">
        <v>74</v>
      </c>
      <c r="AH268" s="1" t="s">
        <v>74</v>
      </c>
      <c r="AI268" s="1" t="s">
        <v>74</v>
      </c>
      <c r="AJ268" s="1" t="s">
        <v>74</v>
      </c>
      <c r="AK268" s="1" t="s">
        <v>74</v>
      </c>
      <c r="AL268" s="1" t="s">
        <v>74</v>
      </c>
      <c r="AM268" s="1" t="s">
        <v>74</v>
      </c>
      <c r="AN268" s="1" t="s">
        <v>74</v>
      </c>
      <c r="AO268" s="1" t="s">
        <v>2908</v>
      </c>
      <c r="AP268" s="1" t="s">
        <v>2909</v>
      </c>
      <c r="AQ268" s="1" t="s">
        <v>74</v>
      </c>
      <c r="AR268" s="1" t="s">
        <v>74</v>
      </c>
      <c r="AS268" s="1" t="s">
        <v>74</v>
      </c>
      <c r="AT268" s="1" t="s">
        <v>348</v>
      </c>
      <c r="AU268" s="1">
        <v>2012.0</v>
      </c>
      <c r="AV268" s="1">
        <v>48.0</v>
      </c>
      <c r="AW268" s="1">
        <v>5.0</v>
      </c>
      <c r="AX268" s="1" t="s">
        <v>74</v>
      </c>
      <c r="AY268" s="1" t="s">
        <v>74</v>
      </c>
      <c r="AZ268" s="1" t="s">
        <v>74</v>
      </c>
      <c r="BA268" s="1" t="s">
        <v>74</v>
      </c>
      <c r="BB268" s="1">
        <v>819.0</v>
      </c>
      <c r="BC268" s="1">
        <v>827.0</v>
      </c>
      <c r="BD268" s="1" t="s">
        <v>74</v>
      </c>
      <c r="BE268" s="1" t="s">
        <v>2910</v>
      </c>
      <c r="BF268" s="2" t="str">
        <f>HYPERLINK("http://dx.doi.org/10.1016/j.ipm.2011.01.008","http://dx.doi.org/10.1016/j.ipm.2011.01.008")</f>
        <v>http://dx.doi.org/10.1016/j.ipm.2011.01.008</v>
      </c>
      <c r="BG268" s="1" t="s">
        <v>74</v>
      </c>
      <c r="BH268" s="1" t="s">
        <v>74</v>
      </c>
      <c r="BI268" s="1" t="s">
        <v>74</v>
      </c>
      <c r="BJ268" s="1" t="s">
        <v>74</v>
      </c>
      <c r="BK268" s="1" t="s">
        <v>74</v>
      </c>
      <c r="BL268" s="1" t="s">
        <v>74</v>
      </c>
      <c r="BM268" s="1" t="s">
        <v>74</v>
      </c>
      <c r="BN268" s="1" t="s">
        <v>74</v>
      </c>
      <c r="BO268" s="1" t="s">
        <v>74</v>
      </c>
      <c r="BP268" s="1" t="s">
        <v>74</v>
      </c>
      <c r="BQ268" s="1" t="s">
        <v>74</v>
      </c>
      <c r="BR268" s="1" t="s">
        <v>74</v>
      </c>
      <c r="BS268" s="1" t="s">
        <v>2911</v>
      </c>
      <c r="BT268" s="1" t="str">
        <f>HYPERLINK("https%3A%2F%2Fwww.webofscience.com%2Fwos%2Fwoscc%2Ffull-record%2FWOS:000307682100002","View Full Record in Web of Science")</f>
        <v>View Full Record in Web of Science</v>
      </c>
    </row>
    <row r="269" ht="12.75" customHeight="1">
      <c r="A269" s="1" t="s">
        <v>72</v>
      </c>
      <c r="B269" s="1" t="s">
        <v>2912</v>
      </c>
      <c r="C269" s="1" t="s">
        <v>74</v>
      </c>
      <c r="D269" s="1" t="s">
        <v>74</v>
      </c>
      <c r="E269" s="1" t="s">
        <v>74</v>
      </c>
      <c r="F269" s="1" t="s">
        <v>2913</v>
      </c>
      <c r="G269" s="1" t="s">
        <v>74</v>
      </c>
      <c r="H269" s="1" t="s">
        <v>74</v>
      </c>
      <c r="I269" s="1" t="s">
        <v>2914</v>
      </c>
      <c r="J269" s="1" t="s">
        <v>2915</v>
      </c>
      <c r="K269" s="1" t="s">
        <v>74</v>
      </c>
      <c r="L269" s="1" t="s">
        <v>74</v>
      </c>
      <c r="M269" s="1" t="s">
        <v>74</v>
      </c>
      <c r="N269" s="1" t="s">
        <v>74</v>
      </c>
      <c r="O269" s="1" t="s">
        <v>74</v>
      </c>
      <c r="P269" s="1" t="s">
        <v>74</v>
      </c>
      <c r="Q269" s="1" t="s">
        <v>74</v>
      </c>
      <c r="R269" s="1" t="s">
        <v>74</v>
      </c>
      <c r="S269" s="1" t="s">
        <v>74</v>
      </c>
      <c r="T269" s="1" t="s">
        <v>74</v>
      </c>
      <c r="U269" s="1" t="s">
        <v>74</v>
      </c>
      <c r="V269" s="1" t="s">
        <v>74</v>
      </c>
      <c r="W269" s="1" t="s">
        <v>74</v>
      </c>
      <c r="X269" s="1" t="s">
        <v>74</v>
      </c>
      <c r="Y269" s="1" t="s">
        <v>74</v>
      </c>
      <c r="Z269" s="1" t="s">
        <v>74</v>
      </c>
      <c r="AA269" s="1" t="s">
        <v>2916</v>
      </c>
      <c r="AB269" s="1" t="s">
        <v>74</v>
      </c>
      <c r="AC269" s="1" t="s">
        <v>74</v>
      </c>
      <c r="AD269" s="1" t="s">
        <v>74</v>
      </c>
      <c r="AE269" s="1" t="s">
        <v>74</v>
      </c>
      <c r="AF269" s="1" t="s">
        <v>74</v>
      </c>
      <c r="AG269" s="1" t="s">
        <v>74</v>
      </c>
      <c r="AH269" s="1" t="s">
        <v>74</v>
      </c>
      <c r="AI269" s="1" t="s">
        <v>74</v>
      </c>
      <c r="AJ269" s="1" t="s">
        <v>74</v>
      </c>
      <c r="AK269" s="1" t="s">
        <v>74</v>
      </c>
      <c r="AL269" s="1" t="s">
        <v>74</v>
      </c>
      <c r="AM269" s="1" t="s">
        <v>74</v>
      </c>
      <c r="AN269" s="1" t="s">
        <v>74</v>
      </c>
      <c r="AO269" s="1" t="s">
        <v>2917</v>
      </c>
      <c r="AP269" s="1" t="s">
        <v>74</v>
      </c>
      <c r="AQ269" s="1" t="s">
        <v>74</v>
      </c>
      <c r="AR269" s="1" t="s">
        <v>74</v>
      </c>
      <c r="AS269" s="1" t="s">
        <v>74</v>
      </c>
      <c r="AT269" s="1" t="s">
        <v>74</v>
      </c>
      <c r="AU269" s="1">
        <v>2010.0</v>
      </c>
      <c r="AV269" s="1">
        <v>66.0</v>
      </c>
      <c r="AW269" s="1" t="s">
        <v>74</v>
      </c>
      <c r="AX269" s="1" t="s">
        <v>74</v>
      </c>
      <c r="AY269" s="1" t="s">
        <v>1313</v>
      </c>
      <c r="AZ269" s="1" t="s">
        <v>74</v>
      </c>
      <c r="BA269" s="1" t="s">
        <v>2918</v>
      </c>
      <c r="BB269" s="1" t="s">
        <v>2919</v>
      </c>
      <c r="BC269" s="1" t="s">
        <v>2919</v>
      </c>
      <c r="BD269" s="1" t="s">
        <v>74</v>
      </c>
      <c r="BE269" s="1" t="s">
        <v>2920</v>
      </c>
      <c r="BF269" s="2" t="str">
        <f>HYPERLINK("http://dx.doi.org/10.1107/S0108767310096558","http://dx.doi.org/10.1107/S0108767310096558")</f>
        <v>http://dx.doi.org/10.1107/S0108767310096558</v>
      </c>
      <c r="BG269" s="1" t="s">
        <v>74</v>
      </c>
      <c r="BH269" s="1" t="s">
        <v>74</v>
      </c>
      <c r="BI269" s="1" t="s">
        <v>74</v>
      </c>
      <c r="BJ269" s="1" t="s">
        <v>74</v>
      </c>
      <c r="BK269" s="1" t="s">
        <v>74</v>
      </c>
      <c r="BL269" s="1" t="s">
        <v>74</v>
      </c>
      <c r="BM269" s="1" t="s">
        <v>74</v>
      </c>
      <c r="BN269" s="1" t="s">
        <v>74</v>
      </c>
      <c r="BO269" s="1" t="s">
        <v>74</v>
      </c>
      <c r="BP269" s="1" t="s">
        <v>74</v>
      </c>
      <c r="BQ269" s="1" t="s">
        <v>74</v>
      </c>
      <c r="BR269" s="1" t="s">
        <v>74</v>
      </c>
      <c r="BS269" s="1" t="s">
        <v>2921</v>
      </c>
      <c r="BT269" s="1" t="str">
        <f>HYPERLINK("https%3A%2F%2Fwww.webofscience.com%2Fwos%2Fwoscc%2Ffull-record%2FWOS:000483128900344","View Full Record in Web of Science")</f>
        <v>View Full Record in Web of Science</v>
      </c>
    </row>
    <row r="270" ht="12.75" customHeight="1">
      <c r="A270" s="1" t="s">
        <v>72</v>
      </c>
      <c r="B270" s="1" t="s">
        <v>2922</v>
      </c>
      <c r="C270" s="1" t="s">
        <v>74</v>
      </c>
      <c r="D270" s="1" t="s">
        <v>74</v>
      </c>
      <c r="E270" s="1" t="s">
        <v>74</v>
      </c>
      <c r="F270" s="1" t="s">
        <v>2923</v>
      </c>
      <c r="G270" s="1" t="s">
        <v>74</v>
      </c>
      <c r="H270" s="1" t="s">
        <v>74</v>
      </c>
      <c r="I270" s="1" t="s">
        <v>2924</v>
      </c>
      <c r="J270" s="1" t="s">
        <v>2925</v>
      </c>
      <c r="K270" s="1" t="s">
        <v>74</v>
      </c>
      <c r="L270" s="1" t="s">
        <v>74</v>
      </c>
      <c r="M270" s="1" t="s">
        <v>74</v>
      </c>
      <c r="N270" s="1" t="s">
        <v>74</v>
      </c>
      <c r="O270" s="1" t="s">
        <v>74</v>
      </c>
      <c r="P270" s="1" t="s">
        <v>74</v>
      </c>
      <c r="Q270" s="1" t="s">
        <v>74</v>
      </c>
      <c r="R270" s="1" t="s">
        <v>74</v>
      </c>
      <c r="S270" s="1" t="s">
        <v>74</v>
      </c>
      <c r="T270" s="1" t="s">
        <v>74</v>
      </c>
      <c r="U270" s="1" t="s">
        <v>74</v>
      </c>
      <c r="V270" s="1" t="s">
        <v>2926</v>
      </c>
      <c r="W270" s="1" t="s">
        <v>74</v>
      </c>
      <c r="X270" s="1" t="s">
        <v>74</v>
      </c>
      <c r="Y270" s="1" t="s">
        <v>74</v>
      </c>
      <c r="Z270" s="1" t="s">
        <v>74</v>
      </c>
      <c r="AA270" s="1" t="s">
        <v>440</v>
      </c>
      <c r="AB270" s="1" t="s">
        <v>74</v>
      </c>
      <c r="AC270" s="1" t="s">
        <v>74</v>
      </c>
      <c r="AD270" s="1" t="s">
        <v>74</v>
      </c>
      <c r="AE270" s="1" t="s">
        <v>74</v>
      </c>
      <c r="AF270" s="1" t="s">
        <v>74</v>
      </c>
      <c r="AG270" s="1" t="s">
        <v>74</v>
      </c>
      <c r="AH270" s="1" t="s">
        <v>74</v>
      </c>
      <c r="AI270" s="1" t="s">
        <v>74</v>
      </c>
      <c r="AJ270" s="1" t="s">
        <v>74</v>
      </c>
      <c r="AK270" s="1" t="s">
        <v>74</v>
      </c>
      <c r="AL270" s="1" t="s">
        <v>74</v>
      </c>
      <c r="AM270" s="1" t="s">
        <v>74</v>
      </c>
      <c r="AN270" s="1" t="s">
        <v>74</v>
      </c>
      <c r="AO270" s="1" t="s">
        <v>2927</v>
      </c>
      <c r="AP270" s="1" t="s">
        <v>2928</v>
      </c>
      <c r="AQ270" s="1" t="s">
        <v>74</v>
      </c>
      <c r="AR270" s="1" t="s">
        <v>74</v>
      </c>
      <c r="AS270" s="1" t="s">
        <v>74</v>
      </c>
      <c r="AT270" s="1" t="s">
        <v>74</v>
      </c>
      <c r="AU270" s="1">
        <v>2009.0</v>
      </c>
      <c r="AV270" s="1">
        <v>30.0</v>
      </c>
      <c r="AW270" s="1">
        <v>12.0</v>
      </c>
      <c r="AX270" s="1" t="s">
        <v>74</v>
      </c>
      <c r="AY270" s="1" t="s">
        <v>74</v>
      </c>
      <c r="AZ270" s="1" t="s">
        <v>74</v>
      </c>
      <c r="BA270" s="1" t="s">
        <v>74</v>
      </c>
      <c r="BB270" s="1">
        <v>1327.0</v>
      </c>
      <c r="BC270" s="1">
        <v>1335.0</v>
      </c>
      <c r="BD270" s="1" t="s">
        <v>2929</v>
      </c>
      <c r="BE270" s="1" t="s">
        <v>2930</v>
      </c>
      <c r="BF270" s="2" t="str">
        <f>HYPERLINK("http://dx.doi.org/10.1080/09593330902998082","http://dx.doi.org/10.1080/09593330902998082")</f>
        <v>http://dx.doi.org/10.1080/09593330902998082</v>
      </c>
      <c r="BG270" s="1" t="s">
        <v>74</v>
      </c>
      <c r="BH270" s="1" t="s">
        <v>74</v>
      </c>
      <c r="BI270" s="1" t="s">
        <v>74</v>
      </c>
      <c r="BJ270" s="1" t="s">
        <v>74</v>
      </c>
      <c r="BK270" s="1" t="s">
        <v>74</v>
      </c>
      <c r="BL270" s="1" t="s">
        <v>74</v>
      </c>
      <c r="BM270" s="1" t="s">
        <v>74</v>
      </c>
      <c r="BN270" s="1">
        <v>1.9950475E7</v>
      </c>
      <c r="BO270" s="1" t="s">
        <v>74</v>
      </c>
      <c r="BP270" s="1" t="s">
        <v>74</v>
      </c>
      <c r="BQ270" s="1" t="s">
        <v>74</v>
      </c>
      <c r="BR270" s="1" t="s">
        <v>74</v>
      </c>
      <c r="BS270" s="1" t="s">
        <v>2931</v>
      </c>
      <c r="BT270" s="1" t="str">
        <f>HYPERLINK("https%3A%2F%2Fwww.webofscience.com%2Fwos%2Fwoscc%2Ffull-record%2FWOS:000271510300012","View Full Record in Web of Science")</f>
        <v>View Full Record in Web of Science</v>
      </c>
    </row>
    <row r="271" ht="12.75" customHeight="1">
      <c r="A271" s="1" t="s">
        <v>72</v>
      </c>
      <c r="B271" s="1" t="s">
        <v>2932</v>
      </c>
      <c r="C271" s="1" t="s">
        <v>74</v>
      </c>
      <c r="D271" s="1" t="s">
        <v>74</v>
      </c>
      <c r="E271" s="1" t="s">
        <v>74</v>
      </c>
      <c r="F271" s="1" t="s">
        <v>2932</v>
      </c>
      <c r="G271" s="1" t="s">
        <v>74</v>
      </c>
      <c r="H271" s="1" t="s">
        <v>74</v>
      </c>
      <c r="I271" s="1" t="s">
        <v>2933</v>
      </c>
      <c r="J271" s="1" t="s">
        <v>2824</v>
      </c>
      <c r="K271" s="1" t="s">
        <v>74</v>
      </c>
      <c r="L271" s="1" t="s">
        <v>74</v>
      </c>
      <c r="M271" s="1" t="s">
        <v>74</v>
      </c>
      <c r="N271" s="1" t="s">
        <v>74</v>
      </c>
      <c r="O271" s="1" t="s">
        <v>74</v>
      </c>
      <c r="P271" s="1" t="s">
        <v>74</v>
      </c>
      <c r="Q271" s="1" t="s">
        <v>74</v>
      </c>
      <c r="R271" s="1" t="s">
        <v>74</v>
      </c>
      <c r="S271" s="1" t="s">
        <v>74</v>
      </c>
      <c r="T271" s="1" t="s">
        <v>74</v>
      </c>
      <c r="U271" s="1" t="s">
        <v>74</v>
      </c>
      <c r="V271" s="1" t="s">
        <v>2934</v>
      </c>
      <c r="W271" s="1" t="s">
        <v>74</v>
      </c>
      <c r="X271" s="1" t="s">
        <v>74</v>
      </c>
      <c r="Y271" s="1" t="s">
        <v>74</v>
      </c>
      <c r="Z271" s="1" t="s">
        <v>74</v>
      </c>
      <c r="AA271" s="1" t="s">
        <v>2935</v>
      </c>
      <c r="AB271" s="1" t="s">
        <v>2936</v>
      </c>
      <c r="AC271" s="1" t="s">
        <v>74</v>
      </c>
      <c r="AD271" s="1" t="s">
        <v>74</v>
      </c>
      <c r="AE271" s="1" t="s">
        <v>74</v>
      </c>
      <c r="AF271" s="1" t="s">
        <v>74</v>
      </c>
      <c r="AG271" s="1" t="s">
        <v>74</v>
      </c>
      <c r="AH271" s="1" t="s">
        <v>74</v>
      </c>
      <c r="AI271" s="1" t="s">
        <v>74</v>
      </c>
      <c r="AJ271" s="1" t="s">
        <v>74</v>
      </c>
      <c r="AK271" s="1" t="s">
        <v>74</v>
      </c>
      <c r="AL271" s="1" t="s">
        <v>74</v>
      </c>
      <c r="AM271" s="1" t="s">
        <v>74</v>
      </c>
      <c r="AN271" s="1" t="s">
        <v>74</v>
      </c>
      <c r="AO271" s="1" t="s">
        <v>2828</v>
      </c>
      <c r="AP271" s="1" t="s">
        <v>74</v>
      </c>
      <c r="AQ271" s="1" t="s">
        <v>74</v>
      </c>
      <c r="AR271" s="1" t="s">
        <v>74</v>
      </c>
      <c r="AS271" s="1" t="s">
        <v>74</v>
      </c>
      <c r="AT271" s="1" t="s">
        <v>74</v>
      </c>
      <c r="AU271" s="1">
        <v>2003.0</v>
      </c>
      <c r="AV271" s="1">
        <v>84.0</v>
      </c>
      <c r="AW271" s="1">
        <v>4.0</v>
      </c>
      <c r="AX271" s="1" t="s">
        <v>74</v>
      </c>
      <c r="AY271" s="1" t="s">
        <v>74</v>
      </c>
      <c r="AZ271" s="1" t="s">
        <v>74</v>
      </c>
      <c r="BA271" s="1" t="s">
        <v>74</v>
      </c>
      <c r="BB271" s="1">
        <v>279.0</v>
      </c>
      <c r="BC271" s="1">
        <v>287.0</v>
      </c>
      <c r="BD271" s="1" t="s">
        <v>74</v>
      </c>
      <c r="BE271" s="1" t="s">
        <v>2937</v>
      </c>
      <c r="BF271" s="2" t="str">
        <f>HYPERLINK("http://dx.doi.org/10.1023/A:1026090008405","http://dx.doi.org/10.1023/A:1026090008405")</f>
        <v>http://dx.doi.org/10.1023/A:1026090008405</v>
      </c>
      <c r="BG271" s="1" t="s">
        <v>74</v>
      </c>
      <c r="BH271" s="1" t="s">
        <v>74</v>
      </c>
      <c r="BI271" s="1" t="s">
        <v>74</v>
      </c>
      <c r="BJ271" s="1" t="s">
        <v>74</v>
      </c>
      <c r="BK271" s="1" t="s">
        <v>74</v>
      </c>
      <c r="BL271" s="1" t="s">
        <v>74</v>
      </c>
      <c r="BM271" s="1" t="s">
        <v>74</v>
      </c>
      <c r="BN271" s="1">
        <v>1.4574105E7</v>
      </c>
      <c r="BO271" s="1" t="s">
        <v>74</v>
      </c>
      <c r="BP271" s="1" t="s">
        <v>74</v>
      </c>
      <c r="BQ271" s="1" t="s">
        <v>74</v>
      </c>
      <c r="BR271" s="1" t="s">
        <v>74</v>
      </c>
      <c r="BS271" s="1" t="s">
        <v>2938</v>
      </c>
      <c r="BT271" s="1" t="str">
        <f>HYPERLINK("https%3A%2F%2Fwww.webofscience.com%2Fwos%2Fwoscc%2Ffull-record%2FWOS:000185682500005","View Full Record in Web of Science")</f>
        <v>View Full Record in Web of Science</v>
      </c>
    </row>
    <row r="272" ht="12.75" customHeight="1">
      <c r="A272" s="1" t="s">
        <v>72</v>
      </c>
      <c r="B272" s="1" t="s">
        <v>2939</v>
      </c>
      <c r="C272" s="1" t="s">
        <v>74</v>
      </c>
      <c r="D272" s="1" t="s">
        <v>74</v>
      </c>
      <c r="E272" s="1" t="s">
        <v>74</v>
      </c>
      <c r="F272" s="1" t="s">
        <v>2939</v>
      </c>
      <c r="G272" s="1" t="s">
        <v>74</v>
      </c>
      <c r="H272" s="1" t="s">
        <v>74</v>
      </c>
      <c r="I272" s="1" t="s">
        <v>2940</v>
      </c>
      <c r="J272" s="1" t="s">
        <v>2941</v>
      </c>
      <c r="K272" s="1" t="s">
        <v>74</v>
      </c>
      <c r="L272" s="1" t="s">
        <v>74</v>
      </c>
      <c r="M272" s="1" t="s">
        <v>74</v>
      </c>
      <c r="N272" s="1" t="s">
        <v>74</v>
      </c>
      <c r="O272" s="1" t="s">
        <v>74</v>
      </c>
      <c r="P272" s="1" t="s">
        <v>74</v>
      </c>
      <c r="Q272" s="1" t="s">
        <v>74</v>
      </c>
      <c r="R272" s="1" t="s">
        <v>74</v>
      </c>
      <c r="S272" s="1" t="s">
        <v>74</v>
      </c>
      <c r="T272" s="1" t="s">
        <v>74</v>
      </c>
      <c r="U272" s="1" t="s">
        <v>74</v>
      </c>
      <c r="V272" s="1" t="s">
        <v>2942</v>
      </c>
      <c r="W272" s="1" t="s">
        <v>74</v>
      </c>
      <c r="X272" s="1" t="s">
        <v>74</v>
      </c>
      <c r="Y272" s="1" t="s">
        <v>74</v>
      </c>
      <c r="Z272" s="1" t="s">
        <v>74</v>
      </c>
      <c r="AA272" s="1" t="s">
        <v>2943</v>
      </c>
      <c r="AB272" s="1" t="s">
        <v>74</v>
      </c>
      <c r="AC272" s="1" t="s">
        <v>74</v>
      </c>
      <c r="AD272" s="1" t="s">
        <v>74</v>
      </c>
      <c r="AE272" s="1" t="s">
        <v>74</v>
      </c>
      <c r="AF272" s="1" t="s">
        <v>74</v>
      </c>
      <c r="AG272" s="1" t="s">
        <v>74</v>
      </c>
      <c r="AH272" s="1" t="s">
        <v>74</v>
      </c>
      <c r="AI272" s="1" t="s">
        <v>74</v>
      </c>
      <c r="AJ272" s="1" t="s">
        <v>74</v>
      </c>
      <c r="AK272" s="1" t="s">
        <v>74</v>
      </c>
      <c r="AL272" s="1" t="s">
        <v>74</v>
      </c>
      <c r="AM272" s="1" t="s">
        <v>74</v>
      </c>
      <c r="AN272" s="1" t="s">
        <v>74</v>
      </c>
      <c r="AO272" s="1" t="s">
        <v>2944</v>
      </c>
      <c r="AP272" s="1" t="s">
        <v>74</v>
      </c>
      <c r="AQ272" s="1" t="s">
        <v>74</v>
      </c>
      <c r="AR272" s="1" t="s">
        <v>74</v>
      </c>
      <c r="AS272" s="1" t="s">
        <v>74</v>
      </c>
      <c r="AT272" s="1" t="s">
        <v>201</v>
      </c>
      <c r="AU272" s="1">
        <v>2002.0</v>
      </c>
      <c r="AV272" s="1">
        <v>76.0</v>
      </c>
      <c r="AW272" s="1">
        <v>4.0</v>
      </c>
      <c r="AX272" s="1" t="s">
        <v>74</v>
      </c>
      <c r="AY272" s="1" t="s">
        <v>74</v>
      </c>
      <c r="AZ272" s="1" t="s">
        <v>74</v>
      </c>
      <c r="BA272" s="1" t="s">
        <v>74</v>
      </c>
      <c r="BB272" s="1">
        <v>385.0</v>
      </c>
      <c r="BC272" s="1">
        <v>390.0</v>
      </c>
      <c r="BD272" s="1" t="s">
        <v>74</v>
      </c>
      <c r="BE272" s="1" t="s">
        <v>74</v>
      </c>
      <c r="BF272" s="1" t="s">
        <v>74</v>
      </c>
      <c r="BG272" s="1" t="s">
        <v>74</v>
      </c>
      <c r="BH272" s="1" t="s">
        <v>74</v>
      </c>
      <c r="BI272" s="1" t="s">
        <v>74</v>
      </c>
      <c r="BJ272" s="1" t="s">
        <v>74</v>
      </c>
      <c r="BK272" s="1" t="s">
        <v>74</v>
      </c>
      <c r="BL272" s="1" t="s">
        <v>74</v>
      </c>
      <c r="BM272" s="1" t="s">
        <v>74</v>
      </c>
      <c r="BN272" s="1">
        <v>1.2405144E7</v>
      </c>
      <c r="BO272" s="1" t="s">
        <v>74</v>
      </c>
      <c r="BP272" s="1" t="s">
        <v>74</v>
      </c>
      <c r="BQ272" s="1" t="s">
        <v>74</v>
      </c>
      <c r="BR272" s="1" t="s">
        <v>74</v>
      </c>
      <c r="BS272" s="1" t="s">
        <v>2945</v>
      </c>
      <c r="BT272" s="1" t="str">
        <f>HYPERLINK("https%3A%2F%2Fwww.webofscience.com%2Fwos%2Fwoscc%2Ffull-record%2FWOS:000178728000003","View Full Record in Web of Science")</f>
        <v>View Full Record in Web of Science</v>
      </c>
    </row>
    <row r="273" ht="12.75" customHeight="1">
      <c r="A273" s="1" t="s">
        <v>72</v>
      </c>
      <c r="B273" s="1" t="s">
        <v>2946</v>
      </c>
      <c r="C273" s="1" t="s">
        <v>74</v>
      </c>
      <c r="D273" s="1" t="s">
        <v>74</v>
      </c>
      <c r="E273" s="1" t="s">
        <v>74</v>
      </c>
      <c r="F273" s="1" t="s">
        <v>2946</v>
      </c>
      <c r="G273" s="1" t="s">
        <v>74</v>
      </c>
      <c r="H273" s="1" t="s">
        <v>74</v>
      </c>
      <c r="I273" s="1" t="s">
        <v>2947</v>
      </c>
      <c r="J273" s="1" t="s">
        <v>2948</v>
      </c>
      <c r="K273" s="1" t="s">
        <v>74</v>
      </c>
      <c r="L273" s="1" t="s">
        <v>74</v>
      </c>
      <c r="M273" s="1" t="s">
        <v>74</v>
      </c>
      <c r="N273" s="1" t="s">
        <v>74</v>
      </c>
      <c r="O273" s="1" t="s">
        <v>74</v>
      </c>
      <c r="P273" s="1" t="s">
        <v>74</v>
      </c>
      <c r="Q273" s="1" t="s">
        <v>74</v>
      </c>
      <c r="R273" s="1" t="s">
        <v>74</v>
      </c>
      <c r="S273" s="1" t="s">
        <v>74</v>
      </c>
      <c r="T273" s="1" t="s">
        <v>74</v>
      </c>
      <c r="U273" s="1" t="s">
        <v>74</v>
      </c>
      <c r="V273" s="1" t="s">
        <v>2949</v>
      </c>
      <c r="W273" s="1" t="s">
        <v>74</v>
      </c>
      <c r="X273" s="1" t="s">
        <v>74</v>
      </c>
      <c r="Y273" s="1" t="s">
        <v>74</v>
      </c>
      <c r="Z273" s="1" t="s">
        <v>74</v>
      </c>
      <c r="AA273" s="1" t="s">
        <v>1673</v>
      </c>
      <c r="AB273" s="1" t="s">
        <v>74</v>
      </c>
      <c r="AC273" s="1" t="s">
        <v>74</v>
      </c>
      <c r="AD273" s="1" t="s">
        <v>74</v>
      </c>
      <c r="AE273" s="1" t="s">
        <v>74</v>
      </c>
      <c r="AF273" s="1" t="s">
        <v>74</v>
      </c>
      <c r="AG273" s="1" t="s">
        <v>74</v>
      </c>
      <c r="AH273" s="1" t="s">
        <v>74</v>
      </c>
      <c r="AI273" s="1" t="s">
        <v>74</v>
      </c>
      <c r="AJ273" s="1" t="s">
        <v>74</v>
      </c>
      <c r="AK273" s="1" t="s">
        <v>74</v>
      </c>
      <c r="AL273" s="1" t="s">
        <v>74</v>
      </c>
      <c r="AM273" s="1" t="s">
        <v>74</v>
      </c>
      <c r="AN273" s="1" t="s">
        <v>74</v>
      </c>
      <c r="AO273" s="1" t="s">
        <v>2950</v>
      </c>
      <c r="AP273" s="1" t="s">
        <v>74</v>
      </c>
      <c r="AQ273" s="1" t="s">
        <v>74</v>
      </c>
      <c r="AR273" s="1" t="s">
        <v>74</v>
      </c>
      <c r="AS273" s="1" t="s">
        <v>74</v>
      </c>
      <c r="AT273" s="1" t="s">
        <v>2951</v>
      </c>
      <c r="AU273" s="1">
        <v>2001.0</v>
      </c>
      <c r="AV273" s="1">
        <v>34.0</v>
      </c>
      <c r="AW273" s="1">
        <v>9.0</v>
      </c>
      <c r="AX273" s="1" t="s">
        <v>74</v>
      </c>
      <c r="AY273" s="1" t="s">
        <v>74</v>
      </c>
      <c r="AZ273" s="1" t="s">
        <v>74</v>
      </c>
      <c r="BA273" s="1" t="s">
        <v>74</v>
      </c>
      <c r="BB273" s="1">
        <v>2845.0</v>
      </c>
      <c r="BC273" s="1">
        <v>2847.0</v>
      </c>
      <c r="BD273" s="1" t="s">
        <v>74</v>
      </c>
      <c r="BE273" s="1" t="s">
        <v>2952</v>
      </c>
      <c r="BF273" s="2" t="str">
        <f>HYPERLINK("http://dx.doi.org/10.1021/ma001649r","http://dx.doi.org/10.1021/ma001649r")</f>
        <v>http://dx.doi.org/10.1021/ma001649r</v>
      </c>
      <c r="BG273" s="1" t="s">
        <v>74</v>
      </c>
      <c r="BH273" s="1" t="s">
        <v>74</v>
      </c>
      <c r="BI273" s="1" t="s">
        <v>74</v>
      </c>
      <c r="BJ273" s="1" t="s">
        <v>74</v>
      </c>
      <c r="BK273" s="1" t="s">
        <v>74</v>
      </c>
      <c r="BL273" s="1" t="s">
        <v>74</v>
      </c>
      <c r="BM273" s="1" t="s">
        <v>74</v>
      </c>
      <c r="BN273" s="1" t="s">
        <v>74</v>
      </c>
      <c r="BO273" s="1" t="s">
        <v>74</v>
      </c>
      <c r="BP273" s="1" t="s">
        <v>74</v>
      </c>
      <c r="BQ273" s="1" t="s">
        <v>74</v>
      </c>
      <c r="BR273" s="1" t="s">
        <v>74</v>
      </c>
      <c r="BS273" s="1" t="s">
        <v>2953</v>
      </c>
      <c r="BT273" s="1" t="str">
        <f>HYPERLINK("https%3A%2F%2Fwww.webofscience.com%2Fwos%2Fwoscc%2Ffull-record%2FWOS:000168236600017","View Full Record in Web of Science")</f>
        <v>View Full Record in Web of Science</v>
      </c>
    </row>
    <row r="274" ht="12.75" customHeight="1">
      <c r="A274" s="1" t="s">
        <v>72</v>
      </c>
      <c r="B274" s="1" t="s">
        <v>2954</v>
      </c>
      <c r="C274" s="1" t="s">
        <v>74</v>
      </c>
      <c r="D274" s="1" t="s">
        <v>74</v>
      </c>
      <c r="E274" s="1" t="s">
        <v>74</v>
      </c>
      <c r="F274" s="1" t="s">
        <v>2954</v>
      </c>
      <c r="G274" s="1" t="s">
        <v>74</v>
      </c>
      <c r="H274" s="1" t="s">
        <v>74</v>
      </c>
      <c r="I274" s="1" t="s">
        <v>2955</v>
      </c>
      <c r="J274" s="1" t="s">
        <v>2956</v>
      </c>
      <c r="K274" s="1" t="s">
        <v>74</v>
      </c>
      <c r="L274" s="1" t="s">
        <v>74</v>
      </c>
      <c r="M274" s="1" t="s">
        <v>74</v>
      </c>
      <c r="N274" s="1" t="s">
        <v>74</v>
      </c>
      <c r="O274" s="1" t="s">
        <v>74</v>
      </c>
      <c r="P274" s="1" t="s">
        <v>74</v>
      </c>
      <c r="Q274" s="1" t="s">
        <v>74</v>
      </c>
      <c r="R274" s="1" t="s">
        <v>74</v>
      </c>
      <c r="S274" s="1" t="s">
        <v>74</v>
      </c>
      <c r="T274" s="1" t="s">
        <v>74</v>
      </c>
      <c r="U274" s="1" t="s">
        <v>74</v>
      </c>
      <c r="V274" s="1" t="s">
        <v>2957</v>
      </c>
      <c r="W274" s="1" t="s">
        <v>74</v>
      </c>
      <c r="X274" s="1" t="s">
        <v>74</v>
      </c>
      <c r="Y274" s="1" t="s">
        <v>74</v>
      </c>
      <c r="Z274" s="1" t="s">
        <v>74</v>
      </c>
      <c r="AA274" s="1" t="s">
        <v>74</v>
      </c>
      <c r="AB274" s="1" t="s">
        <v>74</v>
      </c>
      <c r="AC274" s="1" t="s">
        <v>74</v>
      </c>
      <c r="AD274" s="1" t="s">
        <v>74</v>
      </c>
      <c r="AE274" s="1" t="s">
        <v>74</v>
      </c>
      <c r="AF274" s="1" t="s">
        <v>74</v>
      </c>
      <c r="AG274" s="1" t="s">
        <v>74</v>
      </c>
      <c r="AH274" s="1" t="s">
        <v>74</v>
      </c>
      <c r="AI274" s="1" t="s">
        <v>74</v>
      </c>
      <c r="AJ274" s="1" t="s">
        <v>74</v>
      </c>
      <c r="AK274" s="1" t="s">
        <v>74</v>
      </c>
      <c r="AL274" s="1" t="s">
        <v>74</v>
      </c>
      <c r="AM274" s="1" t="s">
        <v>74</v>
      </c>
      <c r="AN274" s="1" t="s">
        <v>74</v>
      </c>
      <c r="AO274" s="1" t="s">
        <v>2958</v>
      </c>
      <c r="AP274" s="1" t="s">
        <v>2959</v>
      </c>
      <c r="AQ274" s="1" t="s">
        <v>74</v>
      </c>
      <c r="AR274" s="1" t="s">
        <v>74</v>
      </c>
      <c r="AS274" s="1" t="s">
        <v>74</v>
      </c>
      <c r="AT274" s="1" t="s">
        <v>164</v>
      </c>
      <c r="AU274" s="1">
        <v>2000.0</v>
      </c>
      <c r="AV274" s="1">
        <v>32.0</v>
      </c>
      <c r="AW274" s="1">
        <v>7.0</v>
      </c>
      <c r="AX274" s="1" t="s">
        <v>74</v>
      </c>
      <c r="AY274" s="1" t="s">
        <v>74</v>
      </c>
      <c r="AZ274" s="1" t="s">
        <v>74</v>
      </c>
      <c r="BA274" s="1" t="s">
        <v>74</v>
      </c>
      <c r="BB274" s="1">
        <v>1207.0</v>
      </c>
      <c r="BC274" s="1">
        <v>1216.0</v>
      </c>
      <c r="BD274" s="1" t="s">
        <v>74</v>
      </c>
      <c r="BE274" s="1" t="s">
        <v>2960</v>
      </c>
      <c r="BF274" s="2" t="str">
        <f>HYPERLINK("http://dx.doi.org/10.1023/A:1001982402392","http://dx.doi.org/10.1023/A:1001982402392")</f>
        <v>http://dx.doi.org/10.1023/A:1001982402392</v>
      </c>
      <c r="BG274" s="1" t="s">
        <v>74</v>
      </c>
      <c r="BH274" s="1" t="s">
        <v>74</v>
      </c>
      <c r="BI274" s="1" t="s">
        <v>74</v>
      </c>
      <c r="BJ274" s="1" t="s">
        <v>74</v>
      </c>
      <c r="BK274" s="1" t="s">
        <v>74</v>
      </c>
      <c r="BL274" s="1" t="s">
        <v>74</v>
      </c>
      <c r="BM274" s="1" t="s">
        <v>74</v>
      </c>
      <c r="BN274" s="1" t="s">
        <v>74</v>
      </c>
      <c r="BO274" s="1" t="s">
        <v>74</v>
      </c>
      <c r="BP274" s="1" t="s">
        <v>74</v>
      </c>
      <c r="BQ274" s="1" t="s">
        <v>74</v>
      </c>
      <c r="BR274" s="1" t="s">
        <v>74</v>
      </c>
      <c r="BS274" s="1" t="s">
        <v>2961</v>
      </c>
      <c r="BT274" s="1" t="str">
        <f>HYPERLINK("https%3A%2F%2Fwww.webofscience.com%2Fwos%2Fwoscc%2Ffull-record%2FWOS:000088988100002","View Full Record in Web of Science")</f>
        <v>View Full Record in Web of Science</v>
      </c>
    </row>
    <row r="275" ht="12.75" customHeight="1">
      <c r="A275" s="1" t="s">
        <v>72</v>
      </c>
      <c r="B275" s="1" t="s">
        <v>2962</v>
      </c>
      <c r="C275" s="1" t="s">
        <v>74</v>
      </c>
      <c r="D275" s="1" t="s">
        <v>74</v>
      </c>
      <c r="E275" s="1" t="s">
        <v>74</v>
      </c>
      <c r="F275" s="1" t="s">
        <v>2962</v>
      </c>
      <c r="G275" s="1" t="s">
        <v>74</v>
      </c>
      <c r="H275" s="1" t="s">
        <v>74</v>
      </c>
      <c r="I275" s="1" t="s">
        <v>2963</v>
      </c>
      <c r="J275" s="1" t="s">
        <v>2964</v>
      </c>
      <c r="K275" s="1" t="s">
        <v>74</v>
      </c>
      <c r="L275" s="1" t="s">
        <v>74</v>
      </c>
      <c r="M275" s="1" t="s">
        <v>74</v>
      </c>
      <c r="N275" s="1" t="s">
        <v>74</v>
      </c>
      <c r="O275" s="1" t="s">
        <v>74</v>
      </c>
      <c r="P275" s="1" t="s">
        <v>74</v>
      </c>
      <c r="Q275" s="1" t="s">
        <v>74</v>
      </c>
      <c r="R275" s="1" t="s">
        <v>74</v>
      </c>
      <c r="S275" s="1" t="s">
        <v>74</v>
      </c>
      <c r="T275" s="1" t="s">
        <v>74</v>
      </c>
      <c r="U275" s="1" t="s">
        <v>74</v>
      </c>
      <c r="V275" s="1" t="s">
        <v>2965</v>
      </c>
      <c r="W275" s="1" t="s">
        <v>74</v>
      </c>
      <c r="X275" s="1" t="s">
        <v>74</v>
      </c>
      <c r="Y275" s="1" t="s">
        <v>74</v>
      </c>
      <c r="Z275" s="1" t="s">
        <v>74</v>
      </c>
      <c r="AA275" s="1" t="s">
        <v>1673</v>
      </c>
      <c r="AB275" s="1" t="s">
        <v>2966</v>
      </c>
      <c r="AC275" s="1" t="s">
        <v>74</v>
      </c>
      <c r="AD275" s="1" t="s">
        <v>74</v>
      </c>
      <c r="AE275" s="1" t="s">
        <v>74</v>
      </c>
      <c r="AF275" s="1" t="s">
        <v>74</v>
      </c>
      <c r="AG275" s="1" t="s">
        <v>74</v>
      </c>
      <c r="AH275" s="1" t="s">
        <v>74</v>
      </c>
      <c r="AI275" s="1" t="s">
        <v>74</v>
      </c>
      <c r="AJ275" s="1" t="s">
        <v>74</v>
      </c>
      <c r="AK275" s="1" t="s">
        <v>74</v>
      </c>
      <c r="AL275" s="1" t="s">
        <v>74</v>
      </c>
      <c r="AM275" s="1" t="s">
        <v>74</v>
      </c>
      <c r="AN275" s="1" t="s">
        <v>74</v>
      </c>
      <c r="AO275" s="1" t="s">
        <v>2967</v>
      </c>
      <c r="AP275" s="1" t="s">
        <v>74</v>
      </c>
      <c r="AQ275" s="1" t="s">
        <v>74</v>
      </c>
      <c r="AR275" s="1" t="s">
        <v>74</v>
      </c>
      <c r="AS275" s="1" t="s">
        <v>74</v>
      </c>
      <c r="AT275" s="1" t="s">
        <v>1727</v>
      </c>
      <c r="AU275" s="1">
        <v>1998.0</v>
      </c>
      <c r="AV275" s="1">
        <v>255.0</v>
      </c>
      <c r="AW275" s="1">
        <v>2.0</v>
      </c>
      <c r="AX275" s="1" t="s">
        <v>74</v>
      </c>
      <c r="AY275" s="1" t="s">
        <v>74</v>
      </c>
      <c r="AZ275" s="1" t="s">
        <v>74</v>
      </c>
      <c r="BA275" s="1" t="s">
        <v>74</v>
      </c>
      <c r="BB275" s="1">
        <v>439.0</v>
      </c>
      <c r="BC275" s="1">
        <v>445.0</v>
      </c>
      <c r="BD275" s="1" t="s">
        <v>74</v>
      </c>
      <c r="BE275" s="1" t="s">
        <v>2968</v>
      </c>
      <c r="BF275" s="2" t="str">
        <f>HYPERLINK("http://dx.doi.org/10.1046/j.1432-1327.1998.2550439.x","http://dx.doi.org/10.1046/j.1432-1327.1998.2550439.x")</f>
        <v>http://dx.doi.org/10.1046/j.1432-1327.1998.2550439.x</v>
      </c>
      <c r="BG275" s="1" t="s">
        <v>74</v>
      </c>
      <c r="BH275" s="1" t="s">
        <v>74</v>
      </c>
      <c r="BI275" s="1" t="s">
        <v>74</v>
      </c>
      <c r="BJ275" s="1" t="s">
        <v>74</v>
      </c>
      <c r="BK275" s="1" t="s">
        <v>74</v>
      </c>
      <c r="BL275" s="1" t="s">
        <v>74</v>
      </c>
      <c r="BM275" s="1" t="s">
        <v>74</v>
      </c>
      <c r="BN275" s="1">
        <v>9716386.0</v>
      </c>
      <c r="BO275" s="1" t="s">
        <v>74</v>
      </c>
      <c r="BP275" s="1" t="s">
        <v>74</v>
      </c>
      <c r="BQ275" s="1" t="s">
        <v>74</v>
      </c>
      <c r="BR275" s="1" t="s">
        <v>74</v>
      </c>
      <c r="BS275" s="1" t="s">
        <v>2969</v>
      </c>
      <c r="BT275" s="1" t="str">
        <f>HYPERLINK("https%3A%2F%2Fwww.webofscience.com%2Fwos%2Fwoscc%2Ffull-record%2FWOS:000074954500014","View Full Record in Web of Science")</f>
        <v>View Full Record in Web of Science</v>
      </c>
    </row>
    <row r="276" ht="12.75" customHeight="1">
      <c r="A276" s="1" t="s">
        <v>72</v>
      </c>
      <c r="B276" s="1" t="s">
        <v>2970</v>
      </c>
      <c r="C276" s="1" t="s">
        <v>74</v>
      </c>
      <c r="D276" s="1" t="s">
        <v>74</v>
      </c>
      <c r="E276" s="1" t="s">
        <v>74</v>
      </c>
      <c r="F276" s="1" t="s">
        <v>2970</v>
      </c>
      <c r="G276" s="1" t="s">
        <v>74</v>
      </c>
      <c r="H276" s="1" t="s">
        <v>74</v>
      </c>
      <c r="I276" s="1" t="s">
        <v>2971</v>
      </c>
      <c r="J276" s="1" t="s">
        <v>2972</v>
      </c>
      <c r="K276" s="1" t="s">
        <v>74</v>
      </c>
      <c r="L276" s="1" t="s">
        <v>74</v>
      </c>
      <c r="M276" s="1" t="s">
        <v>74</v>
      </c>
      <c r="N276" s="1" t="s">
        <v>74</v>
      </c>
      <c r="O276" s="1" t="s">
        <v>74</v>
      </c>
      <c r="P276" s="1" t="s">
        <v>74</v>
      </c>
      <c r="Q276" s="1" t="s">
        <v>74</v>
      </c>
      <c r="R276" s="1" t="s">
        <v>74</v>
      </c>
      <c r="S276" s="1" t="s">
        <v>74</v>
      </c>
      <c r="T276" s="1" t="s">
        <v>74</v>
      </c>
      <c r="U276" s="1" t="s">
        <v>74</v>
      </c>
      <c r="V276" s="1" t="s">
        <v>2973</v>
      </c>
      <c r="W276" s="1" t="s">
        <v>74</v>
      </c>
      <c r="X276" s="1" t="s">
        <v>74</v>
      </c>
      <c r="Y276" s="1" t="s">
        <v>74</v>
      </c>
      <c r="Z276" s="1" t="s">
        <v>74</v>
      </c>
      <c r="AA276" s="1" t="s">
        <v>2974</v>
      </c>
      <c r="AB276" s="1" t="s">
        <v>2975</v>
      </c>
      <c r="AC276" s="1" t="s">
        <v>74</v>
      </c>
      <c r="AD276" s="1" t="s">
        <v>74</v>
      </c>
      <c r="AE276" s="1" t="s">
        <v>74</v>
      </c>
      <c r="AF276" s="1" t="s">
        <v>74</v>
      </c>
      <c r="AG276" s="1" t="s">
        <v>74</v>
      </c>
      <c r="AH276" s="1" t="s">
        <v>74</v>
      </c>
      <c r="AI276" s="1" t="s">
        <v>74</v>
      </c>
      <c r="AJ276" s="1" t="s">
        <v>74</v>
      </c>
      <c r="AK276" s="1" t="s">
        <v>74</v>
      </c>
      <c r="AL276" s="1" t="s">
        <v>74</v>
      </c>
      <c r="AM276" s="1" t="s">
        <v>74</v>
      </c>
      <c r="AN276" s="1" t="s">
        <v>74</v>
      </c>
      <c r="AO276" s="1" t="s">
        <v>2976</v>
      </c>
      <c r="AP276" s="1" t="s">
        <v>74</v>
      </c>
      <c r="AQ276" s="1" t="s">
        <v>74</v>
      </c>
      <c r="AR276" s="1" t="s">
        <v>74</v>
      </c>
      <c r="AS276" s="1" t="s">
        <v>74</v>
      </c>
      <c r="AT276" s="1" t="s">
        <v>2977</v>
      </c>
      <c r="AU276" s="1">
        <v>1998.0</v>
      </c>
      <c r="AV276" s="1">
        <v>249.0</v>
      </c>
      <c r="AW276" s="1">
        <v>1.0</v>
      </c>
      <c r="AX276" s="1" t="s">
        <v>74</v>
      </c>
      <c r="AY276" s="1" t="s">
        <v>74</v>
      </c>
      <c r="AZ276" s="1" t="s">
        <v>74</v>
      </c>
      <c r="BA276" s="1" t="s">
        <v>74</v>
      </c>
      <c r="BB276" s="1">
        <v>37.0</v>
      </c>
      <c r="BC276" s="1">
        <v>40.0</v>
      </c>
      <c r="BD276" s="1" t="s">
        <v>74</v>
      </c>
      <c r="BE276" s="1" t="s">
        <v>2978</v>
      </c>
      <c r="BF276" s="2" t="str">
        <f>HYPERLINK("http://dx.doi.org/10.1016/S0304-3940(98)00387-5","http://dx.doi.org/10.1016/S0304-3940(98)00387-5")</f>
        <v>http://dx.doi.org/10.1016/S0304-3940(98)00387-5</v>
      </c>
      <c r="BG276" s="1" t="s">
        <v>74</v>
      </c>
      <c r="BH276" s="1" t="s">
        <v>74</v>
      </c>
      <c r="BI276" s="1" t="s">
        <v>74</v>
      </c>
      <c r="BJ276" s="1" t="s">
        <v>74</v>
      </c>
      <c r="BK276" s="1" t="s">
        <v>74</v>
      </c>
      <c r="BL276" s="1" t="s">
        <v>74</v>
      </c>
      <c r="BM276" s="1" t="s">
        <v>74</v>
      </c>
      <c r="BN276" s="1">
        <v>9672383.0</v>
      </c>
      <c r="BO276" s="1" t="s">
        <v>74</v>
      </c>
      <c r="BP276" s="1" t="s">
        <v>74</v>
      </c>
      <c r="BQ276" s="1" t="s">
        <v>74</v>
      </c>
      <c r="BR276" s="1" t="s">
        <v>74</v>
      </c>
      <c r="BS276" s="1" t="s">
        <v>2979</v>
      </c>
      <c r="BT276" s="1" t="str">
        <f>HYPERLINK("https%3A%2F%2Fwww.webofscience.com%2Fwos%2Fwoscc%2Ffull-record%2FWOS:000074522000010","View Full Record in Web of Science")</f>
        <v>View Full Record in Web of Science</v>
      </c>
    </row>
    <row r="277" ht="12.75" customHeight="1">
      <c r="A277" s="1" t="s">
        <v>72</v>
      </c>
      <c r="B277" s="1" t="s">
        <v>2980</v>
      </c>
      <c r="C277" s="1" t="s">
        <v>74</v>
      </c>
      <c r="D277" s="1" t="s">
        <v>74</v>
      </c>
      <c r="E277" s="1" t="s">
        <v>74</v>
      </c>
      <c r="F277" s="1" t="s">
        <v>2980</v>
      </c>
      <c r="G277" s="1" t="s">
        <v>74</v>
      </c>
      <c r="H277" s="1" t="s">
        <v>74</v>
      </c>
      <c r="I277" s="1" t="s">
        <v>2981</v>
      </c>
      <c r="J277" s="1" t="s">
        <v>2670</v>
      </c>
      <c r="K277" s="1" t="s">
        <v>74</v>
      </c>
      <c r="L277" s="1" t="s">
        <v>74</v>
      </c>
      <c r="M277" s="1" t="s">
        <v>74</v>
      </c>
      <c r="N277" s="1" t="s">
        <v>74</v>
      </c>
      <c r="O277" s="1" t="s">
        <v>2982</v>
      </c>
      <c r="P277" s="1" t="s">
        <v>2983</v>
      </c>
      <c r="Q277" s="1" t="s">
        <v>2984</v>
      </c>
      <c r="R277" s="1" t="s">
        <v>2985</v>
      </c>
      <c r="S277" s="1" t="s">
        <v>74</v>
      </c>
      <c r="T277" s="1" t="s">
        <v>74</v>
      </c>
      <c r="U277" s="1" t="s">
        <v>74</v>
      </c>
      <c r="V277" s="1" t="s">
        <v>2986</v>
      </c>
      <c r="W277" s="1" t="s">
        <v>74</v>
      </c>
      <c r="X277" s="1" t="s">
        <v>74</v>
      </c>
      <c r="Y277" s="1" t="s">
        <v>74</v>
      </c>
      <c r="Z277" s="1" t="s">
        <v>74</v>
      </c>
      <c r="AA277" s="1" t="s">
        <v>74</v>
      </c>
      <c r="AB277" s="1" t="s">
        <v>74</v>
      </c>
      <c r="AC277" s="1" t="s">
        <v>74</v>
      </c>
      <c r="AD277" s="1" t="s">
        <v>74</v>
      </c>
      <c r="AE277" s="1" t="s">
        <v>74</v>
      </c>
      <c r="AF277" s="1" t="s">
        <v>74</v>
      </c>
      <c r="AG277" s="1" t="s">
        <v>74</v>
      </c>
      <c r="AH277" s="1" t="s">
        <v>74</v>
      </c>
      <c r="AI277" s="1" t="s">
        <v>74</v>
      </c>
      <c r="AJ277" s="1" t="s">
        <v>74</v>
      </c>
      <c r="AK277" s="1" t="s">
        <v>74</v>
      </c>
      <c r="AL277" s="1" t="s">
        <v>74</v>
      </c>
      <c r="AM277" s="1" t="s">
        <v>74</v>
      </c>
      <c r="AN277" s="1" t="s">
        <v>74</v>
      </c>
      <c r="AO277" s="1" t="s">
        <v>2676</v>
      </c>
      <c r="AP277" s="1" t="s">
        <v>74</v>
      </c>
      <c r="AQ277" s="1" t="s">
        <v>74</v>
      </c>
      <c r="AR277" s="1" t="s">
        <v>74</v>
      </c>
      <c r="AS277" s="1" t="s">
        <v>74</v>
      </c>
      <c r="AT277" s="1" t="s">
        <v>74</v>
      </c>
      <c r="AU277" s="1">
        <v>1994.0</v>
      </c>
      <c r="AV277" s="1">
        <v>91.0</v>
      </c>
      <c r="AW277" s="1" t="s">
        <v>1214</v>
      </c>
      <c r="AX277" s="1" t="s">
        <v>74</v>
      </c>
      <c r="AY277" s="1" t="s">
        <v>74</v>
      </c>
      <c r="AZ277" s="1" t="s">
        <v>74</v>
      </c>
      <c r="BA277" s="1" t="s">
        <v>74</v>
      </c>
      <c r="BB277" s="1">
        <v>765.0</v>
      </c>
      <c r="BC277" s="1">
        <v>769.0</v>
      </c>
      <c r="BD277" s="1" t="s">
        <v>74</v>
      </c>
      <c r="BE277" s="1" t="s">
        <v>2987</v>
      </c>
      <c r="BF277" s="2" t="str">
        <f>HYPERLINK("http://dx.doi.org/10.1007/BF02064604","http://dx.doi.org/10.1007/BF02064604")</f>
        <v>http://dx.doi.org/10.1007/BF02064604</v>
      </c>
      <c r="BG277" s="1" t="s">
        <v>74</v>
      </c>
      <c r="BH277" s="1" t="s">
        <v>74</v>
      </c>
      <c r="BI277" s="1" t="s">
        <v>74</v>
      </c>
      <c r="BJ277" s="1" t="s">
        <v>74</v>
      </c>
      <c r="BK277" s="1" t="s">
        <v>74</v>
      </c>
      <c r="BL277" s="1" t="s">
        <v>74</v>
      </c>
      <c r="BM277" s="1" t="s">
        <v>74</v>
      </c>
      <c r="BN277" s="1" t="s">
        <v>74</v>
      </c>
      <c r="BO277" s="1" t="s">
        <v>74</v>
      </c>
      <c r="BP277" s="1" t="s">
        <v>74</v>
      </c>
      <c r="BQ277" s="1" t="s">
        <v>74</v>
      </c>
      <c r="BR277" s="1" t="s">
        <v>74</v>
      </c>
      <c r="BS277" s="1" t="s">
        <v>2988</v>
      </c>
      <c r="BT277" s="1" t="str">
        <f>HYPERLINK("https%3A%2F%2Fwww.webofscience.com%2Fwos%2Fwoscc%2Ffull-record%2FWOS:A1994QB95100042","View Full Record in Web of Science")</f>
        <v>View Full Record in Web of Science</v>
      </c>
    </row>
    <row r="278" ht="12.75" customHeight="1">
      <c r="A278" s="1" t="s">
        <v>72</v>
      </c>
      <c r="B278" s="1" t="s">
        <v>2989</v>
      </c>
      <c r="C278" s="1" t="s">
        <v>74</v>
      </c>
      <c r="D278" s="1" t="s">
        <v>74</v>
      </c>
      <c r="E278" s="1" t="s">
        <v>74</v>
      </c>
      <c r="F278" s="1" t="s">
        <v>2990</v>
      </c>
      <c r="G278" s="1" t="s">
        <v>74</v>
      </c>
      <c r="H278" s="1" t="s">
        <v>74</v>
      </c>
      <c r="I278" s="1" t="s">
        <v>2991</v>
      </c>
      <c r="J278" s="1" t="s">
        <v>77</v>
      </c>
      <c r="K278" s="1" t="s">
        <v>74</v>
      </c>
      <c r="L278" s="1" t="s">
        <v>74</v>
      </c>
      <c r="M278" s="1" t="s">
        <v>74</v>
      </c>
      <c r="N278" s="1" t="s">
        <v>74</v>
      </c>
      <c r="O278" s="1" t="s">
        <v>74</v>
      </c>
      <c r="P278" s="1" t="s">
        <v>74</v>
      </c>
      <c r="Q278" s="1" t="s">
        <v>74</v>
      </c>
      <c r="R278" s="1" t="s">
        <v>74</v>
      </c>
      <c r="S278" s="1" t="s">
        <v>74</v>
      </c>
      <c r="T278" s="1" t="s">
        <v>74</v>
      </c>
      <c r="U278" s="1" t="s">
        <v>74</v>
      </c>
      <c r="V278" s="1" t="s">
        <v>2992</v>
      </c>
      <c r="W278" s="1" t="s">
        <v>74</v>
      </c>
      <c r="X278" s="1" t="s">
        <v>74</v>
      </c>
      <c r="Y278" s="1" t="s">
        <v>74</v>
      </c>
      <c r="Z278" s="1" t="s">
        <v>74</v>
      </c>
      <c r="AA278" s="1" t="s">
        <v>2993</v>
      </c>
      <c r="AB278" s="1" t="s">
        <v>2994</v>
      </c>
      <c r="AC278" s="1" t="s">
        <v>74</v>
      </c>
      <c r="AD278" s="1" t="s">
        <v>74</v>
      </c>
      <c r="AE278" s="1" t="s">
        <v>74</v>
      </c>
      <c r="AF278" s="1" t="s">
        <v>74</v>
      </c>
      <c r="AG278" s="1" t="s">
        <v>74</v>
      </c>
      <c r="AH278" s="1" t="s">
        <v>74</v>
      </c>
      <c r="AI278" s="1" t="s">
        <v>74</v>
      </c>
      <c r="AJ278" s="1" t="s">
        <v>74</v>
      </c>
      <c r="AK278" s="1" t="s">
        <v>74</v>
      </c>
      <c r="AL278" s="1" t="s">
        <v>74</v>
      </c>
      <c r="AM278" s="1" t="s">
        <v>74</v>
      </c>
      <c r="AN278" s="1" t="s">
        <v>74</v>
      </c>
      <c r="AO278" s="1" t="s">
        <v>81</v>
      </c>
      <c r="AP278" s="1" t="s">
        <v>74</v>
      </c>
      <c r="AQ278" s="1" t="s">
        <v>74</v>
      </c>
      <c r="AR278" s="1" t="s">
        <v>74</v>
      </c>
      <c r="AS278" s="1" t="s">
        <v>74</v>
      </c>
      <c r="AT278" s="1" t="s">
        <v>2995</v>
      </c>
      <c r="AU278" s="1">
        <v>2024.0</v>
      </c>
      <c r="AV278" s="1">
        <v>19.0</v>
      </c>
      <c r="AW278" s="1">
        <v>5.0</v>
      </c>
      <c r="AX278" s="1" t="s">
        <v>74</v>
      </c>
      <c r="AY278" s="1" t="s">
        <v>74</v>
      </c>
      <c r="AZ278" s="1" t="s">
        <v>74</v>
      </c>
      <c r="BA278" s="1" t="s">
        <v>74</v>
      </c>
      <c r="BB278" s="1" t="s">
        <v>74</v>
      </c>
      <c r="BC278" s="1" t="s">
        <v>74</v>
      </c>
      <c r="BD278" s="1" t="s">
        <v>2996</v>
      </c>
      <c r="BE278" s="1" t="s">
        <v>2997</v>
      </c>
      <c r="BF278" s="2" t="str">
        <f>HYPERLINK("http://dx.doi.org/10.1371/journal.pone.0304054","http://dx.doi.org/10.1371/journal.pone.0304054")</f>
        <v>http://dx.doi.org/10.1371/journal.pone.0304054</v>
      </c>
      <c r="BG278" s="1" t="s">
        <v>74</v>
      </c>
      <c r="BH278" s="1" t="s">
        <v>74</v>
      </c>
      <c r="BI278" s="1" t="s">
        <v>74</v>
      </c>
      <c r="BJ278" s="1" t="s">
        <v>74</v>
      </c>
      <c r="BK278" s="1" t="s">
        <v>74</v>
      </c>
      <c r="BL278" s="1" t="s">
        <v>74</v>
      </c>
      <c r="BM278" s="1" t="s">
        <v>74</v>
      </c>
      <c r="BN278" s="1">
        <v>3.8776338E7</v>
      </c>
      <c r="BO278" s="1" t="s">
        <v>74</v>
      </c>
      <c r="BP278" s="1" t="s">
        <v>74</v>
      </c>
      <c r="BQ278" s="1" t="s">
        <v>74</v>
      </c>
      <c r="BR278" s="1" t="s">
        <v>74</v>
      </c>
      <c r="BS278" s="1" t="s">
        <v>2998</v>
      </c>
      <c r="BT278" s="1" t="str">
        <f>HYPERLINK("https%3A%2F%2Fwww.webofscience.com%2Fwos%2Fwoscc%2Ffull-record%2FWOS:001229236500015","View Full Record in Web of Science")</f>
        <v>View Full Record in Web of Science</v>
      </c>
    </row>
    <row r="279" ht="12.75" customHeight="1">
      <c r="A279" s="1" t="s">
        <v>72</v>
      </c>
      <c r="B279" s="1" t="s">
        <v>2999</v>
      </c>
      <c r="C279" s="1" t="s">
        <v>74</v>
      </c>
      <c r="D279" s="1" t="s">
        <v>74</v>
      </c>
      <c r="E279" s="1" t="s">
        <v>74</v>
      </c>
      <c r="F279" s="1" t="s">
        <v>3000</v>
      </c>
      <c r="G279" s="1" t="s">
        <v>74</v>
      </c>
      <c r="H279" s="1" t="s">
        <v>74</v>
      </c>
      <c r="I279" s="1" t="s">
        <v>3001</v>
      </c>
      <c r="J279" s="1" t="s">
        <v>3002</v>
      </c>
      <c r="K279" s="1" t="s">
        <v>74</v>
      </c>
      <c r="L279" s="1" t="s">
        <v>74</v>
      </c>
      <c r="M279" s="1" t="s">
        <v>74</v>
      </c>
      <c r="N279" s="1" t="s">
        <v>74</v>
      </c>
      <c r="O279" s="1" t="s">
        <v>74</v>
      </c>
      <c r="P279" s="1" t="s">
        <v>74</v>
      </c>
      <c r="Q279" s="1" t="s">
        <v>74</v>
      </c>
      <c r="R279" s="1" t="s">
        <v>74</v>
      </c>
      <c r="S279" s="1" t="s">
        <v>74</v>
      </c>
      <c r="T279" s="1" t="s">
        <v>74</v>
      </c>
      <c r="U279" s="1" t="s">
        <v>74</v>
      </c>
      <c r="V279" s="1" t="s">
        <v>3003</v>
      </c>
      <c r="W279" s="1" t="s">
        <v>74</v>
      </c>
      <c r="X279" s="1" t="s">
        <v>74</v>
      </c>
      <c r="Y279" s="1" t="s">
        <v>74</v>
      </c>
      <c r="Z279" s="1" t="s">
        <v>74</v>
      </c>
      <c r="AA279" s="1" t="s">
        <v>3004</v>
      </c>
      <c r="AB279" s="1" t="s">
        <v>3005</v>
      </c>
      <c r="AC279" s="1" t="s">
        <v>74</v>
      </c>
      <c r="AD279" s="1" t="s">
        <v>74</v>
      </c>
      <c r="AE279" s="1" t="s">
        <v>74</v>
      </c>
      <c r="AF279" s="1" t="s">
        <v>74</v>
      </c>
      <c r="AG279" s="1" t="s">
        <v>74</v>
      </c>
      <c r="AH279" s="1" t="s">
        <v>74</v>
      </c>
      <c r="AI279" s="1" t="s">
        <v>74</v>
      </c>
      <c r="AJ279" s="1" t="s">
        <v>74</v>
      </c>
      <c r="AK279" s="1" t="s">
        <v>74</v>
      </c>
      <c r="AL279" s="1" t="s">
        <v>74</v>
      </c>
      <c r="AM279" s="1" t="s">
        <v>74</v>
      </c>
      <c r="AN279" s="1" t="s">
        <v>74</v>
      </c>
      <c r="AO279" s="1" t="s">
        <v>74</v>
      </c>
      <c r="AP279" s="1" t="s">
        <v>3006</v>
      </c>
      <c r="AQ279" s="1" t="s">
        <v>74</v>
      </c>
      <c r="AR279" s="1" t="s">
        <v>74</v>
      </c>
      <c r="AS279" s="1" t="s">
        <v>74</v>
      </c>
      <c r="AT279" s="1" t="s">
        <v>1213</v>
      </c>
      <c r="AU279" s="1">
        <v>2024.0</v>
      </c>
      <c r="AV279" s="1">
        <v>14.0</v>
      </c>
      <c r="AW279" s="1">
        <v>3.0</v>
      </c>
      <c r="AX279" s="1" t="s">
        <v>74</v>
      </c>
      <c r="AY279" s="1" t="s">
        <v>74</v>
      </c>
      <c r="AZ279" s="1" t="s">
        <v>74</v>
      </c>
      <c r="BA279" s="1" t="s">
        <v>74</v>
      </c>
      <c r="BB279" s="1" t="s">
        <v>74</v>
      </c>
      <c r="BC279" s="1" t="s">
        <v>74</v>
      </c>
      <c r="BD279" s="1">
        <v>369.0</v>
      </c>
      <c r="BE279" s="1" t="s">
        <v>3007</v>
      </c>
      <c r="BF279" s="2" t="str">
        <f>HYPERLINK("http://dx.doi.org/10.3390/biom14030369","http://dx.doi.org/10.3390/biom14030369")</f>
        <v>http://dx.doi.org/10.3390/biom14030369</v>
      </c>
      <c r="BG279" s="1" t="s">
        <v>74</v>
      </c>
      <c r="BH279" s="1" t="s">
        <v>74</v>
      </c>
      <c r="BI279" s="1" t="s">
        <v>74</v>
      </c>
      <c r="BJ279" s="1" t="s">
        <v>74</v>
      </c>
      <c r="BK279" s="1" t="s">
        <v>74</v>
      </c>
      <c r="BL279" s="1" t="s">
        <v>74</v>
      </c>
      <c r="BM279" s="1" t="s">
        <v>74</v>
      </c>
      <c r="BN279" s="1">
        <v>3.8540787E7</v>
      </c>
      <c r="BO279" s="1" t="s">
        <v>74</v>
      </c>
      <c r="BP279" s="1" t="s">
        <v>74</v>
      </c>
      <c r="BQ279" s="1" t="s">
        <v>74</v>
      </c>
      <c r="BR279" s="1" t="s">
        <v>74</v>
      </c>
      <c r="BS279" s="1" t="s">
        <v>3008</v>
      </c>
      <c r="BT279" s="1" t="str">
        <f>HYPERLINK("https%3A%2F%2Fwww.webofscience.com%2Fwos%2Fwoscc%2Ffull-record%2FWOS:001191999900001","View Full Record in Web of Science")</f>
        <v>View Full Record in Web of Science</v>
      </c>
    </row>
    <row r="280" ht="12.75" customHeight="1">
      <c r="A280" s="1" t="s">
        <v>72</v>
      </c>
      <c r="B280" s="1" t="s">
        <v>3009</v>
      </c>
      <c r="C280" s="1" t="s">
        <v>74</v>
      </c>
      <c r="D280" s="1" t="s">
        <v>74</v>
      </c>
      <c r="E280" s="1" t="s">
        <v>74</v>
      </c>
      <c r="F280" s="1" t="s">
        <v>3010</v>
      </c>
      <c r="G280" s="1" t="s">
        <v>74</v>
      </c>
      <c r="H280" s="1" t="s">
        <v>74</v>
      </c>
      <c r="I280" s="1" t="s">
        <v>3011</v>
      </c>
      <c r="J280" s="1" t="s">
        <v>3012</v>
      </c>
      <c r="K280" s="1" t="s">
        <v>74</v>
      </c>
      <c r="L280" s="1" t="s">
        <v>74</v>
      </c>
      <c r="M280" s="1" t="s">
        <v>74</v>
      </c>
      <c r="N280" s="1" t="s">
        <v>74</v>
      </c>
      <c r="O280" s="1" t="s">
        <v>74</v>
      </c>
      <c r="P280" s="1" t="s">
        <v>74</v>
      </c>
      <c r="Q280" s="1" t="s">
        <v>74</v>
      </c>
      <c r="R280" s="1" t="s">
        <v>74</v>
      </c>
      <c r="S280" s="1" t="s">
        <v>74</v>
      </c>
      <c r="T280" s="1" t="s">
        <v>74</v>
      </c>
      <c r="U280" s="1" t="s">
        <v>74</v>
      </c>
      <c r="V280" s="1" t="s">
        <v>3013</v>
      </c>
      <c r="W280" s="1" t="s">
        <v>74</v>
      </c>
      <c r="X280" s="1" t="s">
        <v>74</v>
      </c>
      <c r="Y280" s="1" t="s">
        <v>74</v>
      </c>
      <c r="Z280" s="1" t="s">
        <v>74</v>
      </c>
      <c r="AA280" s="1" t="s">
        <v>3014</v>
      </c>
      <c r="AB280" s="1" t="s">
        <v>3015</v>
      </c>
      <c r="AC280" s="1" t="s">
        <v>74</v>
      </c>
      <c r="AD280" s="1" t="s">
        <v>74</v>
      </c>
      <c r="AE280" s="1" t="s">
        <v>74</v>
      </c>
      <c r="AF280" s="1" t="s">
        <v>74</v>
      </c>
      <c r="AG280" s="1" t="s">
        <v>74</v>
      </c>
      <c r="AH280" s="1" t="s">
        <v>74</v>
      </c>
      <c r="AI280" s="1" t="s">
        <v>74</v>
      </c>
      <c r="AJ280" s="1" t="s">
        <v>74</v>
      </c>
      <c r="AK280" s="1" t="s">
        <v>74</v>
      </c>
      <c r="AL280" s="1" t="s">
        <v>74</v>
      </c>
      <c r="AM280" s="1" t="s">
        <v>74</v>
      </c>
      <c r="AN280" s="1" t="s">
        <v>74</v>
      </c>
      <c r="AO280" s="1" t="s">
        <v>74</v>
      </c>
      <c r="AP280" s="1" t="s">
        <v>3016</v>
      </c>
      <c r="AQ280" s="1" t="s">
        <v>74</v>
      </c>
      <c r="AR280" s="1" t="s">
        <v>74</v>
      </c>
      <c r="AS280" s="1" t="s">
        <v>74</v>
      </c>
      <c r="AT280" s="1" t="s">
        <v>201</v>
      </c>
      <c r="AU280" s="1">
        <v>2022.0</v>
      </c>
      <c r="AV280" s="1">
        <v>10.0</v>
      </c>
      <c r="AW280" s="1">
        <v>10.0</v>
      </c>
      <c r="AX280" s="1" t="s">
        <v>74</v>
      </c>
      <c r="AY280" s="1" t="s">
        <v>74</v>
      </c>
      <c r="AZ280" s="1" t="s">
        <v>74</v>
      </c>
      <c r="BA280" s="1" t="s">
        <v>74</v>
      </c>
      <c r="BB280" s="1" t="s">
        <v>74</v>
      </c>
      <c r="BC280" s="1" t="s">
        <v>74</v>
      </c>
      <c r="BD280" s="1">
        <v>1838.0</v>
      </c>
      <c r="BE280" s="1" t="s">
        <v>3017</v>
      </c>
      <c r="BF280" s="2" t="str">
        <f>HYPERLINK("http://dx.doi.org/10.3390/healthcare10101838","http://dx.doi.org/10.3390/healthcare10101838")</f>
        <v>http://dx.doi.org/10.3390/healthcare10101838</v>
      </c>
      <c r="BG280" s="1" t="s">
        <v>74</v>
      </c>
      <c r="BH280" s="1" t="s">
        <v>74</v>
      </c>
      <c r="BI280" s="1" t="s">
        <v>74</v>
      </c>
      <c r="BJ280" s="1" t="s">
        <v>74</v>
      </c>
      <c r="BK280" s="1" t="s">
        <v>74</v>
      </c>
      <c r="BL280" s="1" t="s">
        <v>74</v>
      </c>
      <c r="BM280" s="1" t="s">
        <v>74</v>
      </c>
      <c r="BN280" s="1">
        <v>3.6292285E7</v>
      </c>
      <c r="BO280" s="1" t="s">
        <v>74</v>
      </c>
      <c r="BP280" s="1" t="s">
        <v>74</v>
      </c>
      <c r="BQ280" s="1" t="s">
        <v>74</v>
      </c>
      <c r="BR280" s="1" t="s">
        <v>74</v>
      </c>
      <c r="BS280" s="1" t="s">
        <v>3018</v>
      </c>
      <c r="BT280" s="1" t="str">
        <f>HYPERLINK("https%3A%2F%2Fwww.webofscience.com%2Fwos%2Fwoscc%2Ffull-record%2FWOS:000873190400001","View Full Record in Web of Science")</f>
        <v>View Full Record in Web of Science</v>
      </c>
    </row>
    <row r="281" ht="12.75" customHeight="1">
      <c r="A281" s="1" t="s">
        <v>72</v>
      </c>
      <c r="B281" s="1" t="s">
        <v>3019</v>
      </c>
      <c r="C281" s="1" t="s">
        <v>74</v>
      </c>
      <c r="D281" s="1" t="s">
        <v>74</v>
      </c>
      <c r="E281" s="1" t="s">
        <v>74</v>
      </c>
      <c r="F281" s="1" t="s">
        <v>3020</v>
      </c>
      <c r="G281" s="1" t="s">
        <v>74</v>
      </c>
      <c r="H281" s="1" t="s">
        <v>74</v>
      </c>
      <c r="I281" s="1" t="s">
        <v>3021</v>
      </c>
      <c r="J281" s="1" t="s">
        <v>289</v>
      </c>
      <c r="K281" s="1" t="s">
        <v>74</v>
      </c>
      <c r="L281" s="1" t="s">
        <v>74</v>
      </c>
      <c r="M281" s="1" t="s">
        <v>74</v>
      </c>
      <c r="N281" s="1" t="s">
        <v>74</v>
      </c>
      <c r="O281" s="1" t="s">
        <v>74</v>
      </c>
      <c r="P281" s="1" t="s">
        <v>74</v>
      </c>
      <c r="Q281" s="1" t="s">
        <v>74</v>
      </c>
      <c r="R281" s="1" t="s">
        <v>74</v>
      </c>
      <c r="S281" s="1" t="s">
        <v>74</v>
      </c>
      <c r="T281" s="1" t="s">
        <v>74</v>
      </c>
      <c r="U281" s="1" t="s">
        <v>74</v>
      </c>
      <c r="V281" s="1" t="s">
        <v>3022</v>
      </c>
      <c r="W281" s="1" t="s">
        <v>74</v>
      </c>
      <c r="X281" s="1" t="s">
        <v>74</v>
      </c>
      <c r="Y281" s="1" t="s">
        <v>74</v>
      </c>
      <c r="Z281" s="1" t="s">
        <v>74</v>
      </c>
      <c r="AA281" s="1" t="s">
        <v>3023</v>
      </c>
      <c r="AB281" s="1" t="s">
        <v>3024</v>
      </c>
      <c r="AC281" s="1" t="s">
        <v>74</v>
      </c>
      <c r="AD281" s="1" t="s">
        <v>74</v>
      </c>
      <c r="AE281" s="1" t="s">
        <v>74</v>
      </c>
      <c r="AF281" s="1" t="s">
        <v>74</v>
      </c>
      <c r="AG281" s="1" t="s">
        <v>74</v>
      </c>
      <c r="AH281" s="1" t="s">
        <v>74</v>
      </c>
      <c r="AI281" s="1" t="s">
        <v>74</v>
      </c>
      <c r="AJ281" s="1" t="s">
        <v>74</v>
      </c>
      <c r="AK281" s="1" t="s">
        <v>74</v>
      </c>
      <c r="AL281" s="1" t="s">
        <v>74</v>
      </c>
      <c r="AM281" s="1" t="s">
        <v>74</v>
      </c>
      <c r="AN281" s="1" t="s">
        <v>74</v>
      </c>
      <c r="AO281" s="1" t="s">
        <v>293</v>
      </c>
      <c r="AP281" s="1" t="s">
        <v>294</v>
      </c>
      <c r="AQ281" s="1" t="s">
        <v>74</v>
      </c>
      <c r="AR281" s="1" t="s">
        <v>74</v>
      </c>
      <c r="AS281" s="1" t="s">
        <v>74</v>
      </c>
      <c r="AT281" s="1" t="s">
        <v>212</v>
      </c>
      <c r="AU281" s="1">
        <v>2022.0</v>
      </c>
      <c r="AV281" s="1">
        <v>216.0</v>
      </c>
      <c r="AW281" s="1" t="s">
        <v>74</v>
      </c>
      <c r="AX281" s="1" t="s">
        <v>74</v>
      </c>
      <c r="AY281" s="1" t="s">
        <v>74</v>
      </c>
      <c r="AZ281" s="1" t="s">
        <v>74</v>
      </c>
      <c r="BA281" s="1" t="s">
        <v>74</v>
      </c>
      <c r="BB281" s="1">
        <v>520.0</v>
      </c>
      <c r="BC281" s="1">
        <v>527.0</v>
      </c>
      <c r="BD281" s="1" t="s">
        <v>74</v>
      </c>
      <c r="BE281" s="1" t="s">
        <v>3025</v>
      </c>
      <c r="BF281" s="2" t="str">
        <f>HYPERLINK("http://dx.doi.org/10.1016/j.ijbiomac.2022.06.197","http://dx.doi.org/10.1016/j.ijbiomac.2022.06.197")</f>
        <v>http://dx.doi.org/10.1016/j.ijbiomac.2022.06.197</v>
      </c>
      <c r="BG281" s="1" t="s">
        <v>74</v>
      </c>
      <c r="BH281" s="1" t="s">
        <v>3026</v>
      </c>
      <c r="BI281" s="1" t="s">
        <v>74</v>
      </c>
      <c r="BJ281" s="1" t="s">
        <v>74</v>
      </c>
      <c r="BK281" s="1" t="s">
        <v>74</v>
      </c>
      <c r="BL281" s="1" t="s">
        <v>74</v>
      </c>
      <c r="BM281" s="1" t="s">
        <v>74</v>
      </c>
      <c r="BN281" s="1">
        <v>3.580341E7</v>
      </c>
      <c r="BO281" s="1" t="s">
        <v>74</v>
      </c>
      <c r="BP281" s="1" t="s">
        <v>74</v>
      </c>
      <c r="BQ281" s="1" t="s">
        <v>74</v>
      </c>
      <c r="BR281" s="1" t="s">
        <v>74</v>
      </c>
      <c r="BS281" s="1" t="s">
        <v>3027</v>
      </c>
      <c r="BT281" s="1" t="str">
        <f>HYPERLINK("https%3A%2F%2Fwww.webofscience.com%2Fwos%2Fwoscc%2Ffull-record%2FWOS:000860291300005","View Full Record in Web of Science")</f>
        <v>View Full Record in Web of Science</v>
      </c>
    </row>
    <row r="282" ht="12.75" customHeight="1">
      <c r="A282" s="1" t="s">
        <v>72</v>
      </c>
      <c r="B282" s="1" t="s">
        <v>3028</v>
      </c>
      <c r="C282" s="1" t="s">
        <v>74</v>
      </c>
      <c r="D282" s="1" t="s">
        <v>74</v>
      </c>
      <c r="E282" s="1" t="s">
        <v>74</v>
      </c>
      <c r="F282" s="1" t="s">
        <v>3029</v>
      </c>
      <c r="G282" s="1" t="s">
        <v>74</v>
      </c>
      <c r="H282" s="1" t="s">
        <v>74</v>
      </c>
      <c r="I282" s="1" t="s">
        <v>3030</v>
      </c>
      <c r="J282" s="1" t="s">
        <v>3031</v>
      </c>
      <c r="K282" s="1" t="s">
        <v>74</v>
      </c>
      <c r="L282" s="1" t="s">
        <v>74</v>
      </c>
      <c r="M282" s="1" t="s">
        <v>74</v>
      </c>
      <c r="N282" s="1" t="s">
        <v>74</v>
      </c>
      <c r="O282" s="1" t="s">
        <v>74</v>
      </c>
      <c r="P282" s="1" t="s">
        <v>74</v>
      </c>
      <c r="Q282" s="1" t="s">
        <v>74</v>
      </c>
      <c r="R282" s="1" t="s">
        <v>74</v>
      </c>
      <c r="S282" s="1" t="s">
        <v>74</v>
      </c>
      <c r="T282" s="1" t="s">
        <v>74</v>
      </c>
      <c r="U282" s="1" t="s">
        <v>74</v>
      </c>
      <c r="V282" s="1" t="s">
        <v>3032</v>
      </c>
      <c r="W282" s="1" t="s">
        <v>74</v>
      </c>
      <c r="X282" s="1" t="s">
        <v>74</v>
      </c>
      <c r="Y282" s="1" t="s">
        <v>74</v>
      </c>
      <c r="Z282" s="1" t="s">
        <v>74</v>
      </c>
      <c r="AA282" s="1" t="s">
        <v>3033</v>
      </c>
      <c r="AB282" s="1" t="s">
        <v>3034</v>
      </c>
      <c r="AC282" s="1" t="s">
        <v>74</v>
      </c>
      <c r="AD282" s="1" t="s">
        <v>74</v>
      </c>
      <c r="AE282" s="1" t="s">
        <v>74</v>
      </c>
      <c r="AF282" s="1" t="s">
        <v>74</v>
      </c>
      <c r="AG282" s="1" t="s">
        <v>74</v>
      </c>
      <c r="AH282" s="1" t="s">
        <v>74</v>
      </c>
      <c r="AI282" s="1" t="s">
        <v>74</v>
      </c>
      <c r="AJ282" s="1" t="s">
        <v>74</v>
      </c>
      <c r="AK282" s="1" t="s">
        <v>74</v>
      </c>
      <c r="AL282" s="1" t="s">
        <v>74</v>
      </c>
      <c r="AM282" s="1" t="s">
        <v>74</v>
      </c>
      <c r="AN282" s="1" t="s">
        <v>74</v>
      </c>
      <c r="AO282" s="1" t="s">
        <v>3035</v>
      </c>
      <c r="AP282" s="1" t="s">
        <v>3036</v>
      </c>
      <c r="AQ282" s="1" t="s">
        <v>74</v>
      </c>
      <c r="AR282" s="1" t="s">
        <v>74</v>
      </c>
      <c r="AS282" s="1" t="s">
        <v>74</v>
      </c>
      <c r="AT282" s="1" t="s">
        <v>201</v>
      </c>
      <c r="AU282" s="1">
        <v>2021.0</v>
      </c>
      <c r="AV282" s="1">
        <v>119.0</v>
      </c>
      <c r="AW282" s="1">
        <v>5.0</v>
      </c>
      <c r="AX282" s="1" t="s">
        <v>74</v>
      </c>
      <c r="AY282" s="1" t="s">
        <v>74</v>
      </c>
      <c r="AZ282" s="1" t="s">
        <v>74</v>
      </c>
      <c r="BA282" s="1" t="s">
        <v>74</v>
      </c>
      <c r="BB282" s="1">
        <v>339.0</v>
      </c>
      <c r="BC282" s="1">
        <v>345.0</v>
      </c>
      <c r="BD282" s="1" t="s">
        <v>74</v>
      </c>
      <c r="BE282" s="1" t="s">
        <v>3037</v>
      </c>
      <c r="BF282" s="2" t="str">
        <f>HYPERLINK("http://dx.doi.org/10.5546/aap.2021.eng.339","http://dx.doi.org/10.5546/aap.2021.eng.339")</f>
        <v>http://dx.doi.org/10.5546/aap.2021.eng.339</v>
      </c>
      <c r="BG282" s="1" t="s">
        <v>74</v>
      </c>
      <c r="BH282" s="1" t="s">
        <v>74</v>
      </c>
      <c r="BI282" s="1" t="s">
        <v>74</v>
      </c>
      <c r="BJ282" s="1" t="s">
        <v>74</v>
      </c>
      <c r="BK282" s="1" t="s">
        <v>74</v>
      </c>
      <c r="BL282" s="1" t="s">
        <v>74</v>
      </c>
      <c r="BM282" s="1" t="s">
        <v>74</v>
      </c>
      <c r="BN282" s="1">
        <v>3.4569742E7</v>
      </c>
      <c r="BO282" s="1" t="s">
        <v>74</v>
      </c>
      <c r="BP282" s="1" t="s">
        <v>74</v>
      </c>
      <c r="BQ282" s="1" t="s">
        <v>74</v>
      </c>
      <c r="BR282" s="1" t="s">
        <v>74</v>
      </c>
      <c r="BS282" s="1" t="s">
        <v>3038</v>
      </c>
      <c r="BT282" s="1" t="str">
        <f>HYPERLINK("https%3A%2F%2Fwww.webofscience.com%2Fwos%2Fwoscc%2Ffull-record%2FWOS:000704188400010","View Full Record in Web of Science")</f>
        <v>View Full Record in Web of Science</v>
      </c>
    </row>
    <row r="283" ht="12.75" customHeight="1">
      <c r="A283" s="1" t="s">
        <v>72</v>
      </c>
      <c r="B283" s="1" t="s">
        <v>3039</v>
      </c>
      <c r="C283" s="1" t="s">
        <v>74</v>
      </c>
      <c r="D283" s="1" t="s">
        <v>74</v>
      </c>
      <c r="E283" s="1" t="s">
        <v>74</v>
      </c>
      <c r="F283" s="1" t="s">
        <v>3040</v>
      </c>
      <c r="G283" s="1" t="s">
        <v>74</v>
      </c>
      <c r="H283" s="1" t="s">
        <v>74</v>
      </c>
      <c r="I283" s="1" t="s">
        <v>3041</v>
      </c>
      <c r="J283" s="1" t="s">
        <v>3042</v>
      </c>
      <c r="K283" s="1" t="s">
        <v>74</v>
      </c>
      <c r="L283" s="1" t="s">
        <v>74</v>
      </c>
      <c r="M283" s="1" t="s">
        <v>74</v>
      </c>
      <c r="N283" s="1" t="s">
        <v>74</v>
      </c>
      <c r="O283" s="1" t="s">
        <v>74</v>
      </c>
      <c r="P283" s="1" t="s">
        <v>74</v>
      </c>
      <c r="Q283" s="1" t="s">
        <v>74</v>
      </c>
      <c r="R283" s="1" t="s">
        <v>74</v>
      </c>
      <c r="S283" s="1" t="s">
        <v>74</v>
      </c>
      <c r="T283" s="1" t="s">
        <v>74</v>
      </c>
      <c r="U283" s="1" t="s">
        <v>74</v>
      </c>
      <c r="V283" s="1" t="s">
        <v>3043</v>
      </c>
      <c r="W283" s="1" t="s">
        <v>74</v>
      </c>
      <c r="X283" s="1" t="s">
        <v>74</v>
      </c>
      <c r="Y283" s="1" t="s">
        <v>74</v>
      </c>
      <c r="Z283" s="1" t="s">
        <v>74</v>
      </c>
      <c r="AA283" s="1" t="s">
        <v>3044</v>
      </c>
      <c r="AB283" s="1" t="s">
        <v>3045</v>
      </c>
      <c r="AC283" s="1" t="s">
        <v>74</v>
      </c>
      <c r="AD283" s="1" t="s">
        <v>74</v>
      </c>
      <c r="AE283" s="1" t="s">
        <v>74</v>
      </c>
      <c r="AF283" s="1" t="s">
        <v>74</v>
      </c>
      <c r="AG283" s="1" t="s">
        <v>74</v>
      </c>
      <c r="AH283" s="1" t="s">
        <v>74</v>
      </c>
      <c r="AI283" s="1" t="s">
        <v>74</v>
      </c>
      <c r="AJ283" s="1" t="s">
        <v>74</v>
      </c>
      <c r="AK283" s="1" t="s">
        <v>74</v>
      </c>
      <c r="AL283" s="1" t="s">
        <v>74</v>
      </c>
      <c r="AM283" s="1" t="s">
        <v>74</v>
      </c>
      <c r="AN283" s="1" t="s">
        <v>74</v>
      </c>
      <c r="AO283" s="1" t="s">
        <v>3046</v>
      </c>
      <c r="AP283" s="1" t="s">
        <v>3047</v>
      </c>
      <c r="AQ283" s="1" t="s">
        <v>74</v>
      </c>
      <c r="AR283" s="1" t="s">
        <v>74</v>
      </c>
      <c r="AS283" s="1" t="s">
        <v>74</v>
      </c>
      <c r="AT283" s="1" t="s">
        <v>1213</v>
      </c>
      <c r="AU283" s="1">
        <v>2022.0</v>
      </c>
      <c r="AV283" s="1">
        <v>27.0</v>
      </c>
      <c r="AW283" s="1">
        <v>2.0</v>
      </c>
      <c r="AX283" s="1" t="s">
        <v>74</v>
      </c>
      <c r="AY283" s="1" t="s">
        <v>74</v>
      </c>
      <c r="AZ283" s="1" t="s">
        <v>74</v>
      </c>
      <c r="BA283" s="1" t="s">
        <v>74</v>
      </c>
      <c r="BB283" s="1">
        <v>605.0</v>
      </c>
      <c r="BC283" s="1">
        <v>618.0</v>
      </c>
      <c r="BD283" s="1" t="s">
        <v>74</v>
      </c>
      <c r="BE283" s="1" t="s">
        <v>3048</v>
      </c>
      <c r="BF283" s="2" t="str">
        <f>HYPERLINK("http://dx.doi.org/10.1007/s40519-021-01198-1","http://dx.doi.org/10.1007/s40519-021-01198-1")</f>
        <v>http://dx.doi.org/10.1007/s40519-021-01198-1</v>
      </c>
      <c r="BG283" s="1" t="s">
        <v>74</v>
      </c>
      <c r="BH283" s="1" t="s">
        <v>3049</v>
      </c>
      <c r="BI283" s="1" t="s">
        <v>74</v>
      </c>
      <c r="BJ283" s="1" t="s">
        <v>74</v>
      </c>
      <c r="BK283" s="1" t="s">
        <v>74</v>
      </c>
      <c r="BL283" s="1" t="s">
        <v>74</v>
      </c>
      <c r="BM283" s="1" t="s">
        <v>74</v>
      </c>
      <c r="BN283" s="1">
        <v>3.39297E7</v>
      </c>
      <c r="BO283" s="1" t="s">
        <v>74</v>
      </c>
      <c r="BP283" s="1" t="s">
        <v>74</v>
      </c>
      <c r="BQ283" s="1" t="s">
        <v>74</v>
      </c>
      <c r="BR283" s="1" t="s">
        <v>74</v>
      </c>
      <c r="BS283" s="1" t="s">
        <v>3050</v>
      </c>
      <c r="BT283" s="1" t="str">
        <f>HYPERLINK("https%3A%2F%2Fwww.webofscience.com%2Fwos%2Fwoscc%2Ffull-record%2FWOS:000645887800001","View Full Record in Web of Science")</f>
        <v>View Full Record in Web of Science</v>
      </c>
    </row>
    <row r="284" ht="12.75" customHeight="1">
      <c r="A284" s="1" t="s">
        <v>72</v>
      </c>
      <c r="B284" s="1" t="s">
        <v>3051</v>
      </c>
      <c r="C284" s="1" t="s">
        <v>74</v>
      </c>
      <c r="D284" s="1" t="s">
        <v>74</v>
      </c>
      <c r="E284" s="1" t="s">
        <v>74</v>
      </c>
      <c r="F284" s="1" t="s">
        <v>3052</v>
      </c>
      <c r="G284" s="1" t="s">
        <v>74</v>
      </c>
      <c r="H284" s="1" t="s">
        <v>74</v>
      </c>
      <c r="I284" s="1" t="s">
        <v>3053</v>
      </c>
      <c r="J284" s="1" t="s">
        <v>3054</v>
      </c>
      <c r="K284" s="1" t="s">
        <v>74</v>
      </c>
      <c r="L284" s="1" t="s">
        <v>74</v>
      </c>
      <c r="M284" s="1" t="s">
        <v>74</v>
      </c>
      <c r="N284" s="1" t="s">
        <v>74</v>
      </c>
      <c r="O284" s="1" t="s">
        <v>74</v>
      </c>
      <c r="P284" s="1" t="s">
        <v>74</v>
      </c>
      <c r="Q284" s="1" t="s">
        <v>74</v>
      </c>
      <c r="R284" s="1" t="s">
        <v>74</v>
      </c>
      <c r="S284" s="1" t="s">
        <v>74</v>
      </c>
      <c r="T284" s="1" t="s">
        <v>74</v>
      </c>
      <c r="U284" s="1" t="s">
        <v>74</v>
      </c>
      <c r="V284" s="1" t="s">
        <v>3055</v>
      </c>
      <c r="W284" s="1" t="s">
        <v>74</v>
      </c>
      <c r="X284" s="1" t="s">
        <v>74</v>
      </c>
      <c r="Y284" s="1" t="s">
        <v>74</v>
      </c>
      <c r="Z284" s="1" t="s">
        <v>74</v>
      </c>
      <c r="AA284" s="1" t="s">
        <v>3056</v>
      </c>
      <c r="AB284" s="1" t="s">
        <v>3057</v>
      </c>
      <c r="AC284" s="1" t="s">
        <v>74</v>
      </c>
      <c r="AD284" s="1" t="s">
        <v>74</v>
      </c>
      <c r="AE284" s="1" t="s">
        <v>74</v>
      </c>
      <c r="AF284" s="1" t="s">
        <v>74</v>
      </c>
      <c r="AG284" s="1" t="s">
        <v>74</v>
      </c>
      <c r="AH284" s="1" t="s">
        <v>74</v>
      </c>
      <c r="AI284" s="1" t="s">
        <v>74</v>
      </c>
      <c r="AJ284" s="1" t="s">
        <v>74</v>
      </c>
      <c r="AK284" s="1" t="s">
        <v>74</v>
      </c>
      <c r="AL284" s="1" t="s">
        <v>74</v>
      </c>
      <c r="AM284" s="1" t="s">
        <v>74</v>
      </c>
      <c r="AN284" s="1" t="s">
        <v>74</v>
      </c>
      <c r="AO284" s="1" t="s">
        <v>3058</v>
      </c>
      <c r="AP284" s="1" t="s">
        <v>3059</v>
      </c>
      <c r="AQ284" s="1" t="s">
        <v>74</v>
      </c>
      <c r="AR284" s="1" t="s">
        <v>74</v>
      </c>
      <c r="AS284" s="1" t="s">
        <v>74</v>
      </c>
      <c r="AT284" s="1" t="s">
        <v>235</v>
      </c>
      <c r="AU284" s="1">
        <v>2021.0</v>
      </c>
      <c r="AV284" s="1">
        <v>253.0</v>
      </c>
      <c r="AW284" s="1">
        <v>2.0</v>
      </c>
      <c r="AX284" s="1" t="s">
        <v>74</v>
      </c>
      <c r="AY284" s="1" t="s">
        <v>74</v>
      </c>
      <c r="AZ284" s="1" t="s">
        <v>74</v>
      </c>
      <c r="BA284" s="1" t="s">
        <v>74</v>
      </c>
      <c r="BB284" s="1" t="s">
        <v>74</v>
      </c>
      <c r="BC284" s="1" t="s">
        <v>74</v>
      </c>
      <c r="BD284" s="1">
        <v>34.0</v>
      </c>
      <c r="BE284" s="1" t="s">
        <v>3060</v>
      </c>
      <c r="BF284" s="2" t="str">
        <f>HYPERLINK("http://dx.doi.org/10.3847/1538-4365/abdec9","http://dx.doi.org/10.3847/1538-4365/abdec9")</f>
        <v>http://dx.doi.org/10.3847/1538-4365/abdec9</v>
      </c>
      <c r="BG284" s="1" t="s">
        <v>74</v>
      </c>
      <c r="BH284" s="1" t="s">
        <v>74</v>
      </c>
      <c r="BI284" s="1" t="s">
        <v>74</v>
      </c>
      <c r="BJ284" s="1" t="s">
        <v>74</v>
      </c>
      <c r="BK284" s="1" t="s">
        <v>74</v>
      </c>
      <c r="BL284" s="1" t="s">
        <v>74</v>
      </c>
      <c r="BM284" s="1" t="s">
        <v>74</v>
      </c>
      <c r="BN284" s="1" t="s">
        <v>74</v>
      </c>
      <c r="BO284" s="1" t="s">
        <v>74</v>
      </c>
      <c r="BP284" s="1" t="s">
        <v>74</v>
      </c>
      <c r="BQ284" s="1" t="s">
        <v>74</v>
      </c>
      <c r="BR284" s="1" t="s">
        <v>74</v>
      </c>
      <c r="BS284" s="1" t="s">
        <v>3061</v>
      </c>
      <c r="BT284" s="1" t="str">
        <f>HYPERLINK("https%3A%2F%2Fwww.webofscience.com%2Fwos%2Fwoscc%2Ffull-record%2FWOS:000629957900001","View Full Record in Web of Science")</f>
        <v>View Full Record in Web of Science</v>
      </c>
    </row>
    <row r="285" ht="12.75" customHeight="1">
      <c r="A285" s="1" t="s">
        <v>72</v>
      </c>
      <c r="B285" s="1" t="s">
        <v>3062</v>
      </c>
      <c r="C285" s="1" t="s">
        <v>74</v>
      </c>
      <c r="D285" s="1" t="s">
        <v>74</v>
      </c>
      <c r="E285" s="1" t="s">
        <v>74</v>
      </c>
      <c r="F285" s="1" t="s">
        <v>3063</v>
      </c>
      <c r="G285" s="1" t="s">
        <v>74</v>
      </c>
      <c r="H285" s="1" t="s">
        <v>74</v>
      </c>
      <c r="I285" s="1" t="s">
        <v>3064</v>
      </c>
      <c r="J285" s="1" t="s">
        <v>3065</v>
      </c>
      <c r="K285" s="1" t="s">
        <v>74</v>
      </c>
      <c r="L285" s="1" t="s">
        <v>74</v>
      </c>
      <c r="M285" s="1" t="s">
        <v>74</v>
      </c>
      <c r="N285" s="1" t="s">
        <v>74</v>
      </c>
      <c r="O285" s="1" t="s">
        <v>74</v>
      </c>
      <c r="P285" s="1" t="s">
        <v>74</v>
      </c>
      <c r="Q285" s="1" t="s">
        <v>74</v>
      </c>
      <c r="R285" s="1" t="s">
        <v>74</v>
      </c>
      <c r="S285" s="1" t="s">
        <v>74</v>
      </c>
      <c r="T285" s="1" t="s">
        <v>74</v>
      </c>
      <c r="U285" s="1" t="s">
        <v>74</v>
      </c>
      <c r="V285" s="1" t="s">
        <v>3066</v>
      </c>
      <c r="W285" s="1" t="s">
        <v>74</v>
      </c>
      <c r="X285" s="1" t="s">
        <v>74</v>
      </c>
      <c r="Y285" s="1" t="s">
        <v>74</v>
      </c>
      <c r="Z285" s="1" t="s">
        <v>74</v>
      </c>
      <c r="AA285" s="1" t="s">
        <v>1389</v>
      </c>
      <c r="AB285" s="1" t="s">
        <v>3067</v>
      </c>
      <c r="AC285" s="1" t="s">
        <v>74</v>
      </c>
      <c r="AD285" s="1" t="s">
        <v>74</v>
      </c>
      <c r="AE285" s="1" t="s">
        <v>74</v>
      </c>
      <c r="AF285" s="1" t="s">
        <v>74</v>
      </c>
      <c r="AG285" s="1" t="s">
        <v>74</v>
      </c>
      <c r="AH285" s="1" t="s">
        <v>74</v>
      </c>
      <c r="AI285" s="1" t="s">
        <v>74</v>
      </c>
      <c r="AJ285" s="1" t="s">
        <v>74</v>
      </c>
      <c r="AK285" s="1" t="s">
        <v>74</v>
      </c>
      <c r="AL285" s="1" t="s">
        <v>74</v>
      </c>
      <c r="AM285" s="1" t="s">
        <v>74</v>
      </c>
      <c r="AN285" s="1" t="s">
        <v>74</v>
      </c>
      <c r="AO285" s="1" t="s">
        <v>3068</v>
      </c>
      <c r="AP285" s="1" t="s">
        <v>3069</v>
      </c>
      <c r="AQ285" s="1" t="s">
        <v>74</v>
      </c>
      <c r="AR285" s="1" t="s">
        <v>74</v>
      </c>
      <c r="AS285" s="1" t="s">
        <v>74</v>
      </c>
      <c r="AT285" s="1" t="s">
        <v>3070</v>
      </c>
      <c r="AU285" s="1">
        <v>2021.0</v>
      </c>
      <c r="AV285" s="1">
        <v>12.0</v>
      </c>
      <c r="AW285" s="1">
        <v>10.0</v>
      </c>
      <c r="AX285" s="1" t="s">
        <v>74</v>
      </c>
      <c r="AY285" s="1" t="s">
        <v>74</v>
      </c>
      <c r="AZ285" s="1" t="s">
        <v>74</v>
      </c>
      <c r="BA285" s="1" t="s">
        <v>74</v>
      </c>
      <c r="BB285" s="1">
        <v>3475.0</v>
      </c>
      <c r="BC285" s="1">
        <v>3482.0</v>
      </c>
      <c r="BD285" s="1" t="s">
        <v>74</v>
      </c>
      <c r="BE285" s="1" t="s">
        <v>3071</v>
      </c>
      <c r="BF285" s="2" t="str">
        <f>HYPERLINK("http://dx.doi.org/10.1039/d0sc05572g","http://dx.doi.org/10.1039/d0sc05572g")</f>
        <v>http://dx.doi.org/10.1039/d0sc05572g</v>
      </c>
      <c r="BG285" s="1" t="s">
        <v>74</v>
      </c>
      <c r="BH285" s="1" t="s">
        <v>74</v>
      </c>
      <c r="BI285" s="1" t="s">
        <v>74</v>
      </c>
      <c r="BJ285" s="1" t="s">
        <v>74</v>
      </c>
      <c r="BK285" s="1" t="s">
        <v>74</v>
      </c>
      <c r="BL285" s="1" t="s">
        <v>74</v>
      </c>
      <c r="BM285" s="1" t="s">
        <v>74</v>
      </c>
      <c r="BN285" s="1">
        <v>3.416362E7</v>
      </c>
      <c r="BO285" s="1" t="s">
        <v>74</v>
      </c>
      <c r="BP285" s="1" t="s">
        <v>74</v>
      </c>
      <c r="BQ285" s="1" t="s">
        <v>74</v>
      </c>
      <c r="BR285" s="1" t="s">
        <v>74</v>
      </c>
      <c r="BS285" s="1" t="s">
        <v>3072</v>
      </c>
      <c r="BT285" s="1" t="str">
        <f>HYPERLINK("https%3A%2F%2Fwww.webofscience.com%2Fwos%2Fwoscc%2Ffull-record%2FWOS:000630166700039","View Full Record in Web of Science")</f>
        <v>View Full Record in Web of Science</v>
      </c>
    </row>
    <row r="286" ht="12.75" customHeight="1">
      <c r="A286" s="1" t="s">
        <v>72</v>
      </c>
      <c r="B286" s="1" t="s">
        <v>3073</v>
      </c>
      <c r="C286" s="1" t="s">
        <v>74</v>
      </c>
      <c r="D286" s="1" t="s">
        <v>74</v>
      </c>
      <c r="E286" s="1" t="s">
        <v>74</v>
      </c>
      <c r="F286" s="1" t="s">
        <v>3074</v>
      </c>
      <c r="G286" s="1" t="s">
        <v>74</v>
      </c>
      <c r="H286" s="1" t="s">
        <v>74</v>
      </c>
      <c r="I286" s="1" t="s">
        <v>3075</v>
      </c>
      <c r="J286" s="1" t="s">
        <v>3076</v>
      </c>
      <c r="K286" s="1" t="s">
        <v>74</v>
      </c>
      <c r="L286" s="1" t="s">
        <v>74</v>
      </c>
      <c r="M286" s="1" t="s">
        <v>74</v>
      </c>
      <c r="N286" s="1" t="s">
        <v>74</v>
      </c>
      <c r="O286" s="1" t="s">
        <v>74</v>
      </c>
      <c r="P286" s="1" t="s">
        <v>74</v>
      </c>
      <c r="Q286" s="1" t="s">
        <v>74</v>
      </c>
      <c r="R286" s="1" t="s">
        <v>74</v>
      </c>
      <c r="S286" s="1" t="s">
        <v>74</v>
      </c>
      <c r="T286" s="1" t="s">
        <v>74</v>
      </c>
      <c r="U286" s="1" t="s">
        <v>74</v>
      </c>
      <c r="V286" s="1" t="s">
        <v>3077</v>
      </c>
      <c r="W286" s="1" t="s">
        <v>74</v>
      </c>
      <c r="X286" s="1" t="s">
        <v>74</v>
      </c>
      <c r="Y286" s="1" t="s">
        <v>74</v>
      </c>
      <c r="Z286" s="1" t="s">
        <v>74</v>
      </c>
      <c r="AA286" s="1" t="s">
        <v>3078</v>
      </c>
      <c r="AB286" s="1" t="s">
        <v>3079</v>
      </c>
      <c r="AC286" s="1" t="s">
        <v>74</v>
      </c>
      <c r="AD286" s="1" t="s">
        <v>74</v>
      </c>
      <c r="AE286" s="1" t="s">
        <v>74</v>
      </c>
      <c r="AF286" s="1" t="s">
        <v>74</v>
      </c>
      <c r="AG286" s="1" t="s">
        <v>74</v>
      </c>
      <c r="AH286" s="1" t="s">
        <v>74</v>
      </c>
      <c r="AI286" s="1" t="s">
        <v>74</v>
      </c>
      <c r="AJ286" s="1" t="s">
        <v>74</v>
      </c>
      <c r="AK286" s="1" t="s">
        <v>74</v>
      </c>
      <c r="AL286" s="1" t="s">
        <v>74</v>
      </c>
      <c r="AM286" s="1" t="s">
        <v>74</v>
      </c>
      <c r="AN286" s="1" t="s">
        <v>74</v>
      </c>
      <c r="AO286" s="1" t="s">
        <v>3080</v>
      </c>
      <c r="AP286" s="1" t="s">
        <v>74</v>
      </c>
      <c r="AQ286" s="1" t="s">
        <v>74</v>
      </c>
      <c r="AR286" s="1" t="s">
        <v>74</v>
      </c>
      <c r="AS286" s="1" t="s">
        <v>74</v>
      </c>
      <c r="AT286" s="1" t="s">
        <v>1332</v>
      </c>
      <c r="AU286" s="1">
        <v>2020.0</v>
      </c>
      <c r="AV286" s="1">
        <v>8.0</v>
      </c>
      <c r="AW286" s="1" t="s">
        <v>74</v>
      </c>
      <c r="AX286" s="1" t="s">
        <v>74</v>
      </c>
      <c r="AY286" s="1" t="s">
        <v>74</v>
      </c>
      <c r="AZ286" s="1" t="s">
        <v>74</v>
      </c>
      <c r="BA286" s="1" t="s">
        <v>74</v>
      </c>
      <c r="BB286" s="1" t="s">
        <v>74</v>
      </c>
      <c r="BC286" s="1" t="s">
        <v>74</v>
      </c>
      <c r="BD286" s="1">
        <v>590488.0</v>
      </c>
      <c r="BE286" s="1" t="s">
        <v>3081</v>
      </c>
      <c r="BF286" s="2" t="str">
        <f>HYPERLINK("http://dx.doi.org/10.3389/fbioe.2020.590488","http://dx.doi.org/10.3389/fbioe.2020.590488")</f>
        <v>http://dx.doi.org/10.3389/fbioe.2020.590488</v>
      </c>
      <c r="BG286" s="1" t="s">
        <v>74</v>
      </c>
      <c r="BH286" s="1" t="s">
        <v>74</v>
      </c>
      <c r="BI286" s="1" t="s">
        <v>74</v>
      </c>
      <c r="BJ286" s="1" t="s">
        <v>74</v>
      </c>
      <c r="BK286" s="1" t="s">
        <v>74</v>
      </c>
      <c r="BL286" s="1" t="s">
        <v>74</v>
      </c>
      <c r="BM286" s="1" t="s">
        <v>74</v>
      </c>
      <c r="BN286" s="1">
        <v>3.3244466E7</v>
      </c>
      <c r="BO286" s="1" t="s">
        <v>74</v>
      </c>
      <c r="BP286" s="1" t="s">
        <v>74</v>
      </c>
      <c r="BQ286" s="1" t="s">
        <v>74</v>
      </c>
      <c r="BR286" s="1" t="s">
        <v>74</v>
      </c>
      <c r="BS286" s="1" t="s">
        <v>3082</v>
      </c>
      <c r="BT286" s="1" t="str">
        <f>HYPERLINK("https%3A%2F%2Fwww.webofscience.com%2Fwos%2Fwoscc%2Ffull-record%2FWOS:000591642400001","View Full Record in Web of Science")</f>
        <v>View Full Record in Web of Science</v>
      </c>
    </row>
    <row r="287" ht="12.75" customHeight="1">
      <c r="A287" s="1" t="s">
        <v>72</v>
      </c>
      <c r="B287" s="1" t="s">
        <v>3083</v>
      </c>
      <c r="C287" s="1" t="s">
        <v>74</v>
      </c>
      <c r="D287" s="1" t="s">
        <v>74</v>
      </c>
      <c r="E287" s="1" t="s">
        <v>74</v>
      </c>
      <c r="F287" s="1" t="s">
        <v>3084</v>
      </c>
      <c r="G287" s="1" t="s">
        <v>74</v>
      </c>
      <c r="H287" s="1" t="s">
        <v>74</v>
      </c>
      <c r="I287" s="1" t="s">
        <v>3085</v>
      </c>
      <c r="J287" s="1" t="s">
        <v>3086</v>
      </c>
      <c r="K287" s="1" t="s">
        <v>74</v>
      </c>
      <c r="L287" s="1" t="s">
        <v>74</v>
      </c>
      <c r="M287" s="1" t="s">
        <v>74</v>
      </c>
      <c r="N287" s="1" t="s">
        <v>74</v>
      </c>
      <c r="O287" s="1" t="s">
        <v>3087</v>
      </c>
      <c r="P287" s="1" t="s">
        <v>3088</v>
      </c>
      <c r="Q287" s="1" t="s">
        <v>1067</v>
      </c>
      <c r="R287" s="1" t="s">
        <v>74</v>
      </c>
      <c r="S287" s="1" t="s">
        <v>74</v>
      </c>
      <c r="T287" s="1" t="s">
        <v>74</v>
      </c>
      <c r="U287" s="1" t="s">
        <v>74</v>
      </c>
      <c r="V287" s="1" t="s">
        <v>74</v>
      </c>
      <c r="W287" s="1" t="s">
        <v>74</v>
      </c>
      <c r="X287" s="1" t="s">
        <v>74</v>
      </c>
      <c r="Y287" s="1" t="s">
        <v>74</v>
      </c>
      <c r="Z287" s="1" t="s">
        <v>74</v>
      </c>
      <c r="AA287" s="1" t="s">
        <v>3089</v>
      </c>
      <c r="AB287" s="1" t="s">
        <v>74</v>
      </c>
      <c r="AC287" s="1" t="s">
        <v>74</v>
      </c>
      <c r="AD287" s="1" t="s">
        <v>74</v>
      </c>
      <c r="AE287" s="1" t="s">
        <v>74</v>
      </c>
      <c r="AF287" s="1" t="s">
        <v>74</v>
      </c>
      <c r="AG287" s="1" t="s">
        <v>74</v>
      </c>
      <c r="AH287" s="1" t="s">
        <v>74</v>
      </c>
      <c r="AI287" s="1" t="s">
        <v>74</v>
      </c>
      <c r="AJ287" s="1" t="s">
        <v>74</v>
      </c>
      <c r="AK287" s="1" t="s">
        <v>74</v>
      </c>
      <c r="AL287" s="1" t="s">
        <v>74</v>
      </c>
      <c r="AM287" s="1" t="s">
        <v>74</v>
      </c>
      <c r="AN287" s="1" t="s">
        <v>74</v>
      </c>
      <c r="AO287" s="1" t="s">
        <v>3090</v>
      </c>
      <c r="AP287" s="1" t="s">
        <v>3091</v>
      </c>
      <c r="AQ287" s="1" t="s">
        <v>74</v>
      </c>
      <c r="AR287" s="1" t="s">
        <v>74</v>
      </c>
      <c r="AS287" s="1" t="s">
        <v>74</v>
      </c>
      <c r="AT287" s="1" t="s">
        <v>939</v>
      </c>
      <c r="AU287" s="1">
        <v>2020.0</v>
      </c>
      <c r="AV287" s="1">
        <v>53.0</v>
      </c>
      <c r="AW287" s="1" t="s">
        <v>74</v>
      </c>
      <c r="AX287" s="1" t="s">
        <v>74</v>
      </c>
      <c r="AY287" s="1">
        <v>1.0</v>
      </c>
      <c r="AZ287" s="1" t="s">
        <v>74</v>
      </c>
      <c r="BA287" s="1" t="s">
        <v>3092</v>
      </c>
      <c r="BB287" s="1">
        <v>94.0</v>
      </c>
      <c r="BC287" s="1">
        <v>94.0</v>
      </c>
      <c r="BD287" s="1" t="s">
        <v>74</v>
      </c>
      <c r="BE287" s="1" t="s">
        <v>74</v>
      </c>
      <c r="BF287" s="1" t="s">
        <v>74</v>
      </c>
      <c r="BG287" s="1" t="s">
        <v>74</v>
      </c>
      <c r="BH287" s="1" t="s">
        <v>74</v>
      </c>
      <c r="BI287" s="1" t="s">
        <v>74</v>
      </c>
      <c r="BJ287" s="1" t="s">
        <v>74</v>
      </c>
      <c r="BK287" s="1" t="s">
        <v>74</v>
      </c>
      <c r="BL287" s="1" t="s">
        <v>74</v>
      </c>
      <c r="BM287" s="1" t="s">
        <v>74</v>
      </c>
      <c r="BN287" s="1" t="s">
        <v>74</v>
      </c>
      <c r="BO287" s="1" t="s">
        <v>74</v>
      </c>
      <c r="BP287" s="1" t="s">
        <v>74</v>
      </c>
      <c r="BQ287" s="1" t="s">
        <v>74</v>
      </c>
      <c r="BR287" s="1" t="s">
        <v>74</v>
      </c>
      <c r="BS287" s="1" t="s">
        <v>3093</v>
      </c>
      <c r="BT287" s="1" t="str">
        <f>HYPERLINK("https%3A%2F%2Fwww.webofscience.com%2Fwos%2Fwoscc%2Ffull-record%2FWOS:000587668800216","View Full Record in Web of Science")</f>
        <v>View Full Record in Web of Science</v>
      </c>
    </row>
    <row r="288" ht="12.75" customHeight="1">
      <c r="A288" s="1" t="s">
        <v>72</v>
      </c>
      <c r="B288" s="1" t="s">
        <v>3094</v>
      </c>
      <c r="C288" s="1" t="s">
        <v>74</v>
      </c>
      <c r="D288" s="1" t="s">
        <v>74</v>
      </c>
      <c r="E288" s="1" t="s">
        <v>74</v>
      </c>
      <c r="F288" s="1" t="s">
        <v>3095</v>
      </c>
      <c r="G288" s="1" t="s">
        <v>74</v>
      </c>
      <c r="H288" s="1" t="s">
        <v>74</v>
      </c>
      <c r="I288" s="1" t="s">
        <v>3096</v>
      </c>
      <c r="J288" s="1" t="s">
        <v>3097</v>
      </c>
      <c r="K288" s="1" t="s">
        <v>74</v>
      </c>
      <c r="L288" s="1" t="s">
        <v>74</v>
      </c>
      <c r="M288" s="1" t="s">
        <v>74</v>
      </c>
      <c r="N288" s="1" t="s">
        <v>74</v>
      </c>
      <c r="O288" s="1" t="s">
        <v>74</v>
      </c>
      <c r="P288" s="1" t="s">
        <v>74</v>
      </c>
      <c r="Q288" s="1" t="s">
        <v>74</v>
      </c>
      <c r="R288" s="1" t="s">
        <v>74</v>
      </c>
      <c r="S288" s="1" t="s">
        <v>74</v>
      </c>
      <c r="T288" s="1" t="s">
        <v>74</v>
      </c>
      <c r="U288" s="1" t="s">
        <v>74</v>
      </c>
      <c r="V288" s="1" t="s">
        <v>3098</v>
      </c>
      <c r="W288" s="1" t="s">
        <v>74</v>
      </c>
      <c r="X288" s="1" t="s">
        <v>74</v>
      </c>
      <c r="Y288" s="1" t="s">
        <v>74</v>
      </c>
      <c r="Z288" s="1" t="s">
        <v>74</v>
      </c>
      <c r="AA288" s="1" t="s">
        <v>3099</v>
      </c>
      <c r="AB288" s="1" t="s">
        <v>3100</v>
      </c>
      <c r="AC288" s="1" t="s">
        <v>74</v>
      </c>
      <c r="AD288" s="1" t="s">
        <v>74</v>
      </c>
      <c r="AE288" s="1" t="s">
        <v>74</v>
      </c>
      <c r="AF288" s="1" t="s">
        <v>74</v>
      </c>
      <c r="AG288" s="1" t="s">
        <v>74</v>
      </c>
      <c r="AH288" s="1" t="s">
        <v>74</v>
      </c>
      <c r="AI288" s="1" t="s">
        <v>74</v>
      </c>
      <c r="AJ288" s="1" t="s">
        <v>74</v>
      </c>
      <c r="AK288" s="1" t="s">
        <v>74</v>
      </c>
      <c r="AL288" s="1" t="s">
        <v>74</v>
      </c>
      <c r="AM288" s="1" t="s">
        <v>74</v>
      </c>
      <c r="AN288" s="1" t="s">
        <v>74</v>
      </c>
      <c r="AO288" s="1" t="s">
        <v>3101</v>
      </c>
      <c r="AP288" s="1" t="s">
        <v>74</v>
      </c>
      <c r="AQ288" s="1" t="s">
        <v>74</v>
      </c>
      <c r="AR288" s="1" t="s">
        <v>74</v>
      </c>
      <c r="AS288" s="1" t="s">
        <v>74</v>
      </c>
      <c r="AT288" s="1" t="s">
        <v>74</v>
      </c>
      <c r="AU288" s="1">
        <v>2019.0</v>
      </c>
      <c r="AV288" s="1">
        <v>43.0</v>
      </c>
      <c r="AW288" s="1" t="s">
        <v>74</v>
      </c>
      <c r="AX288" s="1" t="s">
        <v>74</v>
      </c>
      <c r="AY288" s="1" t="s">
        <v>74</v>
      </c>
      <c r="AZ288" s="1" t="s">
        <v>74</v>
      </c>
      <c r="BA288" s="1" t="s">
        <v>74</v>
      </c>
      <c r="BB288" s="1" t="s">
        <v>74</v>
      </c>
      <c r="BC288" s="1" t="s">
        <v>74</v>
      </c>
      <c r="BD288" s="1" t="s">
        <v>3102</v>
      </c>
      <c r="BE288" s="1" t="s">
        <v>3103</v>
      </c>
      <c r="BF288" s="2" t="str">
        <f>HYPERLINK("http://dx.doi.org/10.26633/RPSP.2019.56","http://dx.doi.org/10.26633/RPSP.2019.56")</f>
        <v>http://dx.doi.org/10.26633/RPSP.2019.56</v>
      </c>
      <c r="BG288" s="1" t="s">
        <v>74</v>
      </c>
      <c r="BH288" s="1" t="s">
        <v>74</v>
      </c>
      <c r="BI288" s="1" t="s">
        <v>74</v>
      </c>
      <c r="BJ288" s="1" t="s">
        <v>74</v>
      </c>
      <c r="BK288" s="1" t="s">
        <v>74</v>
      </c>
      <c r="BL288" s="1" t="s">
        <v>74</v>
      </c>
      <c r="BM288" s="1" t="s">
        <v>74</v>
      </c>
      <c r="BN288" s="1">
        <v>3.1258557E7</v>
      </c>
      <c r="BO288" s="1" t="s">
        <v>74</v>
      </c>
      <c r="BP288" s="1" t="s">
        <v>74</v>
      </c>
      <c r="BQ288" s="1" t="s">
        <v>74</v>
      </c>
      <c r="BR288" s="1" t="s">
        <v>74</v>
      </c>
      <c r="BS288" s="1" t="s">
        <v>3104</v>
      </c>
      <c r="BT288" s="1" t="str">
        <f>HYPERLINK("https%3A%2F%2Fwww.webofscience.com%2Fwos%2Fwoscc%2Ffull-record%2FWOS:000515373800003","View Full Record in Web of Science")</f>
        <v>View Full Record in Web of Science</v>
      </c>
    </row>
    <row r="289" ht="12.75" customHeight="1">
      <c r="A289" s="1" t="s">
        <v>72</v>
      </c>
      <c r="B289" s="1" t="s">
        <v>3105</v>
      </c>
      <c r="C289" s="1" t="s">
        <v>74</v>
      </c>
      <c r="D289" s="1" t="s">
        <v>74</v>
      </c>
      <c r="E289" s="1" t="s">
        <v>74</v>
      </c>
      <c r="F289" s="1" t="s">
        <v>3106</v>
      </c>
      <c r="G289" s="1" t="s">
        <v>74</v>
      </c>
      <c r="H289" s="1" t="s">
        <v>74</v>
      </c>
      <c r="I289" s="1" t="s">
        <v>3107</v>
      </c>
      <c r="J289" s="1" t="s">
        <v>1966</v>
      </c>
      <c r="K289" s="1" t="s">
        <v>74</v>
      </c>
      <c r="L289" s="1" t="s">
        <v>74</v>
      </c>
      <c r="M289" s="1" t="s">
        <v>74</v>
      </c>
      <c r="N289" s="1" t="s">
        <v>74</v>
      </c>
      <c r="O289" s="1" t="s">
        <v>74</v>
      </c>
      <c r="P289" s="1" t="s">
        <v>74</v>
      </c>
      <c r="Q289" s="1" t="s">
        <v>74</v>
      </c>
      <c r="R289" s="1" t="s">
        <v>74</v>
      </c>
      <c r="S289" s="1" t="s">
        <v>74</v>
      </c>
      <c r="T289" s="1" t="s">
        <v>74</v>
      </c>
      <c r="U289" s="1" t="s">
        <v>74</v>
      </c>
      <c r="V289" s="1" t="s">
        <v>3108</v>
      </c>
      <c r="W289" s="1" t="s">
        <v>74</v>
      </c>
      <c r="X289" s="1" t="s">
        <v>74</v>
      </c>
      <c r="Y289" s="1" t="s">
        <v>74</v>
      </c>
      <c r="Z289" s="1" t="s">
        <v>74</v>
      </c>
      <c r="AA289" s="1" t="s">
        <v>3109</v>
      </c>
      <c r="AB289" s="1" t="s">
        <v>3110</v>
      </c>
      <c r="AC289" s="1" t="s">
        <v>74</v>
      </c>
      <c r="AD289" s="1" t="s">
        <v>74</v>
      </c>
      <c r="AE289" s="1" t="s">
        <v>74</v>
      </c>
      <c r="AF289" s="1" t="s">
        <v>74</v>
      </c>
      <c r="AG289" s="1" t="s">
        <v>74</v>
      </c>
      <c r="AH289" s="1" t="s">
        <v>74</v>
      </c>
      <c r="AI289" s="1" t="s">
        <v>74</v>
      </c>
      <c r="AJ289" s="1" t="s">
        <v>74</v>
      </c>
      <c r="AK289" s="1" t="s">
        <v>74</v>
      </c>
      <c r="AL289" s="1" t="s">
        <v>74</v>
      </c>
      <c r="AM289" s="1" t="s">
        <v>74</v>
      </c>
      <c r="AN289" s="1" t="s">
        <v>74</v>
      </c>
      <c r="AO289" s="1" t="s">
        <v>3111</v>
      </c>
      <c r="AP289" s="1" t="s">
        <v>3112</v>
      </c>
      <c r="AQ289" s="1" t="s">
        <v>74</v>
      </c>
      <c r="AR289" s="1" t="s">
        <v>74</v>
      </c>
      <c r="AS289" s="1" t="s">
        <v>74</v>
      </c>
      <c r="AT289" s="1" t="s">
        <v>3113</v>
      </c>
      <c r="AU289" s="1">
        <v>2018.0</v>
      </c>
      <c r="AV289" s="1">
        <v>98.0</v>
      </c>
      <c r="AW289" s="1">
        <v>2.0</v>
      </c>
      <c r="AX289" s="1" t="s">
        <v>74</v>
      </c>
      <c r="AY289" s="1" t="s">
        <v>74</v>
      </c>
      <c r="AZ289" s="1" t="s">
        <v>74</v>
      </c>
      <c r="BA289" s="1" t="s">
        <v>74</v>
      </c>
      <c r="BB289" s="1" t="s">
        <v>74</v>
      </c>
      <c r="BC289" s="1" t="s">
        <v>74</v>
      </c>
      <c r="BD289" s="1">
        <v>23827.0</v>
      </c>
      <c r="BE289" s="1" t="s">
        <v>3114</v>
      </c>
      <c r="BF289" s="2" t="str">
        <f>HYPERLINK("http://dx.doi.org/10.1103/PhysRevA.98.023827","http://dx.doi.org/10.1103/PhysRevA.98.023827")</f>
        <v>http://dx.doi.org/10.1103/PhysRevA.98.023827</v>
      </c>
      <c r="BG289" s="1" t="s">
        <v>74</v>
      </c>
      <c r="BH289" s="1" t="s">
        <v>74</v>
      </c>
      <c r="BI289" s="1" t="s">
        <v>74</v>
      </c>
      <c r="BJ289" s="1" t="s">
        <v>74</v>
      </c>
      <c r="BK289" s="1" t="s">
        <v>74</v>
      </c>
      <c r="BL289" s="1" t="s">
        <v>74</v>
      </c>
      <c r="BM289" s="1" t="s">
        <v>74</v>
      </c>
      <c r="BN289" s="1" t="s">
        <v>74</v>
      </c>
      <c r="BO289" s="1" t="s">
        <v>74</v>
      </c>
      <c r="BP289" s="1" t="s">
        <v>74</v>
      </c>
      <c r="BQ289" s="1" t="s">
        <v>74</v>
      </c>
      <c r="BR289" s="1" t="s">
        <v>74</v>
      </c>
      <c r="BS289" s="1" t="s">
        <v>3115</v>
      </c>
      <c r="BT289" s="1" t="str">
        <f>HYPERLINK("https%3A%2F%2Fwww.webofscience.com%2Fwos%2Fwoscc%2Ffull-record%2FWOS:000441461000022","View Full Record in Web of Science")</f>
        <v>View Full Record in Web of Science</v>
      </c>
    </row>
    <row r="290" ht="12.75" customHeight="1">
      <c r="A290" s="1" t="s">
        <v>72</v>
      </c>
      <c r="B290" s="1" t="s">
        <v>3116</v>
      </c>
      <c r="C290" s="1" t="s">
        <v>74</v>
      </c>
      <c r="D290" s="1" t="s">
        <v>74</v>
      </c>
      <c r="E290" s="1" t="s">
        <v>74</v>
      </c>
      <c r="F290" s="1" t="s">
        <v>3117</v>
      </c>
      <c r="G290" s="1" t="s">
        <v>74</v>
      </c>
      <c r="H290" s="1" t="s">
        <v>74</v>
      </c>
      <c r="I290" s="1" t="s">
        <v>3118</v>
      </c>
      <c r="J290" s="1" t="s">
        <v>2886</v>
      </c>
      <c r="K290" s="1" t="s">
        <v>74</v>
      </c>
      <c r="L290" s="1" t="s">
        <v>74</v>
      </c>
      <c r="M290" s="1" t="s">
        <v>74</v>
      </c>
      <c r="N290" s="1" t="s">
        <v>74</v>
      </c>
      <c r="O290" s="1" t="s">
        <v>74</v>
      </c>
      <c r="P290" s="1" t="s">
        <v>74</v>
      </c>
      <c r="Q290" s="1" t="s">
        <v>74</v>
      </c>
      <c r="R290" s="1" t="s">
        <v>74</v>
      </c>
      <c r="S290" s="1" t="s">
        <v>74</v>
      </c>
      <c r="T290" s="1" t="s">
        <v>74</v>
      </c>
      <c r="U290" s="1" t="s">
        <v>74</v>
      </c>
      <c r="V290" s="1" t="s">
        <v>3119</v>
      </c>
      <c r="W290" s="1" t="s">
        <v>74</v>
      </c>
      <c r="X290" s="1" t="s">
        <v>74</v>
      </c>
      <c r="Y290" s="1" t="s">
        <v>74</v>
      </c>
      <c r="Z290" s="1" t="s">
        <v>74</v>
      </c>
      <c r="AA290" s="1" t="s">
        <v>3120</v>
      </c>
      <c r="AB290" s="1" t="s">
        <v>3121</v>
      </c>
      <c r="AC290" s="1" t="s">
        <v>74</v>
      </c>
      <c r="AD290" s="1" t="s">
        <v>74</v>
      </c>
      <c r="AE290" s="1" t="s">
        <v>74</v>
      </c>
      <c r="AF290" s="1" t="s">
        <v>74</v>
      </c>
      <c r="AG290" s="1" t="s">
        <v>74</v>
      </c>
      <c r="AH290" s="1" t="s">
        <v>74</v>
      </c>
      <c r="AI290" s="1" t="s">
        <v>74</v>
      </c>
      <c r="AJ290" s="1" t="s">
        <v>74</v>
      </c>
      <c r="AK290" s="1" t="s">
        <v>74</v>
      </c>
      <c r="AL290" s="1" t="s">
        <v>74</v>
      </c>
      <c r="AM290" s="1" t="s">
        <v>74</v>
      </c>
      <c r="AN290" s="1" t="s">
        <v>74</v>
      </c>
      <c r="AO290" s="1" t="s">
        <v>2890</v>
      </c>
      <c r="AP290" s="1" t="s">
        <v>74</v>
      </c>
      <c r="AQ290" s="1" t="s">
        <v>74</v>
      </c>
      <c r="AR290" s="1" t="s">
        <v>74</v>
      </c>
      <c r="AS290" s="1" t="s">
        <v>74</v>
      </c>
      <c r="AT290" s="1" t="s">
        <v>3122</v>
      </c>
      <c r="AU290" s="1">
        <v>2018.0</v>
      </c>
      <c r="AV290" s="1">
        <v>9.0</v>
      </c>
      <c r="AW290" s="1" t="s">
        <v>74</v>
      </c>
      <c r="AX290" s="1" t="s">
        <v>74</v>
      </c>
      <c r="AY290" s="1" t="s">
        <v>74</v>
      </c>
      <c r="AZ290" s="1" t="s">
        <v>74</v>
      </c>
      <c r="BA290" s="1" t="s">
        <v>74</v>
      </c>
      <c r="BB290" s="1" t="s">
        <v>74</v>
      </c>
      <c r="BC290" s="1" t="s">
        <v>74</v>
      </c>
      <c r="BD290" s="1">
        <v>994.0</v>
      </c>
      <c r="BE290" s="1" t="s">
        <v>3123</v>
      </c>
      <c r="BF290" s="2" t="str">
        <f>HYPERLINK("http://dx.doi.org/10.3389/fpls.2018.00994","http://dx.doi.org/10.3389/fpls.2018.00994")</f>
        <v>http://dx.doi.org/10.3389/fpls.2018.00994</v>
      </c>
      <c r="BG290" s="1" t="s">
        <v>74</v>
      </c>
      <c r="BH290" s="1" t="s">
        <v>74</v>
      </c>
      <c r="BI290" s="1" t="s">
        <v>74</v>
      </c>
      <c r="BJ290" s="1" t="s">
        <v>74</v>
      </c>
      <c r="BK290" s="1" t="s">
        <v>74</v>
      </c>
      <c r="BL290" s="1" t="s">
        <v>74</v>
      </c>
      <c r="BM290" s="1" t="s">
        <v>74</v>
      </c>
      <c r="BN290" s="1">
        <v>3.0105038E7</v>
      </c>
      <c r="BO290" s="1" t="s">
        <v>74</v>
      </c>
      <c r="BP290" s="1" t="s">
        <v>74</v>
      </c>
      <c r="BQ290" s="1" t="s">
        <v>74</v>
      </c>
      <c r="BR290" s="1" t="s">
        <v>74</v>
      </c>
      <c r="BS290" s="1" t="s">
        <v>3124</v>
      </c>
      <c r="BT290" s="1" t="str">
        <f>HYPERLINK("https%3A%2F%2Fwww.webofscience.com%2Fwos%2Fwoscc%2Ffull-record%2FWOS:000440151800001","View Full Record in Web of Science")</f>
        <v>View Full Record in Web of Science</v>
      </c>
    </row>
    <row r="291" ht="12.75" customHeight="1">
      <c r="A291" s="1" t="s">
        <v>72</v>
      </c>
      <c r="B291" s="1" t="s">
        <v>3125</v>
      </c>
      <c r="C291" s="1" t="s">
        <v>74</v>
      </c>
      <c r="D291" s="1" t="s">
        <v>74</v>
      </c>
      <c r="E291" s="1" t="s">
        <v>74</v>
      </c>
      <c r="F291" s="1" t="s">
        <v>3126</v>
      </c>
      <c r="G291" s="1" t="s">
        <v>74</v>
      </c>
      <c r="H291" s="1" t="s">
        <v>74</v>
      </c>
      <c r="I291" s="1" t="s">
        <v>3127</v>
      </c>
      <c r="J291" s="1" t="s">
        <v>3097</v>
      </c>
      <c r="K291" s="1" t="s">
        <v>74</v>
      </c>
      <c r="L291" s="1" t="s">
        <v>74</v>
      </c>
      <c r="M291" s="1" t="s">
        <v>74</v>
      </c>
      <c r="N291" s="1" t="s">
        <v>74</v>
      </c>
      <c r="O291" s="1" t="s">
        <v>74</v>
      </c>
      <c r="P291" s="1" t="s">
        <v>74</v>
      </c>
      <c r="Q291" s="1" t="s">
        <v>74</v>
      </c>
      <c r="R291" s="1" t="s">
        <v>74</v>
      </c>
      <c r="S291" s="1" t="s">
        <v>74</v>
      </c>
      <c r="T291" s="1" t="s">
        <v>74</v>
      </c>
      <c r="U291" s="1" t="s">
        <v>74</v>
      </c>
      <c r="V291" s="1" t="s">
        <v>3128</v>
      </c>
      <c r="W291" s="1" t="s">
        <v>74</v>
      </c>
      <c r="X291" s="1" t="s">
        <v>74</v>
      </c>
      <c r="Y291" s="1" t="s">
        <v>74</v>
      </c>
      <c r="Z291" s="1" t="s">
        <v>74</v>
      </c>
      <c r="AA291" s="1" t="s">
        <v>3129</v>
      </c>
      <c r="AB291" s="1" t="s">
        <v>74</v>
      </c>
      <c r="AC291" s="1" t="s">
        <v>74</v>
      </c>
      <c r="AD291" s="1" t="s">
        <v>74</v>
      </c>
      <c r="AE291" s="1" t="s">
        <v>74</v>
      </c>
      <c r="AF291" s="1" t="s">
        <v>74</v>
      </c>
      <c r="AG291" s="1" t="s">
        <v>74</v>
      </c>
      <c r="AH291" s="1" t="s">
        <v>74</v>
      </c>
      <c r="AI291" s="1" t="s">
        <v>74</v>
      </c>
      <c r="AJ291" s="1" t="s">
        <v>74</v>
      </c>
      <c r="AK291" s="1" t="s">
        <v>74</v>
      </c>
      <c r="AL291" s="1" t="s">
        <v>74</v>
      </c>
      <c r="AM291" s="1" t="s">
        <v>74</v>
      </c>
      <c r="AN291" s="1" t="s">
        <v>74</v>
      </c>
      <c r="AO291" s="1" t="s">
        <v>3101</v>
      </c>
      <c r="AP291" s="1" t="s">
        <v>3130</v>
      </c>
      <c r="AQ291" s="1" t="s">
        <v>74</v>
      </c>
      <c r="AR291" s="1" t="s">
        <v>74</v>
      </c>
      <c r="AS291" s="1" t="s">
        <v>74</v>
      </c>
      <c r="AT291" s="1" t="s">
        <v>74</v>
      </c>
      <c r="AU291" s="1">
        <v>2018.0</v>
      </c>
      <c r="AV291" s="1">
        <v>42.0</v>
      </c>
      <c r="AW291" s="1" t="s">
        <v>74</v>
      </c>
      <c r="AX291" s="1" t="s">
        <v>74</v>
      </c>
      <c r="AY291" s="1" t="s">
        <v>74</v>
      </c>
      <c r="AZ291" s="1" t="s">
        <v>74</v>
      </c>
      <c r="BA291" s="1" t="s">
        <v>74</v>
      </c>
      <c r="BB291" s="1" t="s">
        <v>74</v>
      </c>
      <c r="BC291" s="1" t="s">
        <v>74</v>
      </c>
      <c r="BD291" s="1" t="s">
        <v>3131</v>
      </c>
      <c r="BE291" s="1" t="s">
        <v>3132</v>
      </c>
      <c r="BF291" s="2" t="str">
        <f>HYPERLINK("http://dx.doi.org/10.26633/RPSP.2018.60","http://dx.doi.org/10.26633/RPSP.2018.60")</f>
        <v>http://dx.doi.org/10.26633/RPSP.2018.60</v>
      </c>
      <c r="BG291" s="1" t="s">
        <v>74</v>
      </c>
      <c r="BH291" s="1" t="s">
        <v>74</v>
      </c>
      <c r="BI291" s="1" t="s">
        <v>74</v>
      </c>
      <c r="BJ291" s="1" t="s">
        <v>74</v>
      </c>
      <c r="BK291" s="1" t="s">
        <v>74</v>
      </c>
      <c r="BL291" s="1" t="s">
        <v>74</v>
      </c>
      <c r="BM291" s="1" t="s">
        <v>74</v>
      </c>
      <c r="BN291" s="1" t="s">
        <v>74</v>
      </c>
      <c r="BO291" s="1" t="s">
        <v>74</v>
      </c>
      <c r="BP291" s="1" t="s">
        <v>74</v>
      </c>
      <c r="BQ291" s="1" t="s">
        <v>74</v>
      </c>
      <c r="BR291" s="1" t="s">
        <v>74</v>
      </c>
      <c r="BS291" s="1" t="s">
        <v>3133</v>
      </c>
      <c r="BT291" s="1" t="str">
        <f>HYPERLINK("https%3A%2F%2Fwww.webofscience.com%2Fwos%2Fwoscc%2Ffull-record%2FWOS:000441147400040","View Full Record in Web of Science")</f>
        <v>View Full Record in Web of Science</v>
      </c>
    </row>
    <row r="292" ht="12.75" customHeight="1">
      <c r="A292" s="1" t="s">
        <v>742</v>
      </c>
      <c r="B292" s="1" t="s">
        <v>3134</v>
      </c>
      <c r="C292" s="1" t="s">
        <v>74</v>
      </c>
      <c r="D292" s="1" t="s">
        <v>3135</v>
      </c>
      <c r="E292" s="1" t="s">
        <v>74</v>
      </c>
      <c r="F292" s="1" t="s">
        <v>3136</v>
      </c>
      <c r="G292" s="1" t="s">
        <v>74</v>
      </c>
      <c r="H292" s="1" t="s">
        <v>74</v>
      </c>
      <c r="I292" s="1" t="s">
        <v>3137</v>
      </c>
      <c r="J292" s="1" t="s">
        <v>3138</v>
      </c>
      <c r="K292" s="1" t="s">
        <v>3139</v>
      </c>
      <c r="L292" s="1" t="s">
        <v>74</v>
      </c>
      <c r="M292" s="1" t="s">
        <v>74</v>
      </c>
      <c r="N292" s="1" t="s">
        <v>74</v>
      </c>
      <c r="O292" s="1" t="s">
        <v>74</v>
      </c>
      <c r="P292" s="1" t="s">
        <v>74</v>
      </c>
      <c r="Q292" s="1" t="s">
        <v>74</v>
      </c>
      <c r="R292" s="1" t="s">
        <v>74</v>
      </c>
      <c r="S292" s="1" t="s">
        <v>74</v>
      </c>
      <c r="T292" s="1" t="s">
        <v>74</v>
      </c>
      <c r="U292" s="1" t="s">
        <v>74</v>
      </c>
      <c r="V292" s="1" t="s">
        <v>74</v>
      </c>
      <c r="W292" s="1" t="s">
        <v>74</v>
      </c>
      <c r="X292" s="1" t="s">
        <v>74</v>
      </c>
      <c r="Y292" s="1" t="s">
        <v>74</v>
      </c>
      <c r="Z292" s="1" t="s">
        <v>74</v>
      </c>
      <c r="AA292" s="1" t="s">
        <v>74</v>
      </c>
      <c r="AB292" s="1" t="s">
        <v>74</v>
      </c>
      <c r="AC292" s="1" t="s">
        <v>74</v>
      </c>
      <c r="AD292" s="1" t="s">
        <v>74</v>
      </c>
      <c r="AE292" s="1" t="s">
        <v>74</v>
      </c>
      <c r="AF292" s="1" t="s">
        <v>74</v>
      </c>
      <c r="AG292" s="1" t="s">
        <v>74</v>
      </c>
      <c r="AH292" s="1" t="s">
        <v>74</v>
      </c>
      <c r="AI292" s="1" t="s">
        <v>74</v>
      </c>
      <c r="AJ292" s="1" t="s">
        <v>74</v>
      </c>
      <c r="AK292" s="1" t="s">
        <v>74</v>
      </c>
      <c r="AL292" s="1" t="s">
        <v>74</v>
      </c>
      <c r="AM292" s="1" t="s">
        <v>74</v>
      </c>
      <c r="AN292" s="1" t="s">
        <v>74</v>
      </c>
      <c r="AO292" s="1" t="s">
        <v>74</v>
      </c>
      <c r="AP292" s="1" t="s">
        <v>74</v>
      </c>
      <c r="AQ292" s="1" t="s">
        <v>3140</v>
      </c>
      <c r="AR292" s="1" t="s">
        <v>74</v>
      </c>
      <c r="AS292" s="1" t="s">
        <v>74</v>
      </c>
      <c r="AT292" s="1" t="s">
        <v>74</v>
      </c>
      <c r="AU292" s="1">
        <v>2018.0</v>
      </c>
      <c r="AV292" s="1" t="s">
        <v>74</v>
      </c>
      <c r="AW292" s="1" t="s">
        <v>74</v>
      </c>
      <c r="AX292" s="1" t="s">
        <v>74</v>
      </c>
      <c r="AY292" s="1" t="s">
        <v>74</v>
      </c>
      <c r="AZ292" s="1" t="s">
        <v>74</v>
      </c>
      <c r="BA292" s="1" t="s">
        <v>74</v>
      </c>
      <c r="BB292" s="1">
        <v>207.0</v>
      </c>
      <c r="BC292" s="1">
        <v>219.0</v>
      </c>
      <c r="BD292" s="1" t="s">
        <v>74</v>
      </c>
      <c r="BE292" s="1" t="s">
        <v>74</v>
      </c>
      <c r="BF292" s="1" t="s">
        <v>74</v>
      </c>
      <c r="BG292" s="1" t="s">
        <v>74</v>
      </c>
      <c r="BH292" s="1" t="s">
        <v>74</v>
      </c>
      <c r="BI292" s="1" t="s">
        <v>74</v>
      </c>
      <c r="BJ292" s="1" t="s">
        <v>74</v>
      </c>
      <c r="BK292" s="1" t="s">
        <v>74</v>
      </c>
      <c r="BL292" s="1" t="s">
        <v>74</v>
      </c>
      <c r="BM292" s="1" t="s">
        <v>74</v>
      </c>
      <c r="BN292" s="1" t="s">
        <v>74</v>
      </c>
      <c r="BO292" s="1" t="s">
        <v>74</v>
      </c>
      <c r="BP292" s="1" t="s">
        <v>74</v>
      </c>
      <c r="BQ292" s="1" t="s">
        <v>74</v>
      </c>
      <c r="BR292" s="1" t="s">
        <v>74</v>
      </c>
      <c r="BS292" s="1" t="s">
        <v>3141</v>
      </c>
      <c r="BT292" s="1" t="str">
        <f>HYPERLINK("https%3A%2F%2Fwww.webofscience.com%2Fwos%2Fwoscc%2Ffull-record%2FWOS:000448454900012","View Full Record in Web of Science")</f>
        <v>View Full Record in Web of Science</v>
      </c>
    </row>
    <row r="293" ht="12.75" customHeight="1">
      <c r="A293" s="1" t="s">
        <v>72</v>
      </c>
      <c r="B293" s="1" t="s">
        <v>3142</v>
      </c>
      <c r="C293" s="1" t="s">
        <v>74</v>
      </c>
      <c r="D293" s="1" t="s">
        <v>74</v>
      </c>
      <c r="E293" s="1" t="s">
        <v>74</v>
      </c>
      <c r="F293" s="1" t="s">
        <v>3143</v>
      </c>
      <c r="G293" s="1" t="s">
        <v>74</v>
      </c>
      <c r="H293" s="1" t="s">
        <v>74</v>
      </c>
      <c r="I293" s="1" t="s">
        <v>3144</v>
      </c>
      <c r="J293" s="1" t="s">
        <v>3145</v>
      </c>
      <c r="K293" s="1" t="s">
        <v>74</v>
      </c>
      <c r="L293" s="1" t="s">
        <v>74</v>
      </c>
      <c r="M293" s="1" t="s">
        <v>74</v>
      </c>
      <c r="N293" s="1" t="s">
        <v>74</v>
      </c>
      <c r="O293" s="1" t="s">
        <v>74</v>
      </c>
      <c r="P293" s="1" t="s">
        <v>74</v>
      </c>
      <c r="Q293" s="1" t="s">
        <v>74</v>
      </c>
      <c r="R293" s="1" t="s">
        <v>74</v>
      </c>
      <c r="S293" s="1" t="s">
        <v>74</v>
      </c>
      <c r="T293" s="1" t="s">
        <v>74</v>
      </c>
      <c r="U293" s="1" t="s">
        <v>74</v>
      </c>
      <c r="V293" s="1" t="s">
        <v>3146</v>
      </c>
      <c r="W293" s="1" t="s">
        <v>74</v>
      </c>
      <c r="X293" s="1" t="s">
        <v>74</v>
      </c>
      <c r="Y293" s="1" t="s">
        <v>74</v>
      </c>
      <c r="Z293" s="1" t="s">
        <v>74</v>
      </c>
      <c r="AA293" s="1" t="s">
        <v>3147</v>
      </c>
      <c r="AB293" s="1" t="s">
        <v>3148</v>
      </c>
      <c r="AC293" s="1" t="s">
        <v>74</v>
      </c>
      <c r="AD293" s="1" t="s">
        <v>74</v>
      </c>
      <c r="AE293" s="1" t="s">
        <v>74</v>
      </c>
      <c r="AF293" s="1" t="s">
        <v>74</v>
      </c>
      <c r="AG293" s="1" t="s">
        <v>74</v>
      </c>
      <c r="AH293" s="1" t="s">
        <v>74</v>
      </c>
      <c r="AI293" s="1" t="s">
        <v>74</v>
      </c>
      <c r="AJ293" s="1" t="s">
        <v>74</v>
      </c>
      <c r="AK293" s="1" t="s">
        <v>74</v>
      </c>
      <c r="AL293" s="1" t="s">
        <v>74</v>
      </c>
      <c r="AM293" s="1" t="s">
        <v>74</v>
      </c>
      <c r="AN293" s="1" t="s">
        <v>74</v>
      </c>
      <c r="AO293" s="1" t="s">
        <v>3149</v>
      </c>
      <c r="AP293" s="1" t="s">
        <v>3150</v>
      </c>
      <c r="AQ293" s="1" t="s">
        <v>74</v>
      </c>
      <c r="AR293" s="1" t="s">
        <v>74</v>
      </c>
      <c r="AS293" s="1" t="s">
        <v>74</v>
      </c>
      <c r="AT293" s="1" t="s">
        <v>123</v>
      </c>
      <c r="AU293" s="1">
        <v>2016.0</v>
      </c>
      <c r="AV293" s="1">
        <v>57.0</v>
      </c>
      <c r="AW293" s="1">
        <v>6.0</v>
      </c>
      <c r="AX293" s="1" t="s">
        <v>74</v>
      </c>
      <c r="AY293" s="1" t="s">
        <v>74</v>
      </c>
      <c r="AZ293" s="1" t="s">
        <v>74</v>
      </c>
      <c r="BA293" s="1" t="s">
        <v>74</v>
      </c>
      <c r="BB293" s="1">
        <v>1338.0</v>
      </c>
      <c r="BC293" s="1">
        <v>1344.0</v>
      </c>
      <c r="BD293" s="1" t="s">
        <v>74</v>
      </c>
      <c r="BE293" s="1" t="s">
        <v>3151</v>
      </c>
      <c r="BF293" s="2" t="str">
        <f>HYPERLINK("http://dx.doi.org/10.1016/j.asr.2015.08.038","http://dx.doi.org/10.1016/j.asr.2015.08.038")</f>
        <v>http://dx.doi.org/10.1016/j.asr.2015.08.038</v>
      </c>
      <c r="BG293" s="1" t="s">
        <v>74</v>
      </c>
      <c r="BH293" s="1" t="s">
        <v>74</v>
      </c>
      <c r="BI293" s="1" t="s">
        <v>74</v>
      </c>
      <c r="BJ293" s="1" t="s">
        <v>74</v>
      </c>
      <c r="BK293" s="1" t="s">
        <v>74</v>
      </c>
      <c r="BL293" s="1" t="s">
        <v>74</v>
      </c>
      <c r="BM293" s="1" t="s">
        <v>74</v>
      </c>
      <c r="BN293" s="1" t="s">
        <v>74</v>
      </c>
      <c r="BO293" s="1" t="s">
        <v>74</v>
      </c>
      <c r="BP293" s="1" t="s">
        <v>74</v>
      </c>
      <c r="BQ293" s="1" t="s">
        <v>74</v>
      </c>
      <c r="BR293" s="1" t="s">
        <v>74</v>
      </c>
      <c r="BS293" s="1" t="s">
        <v>3152</v>
      </c>
      <c r="BT293" s="1" t="str">
        <f>HYPERLINK("https%3A%2F%2Fwww.webofscience.com%2Fwos%2Fwoscc%2Ffull-record%2FWOS:000372681800008","View Full Record in Web of Science")</f>
        <v>View Full Record in Web of Science</v>
      </c>
    </row>
    <row r="294" ht="12.75" customHeight="1">
      <c r="A294" s="1" t="s">
        <v>72</v>
      </c>
      <c r="B294" s="1" t="s">
        <v>3153</v>
      </c>
      <c r="C294" s="1" t="s">
        <v>74</v>
      </c>
      <c r="D294" s="1" t="s">
        <v>74</v>
      </c>
      <c r="E294" s="1" t="s">
        <v>74</v>
      </c>
      <c r="F294" s="1" t="s">
        <v>3154</v>
      </c>
      <c r="G294" s="1" t="s">
        <v>74</v>
      </c>
      <c r="H294" s="1" t="s">
        <v>74</v>
      </c>
      <c r="I294" s="1" t="s">
        <v>3155</v>
      </c>
      <c r="J294" s="1" t="s">
        <v>3156</v>
      </c>
      <c r="K294" s="1" t="s">
        <v>74</v>
      </c>
      <c r="L294" s="1" t="s">
        <v>74</v>
      </c>
      <c r="M294" s="1" t="s">
        <v>74</v>
      </c>
      <c r="N294" s="1" t="s">
        <v>74</v>
      </c>
      <c r="O294" s="1" t="s">
        <v>74</v>
      </c>
      <c r="P294" s="1" t="s">
        <v>74</v>
      </c>
      <c r="Q294" s="1" t="s">
        <v>74</v>
      </c>
      <c r="R294" s="1" t="s">
        <v>74</v>
      </c>
      <c r="S294" s="1" t="s">
        <v>74</v>
      </c>
      <c r="T294" s="1" t="s">
        <v>74</v>
      </c>
      <c r="U294" s="1" t="s">
        <v>74</v>
      </c>
      <c r="V294" s="1" t="s">
        <v>3157</v>
      </c>
      <c r="W294" s="1" t="s">
        <v>74</v>
      </c>
      <c r="X294" s="1" t="s">
        <v>74</v>
      </c>
      <c r="Y294" s="1" t="s">
        <v>74</v>
      </c>
      <c r="Z294" s="1" t="s">
        <v>74</v>
      </c>
      <c r="AA294" s="1" t="s">
        <v>3158</v>
      </c>
      <c r="AB294" s="1" t="s">
        <v>3159</v>
      </c>
      <c r="AC294" s="1" t="s">
        <v>74</v>
      </c>
      <c r="AD294" s="1" t="s">
        <v>74</v>
      </c>
      <c r="AE294" s="1" t="s">
        <v>74</v>
      </c>
      <c r="AF294" s="1" t="s">
        <v>74</v>
      </c>
      <c r="AG294" s="1" t="s">
        <v>74</v>
      </c>
      <c r="AH294" s="1" t="s">
        <v>74</v>
      </c>
      <c r="AI294" s="1" t="s">
        <v>74</v>
      </c>
      <c r="AJ294" s="1" t="s">
        <v>74</v>
      </c>
      <c r="AK294" s="1" t="s">
        <v>74</v>
      </c>
      <c r="AL294" s="1" t="s">
        <v>74</v>
      </c>
      <c r="AM294" s="1" t="s">
        <v>74</v>
      </c>
      <c r="AN294" s="1" t="s">
        <v>74</v>
      </c>
      <c r="AO294" s="1" t="s">
        <v>3160</v>
      </c>
      <c r="AP294" s="1" t="s">
        <v>3161</v>
      </c>
      <c r="AQ294" s="1" t="s">
        <v>74</v>
      </c>
      <c r="AR294" s="1" t="s">
        <v>74</v>
      </c>
      <c r="AS294" s="1" t="s">
        <v>74</v>
      </c>
      <c r="AT294" s="1" t="s">
        <v>164</v>
      </c>
      <c r="AU294" s="1">
        <v>2015.0</v>
      </c>
      <c r="AV294" s="1">
        <v>21.0</v>
      </c>
      <c r="AW294" s="1">
        <v>5.0</v>
      </c>
      <c r="AX294" s="1" t="s">
        <v>74</v>
      </c>
      <c r="AY294" s="1" t="s">
        <v>74</v>
      </c>
      <c r="AZ294" s="1" t="s">
        <v>74</v>
      </c>
      <c r="BA294" s="1" t="s">
        <v>74</v>
      </c>
      <c r="BB294" s="1">
        <v>332.0</v>
      </c>
      <c r="BC294" s="1">
        <v>341.0</v>
      </c>
      <c r="BD294" s="1" t="s">
        <v>74</v>
      </c>
      <c r="BE294" s="1" t="s">
        <v>3162</v>
      </c>
      <c r="BF294" s="2" t="str">
        <f>HYPERLINK("http://dx.doi.org/10.1177/1082013214535944","http://dx.doi.org/10.1177/1082013214535944")</f>
        <v>http://dx.doi.org/10.1177/1082013214535944</v>
      </c>
      <c r="BG294" s="1" t="s">
        <v>74</v>
      </c>
      <c r="BH294" s="1" t="s">
        <v>74</v>
      </c>
      <c r="BI294" s="1" t="s">
        <v>74</v>
      </c>
      <c r="BJ294" s="1" t="s">
        <v>74</v>
      </c>
      <c r="BK294" s="1" t="s">
        <v>74</v>
      </c>
      <c r="BL294" s="1" t="s">
        <v>74</v>
      </c>
      <c r="BM294" s="1" t="s">
        <v>74</v>
      </c>
      <c r="BN294" s="1">
        <v>2.4831643E7</v>
      </c>
      <c r="BO294" s="1" t="s">
        <v>74</v>
      </c>
      <c r="BP294" s="1" t="s">
        <v>74</v>
      </c>
      <c r="BQ294" s="1" t="s">
        <v>74</v>
      </c>
      <c r="BR294" s="1" t="s">
        <v>74</v>
      </c>
      <c r="BS294" s="1" t="s">
        <v>3163</v>
      </c>
      <c r="BT294" s="1" t="str">
        <f>HYPERLINK("https%3A%2F%2Fwww.webofscience.com%2Fwos%2Fwoscc%2Ffull-record%2FWOS:000355758900002","View Full Record in Web of Science")</f>
        <v>View Full Record in Web of Science</v>
      </c>
    </row>
    <row r="295" ht="12.75" customHeight="1">
      <c r="A295" s="1" t="s">
        <v>72</v>
      </c>
      <c r="B295" s="1" t="s">
        <v>3164</v>
      </c>
      <c r="C295" s="1" t="s">
        <v>74</v>
      </c>
      <c r="D295" s="1" t="s">
        <v>74</v>
      </c>
      <c r="E295" s="1" t="s">
        <v>74</v>
      </c>
      <c r="F295" s="1" t="s">
        <v>3165</v>
      </c>
      <c r="G295" s="1" t="s">
        <v>74</v>
      </c>
      <c r="H295" s="1" t="s">
        <v>74</v>
      </c>
      <c r="I295" s="1" t="s">
        <v>3166</v>
      </c>
      <c r="J295" s="1" t="s">
        <v>107</v>
      </c>
      <c r="K295" s="1" t="s">
        <v>74</v>
      </c>
      <c r="L295" s="1" t="s">
        <v>74</v>
      </c>
      <c r="M295" s="1" t="s">
        <v>74</v>
      </c>
      <c r="N295" s="1" t="s">
        <v>74</v>
      </c>
      <c r="O295" s="1" t="s">
        <v>74</v>
      </c>
      <c r="P295" s="1" t="s">
        <v>74</v>
      </c>
      <c r="Q295" s="1" t="s">
        <v>74</v>
      </c>
      <c r="R295" s="1" t="s">
        <v>74</v>
      </c>
      <c r="S295" s="1" t="s">
        <v>74</v>
      </c>
      <c r="T295" s="1" t="s">
        <v>74</v>
      </c>
      <c r="U295" s="1" t="s">
        <v>74</v>
      </c>
      <c r="V295" s="1" t="s">
        <v>3167</v>
      </c>
      <c r="W295" s="1" t="s">
        <v>74</v>
      </c>
      <c r="X295" s="1" t="s">
        <v>74</v>
      </c>
      <c r="Y295" s="1" t="s">
        <v>74</v>
      </c>
      <c r="Z295" s="1" t="s">
        <v>74</v>
      </c>
      <c r="AA295" s="1" t="s">
        <v>3168</v>
      </c>
      <c r="AB295" s="1" t="s">
        <v>3169</v>
      </c>
      <c r="AC295" s="1" t="s">
        <v>74</v>
      </c>
      <c r="AD295" s="1" t="s">
        <v>74</v>
      </c>
      <c r="AE295" s="1" t="s">
        <v>74</v>
      </c>
      <c r="AF295" s="1" t="s">
        <v>74</v>
      </c>
      <c r="AG295" s="1" t="s">
        <v>74</v>
      </c>
      <c r="AH295" s="1" t="s">
        <v>74</v>
      </c>
      <c r="AI295" s="1" t="s">
        <v>74</v>
      </c>
      <c r="AJ295" s="1" t="s">
        <v>74</v>
      </c>
      <c r="AK295" s="1" t="s">
        <v>74</v>
      </c>
      <c r="AL295" s="1" t="s">
        <v>74</v>
      </c>
      <c r="AM295" s="1" t="s">
        <v>74</v>
      </c>
      <c r="AN295" s="1" t="s">
        <v>74</v>
      </c>
      <c r="AO295" s="1" t="s">
        <v>110</v>
      </c>
      <c r="AP295" s="1" t="s">
        <v>563</v>
      </c>
      <c r="AQ295" s="1" t="s">
        <v>74</v>
      </c>
      <c r="AR295" s="1" t="s">
        <v>74</v>
      </c>
      <c r="AS295" s="1" t="s">
        <v>74</v>
      </c>
      <c r="AT295" s="1" t="s">
        <v>153</v>
      </c>
      <c r="AU295" s="1">
        <v>2015.0</v>
      </c>
      <c r="AV295" s="1">
        <v>175.0</v>
      </c>
      <c r="AW295" s="1" t="s">
        <v>74</v>
      </c>
      <c r="AX295" s="1" t="s">
        <v>74</v>
      </c>
      <c r="AY295" s="1" t="s">
        <v>74</v>
      </c>
      <c r="AZ295" s="1" t="s">
        <v>74</v>
      </c>
      <c r="BA295" s="1" t="s">
        <v>74</v>
      </c>
      <c r="BB295" s="1">
        <v>25.0</v>
      </c>
      <c r="BC295" s="1">
        <v>28.0</v>
      </c>
      <c r="BD295" s="1" t="s">
        <v>74</v>
      </c>
      <c r="BE295" s="1" t="s">
        <v>3170</v>
      </c>
      <c r="BF295" s="2" t="str">
        <f>HYPERLINK("http://dx.doi.org/10.1016/j.foodchem.2014.11.126","http://dx.doi.org/10.1016/j.foodchem.2014.11.126")</f>
        <v>http://dx.doi.org/10.1016/j.foodchem.2014.11.126</v>
      </c>
      <c r="BG295" s="1" t="s">
        <v>74</v>
      </c>
      <c r="BH295" s="1" t="s">
        <v>74</v>
      </c>
      <c r="BI295" s="1" t="s">
        <v>74</v>
      </c>
      <c r="BJ295" s="1" t="s">
        <v>74</v>
      </c>
      <c r="BK295" s="1" t="s">
        <v>74</v>
      </c>
      <c r="BL295" s="1" t="s">
        <v>74</v>
      </c>
      <c r="BM295" s="1" t="s">
        <v>74</v>
      </c>
      <c r="BN295" s="1">
        <v>2.5577046E7</v>
      </c>
      <c r="BO295" s="1" t="s">
        <v>74</v>
      </c>
      <c r="BP295" s="1" t="s">
        <v>74</v>
      </c>
      <c r="BQ295" s="1" t="s">
        <v>74</v>
      </c>
      <c r="BR295" s="1" t="s">
        <v>74</v>
      </c>
      <c r="BS295" s="1" t="s">
        <v>3171</v>
      </c>
      <c r="BT295" s="1" t="str">
        <f>HYPERLINK("https%3A%2F%2Fwww.webofscience.com%2Fwos%2Fwoscc%2Ffull-record%2FWOS:000348878500004","View Full Record in Web of Science")</f>
        <v>View Full Record in Web of Science</v>
      </c>
    </row>
    <row r="296" ht="12.75" customHeight="1">
      <c r="A296" s="1" t="s">
        <v>72</v>
      </c>
      <c r="B296" s="1" t="s">
        <v>3172</v>
      </c>
      <c r="C296" s="1" t="s">
        <v>74</v>
      </c>
      <c r="D296" s="1" t="s">
        <v>74</v>
      </c>
      <c r="E296" s="1" t="s">
        <v>74</v>
      </c>
      <c r="F296" s="1" t="s">
        <v>3173</v>
      </c>
      <c r="G296" s="1" t="s">
        <v>74</v>
      </c>
      <c r="H296" s="1" t="s">
        <v>74</v>
      </c>
      <c r="I296" s="1" t="s">
        <v>3174</v>
      </c>
      <c r="J296" s="1" t="s">
        <v>3175</v>
      </c>
      <c r="K296" s="1" t="s">
        <v>74</v>
      </c>
      <c r="L296" s="1" t="s">
        <v>74</v>
      </c>
      <c r="M296" s="1" t="s">
        <v>74</v>
      </c>
      <c r="N296" s="1" t="s">
        <v>74</v>
      </c>
      <c r="O296" s="1" t="s">
        <v>74</v>
      </c>
      <c r="P296" s="1" t="s">
        <v>74</v>
      </c>
      <c r="Q296" s="1" t="s">
        <v>74</v>
      </c>
      <c r="R296" s="1" t="s">
        <v>74</v>
      </c>
      <c r="S296" s="1" t="s">
        <v>74</v>
      </c>
      <c r="T296" s="1" t="s">
        <v>74</v>
      </c>
      <c r="U296" s="1" t="s">
        <v>74</v>
      </c>
      <c r="V296" s="1" t="s">
        <v>3176</v>
      </c>
      <c r="W296" s="1" t="s">
        <v>74</v>
      </c>
      <c r="X296" s="1" t="s">
        <v>74</v>
      </c>
      <c r="Y296" s="1" t="s">
        <v>74</v>
      </c>
      <c r="Z296" s="1" t="s">
        <v>74</v>
      </c>
      <c r="AA296" s="1" t="s">
        <v>3177</v>
      </c>
      <c r="AB296" s="1" t="s">
        <v>3178</v>
      </c>
      <c r="AC296" s="1" t="s">
        <v>74</v>
      </c>
      <c r="AD296" s="1" t="s">
        <v>74</v>
      </c>
      <c r="AE296" s="1" t="s">
        <v>74</v>
      </c>
      <c r="AF296" s="1" t="s">
        <v>74</v>
      </c>
      <c r="AG296" s="1" t="s">
        <v>74</v>
      </c>
      <c r="AH296" s="1" t="s">
        <v>74</v>
      </c>
      <c r="AI296" s="1" t="s">
        <v>74</v>
      </c>
      <c r="AJ296" s="1" t="s">
        <v>74</v>
      </c>
      <c r="AK296" s="1" t="s">
        <v>74</v>
      </c>
      <c r="AL296" s="1" t="s">
        <v>74</v>
      </c>
      <c r="AM296" s="1" t="s">
        <v>74</v>
      </c>
      <c r="AN296" s="1" t="s">
        <v>74</v>
      </c>
      <c r="AO296" s="1" t="s">
        <v>3179</v>
      </c>
      <c r="AP296" s="1" t="s">
        <v>3180</v>
      </c>
      <c r="AQ296" s="1" t="s">
        <v>74</v>
      </c>
      <c r="AR296" s="1" t="s">
        <v>74</v>
      </c>
      <c r="AS296" s="1" t="s">
        <v>74</v>
      </c>
      <c r="AT296" s="1" t="s">
        <v>1213</v>
      </c>
      <c r="AU296" s="1">
        <v>2014.0</v>
      </c>
      <c r="AV296" s="1">
        <v>71.0</v>
      </c>
      <c r="AW296" s="1">
        <v>1.0</v>
      </c>
      <c r="AX296" s="1" t="s">
        <v>74</v>
      </c>
      <c r="AY296" s="1" t="s">
        <v>74</v>
      </c>
      <c r="AZ296" s="1" t="s">
        <v>74</v>
      </c>
      <c r="BA296" s="1" t="s">
        <v>74</v>
      </c>
      <c r="BB296" s="1">
        <v>987.0</v>
      </c>
      <c r="BC296" s="1">
        <v>993.0</v>
      </c>
      <c r="BD296" s="1" t="s">
        <v>74</v>
      </c>
      <c r="BE296" s="1" t="s">
        <v>3181</v>
      </c>
      <c r="BF296" s="2" t="str">
        <f>HYPERLINK("http://dx.doi.org/10.1007/s11069-013-0904-7","http://dx.doi.org/10.1007/s11069-013-0904-7")</f>
        <v>http://dx.doi.org/10.1007/s11069-013-0904-7</v>
      </c>
      <c r="BG296" s="1" t="s">
        <v>74</v>
      </c>
      <c r="BH296" s="1" t="s">
        <v>74</v>
      </c>
      <c r="BI296" s="1" t="s">
        <v>74</v>
      </c>
      <c r="BJ296" s="1" t="s">
        <v>74</v>
      </c>
      <c r="BK296" s="1" t="s">
        <v>74</v>
      </c>
      <c r="BL296" s="1" t="s">
        <v>74</v>
      </c>
      <c r="BM296" s="1" t="s">
        <v>74</v>
      </c>
      <c r="BN296" s="1" t="s">
        <v>74</v>
      </c>
      <c r="BO296" s="1" t="s">
        <v>74</v>
      </c>
      <c r="BP296" s="1" t="s">
        <v>74</v>
      </c>
      <c r="BQ296" s="1" t="s">
        <v>74</v>
      </c>
      <c r="BR296" s="1" t="s">
        <v>74</v>
      </c>
      <c r="BS296" s="1" t="s">
        <v>3182</v>
      </c>
      <c r="BT296" s="1" t="str">
        <f>HYPERLINK("https%3A%2F%2Fwww.webofscience.com%2Fwos%2Fwoscc%2Ffull-record%2FWOS:000331395900048","View Full Record in Web of Science")</f>
        <v>View Full Record in Web of Science</v>
      </c>
    </row>
    <row r="297" ht="12.75" customHeight="1">
      <c r="A297" s="1" t="s">
        <v>72</v>
      </c>
      <c r="B297" s="1" t="s">
        <v>3183</v>
      </c>
      <c r="C297" s="1" t="s">
        <v>74</v>
      </c>
      <c r="D297" s="1" t="s">
        <v>74</v>
      </c>
      <c r="E297" s="1" t="s">
        <v>74</v>
      </c>
      <c r="F297" s="1" t="s">
        <v>3184</v>
      </c>
      <c r="G297" s="1" t="s">
        <v>74</v>
      </c>
      <c r="H297" s="1" t="s">
        <v>74</v>
      </c>
      <c r="I297" s="1" t="s">
        <v>3185</v>
      </c>
      <c r="J297" s="1" t="s">
        <v>3186</v>
      </c>
      <c r="K297" s="1" t="s">
        <v>74</v>
      </c>
      <c r="L297" s="1" t="s">
        <v>74</v>
      </c>
      <c r="M297" s="1" t="s">
        <v>74</v>
      </c>
      <c r="N297" s="1" t="s">
        <v>74</v>
      </c>
      <c r="O297" s="1" t="s">
        <v>74</v>
      </c>
      <c r="P297" s="1" t="s">
        <v>74</v>
      </c>
      <c r="Q297" s="1" t="s">
        <v>74</v>
      </c>
      <c r="R297" s="1" t="s">
        <v>74</v>
      </c>
      <c r="S297" s="1" t="s">
        <v>74</v>
      </c>
      <c r="T297" s="1" t="s">
        <v>74</v>
      </c>
      <c r="U297" s="1" t="s">
        <v>74</v>
      </c>
      <c r="V297" s="1" t="s">
        <v>3187</v>
      </c>
      <c r="W297" s="1" t="s">
        <v>74</v>
      </c>
      <c r="X297" s="1" t="s">
        <v>74</v>
      </c>
      <c r="Y297" s="1" t="s">
        <v>74</v>
      </c>
      <c r="Z297" s="1" t="s">
        <v>74</v>
      </c>
      <c r="AA297" s="1" t="s">
        <v>74</v>
      </c>
      <c r="AB297" s="1" t="s">
        <v>74</v>
      </c>
      <c r="AC297" s="1" t="s">
        <v>74</v>
      </c>
      <c r="AD297" s="1" t="s">
        <v>74</v>
      </c>
      <c r="AE297" s="1" t="s">
        <v>74</v>
      </c>
      <c r="AF297" s="1" t="s">
        <v>74</v>
      </c>
      <c r="AG297" s="1" t="s">
        <v>74</v>
      </c>
      <c r="AH297" s="1" t="s">
        <v>74</v>
      </c>
      <c r="AI297" s="1" t="s">
        <v>74</v>
      </c>
      <c r="AJ297" s="1" t="s">
        <v>74</v>
      </c>
      <c r="AK297" s="1" t="s">
        <v>74</v>
      </c>
      <c r="AL297" s="1" t="s">
        <v>74</v>
      </c>
      <c r="AM297" s="1" t="s">
        <v>74</v>
      </c>
      <c r="AN297" s="1" t="s">
        <v>74</v>
      </c>
      <c r="AO297" s="1" t="s">
        <v>3188</v>
      </c>
      <c r="AP297" s="1" t="s">
        <v>3189</v>
      </c>
      <c r="AQ297" s="1" t="s">
        <v>74</v>
      </c>
      <c r="AR297" s="1" t="s">
        <v>74</v>
      </c>
      <c r="AS297" s="1" t="s">
        <v>74</v>
      </c>
      <c r="AT297" s="1" t="s">
        <v>2530</v>
      </c>
      <c r="AU297" s="1">
        <v>2013.0</v>
      </c>
      <c r="AV297" s="1">
        <v>56.0</v>
      </c>
      <c r="AW297" s="1" t="s">
        <v>74</v>
      </c>
      <c r="AX297" s="1" t="s">
        <v>74</v>
      </c>
      <c r="AY297" s="1" t="s">
        <v>74</v>
      </c>
      <c r="AZ297" s="1" t="s">
        <v>74</v>
      </c>
      <c r="BA297" s="1" t="s">
        <v>74</v>
      </c>
      <c r="BB297" s="1">
        <v>108.0</v>
      </c>
      <c r="BC297" s="1">
        <v>116.0</v>
      </c>
      <c r="BD297" s="1" t="s">
        <v>74</v>
      </c>
      <c r="BE297" s="1" t="s">
        <v>3190</v>
      </c>
      <c r="BF297" s="2" t="str">
        <f>HYPERLINK("http://dx.doi.org/10.1016/j.energy.2013.04.068","http://dx.doi.org/10.1016/j.energy.2013.04.068")</f>
        <v>http://dx.doi.org/10.1016/j.energy.2013.04.068</v>
      </c>
      <c r="BG297" s="1" t="s">
        <v>74</v>
      </c>
      <c r="BH297" s="1" t="s">
        <v>74</v>
      </c>
      <c r="BI297" s="1" t="s">
        <v>74</v>
      </c>
      <c r="BJ297" s="1" t="s">
        <v>74</v>
      </c>
      <c r="BK297" s="1" t="s">
        <v>74</v>
      </c>
      <c r="BL297" s="1" t="s">
        <v>74</v>
      </c>
      <c r="BM297" s="1" t="s">
        <v>74</v>
      </c>
      <c r="BN297" s="1" t="s">
        <v>74</v>
      </c>
      <c r="BO297" s="1" t="s">
        <v>74</v>
      </c>
      <c r="BP297" s="1" t="s">
        <v>74</v>
      </c>
      <c r="BQ297" s="1" t="s">
        <v>74</v>
      </c>
      <c r="BR297" s="1" t="s">
        <v>74</v>
      </c>
      <c r="BS297" s="1" t="s">
        <v>3191</v>
      </c>
      <c r="BT297" s="1" t="str">
        <f>HYPERLINK("https%3A%2F%2Fwww.webofscience.com%2Fwos%2Fwoscc%2Ffull-record%2FWOS:000321230800012","View Full Record in Web of Science")</f>
        <v>View Full Record in Web of Science</v>
      </c>
    </row>
    <row r="298" ht="12.75" customHeight="1">
      <c r="A298" s="1" t="s">
        <v>72</v>
      </c>
      <c r="B298" s="1" t="s">
        <v>3192</v>
      </c>
      <c r="C298" s="1" t="s">
        <v>74</v>
      </c>
      <c r="D298" s="1" t="s">
        <v>74</v>
      </c>
      <c r="E298" s="1" t="s">
        <v>74</v>
      </c>
      <c r="F298" s="1" t="s">
        <v>3193</v>
      </c>
      <c r="G298" s="1" t="s">
        <v>74</v>
      </c>
      <c r="H298" s="1" t="s">
        <v>74</v>
      </c>
      <c r="I298" s="1" t="s">
        <v>3194</v>
      </c>
      <c r="J298" s="1" t="s">
        <v>2573</v>
      </c>
      <c r="K298" s="1" t="s">
        <v>74</v>
      </c>
      <c r="L298" s="1" t="s">
        <v>74</v>
      </c>
      <c r="M298" s="1" t="s">
        <v>74</v>
      </c>
      <c r="N298" s="1" t="s">
        <v>74</v>
      </c>
      <c r="O298" s="1" t="s">
        <v>74</v>
      </c>
      <c r="P298" s="1" t="s">
        <v>74</v>
      </c>
      <c r="Q298" s="1" t="s">
        <v>74</v>
      </c>
      <c r="R298" s="1" t="s">
        <v>74</v>
      </c>
      <c r="S298" s="1" t="s">
        <v>74</v>
      </c>
      <c r="T298" s="1" t="s">
        <v>74</v>
      </c>
      <c r="U298" s="1" t="s">
        <v>74</v>
      </c>
      <c r="V298" s="1" t="s">
        <v>3195</v>
      </c>
      <c r="W298" s="1" t="s">
        <v>74</v>
      </c>
      <c r="X298" s="1" t="s">
        <v>74</v>
      </c>
      <c r="Y298" s="1" t="s">
        <v>74</v>
      </c>
      <c r="Z298" s="1" t="s">
        <v>74</v>
      </c>
      <c r="AA298" s="1" t="s">
        <v>3196</v>
      </c>
      <c r="AB298" s="1" t="s">
        <v>3197</v>
      </c>
      <c r="AC298" s="1" t="s">
        <v>74</v>
      </c>
      <c r="AD298" s="1" t="s">
        <v>74</v>
      </c>
      <c r="AE298" s="1" t="s">
        <v>74</v>
      </c>
      <c r="AF298" s="1" t="s">
        <v>74</v>
      </c>
      <c r="AG298" s="1" t="s">
        <v>74</v>
      </c>
      <c r="AH298" s="1" t="s">
        <v>74</v>
      </c>
      <c r="AI298" s="1" t="s">
        <v>74</v>
      </c>
      <c r="AJ298" s="1" t="s">
        <v>74</v>
      </c>
      <c r="AK298" s="1" t="s">
        <v>74</v>
      </c>
      <c r="AL298" s="1" t="s">
        <v>74</v>
      </c>
      <c r="AM298" s="1" t="s">
        <v>74</v>
      </c>
      <c r="AN298" s="1" t="s">
        <v>74</v>
      </c>
      <c r="AO298" s="1" t="s">
        <v>2577</v>
      </c>
      <c r="AP298" s="1" t="s">
        <v>74</v>
      </c>
      <c r="AQ298" s="1" t="s">
        <v>74</v>
      </c>
      <c r="AR298" s="1" t="s">
        <v>74</v>
      </c>
      <c r="AS298" s="1" t="s">
        <v>74</v>
      </c>
      <c r="AT298" s="1" t="s">
        <v>485</v>
      </c>
      <c r="AU298" s="1">
        <v>2012.0</v>
      </c>
      <c r="AV298" s="1">
        <v>11.0</v>
      </c>
      <c r="AW298" s="1">
        <v>3.0</v>
      </c>
      <c r="AX298" s="1" t="s">
        <v>74</v>
      </c>
      <c r="AY298" s="1" t="s">
        <v>74</v>
      </c>
      <c r="AZ298" s="1" t="s">
        <v>74</v>
      </c>
      <c r="BA298" s="1" t="s">
        <v>74</v>
      </c>
      <c r="BB298" s="1">
        <v>278.0</v>
      </c>
      <c r="BC298" s="1">
        <v>284.0</v>
      </c>
      <c r="BD298" s="1" t="s">
        <v>74</v>
      </c>
      <c r="BE298" s="1" t="s">
        <v>74</v>
      </c>
      <c r="BF298" s="1" t="s">
        <v>74</v>
      </c>
      <c r="BG298" s="1" t="s">
        <v>74</v>
      </c>
      <c r="BH298" s="1" t="s">
        <v>74</v>
      </c>
      <c r="BI298" s="1" t="s">
        <v>74</v>
      </c>
      <c r="BJ298" s="1" t="s">
        <v>74</v>
      </c>
      <c r="BK298" s="1" t="s">
        <v>74</v>
      </c>
      <c r="BL298" s="1" t="s">
        <v>74</v>
      </c>
      <c r="BM298" s="1" t="s">
        <v>74</v>
      </c>
      <c r="BN298" s="1" t="s">
        <v>74</v>
      </c>
      <c r="BO298" s="1" t="s">
        <v>74</v>
      </c>
      <c r="BP298" s="1" t="s">
        <v>74</v>
      </c>
      <c r="BQ298" s="1" t="s">
        <v>74</v>
      </c>
      <c r="BR298" s="1" t="s">
        <v>74</v>
      </c>
      <c r="BS298" s="1" t="s">
        <v>3198</v>
      </c>
      <c r="BT298" s="1" t="str">
        <f>HYPERLINK("https%3A%2F%2Fwww.webofscience.com%2Fwos%2Fwoscc%2Ffull-record%2FWOS:000304713000009","View Full Record in Web of Science")</f>
        <v>View Full Record in Web of Science</v>
      </c>
    </row>
    <row r="299" ht="12.75" customHeight="1">
      <c r="A299" s="1" t="s">
        <v>86</v>
      </c>
      <c r="B299" s="1" t="s">
        <v>3199</v>
      </c>
      <c r="C299" s="1" t="s">
        <v>74</v>
      </c>
      <c r="D299" s="1" t="s">
        <v>3200</v>
      </c>
      <c r="E299" s="1" t="s">
        <v>74</v>
      </c>
      <c r="F299" s="1" t="s">
        <v>3201</v>
      </c>
      <c r="G299" s="1" t="s">
        <v>74</v>
      </c>
      <c r="H299" s="1" t="s">
        <v>74</v>
      </c>
      <c r="I299" s="1" t="s">
        <v>3202</v>
      </c>
      <c r="J299" s="1" t="s">
        <v>3203</v>
      </c>
      <c r="K299" s="1" t="s">
        <v>3204</v>
      </c>
      <c r="L299" s="1" t="s">
        <v>74</v>
      </c>
      <c r="M299" s="1" t="s">
        <v>74</v>
      </c>
      <c r="N299" s="1" t="s">
        <v>74</v>
      </c>
      <c r="O299" s="1" t="s">
        <v>3205</v>
      </c>
      <c r="P299" s="1" t="s">
        <v>3206</v>
      </c>
      <c r="Q299" s="1" t="s">
        <v>3207</v>
      </c>
      <c r="R299" s="1" t="s">
        <v>3208</v>
      </c>
      <c r="S299" s="1" t="s">
        <v>74</v>
      </c>
      <c r="T299" s="1" t="s">
        <v>74</v>
      </c>
      <c r="U299" s="1" t="s">
        <v>74</v>
      </c>
      <c r="V299" s="1" t="s">
        <v>3209</v>
      </c>
      <c r="W299" s="1" t="s">
        <v>74</v>
      </c>
      <c r="X299" s="1" t="s">
        <v>74</v>
      </c>
      <c r="Y299" s="1" t="s">
        <v>74</v>
      </c>
      <c r="Z299" s="1" t="s">
        <v>74</v>
      </c>
      <c r="AA299" s="1" t="s">
        <v>3210</v>
      </c>
      <c r="AB299" s="1" t="s">
        <v>3211</v>
      </c>
      <c r="AC299" s="1" t="s">
        <v>74</v>
      </c>
      <c r="AD299" s="1" t="s">
        <v>74</v>
      </c>
      <c r="AE299" s="1" t="s">
        <v>74</v>
      </c>
      <c r="AF299" s="1" t="s">
        <v>74</v>
      </c>
      <c r="AG299" s="1" t="s">
        <v>74</v>
      </c>
      <c r="AH299" s="1" t="s">
        <v>74</v>
      </c>
      <c r="AI299" s="1" t="s">
        <v>74</v>
      </c>
      <c r="AJ299" s="1" t="s">
        <v>74</v>
      </c>
      <c r="AK299" s="1" t="s">
        <v>74</v>
      </c>
      <c r="AL299" s="1" t="s">
        <v>74</v>
      </c>
      <c r="AM299" s="1" t="s">
        <v>74</v>
      </c>
      <c r="AN299" s="1" t="s">
        <v>74</v>
      </c>
      <c r="AO299" s="1" t="s">
        <v>3212</v>
      </c>
      <c r="AP299" s="1" t="s">
        <v>74</v>
      </c>
      <c r="AQ299" s="1" t="s">
        <v>3213</v>
      </c>
      <c r="AR299" s="1" t="s">
        <v>74</v>
      </c>
      <c r="AS299" s="1" t="s">
        <v>74</v>
      </c>
      <c r="AT299" s="1" t="s">
        <v>74</v>
      </c>
      <c r="AU299" s="1">
        <v>2009.0</v>
      </c>
      <c r="AV299" s="1">
        <v>1088.0</v>
      </c>
      <c r="AW299" s="1" t="s">
        <v>74</v>
      </c>
      <c r="AX299" s="1" t="s">
        <v>74</v>
      </c>
      <c r="AY299" s="1" t="s">
        <v>74</v>
      </c>
      <c r="AZ299" s="1" t="s">
        <v>74</v>
      </c>
      <c r="BA299" s="1" t="s">
        <v>74</v>
      </c>
      <c r="BB299" s="1">
        <v>219.0</v>
      </c>
      <c r="BC299" s="1" t="s">
        <v>142</v>
      </c>
      <c r="BD299" s="1" t="s">
        <v>74</v>
      </c>
      <c r="BE299" s="1" t="s">
        <v>74</v>
      </c>
      <c r="BF299" s="1" t="s">
        <v>74</v>
      </c>
      <c r="BG299" s="1" t="s">
        <v>74</v>
      </c>
      <c r="BH299" s="1" t="s">
        <v>74</v>
      </c>
      <c r="BI299" s="1" t="s">
        <v>74</v>
      </c>
      <c r="BJ299" s="1" t="s">
        <v>74</v>
      </c>
      <c r="BK299" s="1" t="s">
        <v>74</v>
      </c>
      <c r="BL299" s="1" t="s">
        <v>74</v>
      </c>
      <c r="BM299" s="1" t="s">
        <v>74</v>
      </c>
      <c r="BN299" s="1" t="s">
        <v>74</v>
      </c>
      <c r="BO299" s="1" t="s">
        <v>74</v>
      </c>
      <c r="BP299" s="1" t="s">
        <v>74</v>
      </c>
      <c r="BQ299" s="1" t="s">
        <v>74</v>
      </c>
      <c r="BR299" s="1" t="s">
        <v>74</v>
      </c>
      <c r="BS299" s="1" t="s">
        <v>3214</v>
      </c>
      <c r="BT299" s="1" t="str">
        <f>HYPERLINK("https%3A%2F%2Fwww.webofscience.com%2Fwos%2Fwoscc%2Ffull-record%2FWOS:000265177700050","View Full Record in Web of Science")</f>
        <v>View Full Record in Web of Science</v>
      </c>
    </row>
    <row r="300" ht="12.75" customHeight="1">
      <c r="A300" s="1" t="s">
        <v>72</v>
      </c>
      <c r="B300" s="1" t="s">
        <v>3215</v>
      </c>
      <c r="C300" s="1" t="s">
        <v>74</v>
      </c>
      <c r="D300" s="1" t="s">
        <v>74</v>
      </c>
      <c r="E300" s="1" t="s">
        <v>74</v>
      </c>
      <c r="F300" s="1" t="s">
        <v>3216</v>
      </c>
      <c r="G300" s="1" t="s">
        <v>74</v>
      </c>
      <c r="H300" s="1" t="s">
        <v>74</v>
      </c>
      <c r="I300" s="1" t="s">
        <v>3217</v>
      </c>
      <c r="J300" s="1" t="s">
        <v>3218</v>
      </c>
      <c r="K300" s="1" t="s">
        <v>74</v>
      </c>
      <c r="L300" s="1" t="s">
        <v>74</v>
      </c>
      <c r="M300" s="1" t="s">
        <v>74</v>
      </c>
      <c r="N300" s="1" t="s">
        <v>74</v>
      </c>
      <c r="O300" s="1" t="s">
        <v>74</v>
      </c>
      <c r="P300" s="1" t="s">
        <v>74</v>
      </c>
      <c r="Q300" s="1" t="s">
        <v>74</v>
      </c>
      <c r="R300" s="1" t="s">
        <v>74</v>
      </c>
      <c r="S300" s="1" t="s">
        <v>74</v>
      </c>
      <c r="T300" s="1" t="s">
        <v>74</v>
      </c>
      <c r="U300" s="1" t="s">
        <v>74</v>
      </c>
      <c r="V300" s="1" t="s">
        <v>3219</v>
      </c>
      <c r="W300" s="1" t="s">
        <v>74</v>
      </c>
      <c r="X300" s="1" t="s">
        <v>74</v>
      </c>
      <c r="Y300" s="1" t="s">
        <v>74</v>
      </c>
      <c r="Z300" s="1" t="s">
        <v>74</v>
      </c>
      <c r="AA300" s="1" t="s">
        <v>3220</v>
      </c>
      <c r="AB300" s="1" t="s">
        <v>3221</v>
      </c>
      <c r="AC300" s="1" t="s">
        <v>74</v>
      </c>
      <c r="AD300" s="1" t="s">
        <v>74</v>
      </c>
      <c r="AE300" s="1" t="s">
        <v>74</v>
      </c>
      <c r="AF300" s="1" t="s">
        <v>74</v>
      </c>
      <c r="AG300" s="1" t="s">
        <v>74</v>
      </c>
      <c r="AH300" s="1" t="s">
        <v>74</v>
      </c>
      <c r="AI300" s="1" t="s">
        <v>74</v>
      </c>
      <c r="AJ300" s="1" t="s">
        <v>74</v>
      </c>
      <c r="AK300" s="1" t="s">
        <v>74</v>
      </c>
      <c r="AL300" s="1" t="s">
        <v>74</v>
      </c>
      <c r="AM300" s="1" t="s">
        <v>74</v>
      </c>
      <c r="AN300" s="1" t="s">
        <v>74</v>
      </c>
      <c r="AO300" s="1" t="s">
        <v>3222</v>
      </c>
      <c r="AP300" s="1" t="s">
        <v>3223</v>
      </c>
      <c r="AQ300" s="1" t="s">
        <v>74</v>
      </c>
      <c r="AR300" s="1" t="s">
        <v>74</v>
      </c>
      <c r="AS300" s="1" t="s">
        <v>74</v>
      </c>
      <c r="AT300" s="1" t="s">
        <v>485</v>
      </c>
      <c r="AU300" s="1">
        <v>2007.0</v>
      </c>
      <c r="AV300" s="1">
        <v>75.0</v>
      </c>
      <c r="AW300" s="1">
        <v>18.0</v>
      </c>
      <c r="AX300" s="1" t="s">
        <v>74</v>
      </c>
      <c r="AY300" s="1" t="s">
        <v>74</v>
      </c>
      <c r="AZ300" s="1" t="s">
        <v>74</v>
      </c>
      <c r="BA300" s="1" t="s">
        <v>74</v>
      </c>
      <c r="BB300" s="1" t="s">
        <v>74</v>
      </c>
      <c r="BC300" s="1" t="s">
        <v>74</v>
      </c>
      <c r="BD300" s="1">
        <v>184429.0</v>
      </c>
      <c r="BE300" s="1" t="s">
        <v>3224</v>
      </c>
      <c r="BF300" s="2" t="str">
        <f>HYPERLINK("http://dx.doi.org/10.1103/PhysRevB.75.184429","http://dx.doi.org/10.1103/PhysRevB.75.184429")</f>
        <v>http://dx.doi.org/10.1103/PhysRevB.75.184429</v>
      </c>
      <c r="BG300" s="1" t="s">
        <v>74</v>
      </c>
      <c r="BH300" s="1" t="s">
        <v>74</v>
      </c>
      <c r="BI300" s="1" t="s">
        <v>74</v>
      </c>
      <c r="BJ300" s="1" t="s">
        <v>74</v>
      </c>
      <c r="BK300" s="1" t="s">
        <v>74</v>
      </c>
      <c r="BL300" s="1" t="s">
        <v>74</v>
      </c>
      <c r="BM300" s="1" t="s">
        <v>74</v>
      </c>
      <c r="BN300" s="1" t="s">
        <v>74</v>
      </c>
      <c r="BO300" s="1" t="s">
        <v>74</v>
      </c>
      <c r="BP300" s="1" t="s">
        <v>74</v>
      </c>
      <c r="BQ300" s="1" t="s">
        <v>74</v>
      </c>
      <c r="BR300" s="1" t="s">
        <v>74</v>
      </c>
      <c r="BS300" s="1" t="s">
        <v>3225</v>
      </c>
      <c r="BT300" s="1" t="str">
        <f>HYPERLINK("https%3A%2F%2Fwww.webofscience.com%2Fwos%2Fwoscc%2Ffull-record%2FWOS:000246890600067","View Full Record in Web of Science")</f>
        <v>View Full Record in Web of Science</v>
      </c>
    </row>
    <row r="301" ht="12.75" customHeight="1">
      <c r="A301" s="1" t="s">
        <v>72</v>
      </c>
      <c r="B301" s="1" t="s">
        <v>3226</v>
      </c>
      <c r="C301" s="1" t="s">
        <v>74</v>
      </c>
      <c r="D301" s="1" t="s">
        <v>74</v>
      </c>
      <c r="E301" s="1" t="s">
        <v>74</v>
      </c>
      <c r="F301" s="1" t="s">
        <v>3226</v>
      </c>
      <c r="G301" s="1" t="s">
        <v>74</v>
      </c>
      <c r="H301" s="1" t="s">
        <v>74</v>
      </c>
      <c r="I301" s="1" t="s">
        <v>3227</v>
      </c>
      <c r="J301" s="1" t="s">
        <v>3228</v>
      </c>
      <c r="K301" s="1" t="s">
        <v>74</v>
      </c>
      <c r="L301" s="1" t="s">
        <v>74</v>
      </c>
      <c r="M301" s="1" t="s">
        <v>74</v>
      </c>
      <c r="N301" s="1" t="s">
        <v>74</v>
      </c>
      <c r="O301" s="1" t="s">
        <v>74</v>
      </c>
      <c r="P301" s="1" t="s">
        <v>74</v>
      </c>
      <c r="Q301" s="1" t="s">
        <v>74</v>
      </c>
      <c r="R301" s="1" t="s">
        <v>74</v>
      </c>
      <c r="S301" s="1" t="s">
        <v>74</v>
      </c>
      <c r="T301" s="1" t="s">
        <v>74</v>
      </c>
      <c r="U301" s="1" t="s">
        <v>74</v>
      </c>
      <c r="V301" s="1" t="s">
        <v>3229</v>
      </c>
      <c r="W301" s="1" t="s">
        <v>74</v>
      </c>
      <c r="X301" s="1" t="s">
        <v>74</v>
      </c>
      <c r="Y301" s="1" t="s">
        <v>74</v>
      </c>
      <c r="Z301" s="1" t="s">
        <v>74</v>
      </c>
      <c r="AA301" s="1" t="s">
        <v>3230</v>
      </c>
      <c r="AB301" s="1" t="s">
        <v>3231</v>
      </c>
      <c r="AC301" s="1" t="s">
        <v>74</v>
      </c>
      <c r="AD301" s="1" t="s">
        <v>74</v>
      </c>
      <c r="AE301" s="1" t="s">
        <v>74</v>
      </c>
      <c r="AF301" s="1" t="s">
        <v>74</v>
      </c>
      <c r="AG301" s="1" t="s">
        <v>74</v>
      </c>
      <c r="AH301" s="1" t="s">
        <v>74</v>
      </c>
      <c r="AI301" s="1" t="s">
        <v>74</v>
      </c>
      <c r="AJ301" s="1" t="s">
        <v>74</v>
      </c>
      <c r="AK301" s="1" t="s">
        <v>74</v>
      </c>
      <c r="AL301" s="1" t="s">
        <v>74</v>
      </c>
      <c r="AM301" s="1" t="s">
        <v>74</v>
      </c>
      <c r="AN301" s="1" t="s">
        <v>74</v>
      </c>
      <c r="AO301" s="1" t="s">
        <v>3232</v>
      </c>
      <c r="AP301" s="1" t="s">
        <v>74</v>
      </c>
      <c r="AQ301" s="1" t="s">
        <v>74</v>
      </c>
      <c r="AR301" s="1" t="s">
        <v>74</v>
      </c>
      <c r="AS301" s="1" t="s">
        <v>74</v>
      </c>
      <c r="AT301" s="1" t="s">
        <v>164</v>
      </c>
      <c r="AU301" s="1">
        <v>2004.0</v>
      </c>
      <c r="AV301" s="1">
        <v>52.0</v>
      </c>
      <c r="AW301" s="1">
        <v>1.0</v>
      </c>
      <c r="AX301" s="1" t="s">
        <v>74</v>
      </c>
      <c r="AY301" s="1" t="s">
        <v>74</v>
      </c>
      <c r="AZ301" s="1" t="s">
        <v>74</v>
      </c>
      <c r="BA301" s="1" t="s">
        <v>74</v>
      </c>
      <c r="BB301" s="1">
        <v>53.0</v>
      </c>
      <c r="BC301" s="1">
        <v>59.0</v>
      </c>
      <c r="BD301" s="1" t="s">
        <v>74</v>
      </c>
      <c r="BE301" s="1" t="s">
        <v>3233</v>
      </c>
      <c r="BF301" s="2" t="str">
        <f>HYPERLINK("http://dx.doi.org/10.1111/j.1600-0897.2004.00182.x","http://dx.doi.org/10.1111/j.1600-0897.2004.00182.x")</f>
        <v>http://dx.doi.org/10.1111/j.1600-0897.2004.00182.x</v>
      </c>
      <c r="BG301" s="1" t="s">
        <v>74</v>
      </c>
      <c r="BH301" s="1" t="s">
        <v>74</v>
      </c>
      <c r="BI301" s="1" t="s">
        <v>74</v>
      </c>
      <c r="BJ301" s="1" t="s">
        <v>74</v>
      </c>
      <c r="BK301" s="1" t="s">
        <v>74</v>
      </c>
      <c r="BL301" s="1" t="s">
        <v>74</v>
      </c>
      <c r="BM301" s="1" t="s">
        <v>74</v>
      </c>
      <c r="BN301" s="1">
        <v>1.5214943E7</v>
      </c>
      <c r="BO301" s="1" t="s">
        <v>74</v>
      </c>
      <c r="BP301" s="1" t="s">
        <v>74</v>
      </c>
      <c r="BQ301" s="1" t="s">
        <v>74</v>
      </c>
      <c r="BR301" s="1" t="s">
        <v>74</v>
      </c>
      <c r="BS301" s="1" t="s">
        <v>3234</v>
      </c>
      <c r="BT301" s="1" t="str">
        <f>HYPERLINK("https%3A%2F%2Fwww.webofscience.com%2Fwos%2Fwoscc%2Ffull-record%2FWOS:000222259600008","View Full Record in Web of Science")</f>
        <v>View Full Record in Web of Science</v>
      </c>
    </row>
    <row r="302" ht="12.75" customHeight="1">
      <c r="A302" s="1" t="s">
        <v>72</v>
      </c>
      <c r="B302" s="1" t="s">
        <v>3235</v>
      </c>
      <c r="C302" s="1" t="s">
        <v>74</v>
      </c>
      <c r="D302" s="1" t="s">
        <v>74</v>
      </c>
      <c r="E302" s="1" t="s">
        <v>74</v>
      </c>
      <c r="F302" s="1" t="s">
        <v>3235</v>
      </c>
      <c r="G302" s="1" t="s">
        <v>74</v>
      </c>
      <c r="H302" s="1" t="s">
        <v>74</v>
      </c>
      <c r="I302" s="1" t="s">
        <v>3236</v>
      </c>
      <c r="J302" s="1" t="s">
        <v>302</v>
      </c>
      <c r="K302" s="1" t="s">
        <v>74</v>
      </c>
      <c r="L302" s="1" t="s">
        <v>74</v>
      </c>
      <c r="M302" s="1" t="s">
        <v>74</v>
      </c>
      <c r="N302" s="1" t="s">
        <v>74</v>
      </c>
      <c r="O302" s="1" t="s">
        <v>74</v>
      </c>
      <c r="P302" s="1" t="s">
        <v>74</v>
      </c>
      <c r="Q302" s="1" t="s">
        <v>74</v>
      </c>
      <c r="R302" s="1" t="s">
        <v>74</v>
      </c>
      <c r="S302" s="1" t="s">
        <v>74</v>
      </c>
      <c r="T302" s="1" t="s">
        <v>74</v>
      </c>
      <c r="U302" s="1" t="s">
        <v>74</v>
      </c>
      <c r="V302" s="1" t="s">
        <v>3237</v>
      </c>
      <c r="W302" s="1" t="s">
        <v>74</v>
      </c>
      <c r="X302" s="1" t="s">
        <v>74</v>
      </c>
      <c r="Y302" s="1" t="s">
        <v>74</v>
      </c>
      <c r="Z302" s="1" t="s">
        <v>74</v>
      </c>
      <c r="AA302" s="1" t="s">
        <v>3238</v>
      </c>
      <c r="AB302" s="1" t="s">
        <v>3239</v>
      </c>
      <c r="AC302" s="1" t="s">
        <v>74</v>
      </c>
      <c r="AD302" s="1" t="s">
        <v>74</v>
      </c>
      <c r="AE302" s="1" t="s">
        <v>74</v>
      </c>
      <c r="AF302" s="1" t="s">
        <v>74</v>
      </c>
      <c r="AG302" s="1" t="s">
        <v>74</v>
      </c>
      <c r="AH302" s="1" t="s">
        <v>74</v>
      </c>
      <c r="AI302" s="1" t="s">
        <v>74</v>
      </c>
      <c r="AJ302" s="1" t="s">
        <v>74</v>
      </c>
      <c r="AK302" s="1" t="s">
        <v>74</v>
      </c>
      <c r="AL302" s="1" t="s">
        <v>74</v>
      </c>
      <c r="AM302" s="1" t="s">
        <v>74</v>
      </c>
      <c r="AN302" s="1" t="s">
        <v>74</v>
      </c>
      <c r="AO302" s="1" t="s">
        <v>305</v>
      </c>
      <c r="AP302" s="1" t="s">
        <v>74</v>
      </c>
      <c r="AQ302" s="1" t="s">
        <v>74</v>
      </c>
      <c r="AR302" s="1" t="s">
        <v>74</v>
      </c>
      <c r="AS302" s="1" t="s">
        <v>74</v>
      </c>
      <c r="AT302" s="1" t="s">
        <v>1018</v>
      </c>
      <c r="AU302" s="1">
        <v>2003.0</v>
      </c>
      <c r="AV302" s="1">
        <v>131.0</v>
      </c>
      <c r="AW302" s="1">
        <v>8.0</v>
      </c>
      <c r="AX302" s="1" t="s">
        <v>74</v>
      </c>
      <c r="AY302" s="1" t="s">
        <v>74</v>
      </c>
      <c r="AZ302" s="1" t="s">
        <v>74</v>
      </c>
      <c r="BA302" s="1" t="s">
        <v>74</v>
      </c>
      <c r="BB302" s="1">
        <v>865.0</v>
      </c>
      <c r="BC302" s="1">
        <v>872.0</v>
      </c>
      <c r="BD302" s="1" t="s">
        <v>74</v>
      </c>
      <c r="BE302" s="1" t="s">
        <v>74</v>
      </c>
      <c r="BF302" s="1" t="s">
        <v>74</v>
      </c>
      <c r="BG302" s="1" t="s">
        <v>74</v>
      </c>
      <c r="BH302" s="1" t="s">
        <v>74</v>
      </c>
      <c r="BI302" s="1" t="s">
        <v>74</v>
      </c>
      <c r="BJ302" s="1" t="s">
        <v>74</v>
      </c>
      <c r="BK302" s="1" t="s">
        <v>74</v>
      </c>
      <c r="BL302" s="1" t="s">
        <v>74</v>
      </c>
      <c r="BM302" s="1" t="s">
        <v>74</v>
      </c>
      <c r="BN302" s="1">
        <v>1.455824E7</v>
      </c>
      <c r="BO302" s="1" t="s">
        <v>74</v>
      </c>
      <c r="BP302" s="1" t="s">
        <v>74</v>
      </c>
      <c r="BQ302" s="1" t="s">
        <v>74</v>
      </c>
      <c r="BR302" s="1" t="s">
        <v>74</v>
      </c>
      <c r="BS302" s="1" t="s">
        <v>3240</v>
      </c>
      <c r="BT302" s="1" t="str">
        <f>HYPERLINK("https%3A%2F%2Fwww.webofscience.com%2Fwos%2Fwoscc%2Ffull-record%2FWOS:000185683000005","View Full Record in Web of Science")</f>
        <v>View Full Record in Web of Science</v>
      </c>
    </row>
    <row r="303" ht="12.75" customHeight="1">
      <c r="A303" s="1" t="s">
        <v>72</v>
      </c>
      <c r="B303" s="1" t="s">
        <v>3241</v>
      </c>
      <c r="C303" s="1" t="s">
        <v>74</v>
      </c>
      <c r="D303" s="1" t="s">
        <v>74</v>
      </c>
      <c r="E303" s="1" t="s">
        <v>74</v>
      </c>
      <c r="F303" s="1" t="s">
        <v>3241</v>
      </c>
      <c r="G303" s="1" t="s">
        <v>74</v>
      </c>
      <c r="H303" s="1" t="s">
        <v>74</v>
      </c>
      <c r="I303" s="1" t="s">
        <v>3242</v>
      </c>
      <c r="J303" s="1" t="s">
        <v>1300</v>
      </c>
      <c r="K303" s="1" t="s">
        <v>74</v>
      </c>
      <c r="L303" s="1" t="s">
        <v>74</v>
      </c>
      <c r="M303" s="1" t="s">
        <v>74</v>
      </c>
      <c r="N303" s="1" t="s">
        <v>74</v>
      </c>
      <c r="O303" s="1" t="s">
        <v>74</v>
      </c>
      <c r="P303" s="1" t="s">
        <v>74</v>
      </c>
      <c r="Q303" s="1" t="s">
        <v>74</v>
      </c>
      <c r="R303" s="1" t="s">
        <v>74</v>
      </c>
      <c r="S303" s="1" t="s">
        <v>74</v>
      </c>
      <c r="T303" s="1" t="s">
        <v>74</v>
      </c>
      <c r="U303" s="1" t="s">
        <v>74</v>
      </c>
      <c r="V303" s="1" t="s">
        <v>3243</v>
      </c>
      <c r="W303" s="1" t="s">
        <v>74</v>
      </c>
      <c r="X303" s="1" t="s">
        <v>74</v>
      </c>
      <c r="Y303" s="1" t="s">
        <v>74</v>
      </c>
      <c r="Z303" s="1" t="s">
        <v>74</v>
      </c>
      <c r="AA303" s="1" t="s">
        <v>74</v>
      </c>
      <c r="AB303" s="1" t="s">
        <v>74</v>
      </c>
      <c r="AC303" s="1" t="s">
        <v>74</v>
      </c>
      <c r="AD303" s="1" t="s">
        <v>74</v>
      </c>
      <c r="AE303" s="1" t="s">
        <v>74</v>
      </c>
      <c r="AF303" s="1" t="s">
        <v>74</v>
      </c>
      <c r="AG303" s="1" t="s">
        <v>74</v>
      </c>
      <c r="AH303" s="1" t="s">
        <v>74</v>
      </c>
      <c r="AI303" s="1" t="s">
        <v>74</v>
      </c>
      <c r="AJ303" s="1" t="s">
        <v>74</v>
      </c>
      <c r="AK303" s="1" t="s">
        <v>74</v>
      </c>
      <c r="AL303" s="1" t="s">
        <v>74</v>
      </c>
      <c r="AM303" s="1" t="s">
        <v>74</v>
      </c>
      <c r="AN303" s="1" t="s">
        <v>74</v>
      </c>
      <c r="AO303" s="1" t="s">
        <v>1304</v>
      </c>
      <c r="AP303" s="1" t="s">
        <v>3244</v>
      </c>
      <c r="AQ303" s="1" t="s">
        <v>74</v>
      </c>
      <c r="AR303" s="1" t="s">
        <v>74</v>
      </c>
      <c r="AS303" s="1" t="s">
        <v>74</v>
      </c>
      <c r="AT303" s="1" t="s">
        <v>1305</v>
      </c>
      <c r="AU303" s="1">
        <v>2003.0</v>
      </c>
      <c r="AV303" s="1">
        <v>90.0</v>
      </c>
      <c r="AW303" s="1">
        <v>7.0</v>
      </c>
      <c r="AX303" s="1" t="s">
        <v>74</v>
      </c>
      <c r="AY303" s="1" t="s">
        <v>74</v>
      </c>
      <c r="AZ303" s="1" t="s">
        <v>74</v>
      </c>
      <c r="BA303" s="1" t="s">
        <v>74</v>
      </c>
      <c r="BB303" s="1" t="s">
        <v>74</v>
      </c>
      <c r="BC303" s="1" t="s">
        <v>74</v>
      </c>
      <c r="BD303" s="1">
        <v>74302.0</v>
      </c>
      <c r="BE303" s="1" t="s">
        <v>3245</v>
      </c>
      <c r="BF303" s="2" t="str">
        <f>HYPERLINK("http://dx.doi.org/10.1103/PhysRevLett.90.074302","http://dx.doi.org/10.1103/PhysRevLett.90.074302")</f>
        <v>http://dx.doi.org/10.1103/PhysRevLett.90.074302</v>
      </c>
      <c r="BG303" s="1" t="s">
        <v>74</v>
      </c>
      <c r="BH303" s="1" t="s">
        <v>74</v>
      </c>
      <c r="BI303" s="1" t="s">
        <v>74</v>
      </c>
      <c r="BJ303" s="1" t="s">
        <v>74</v>
      </c>
      <c r="BK303" s="1" t="s">
        <v>74</v>
      </c>
      <c r="BL303" s="1" t="s">
        <v>74</v>
      </c>
      <c r="BM303" s="1" t="s">
        <v>74</v>
      </c>
      <c r="BN303" s="1">
        <v>1.2633231E7</v>
      </c>
      <c r="BO303" s="1" t="s">
        <v>74</v>
      </c>
      <c r="BP303" s="1" t="s">
        <v>74</v>
      </c>
      <c r="BQ303" s="1" t="s">
        <v>74</v>
      </c>
      <c r="BR303" s="1" t="s">
        <v>74</v>
      </c>
      <c r="BS303" s="1" t="s">
        <v>3246</v>
      </c>
      <c r="BT303" s="1" t="str">
        <f>HYPERLINK("https%3A%2F%2Fwww.webofscience.com%2Fwos%2Fwoscc%2Ffull-record%2FWOS:000181090800011","View Full Record in Web of Science")</f>
        <v>View Full Record in Web of Science</v>
      </c>
    </row>
    <row r="304" ht="12.75" customHeight="1">
      <c r="A304" s="1" t="s">
        <v>72</v>
      </c>
      <c r="B304" s="1" t="s">
        <v>3247</v>
      </c>
      <c r="C304" s="1" t="s">
        <v>74</v>
      </c>
      <c r="D304" s="1" t="s">
        <v>74</v>
      </c>
      <c r="E304" s="1" t="s">
        <v>74</v>
      </c>
      <c r="F304" s="1" t="s">
        <v>3247</v>
      </c>
      <c r="G304" s="1" t="s">
        <v>74</v>
      </c>
      <c r="H304" s="1" t="s">
        <v>74</v>
      </c>
      <c r="I304" s="1" t="s">
        <v>3248</v>
      </c>
      <c r="J304" s="1" t="s">
        <v>3249</v>
      </c>
      <c r="K304" s="1" t="s">
        <v>74</v>
      </c>
      <c r="L304" s="1" t="s">
        <v>74</v>
      </c>
      <c r="M304" s="1" t="s">
        <v>74</v>
      </c>
      <c r="N304" s="1" t="s">
        <v>74</v>
      </c>
      <c r="O304" s="1" t="s">
        <v>74</v>
      </c>
      <c r="P304" s="1" t="s">
        <v>74</v>
      </c>
      <c r="Q304" s="1" t="s">
        <v>74</v>
      </c>
      <c r="R304" s="1" t="s">
        <v>74</v>
      </c>
      <c r="S304" s="1" t="s">
        <v>74</v>
      </c>
      <c r="T304" s="1" t="s">
        <v>74</v>
      </c>
      <c r="U304" s="1" t="s">
        <v>74</v>
      </c>
      <c r="V304" s="1" t="s">
        <v>3250</v>
      </c>
      <c r="W304" s="1" t="s">
        <v>74</v>
      </c>
      <c r="X304" s="1" t="s">
        <v>74</v>
      </c>
      <c r="Y304" s="1" t="s">
        <v>74</v>
      </c>
      <c r="Z304" s="1" t="s">
        <v>74</v>
      </c>
      <c r="AA304" s="1" t="s">
        <v>3251</v>
      </c>
      <c r="AB304" s="1" t="s">
        <v>3252</v>
      </c>
      <c r="AC304" s="1" t="s">
        <v>74</v>
      </c>
      <c r="AD304" s="1" t="s">
        <v>74</v>
      </c>
      <c r="AE304" s="1" t="s">
        <v>74</v>
      </c>
      <c r="AF304" s="1" t="s">
        <v>74</v>
      </c>
      <c r="AG304" s="1" t="s">
        <v>74</v>
      </c>
      <c r="AH304" s="1" t="s">
        <v>74</v>
      </c>
      <c r="AI304" s="1" t="s">
        <v>74</v>
      </c>
      <c r="AJ304" s="1" t="s">
        <v>74</v>
      </c>
      <c r="AK304" s="1" t="s">
        <v>74</v>
      </c>
      <c r="AL304" s="1" t="s">
        <v>74</v>
      </c>
      <c r="AM304" s="1" t="s">
        <v>74</v>
      </c>
      <c r="AN304" s="1" t="s">
        <v>74</v>
      </c>
      <c r="AO304" s="1" t="s">
        <v>3253</v>
      </c>
      <c r="AP304" s="1" t="s">
        <v>3254</v>
      </c>
      <c r="AQ304" s="1" t="s">
        <v>74</v>
      </c>
      <c r="AR304" s="1" t="s">
        <v>74</v>
      </c>
      <c r="AS304" s="1" t="s">
        <v>74</v>
      </c>
      <c r="AT304" s="1" t="s">
        <v>422</v>
      </c>
      <c r="AU304" s="1">
        <v>2003.0</v>
      </c>
      <c r="AV304" s="1">
        <v>17.0</v>
      </c>
      <c r="AW304" s="1">
        <v>1.0</v>
      </c>
      <c r="AX304" s="1" t="s">
        <v>74</v>
      </c>
      <c r="AY304" s="1" t="s">
        <v>74</v>
      </c>
      <c r="AZ304" s="1" t="s">
        <v>74</v>
      </c>
      <c r="BA304" s="1" t="s">
        <v>74</v>
      </c>
      <c r="BB304" s="1">
        <v>36.0</v>
      </c>
      <c r="BC304" s="1">
        <v>41.0</v>
      </c>
      <c r="BD304" s="1" t="s">
        <v>74</v>
      </c>
      <c r="BE304" s="1" t="s">
        <v>3255</v>
      </c>
      <c r="BF304" s="2" t="str">
        <f>HYPERLINK("http://dx.doi.org/10.1002/aoc.385","http://dx.doi.org/10.1002/aoc.385")</f>
        <v>http://dx.doi.org/10.1002/aoc.385</v>
      </c>
      <c r="BG304" s="1" t="s">
        <v>74</v>
      </c>
      <c r="BH304" s="1" t="s">
        <v>74</v>
      </c>
      <c r="BI304" s="1" t="s">
        <v>74</v>
      </c>
      <c r="BJ304" s="1" t="s">
        <v>74</v>
      </c>
      <c r="BK304" s="1" t="s">
        <v>74</v>
      </c>
      <c r="BL304" s="1" t="s">
        <v>74</v>
      </c>
      <c r="BM304" s="1" t="s">
        <v>74</v>
      </c>
      <c r="BN304" s="1" t="s">
        <v>74</v>
      </c>
      <c r="BO304" s="1" t="s">
        <v>74</v>
      </c>
      <c r="BP304" s="1" t="s">
        <v>74</v>
      </c>
      <c r="BQ304" s="1" t="s">
        <v>74</v>
      </c>
      <c r="BR304" s="1" t="s">
        <v>74</v>
      </c>
      <c r="BS304" s="1" t="s">
        <v>3256</v>
      </c>
      <c r="BT304" s="1" t="str">
        <f>HYPERLINK("https%3A%2F%2Fwww.webofscience.com%2Fwos%2Fwoscc%2Ffull-record%2FWOS:000180181700007","View Full Record in Web of Science")</f>
        <v>View Full Record in Web of Science</v>
      </c>
    </row>
    <row r="305" ht="12.75" customHeight="1">
      <c r="A305" s="1" t="s">
        <v>72</v>
      </c>
      <c r="B305" s="1" t="s">
        <v>3257</v>
      </c>
      <c r="C305" s="1" t="s">
        <v>74</v>
      </c>
      <c r="D305" s="1" t="s">
        <v>74</v>
      </c>
      <c r="E305" s="1" t="s">
        <v>74</v>
      </c>
      <c r="F305" s="1" t="s">
        <v>3257</v>
      </c>
      <c r="G305" s="1" t="s">
        <v>74</v>
      </c>
      <c r="H305" s="1" t="s">
        <v>74</v>
      </c>
      <c r="I305" s="1" t="s">
        <v>3258</v>
      </c>
      <c r="J305" s="1" t="s">
        <v>3259</v>
      </c>
      <c r="K305" s="1" t="s">
        <v>74</v>
      </c>
      <c r="L305" s="1" t="s">
        <v>74</v>
      </c>
      <c r="M305" s="1" t="s">
        <v>74</v>
      </c>
      <c r="N305" s="1" t="s">
        <v>74</v>
      </c>
      <c r="O305" s="1" t="s">
        <v>74</v>
      </c>
      <c r="P305" s="1" t="s">
        <v>74</v>
      </c>
      <c r="Q305" s="1" t="s">
        <v>74</v>
      </c>
      <c r="R305" s="1" t="s">
        <v>74</v>
      </c>
      <c r="S305" s="1" t="s">
        <v>74</v>
      </c>
      <c r="T305" s="1" t="s">
        <v>74</v>
      </c>
      <c r="U305" s="1" t="s">
        <v>74</v>
      </c>
      <c r="V305" s="1" t="s">
        <v>3260</v>
      </c>
      <c r="W305" s="1" t="s">
        <v>74</v>
      </c>
      <c r="X305" s="1" t="s">
        <v>74</v>
      </c>
      <c r="Y305" s="1" t="s">
        <v>74</v>
      </c>
      <c r="Z305" s="1" t="s">
        <v>74</v>
      </c>
      <c r="AA305" s="1" t="s">
        <v>3261</v>
      </c>
      <c r="AB305" s="1" t="s">
        <v>3262</v>
      </c>
      <c r="AC305" s="1" t="s">
        <v>74</v>
      </c>
      <c r="AD305" s="1" t="s">
        <v>74</v>
      </c>
      <c r="AE305" s="1" t="s">
        <v>74</v>
      </c>
      <c r="AF305" s="1" t="s">
        <v>74</v>
      </c>
      <c r="AG305" s="1" t="s">
        <v>74</v>
      </c>
      <c r="AH305" s="1" t="s">
        <v>74</v>
      </c>
      <c r="AI305" s="1" t="s">
        <v>74</v>
      </c>
      <c r="AJ305" s="1" t="s">
        <v>74</v>
      </c>
      <c r="AK305" s="1" t="s">
        <v>74</v>
      </c>
      <c r="AL305" s="1" t="s">
        <v>74</v>
      </c>
      <c r="AM305" s="1" t="s">
        <v>74</v>
      </c>
      <c r="AN305" s="1" t="s">
        <v>74</v>
      </c>
      <c r="AO305" s="1" t="s">
        <v>3263</v>
      </c>
      <c r="AP305" s="1" t="s">
        <v>74</v>
      </c>
      <c r="AQ305" s="1" t="s">
        <v>74</v>
      </c>
      <c r="AR305" s="1" t="s">
        <v>74</v>
      </c>
      <c r="AS305" s="1" t="s">
        <v>74</v>
      </c>
      <c r="AT305" s="1" t="s">
        <v>939</v>
      </c>
      <c r="AU305" s="1">
        <v>1999.0</v>
      </c>
      <c r="AV305" s="1">
        <v>47.0</v>
      </c>
      <c r="AW305" s="1">
        <v>6.0</v>
      </c>
      <c r="AX305" s="1" t="s">
        <v>74</v>
      </c>
      <c r="AY305" s="1" t="s">
        <v>74</v>
      </c>
      <c r="AZ305" s="1" t="s">
        <v>74</v>
      </c>
      <c r="BA305" s="1" t="s">
        <v>74</v>
      </c>
      <c r="BB305" s="1">
        <v>911.0</v>
      </c>
      <c r="BC305" s="1">
        <v>920.0</v>
      </c>
      <c r="BD305" s="1" t="s">
        <v>74</v>
      </c>
      <c r="BE305" s="1" t="s">
        <v>74</v>
      </c>
      <c r="BF305" s="1" t="s">
        <v>74</v>
      </c>
      <c r="BG305" s="1" t="s">
        <v>74</v>
      </c>
      <c r="BH305" s="1" t="s">
        <v>74</v>
      </c>
      <c r="BI305" s="1" t="s">
        <v>74</v>
      </c>
      <c r="BJ305" s="1" t="s">
        <v>74</v>
      </c>
      <c r="BK305" s="1" t="s">
        <v>74</v>
      </c>
      <c r="BL305" s="1" t="s">
        <v>74</v>
      </c>
      <c r="BM305" s="1" t="s">
        <v>74</v>
      </c>
      <c r="BN305" s="1">
        <v>1.0410236E7</v>
      </c>
      <c r="BO305" s="1" t="s">
        <v>74</v>
      </c>
      <c r="BP305" s="1" t="s">
        <v>74</v>
      </c>
      <c r="BQ305" s="1" t="s">
        <v>74</v>
      </c>
      <c r="BR305" s="1" t="s">
        <v>74</v>
      </c>
      <c r="BS305" s="1" t="s">
        <v>3264</v>
      </c>
      <c r="BT305" s="1" t="str">
        <f>HYPERLINK("https%3A%2F%2Fwww.webofscience.com%2Fwos%2Fwoscc%2Ffull-record%2FWOS:000081104700001","View Full Record in Web of Science")</f>
        <v>View Full Record in Web of Science</v>
      </c>
    </row>
    <row r="306" ht="12.75" customHeight="1">
      <c r="A306" s="1" t="s">
        <v>72</v>
      </c>
      <c r="B306" s="1" t="s">
        <v>3265</v>
      </c>
      <c r="C306" s="1" t="s">
        <v>74</v>
      </c>
      <c r="D306" s="1" t="s">
        <v>74</v>
      </c>
      <c r="E306" s="1" t="s">
        <v>74</v>
      </c>
      <c r="F306" s="1" t="s">
        <v>3265</v>
      </c>
      <c r="G306" s="1" t="s">
        <v>74</v>
      </c>
      <c r="H306" s="1" t="s">
        <v>74</v>
      </c>
      <c r="I306" s="1" t="s">
        <v>3266</v>
      </c>
      <c r="J306" s="1" t="s">
        <v>3267</v>
      </c>
      <c r="K306" s="1" t="s">
        <v>74</v>
      </c>
      <c r="L306" s="1" t="s">
        <v>74</v>
      </c>
      <c r="M306" s="1" t="s">
        <v>74</v>
      </c>
      <c r="N306" s="1" t="s">
        <v>74</v>
      </c>
      <c r="O306" s="1" t="s">
        <v>74</v>
      </c>
      <c r="P306" s="1" t="s">
        <v>74</v>
      </c>
      <c r="Q306" s="1" t="s">
        <v>74</v>
      </c>
      <c r="R306" s="1" t="s">
        <v>74</v>
      </c>
      <c r="S306" s="1" t="s">
        <v>74</v>
      </c>
      <c r="T306" s="1" t="s">
        <v>74</v>
      </c>
      <c r="U306" s="1" t="s">
        <v>74</v>
      </c>
      <c r="V306" s="1" t="s">
        <v>3268</v>
      </c>
      <c r="W306" s="1" t="s">
        <v>74</v>
      </c>
      <c r="X306" s="1" t="s">
        <v>74</v>
      </c>
      <c r="Y306" s="1" t="s">
        <v>74</v>
      </c>
      <c r="Z306" s="1" t="s">
        <v>74</v>
      </c>
      <c r="AA306" s="1" t="s">
        <v>3269</v>
      </c>
      <c r="AB306" s="1" t="s">
        <v>74</v>
      </c>
      <c r="AC306" s="1" t="s">
        <v>74</v>
      </c>
      <c r="AD306" s="1" t="s">
        <v>74</v>
      </c>
      <c r="AE306" s="1" t="s">
        <v>74</v>
      </c>
      <c r="AF306" s="1" t="s">
        <v>74</v>
      </c>
      <c r="AG306" s="1" t="s">
        <v>74</v>
      </c>
      <c r="AH306" s="1" t="s">
        <v>74</v>
      </c>
      <c r="AI306" s="1" t="s">
        <v>74</v>
      </c>
      <c r="AJ306" s="1" t="s">
        <v>74</v>
      </c>
      <c r="AK306" s="1" t="s">
        <v>74</v>
      </c>
      <c r="AL306" s="1" t="s">
        <v>74</v>
      </c>
      <c r="AM306" s="1" t="s">
        <v>74</v>
      </c>
      <c r="AN306" s="1" t="s">
        <v>74</v>
      </c>
      <c r="AO306" s="1" t="s">
        <v>3270</v>
      </c>
      <c r="AP306" s="1" t="s">
        <v>3271</v>
      </c>
      <c r="AQ306" s="1" t="s">
        <v>74</v>
      </c>
      <c r="AR306" s="1" t="s">
        <v>74</v>
      </c>
      <c r="AS306" s="1" t="s">
        <v>74</v>
      </c>
      <c r="AT306" s="1" t="s">
        <v>74</v>
      </c>
      <c r="AU306" s="1">
        <v>1990.0</v>
      </c>
      <c r="AV306" s="1">
        <v>29.0</v>
      </c>
      <c r="AW306" s="1">
        <v>10.0</v>
      </c>
      <c r="AX306" s="1" t="s">
        <v>74</v>
      </c>
      <c r="AY306" s="1" t="s">
        <v>74</v>
      </c>
      <c r="AZ306" s="1" t="s">
        <v>74</v>
      </c>
      <c r="BA306" s="1" t="s">
        <v>74</v>
      </c>
      <c r="BB306" s="1">
        <v>3087.0</v>
      </c>
      <c r="BC306" s="1">
        <v>3090.0</v>
      </c>
      <c r="BD306" s="1" t="s">
        <v>74</v>
      </c>
      <c r="BE306" s="1" t="s">
        <v>3272</v>
      </c>
      <c r="BF306" s="2" t="str">
        <f>HYPERLINK("http://dx.doi.org/10.1016/0031-9422(90)80162-A","http://dx.doi.org/10.1016/0031-9422(90)80162-A")</f>
        <v>http://dx.doi.org/10.1016/0031-9422(90)80162-A</v>
      </c>
      <c r="BG306" s="1" t="s">
        <v>74</v>
      </c>
      <c r="BH306" s="1" t="s">
        <v>74</v>
      </c>
      <c r="BI306" s="1" t="s">
        <v>74</v>
      </c>
      <c r="BJ306" s="1" t="s">
        <v>74</v>
      </c>
      <c r="BK306" s="1" t="s">
        <v>74</v>
      </c>
      <c r="BL306" s="1" t="s">
        <v>74</v>
      </c>
      <c r="BM306" s="1" t="s">
        <v>74</v>
      </c>
      <c r="BN306" s="1" t="s">
        <v>74</v>
      </c>
      <c r="BO306" s="1" t="s">
        <v>74</v>
      </c>
      <c r="BP306" s="1" t="s">
        <v>74</v>
      </c>
      <c r="BQ306" s="1" t="s">
        <v>74</v>
      </c>
      <c r="BR306" s="1" t="s">
        <v>74</v>
      </c>
      <c r="BS306" s="1" t="s">
        <v>3273</v>
      </c>
      <c r="BT306" s="1" t="str">
        <f>HYPERLINK("https%3A%2F%2Fwww.webofscience.com%2Fwos%2Fwoscc%2Ffull-record%2FWOS:A1990ED15100004","View Full Record in Web of Science")</f>
        <v>View Full Record in Web of Science</v>
      </c>
    </row>
    <row r="307" ht="12.75" customHeight="1">
      <c r="A307" s="1" t="s">
        <v>72</v>
      </c>
      <c r="B307" s="1" t="s">
        <v>3274</v>
      </c>
      <c r="C307" s="1" t="s">
        <v>74</v>
      </c>
      <c r="D307" s="1" t="s">
        <v>74</v>
      </c>
      <c r="E307" s="1" t="s">
        <v>74</v>
      </c>
      <c r="F307" s="1" t="s">
        <v>3275</v>
      </c>
      <c r="G307" s="1" t="s">
        <v>74</v>
      </c>
      <c r="H307" s="1" t="s">
        <v>74</v>
      </c>
      <c r="I307" s="1" t="s">
        <v>3276</v>
      </c>
      <c r="J307" s="1" t="s">
        <v>3277</v>
      </c>
      <c r="K307" s="1" t="s">
        <v>74</v>
      </c>
      <c r="L307" s="1" t="s">
        <v>74</v>
      </c>
      <c r="M307" s="1" t="s">
        <v>74</v>
      </c>
      <c r="N307" s="1" t="s">
        <v>74</v>
      </c>
      <c r="O307" s="1" t="s">
        <v>74</v>
      </c>
      <c r="P307" s="1" t="s">
        <v>74</v>
      </c>
      <c r="Q307" s="1" t="s">
        <v>74</v>
      </c>
      <c r="R307" s="1" t="s">
        <v>74</v>
      </c>
      <c r="S307" s="1" t="s">
        <v>74</v>
      </c>
      <c r="T307" s="1" t="s">
        <v>74</v>
      </c>
      <c r="U307" s="1" t="s">
        <v>74</v>
      </c>
      <c r="V307" s="1" t="s">
        <v>3278</v>
      </c>
      <c r="W307" s="1" t="s">
        <v>74</v>
      </c>
      <c r="X307" s="1" t="s">
        <v>74</v>
      </c>
      <c r="Y307" s="1" t="s">
        <v>74</v>
      </c>
      <c r="Z307" s="1" t="s">
        <v>74</v>
      </c>
      <c r="AA307" s="1" t="s">
        <v>3279</v>
      </c>
      <c r="AB307" s="1" t="s">
        <v>3280</v>
      </c>
      <c r="AC307" s="1" t="s">
        <v>74</v>
      </c>
      <c r="AD307" s="1" t="s">
        <v>74</v>
      </c>
      <c r="AE307" s="1" t="s">
        <v>74</v>
      </c>
      <c r="AF307" s="1" t="s">
        <v>74</v>
      </c>
      <c r="AG307" s="1" t="s">
        <v>74</v>
      </c>
      <c r="AH307" s="1" t="s">
        <v>74</v>
      </c>
      <c r="AI307" s="1" t="s">
        <v>74</v>
      </c>
      <c r="AJ307" s="1" t="s">
        <v>74</v>
      </c>
      <c r="AK307" s="1" t="s">
        <v>74</v>
      </c>
      <c r="AL307" s="1" t="s">
        <v>74</v>
      </c>
      <c r="AM307" s="1" t="s">
        <v>74</v>
      </c>
      <c r="AN307" s="1" t="s">
        <v>74</v>
      </c>
      <c r="AO307" s="1" t="s">
        <v>3281</v>
      </c>
      <c r="AP307" s="1" t="s">
        <v>74</v>
      </c>
      <c r="AQ307" s="1" t="s">
        <v>74</v>
      </c>
      <c r="AR307" s="1" t="s">
        <v>74</v>
      </c>
      <c r="AS307" s="1" t="s">
        <v>74</v>
      </c>
      <c r="AT307" s="1" t="s">
        <v>318</v>
      </c>
      <c r="AU307" s="1">
        <v>2025.0</v>
      </c>
      <c r="AV307" s="1" t="s">
        <v>74</v>
      </c>
      <c r="AW307" s="1">
        <v>216.0</v>
      </c>
      <c r="AX307" s="1" t="s">
        <v>74</v>
      </c>
      <c r="AY307" s="1" t="s">
        <v>74</v>
      </c>
      <c r="AZ307" s="1" t="s">
        <v>74</v>
      </c>
      <c r="BA307" s="1" t="s">
        <v>74</v>
      </c>
      <c r="BB307" s="1" t="s">
        <v>74</v>
      </c>
      <c r="BC307" s="1" t="s">
        <v>74</v>
      </c>
      <c r="BD307" s="1" t="s">
        <v>3282</v>
      </c>
      <c r="BE307" s="1" t="s">
        <v>3283</v>
      </c>
      <c r="BF307" s="2" t="str">
        <f>HYPERLINK("http://dx.doi.org/10.3791/68161","http://dx.doi.org/10.3791/68161")</f>
        <v>http://dx.doi.org/10.3791/68161</v>
      </c>
      <c r="BG307" s="1" t="s">
        <v>74</v>
      </c>
      <c r="BH307" s="1" t="s">
        <v>74</v>
      </c>
      <c r="BI307" s="1" t="s">
        <v>74</v>
      </c>
      <c r="BJ307" s="1" t="s">
        <v>74</v>
      </c>
      <c r="BK307" s="1" t="s">
        <v>74</v>
      </c>
      <c r="BL307" s="1" t="s">
        <v>74</v>
      </c>
      <c r="BM307" s="1" t="s">
        <v>74</v>
      </c>
      <c r="BN307" s="1">
        <v>4.0063507E7</v>
      </c>
      <c r="BO307" s="1" t="s">
        <v>74</v>
      </c>
      <c r="BP307" s="1" t="s">
        <v>74</v>
      </c>
      <c r="BQ307" s="1" t="s">
        <v>74</v>
      </c>
      <c r="BR307" s="1" t="s">
        <v>74</v>
      </c>
      <c r="BS307" s="1" t="s">
        <v>3284</v>
      </c>
      <c r="BT307" s="1" t="str">
        <f>HYPERLINK("https%3A%2F%2Fwww.webofscience.com%2Fwos%2Fwoscc%2Ffull-record%2FWOS:001435843200017","View Full Record in Web of Science")</f>
        <v>View Full Record in Web of Science</v>
      </c>
    </row>
    <row r="308" ht="12.75" customHeight="1">
      <c r="A308" s="1" t="s">
        <v>72</v>
      </c>
      <c r="B308" s="1" t="s">
        <v>3285</v>
      </c>
      <c r="C308" s="1" t="s">
        <v>74</v>
      </c>
      <c r="D308" s="1" t="s">
        <v>74</v>
      </c>
      <c r="E308" s="1" t="s">
        <v>74</v>
      </c>
      <c r="F308" s="1" t="s">
        <v>3286</v>
      </c>
      <c r="G308" s="1" t="s">
        <v>74</v>
      </c>
      <c r="H308" s="1" t="s">
        <v>74</v>
      </c>
      <c r="I308" s="1" t="s">
        <v>3287</v>
      </c>
      <c r="J308" s="1" t="s">
        <v>3288</v>
      </c>
      <c r="K308" s="1" t="s">
        <v>74</v>
      </c>
      <c r="L308" s="1" t="s">
        <v>74</v>
      </c>
      <c r="M308" s="1" t="s">
        <v>74</v>
      </c>
      <c r="N308" s="1" t="s">
        <v>74</v>
      </c>
      <c r="O308" s="1" t="s">
        <v>74</v>
      </c>
      <c r="P308" s="1" t="s">
        <v>74</v>
      </c>
      <c r="Q308" s="1" t="s">
        <v>74</v>
      </c>
      <c r="R308" s="1" t="s">
        <v>74</v>
      </c>
      <c r="S308" s="1" t="s">
        <v>74</v>
      </c>
      <c r="T308" s="1" t="s">
        <v>74</v>
      </c>
      <c r="U308" s="1" t="s">
        <v>74</v>
      </c>
      <c r="V308" s="1" t="s">
        <v>3289</v>
      </c>
      <c r="W308" s="1" t="s">
        <v>74</v>
      </c>
      <c r="X308" s="1" t="s">
        <v>74</v>
      </c>
      <c r="Y308" s="1" t="s">
        <v>74</v>
      </c>
      <c r="Z308" s="1" t="s">
        <v>74</v>
      </c>
      <c r="AA308" s="1" t="s">
        <v>3290</v>
      </c>
      <c r="AB308" s="1" t="s">
        <v>74</v>
      </c>
      <c r="AC308" s="1" t="s">
        <v>74</v>
      </c>
      <c r="AD308" s="1" t="s">
        <v>74</v>
      </c>
      <c r="AE308" s="1" t="s">
        <v>74</v>
      </c>
      <c r="AF308" s="1" t="s">
        <v>74</v>
      </c>
      <c r="AG308" s="1" t="s">
        <v>74</v>
      </c>
      <c r="AH308" s="1" t="s">
        <v>74</v>
      </c>
      <c r="AI308" s="1" t="s">
        <v>74</v>
      </c>
      <c r="AJ308" s="1" t="s">
        <v>74</v>
      </c>
      <c r="AK308" s="1" t="s">
        <v>74</v>
      </c>
      <c r="AL308" s="1" t="s">
        <v>74</v>
      </c>
      <c r="AM308" s="1" t="s">
        <v>74</v>
      </c>
      <c r="AN308" s="1" t="s">
        <v>74</v>
      </c>
      <c r="AO308" s="1" t="s">
        <v>3291</v>
      </c>
      <c r="AP308" s="1" t="s">
        <v>74</v>
      </c>
      <c r="AQ308" s="1" t="s">
        <v>74</v>
      </c>
      <c r="AR308" s="1" t="s">
        <v>74</v>
      </c>
      <c r="AS308" s="1" t="s">
        <v>74</v>
      </c>
      <c r="AT308" s="1" t="s">
        <v>74</v>
      </c>
      <c r="AU308" s="1">
        <v>2025.0</v>
      </c>
      <c r="AV308" s="1">
        <v>19.0</v>
      </c>
      <c r="AW308" s="1" t="s">
        <v>74</v>
      </c>
      <c r="AX308" s="1" t="s">
        <v>74</v>
      </c>
      <c r="AY308" s="1" t="s">
        <v>74</v>
      </c>
      <c r="AZ308" s="1" t="s">
        <v>74</v>
      </c>
      <c r="BA308" s="1" t="s">
        <v>74</v>
      </c>
      <c r="BB308" s="1">
        <v>240.0</v>
      </c>
      <c r="BC308" s="1">
        <v>260.0</v>
      </c>
      <c r="BD308" s="1" t="s">
        <v>74</v>
      </c>
      <c r="BE308" s="1" t="s">
        <v>74</v>
      </c>
      <c r="BF308" s="1" t="s">
        <v>74</v>
      </c>
      <c r="BG308" s="1" t="s">
        <v>74</v>
      </c>
      <c r="BH308" s="1" t="s">
        <v>74</v>
      </c>
      <c r="BI308" s="1" t="s">
        <v>74</v>
      </c>
      <c r="BJ308" s="1" t="s">
        <v>74</v>
      </c>
      <c r="BK308" s="1" t="s">
        <v>74</v>
      </c>
      <c r="BL308" s="1" t="s">
        <v>74</v>
      </c>
      <c r="BM308" s="1" t="s">
        <v>74</v>
      </c>
      <c r="BN308" s="1" t="s">
        <v>74</v>
      </c>
      <c r="BO308" s="1" t="s">
        <v>74</v>
      </c>
      <c r="BP308" s="1" t="s">
        <v>74</v>
      </c>
      <c r="BQ308" s="1" t="s">
        <v>74</v>
      </c>
      <c r="BR308" s="1" t="s">
        <v>74</v>
      </c>
      <c r="BS308" s="1" t="s">
        <v>3292</v>
      </c>
      <c r="BT308" s="1" t="str">
        <f>HYPERLINK("https%3A%2F%2Fwww.webofscience.com%2Fwos%2Fwoscc%2Ffull-record%2FWOS:001415846600012","View Full Record in Web of Science")</f>
        <v>View Full Record in Web of Science</v>
      </c>
    </row>
    <row r="309" ht="12.75" customHeight="1">
      <c r="A309" s="1" t="s">
        <v>72</v>
      </c>
      <c r="B309" s="1" t="s">
        <v>3293</v>
      </c>
      <c r="C309" s="1" t="s">
        <v>74</v>
      </c>
      <c r="D309" s="1" t="s">
        <v>74</v>
      </c>
      <c r="E309" s="1" t="s">
        <v>74</v>
      </c>
      <c r="F309" s="1" t="s">
        <v>3294</v>
      </c>
      <c r="G309" s="1" t="s">
        <v>74</v>
      </c>
      <c r="H309" s="1" t="s">
        <v>74</v>
      </c>
      <c r="I309" s="1" t="s">
        <v>3295</v>
      </c>
      <c r="J309" s="1" t="s">
        <v>3296</v>
      </c>
      <c r="K309" s="1" t="s">
        <v>74</v>
      </c>
      <c r="L309" s="1" t="s">
        <v>74</v>
      </c>
      <c r="M309" s="1" t="s">
        <v>74</v>
      </c>
      <c r="N309" s="1" t="s">
        <v>74</v>
      </c>
      <c r="O309" s="1" t="s">
        <v>74</v>
      </c>
      <c r="P309" s="1" t="s">
        <v>74</v>
      </c>
      <c r="Q309" s="1" t="s">
        <v>74</v>
      </c>
      <c r="R309" s="1" t="s">
        <v>74</v>
      </c>
      <c r="S309" s="1" t="s">
        <v>74</v>
      </c>
      <c r="T309" s="1" t="s">
        <v>74</v>
      </c>
      <c r="U309" s="1" t="s">
        <v>74</v>
      </c>
      <c r="V309" s="1" t="s">
        <v>3297</v>
      </c>
      <c r="W309" s="1" t="s">
        <v>74</v>
      </c>
      <c r="X309" s="1" t="s">
        <v>74</v>
      </c>
      <c r="Y309" s="1" t="s">
        <v>74</v>
      </c>
      <c r="Z309" s="1" t="s">
        <v>74</v>
      </c>
      <c r="AA309" s="1" t="s">
        <v>74</v>
      </c>
      <c r="AB309" s="1" t="s">
        <v>74</v>
      </c>
      <c r="AC309" s="1" t="s">
        <v>74</v>
      </c>
      <c r="AD309" s="1" t="s">
        <v>74</v>
      </c>
      <c r="AE309" s="1" t="s">
        <v>74</v>
      </c>
      <c r="AF309" s="1" t="s">
        <v>74</v>
      </c>
      <c r="AG309" s="1" t="s">
        <v>74</v>
      </c>
      <c r="AH309" s="1" t="s">
        <v>74</v>
      </c>
      <c r="AI309" s="1" t="s">
        <v>74</v>
      </c>
      <c r="AJ309" s="1" t="s">
        <v>74</v>
      </c>
      <c r="AK309" s="1" t="s">
        <v>74</v>
      </c>
      <c r="AL309" s="1" t="s">
        <v>74</v>
      </c>
      <c r="AM309" s="1" t="s">
        <v>74</v>
      </c>
      <c r="AN309" s="1" t="s">
        <v>74</v>
      </c>
      <c r="AO309" s="1" t="s">
        <v>3298</v>
      </c>
      <c r="AP309" s="1" t="s">
        <v>3299</v>
      </c>
      <c r="AQ309" s="1" t="s">
        <v>74</v>
      </c>
      <c r="AR309" s="1" t="s">
        <v>74</v>
      </c>
      <c r="AS309" s="1" t="s">
        <v>74</v>
      </c>
      <c r="AT309" s="1" t="s">
        <v>1213</v>
      </c>
      <c r="AU309" s="1">
        <v>2024.0</v>
      </c>
      <c r="AV309" s="1" t="s">
        <v>74</v>
      </c>
      <c r="AW309" s="1">
        <v>63.0</v>
      </c>
      <c r="AX309" s="1" t="s">
        <v>74</v>
      </c>
      <c r="AY309" s="1" t="s">
        <v>74</v>
      </c>
      <c r="AZ309" s="1" t="s">
        <v>74</v>
      </c>
      <c r="BA309" s="1" t="s">
        <v>74</v>
      </c>
      <c r="BB309" s="1">
        <v>110.0</v>
      </c>
      <c r="BC309" s="1">
        <v>125.0</v>
      </c>
      <c r="BD309" s="1" t="s">
        <v>74</v>
      </c>
      <c r="BE309" s="1" t="s">
        <v>3300</v>
      </c>
      <c r="BF309" s="2" t="str">
        <f>HYPERLINK("http://dx.doi.org/10.7764/onomazein.63.06","http://dx.doi.org/10.7764/onomazein.63.06")</f>
        <v>http://dx.doi.org/10.7764/onomazein.63.06</v>
      </c>
      <c r="BG309" s="1" t="s">
        <v>74</v>
      </c>
      <c r="BH309" s="1" t="s">
        <v>74</v>
      </c>
      <c r="BI309" s="1" t="s">
        <v>74</v>
      </c>
      <c r="BJ309" s="1" t="s">
        <v>74</v>
      </c>
      <c r="BK309" s="1" t="s">
        <v>74</v>
      </c>
      <c r="BL309" s="1" t="s">
        <v>74</v>
      </c>
      <c r="BM309" s="1" t="s">
        <v>74</v>
      </c>
      <c r="BN309" s="1" t="s">
        <v>74</v>
      </c>
      <c r="BO309" s="1" t="s">
        <v>74</v>
      </c>
      <c r="BP309" s="1" t="s">
        <v>74</v>
      </c>
      <c r="BQ309" s="1" t="s">
        <v>74</v>
      </c>
      <c r="BR309" s="1" t="s">
        <v>74</v>
      </c>
      <c r="BS309" s="1" t="s">
        <v>3301</v>
      </c>
      <c r="BT309" s="1" t="str">
        <f>HYPERLINK("https%3A%2F%2Fwww.webofscience.com%2Fwos%2Fwoscc%2Ffull-record%2FWOS:001230027900012","View Full Record in Web of Science")</f>
        <v>View Full Record in Web of Science</v>
      </c>
    </row>
    <row r="310" ht="12.75" customHeight="1">
      <c r="A310" s="1" t="s">
        <v>72</v>
      </c>
      <c r="B310" s="1" t="s">
        <v>3302</v>
      </c>
      <c r="C310" s="1" t="s">
        <v>74</v>
      </c>
      <c r="D310" s="1" t="s">
        <v>74</v>
      </c>
      <c r="E310" s="1" t="s">
        <v>74</v>
      </c>
      <c r="F310" s="1" t="s">
        <v>3303</v>
      </c>
      <c r="G310" s="1" t="s">
        <v>74</v>
      </c>
      <c r="H310" s="1" t="s">
        <v>74</v>
      </c>
      <c r="I310" s="1" t="s">
        <v>3304</v>
      </c>
      <c r="J310" s="1" t="s">
        <v>2430</v>
      </c>
      <c r="K310" s="1" t="s">
        <v>74</v>
      </c>
      <c r="L310" s="1" t="s">
        <v>74</v>
      </c>
      <c r="M310" s="1" t="s">
        <v>74</v>
      </c>
      <c r="N310" s="1" t="s">
        <v>74</v>
      </c>
      <c r="O310" s="1" t="s">
        <v>74</v>
      </c>
      <c r="P310" s="1" t="s">
        <v>74</v>
      </c>
      <c r="Q310" s="1" t="s">
        <v>74</v>
      </c>
      <c r="R310" s="1" t="s">
        <v>74</v>
      </c>
      <c r="S310" s="1" t="s">
        <v>74</v>
      </c>
      <c r="T310" s="1" t="s">
        <v>74</v>
      </c>
      <c r="U310" s="1" t="s">
        <v>74</v>
      </c>
      <c r="V310" s="1" t="s">
        <v>3305</v>
      </c>
      <c r="W310" s="1" t="s">
        <v>74</v>
      </c>
      <c r="X310" s="1" t="s">
        <v>74</v>
      </c>
      <c r="Y310" s="1" t="s">
        <v>74</v>
      </c>
      <c r="Z310" s="1" t="s">
        <v>74</v>
      </c>
      <c r="AA310" s="1" t="s">
        <v>3306</v>
      </c>
      <c r="AB310" s="1" t="s">
        <v>3307</v>
      </c>
      <c r="AC310" s="1" t="s">
        <v>74</v>
      </c>
      <c r="AD310" s="1" t="s">
        <v>74</v>
      </c>
      <c r="AE310" s="1" t="s">
        <v>74</v>
      </c>
      <c r="AF310" s="1" t="s">
        <v>74</v>
      </c>
      <c r="AG310" s="1" t="s">
        <v>74</v>
      </c>
      <c r="AH310" s="1" t="s">
        <v>74</v>
      </c>
      <c r="AI310" s="1" t="s">
        <v>74</v>
      </c>
      <c r="AJ310" s="1" t="s">
        <v>74</v>
      </c>
      <c r="AK310" s="1" t="s">
        <v>74</v>
      </c>
      <c r="AL310" s="1" t="s">
        <v>74</v>
      </c>
      <c r="AM310" s="1" t="s">
        <v>74</v>
      </c>
      <c r="AN310" s="1" t="s">
        <v>74</v>
      </c>
      <c r="AO310" s="1" t="s">
        <v>2434</v>
      </c>
      <c r="AP310" s="1" t="s">
        <v>2435</v>
      </c>
      <c r="AQ310" s="1" t="s">
        <v>74</v>
      </c>
      <c r="AR310" s="1" t="s">
        <v>74</v>
      </c>
      <c r="AS310" s="1" t="s">
        <v>74</v>
      </c>
      <c r="AT310" s="1" t="s">
        <v>3308</v>
      </c>
      <c r="AU310" s="1">
        <v>2023.0</v>
      </c>
      <c r="AV310" s="1">
        <v>387.0</v>
      </c>
      <c r="AW310" s="1" t="s">
        <v>74</v>
      </c>
      <c r="AX310" s="1" t="s">
        <v>74</v>
      </c>
      <c r="AY310" s="1" t="s">
        <v>74</v>
      </c>
      <c r="AZ310" s="1" t="s">
        <v>74</v>
      </c>
      <c r="BA310" s="1" t="s">
        <v>74</v>
      </c>
      <c r="BB310" s="1" t="s">
        <v>74</v>
      </c>
      <c r="BC310" s="1" t="s">
        <v>74</v>
      </c>
      <c r="BD310" s="1">
        <v>122664.0</v>
      </c>
      <c r="BE310" s="1" t="s">
        <v>3309</v>
      </c>
      <c r="BF310" s="2" t="str">
        <f>HYPERLINK("http://dx.doi.org/10.1016/j.molliq.2023.122664","http://dx.doi.org/10.1016/j.molliq.2023.122664")</f>
        <v>http://dx.doi.org/10.1016/j.molliq.2023.122664</v>
      </c>
      <c r="BG310" s="1" t="s">
        <v>74</v>
      </c>
      <c r="BH310" s="1" t="s">
        <v>2403</v>
      </c>
      <c r="BI310" s="1" t="s">
        <v>74</v>
      </c>
      <c r="BJ310" s="1" t="s">
        <v>74</v>
      </c>
      <c r="BK310" s="1" t="s">
        <v>74</v>
      </c>
      <c r="BL310" s="1" t="s">
        <v>74</v>
      </c>
      <c r="BM310" s="1" t="s">
        <v>74</v>
      </c>
      <c r="BN310" s="1" t="s">
        <v>74</v>
      </c>
      <c r="BO310" s="1" t="s">
        <v>74</v>
      </c>
      <c r="BP310" s="1" t="s">
        <v>74</v>
      </c>
      <c r="BQ310" s="1" t="s">
        <v>74</v>
      </c>
      <c r="BR310" s="1" t="s">
        <v>74</v>
      </c>
      <c r="BS310" s="1" t="s">
        <v>3310</v>
      </c>
      <c r="BT310" s="1" t="str">
        <f>HYPERLINK("https%3A%2F%2Fwww.webofscience.com%2Fwos%2Fwoscc%2Ffull-record%2FWOS:001049586900001","View Full Record in Web of Science")</f>
        <v>View Full Record in Web of Science</v>
      </c>
    </row>
    <row r="311" ht="12.75" customHeight="1">
      <c r="A311" s="1" t="s">
        <v>72</v>
      </c>
      <c r="B311" s="1" t="s">
        <v>3311</v>
      </c>
      <c r="C311" s="1" t="s">
        <v>74</v>
      </c>
      <c r="D311" s="1" t="s">
        <v>74</v>
      </c>
      <c r="E311" s="1" t="s">
        <v>74</v>
      </c>
      <c r="F311" s="1" t="s">
        <v>3312</v>
      </c>
      <c r="G311" s="1" t="s">
        <v>74</v>
      </c>
      <c r="H311" s="1" t="s">
        <v>74</v>
      </c>
      <c r="I311" s="1" t="s">
        <v>3313</v>
      </c>
      <c r="J311" s="1" t="s">
        <v>3314</v>
      </c>
      <c r="K311" s="1" t="s">
        <v>74</v>
      </c>
      <c r="L311" s="1" t="s">
        <v>74</v>
      </c>
      <c r="M311" s="1" t="s">
        <v>74</v>
      </c>
      <c r="N311" s="1" t="s">
        <v>74</v>
      </c>
      <c r="O311" s="1" t="s">
        <v>74</v>
      </c>
      <c r="P311" s="1" t="s">
        <v>74</v>
      </c>
      <c r="Q311" s="1" t="s">
        <v>74</v>
      </c>
      <c r="R311" s="1" t="s">
        <v>74</v>
      </c>
      <c r="S311" s="1" t="s">
        <v>74</v>
      </c>
      <c r="T311" s="1" t="s">
        <v>74</v>
      </c>
      <c r="U311" s="1" t="s">
        <v>74</v>
      </c>
      <c r="V311" s="1" t="s">
        <v>3315</v>
      </c>
      <c r="W311" s="1" t="s">
        <v>74</v>
      </c>
      <c r="X311" s="1" t="s">
        <v>74</v>
      </c>
      <c r="Y311" s="1" t="s">
        <v>74</v>
      </c>
      <c r="Z311" s="1" t="s">
        <v>74</v>
      </c>
      <c r="AA311" s="1" t="s">
        <v>3316</v>
      </c>
      <c r="AB311" s="1" t="s">
        <v>3317</v>
      </c>
      <c r="AC311" s="1" t="s">
        <v>74</v>
      </c>
      <c r="AD311" s="1" t="s">
        <v>74</v>
      </c>
      <c r="AE311" s="1" t="s">
        <v>74</v>
      </c>
      <c r="AF311" s="1" t="s">
        <v>74</v>
      </c>
      <c r="AG311" s="1" t="s">
        <v>74</v>
      </c>
      <c r="AH311" s="1" t="s">
        <v>74</v>
      </c>
      <c r="AI311" s="1" t="s">
        <v>74</v>
      </c>
      <c r="AJ311" s="1" t="s">
        <v>74</v>
      </c>
      <c r="AK311" s="1" t="s">
        <v>74</v>
      </c>
      <c r="AL311" s="1" t="s">
        <v>74</v>
      </c>
      <c r="AM311" s="1" t="s">
        <v>74</v>
      </c>
      <c r="AN311" s="1" t="s">
        <v>74</v>
      </c>
      <c r="AO311" s="1" t="s">
        <v>74</v>
      </c>
      <c r="AP311" s="1" t="s">
        <v>3318</v>
      </c>
      <c r="AQ311" s="1" t="s">
        <v>74</v>
      </c>
      <c r="AR311" s="1" t="s">
        <v>74</v>
      </c>
      <c r="AS311" s="1" t="s">
        <v>74</v>
      </c>
      <c r="AT311" s="1" t="s">
        <v>3319</v>
      </c>
      <c r="AU311" s="1">
        <v>2023.0</v>
      </c>
      <c r="AV311" s="1" t="s">
        <v>74</v>
      </c>
      <c r="AW311" s="1" t="s">
        <v>74</v>
      </c>
      <c r="AX311" s="1" t="s">
        <v>74</v>
      </c>
      <c r="AY311" s="1" t="s">
        <v>74</v>
      </c>
      <c r="AZ311" s="1" t="s">
        <v>74</v>
      </c>
      <c r="BA311" s="1" t="s">
        <v>74</v>
      </c>
      <c r="BB311" s="1" t="s">
        <v>74</v>
      </c>
      <c r="BC311" s="1" t="s">
        <v>74</v>
      </c>
      <c r="BD311" s="1" t="s">
        <v>74</v>
      </c>
      <c r="BE311" s="1" t="s">
        <v>3320</v>
      </c>
      <c r="BF311" s="2" t="str">
        <f>HYPERLINK("http://dx.doi.org/10.1021/acsanm.3c01915","http://dx.doi.org/10.1021/acsanm.3c01915")</f>
        <v>http://dx.doi.org/10.1021/acsanm.3c01915</v>
      </c>
      <c r="BG311" s="1" t="s">
        <v>74</v>
      </c>
      <c r="BH311" s="1" t="s">
        <v>2425</v>
      </c>
      <c r="BI311" s="1" t="s">
        <v>74</v>
      </c>
      <c r="BJ311" s="1" t="s">
        <v>74</v>
      </c>
      <c r="BK311" s="1" t="s">
        <v>74</v>
      </c>
      <c r="BL311" s="1" t="s">
        <v>74</v>
      </c>
      <c r="BM311" s="1" t="s">
        <v>74</v>
      </c>
      <c r="BN311" s="1" t="s">
        <v>74</v>
      </c>
      <c r="BO311" s="1" t="s">
        <v>74</v>
      </c>
      <c r="BP311" s="1" t="s">
        <v>74</v>
      </c>
      <c r="BQ311" s="1" t="s">
        <v>74</v>
      </c>
      <c r="BR311" s="1" t="s">
        <v>74</v>
      </c>
      <c r="BS311" s="1" t="s">
        <v>3321</v>
      </c>
      <c r="BT311" s="1" t="str">
        <f>HYPERLINK("https%3A%2F%2Fwww.webofscience.com%2Fwos%2Fwoscc%2Ffull-record%2FWOS:001040657400001","View Full Record in Web of Science")</f>
        <v>View Full Record in Web of Science</v>
      </c>
    </row>
    <row r="312" ht="12.75" customHeight="1">
      <c r="A312" s="1" t="s">
        <v>72</v>
      </c>
      <c r="B312" s="1" t="s">
        <v>3322</v>
      </c>
      <c r="C312" s="1" t="s">
        <v>74</v>
      </c>
      <c r="D312" s="1" t="s">
        <v>74</v>
      </c>
      <c r="E312" s="1" t="s">
        <v>74</v>
      </c>
      <c r="F312" s="1" t="s">
        <v>3323</v>
      </c>
      <c r="G312" s="1" t="s">
        <v>74</v>
      </c>
      <c r="H312" s="1" t="s">
        <v>74</v>
      </c>
      <c r="I312" s="1" t="s">
        <v>3324</v>
      </c>
      <c r="J312" s="1" t="s">
        <v>3325</v>
      </c>
      <c r="K312" s="1" t="s">
        <v>74</v>
      </c>
      <c r="L312" s="1" t="s">
        <v>74</v>
      </c>
      <c r="M312" s="1" t="s">
        <v>74</v>
      </c>
      <c r="N312" s="1" t="s">
        <v>74</v>
      </c>
      <c r="O312" s="1" t="s">
        <v>74</v>
      </c>
      <c r="P312" s="1" t="s">
        <v>74</v>
      </c>
      <c r="Q312" s="1" t="s">
        <v>74</v>
      </c>
      <c r="R312" s="1" t="s">
        <v>74</v>
      </c>
      <c r="S312" s="1" t="s">
        <v>74</v>
      </c>
      <c r="T312" s="1" t="s">
        <v>74</v>
      </c>
      <c r="U312" s="1" t="s">
        <v>74</v>
      </c>
      <c r="V312" s="1" t="s">
        <v>3326</v>
      </c>
      <c r="W312" s="1" t="s">
        <v>74</v>
      </c>
      <c r="X312" s="1" t="s">
        <v>74</v>
      </c>
      <c r="Y312" s="1" t="s">
        <v>74</v>
      </c>
      <c r="Z312" s="1" t="s">
        <v>74</v>
      </c>
      <c r="AA312" s="1" t="s">
        <v>3327</v>
      </c>
      <c r="AB312" s="1" t="s">
        <v>3328</v>
      </c>
      <c r="AC312" s="1" t="s">
        <v>74</v>
      </c>
      <c r="AD312" s="1" t="s">
        <v>74</v>
      </c>
      <c r="AE312" s="1" t="s">
        <v>74</v>
      </c>
      <c r="AF312" s="1" t="s">
        <v>74</v>
      </c>
      <c r="AG312" s="1" t="s">
        <v>74</v>
      </c>
      <c r="AH312" s="1" t="s">
        <v>74</v>
      </c>
      <c r="AI312" s="1" t="s">
        <v>74</v>
      </c>
      <c r="AJ312" s="1" t="s">
        <v>74</v>
      </c>
      <c r="AK312" s="1" t="s">
        <v>74</v>
      </c>
      <c r="AL312" s="1" t="s">
        <v>74</v>
      </c>
      <c r="AM312" s="1" t="s">
        <v>74</v>
      </c>
      <c r="AN312" s="1" t="s">
        <v>74</v>
      </c>
      <c r="AO312" s="1" t="s">
        <v>3329</v>
      </c>
      <c r="AP312" s="1" t="s">
        <v>3330</v>
      </c>
      <c r="AQ312" s="1" t="s">
        <v>74</v>
      </c>
      <c r="AR312" s="1" t="s">
        <v>74</v>
      </c>
      <c r="AS312" s="1" t="s">
        <v>74</v>
      </c>
      <c r="AT312" s="1" t="s">
        <v>235</v>
      </c>
      <c r="AU312" s="1">
        <v>2023.0</v>
      </c>
      <c r="AV312" s="1">
        <v>53.0</v>
      </c>
      <c r="AW312" s="1">
        <v>2.0</v>
      </c>
      <c r="AX312" s="1" t="s">
        <v>74</v>
      </c>
      <c r="AY312" s="1" t="s">
        <v>74</v>
      </c>
      <c r="AZ312" s="1" t="s">
        <v>74</v>
      </c>
      <c r="BA312" s="1" t="s">
        <v>74</v>
      </c>
      <c r="BB312" s="1">
        <v>194.0</v>
      </c>
      <c r="BC312" s="1">
        <v>212.0</v>
      </c>
      <c r="BD312" s="1" t="s">
        <v>74</v>
      </c>
      <c r="BE312" s="1" t="s">
        <v>3331</v>
      </c>
      <c r="BF312" s="2" t="str">
        <f>HYPERLINK("http://dx.doi.org/10.1177/03063127221136804","http://dx.doi.org/10.1177/03063127221136804")</f>
        <v>http://dx.doi.org/10.1177/03063127221136804</v>
      </c>
      <c r="BG312" s="1" t="s">
        <v>74</v>
      </c>
      <c r="BH312" s="1" t="s">
        <v>579</v>
      </c>
      <c r="BI312" s="1" t="s">
        <v>74</v>
      </c>
      <c r="BJ312" s="1" t="s">
        <v>74</v>
      </c>
      <c r="BK312" s="1" t="s">
        <v>74</v>
      </c>
      <c r="BL312" s="1" t="s">
        <v>74</v>
      </c>
      <c r="BM312" s="1" t="s">
        <v>74</v>
      </c>
      <c r="BN312" s="1">
        <v>3.6398716E7</v>
      </c>
      <c r="BO312" s="1" t="s">
        <v>74</v>
      </c>
      <c r="BP312" s="1" t="s">
        <v>74</v>
      </c>
      <c r="BQ312" s="1" t="s">
        <v>74</v>
      </c>
      <c r="BR312" s="1" t="s">
        <v>74</v>
      </c>
      <c r="BS312" s="1" t="s">
        <v>3332</v>
      </c>
      <c r="BT312" s="1" t="str">
        <f>HYPERLINK("https%3A%2F%2Fwww.webofscience.com%2Fwos%2Fwoscc%2Ffull-record%2FWOS:000886693300001","View Full Record in Web of Science")</f>
        <v>View Full Record in Web of Science</v>
      </c>
    </row>
    <row r="313" ht="12.75" customHeight="1">
      <c r="A313" s="1" t="s">
        <v>72</v>
      </c>
      <c r="B313" s="1" t="s">
        <v>3333</v>
      </c>
      <c r="C313" s="1" t="s">
        <v>74</v>
      </c>
      <c r="D313" s="1" t="s">
        <v>74</v>
      </c>
      <c r="E313" s="1" t="s">
        <v>74</v>
      </c>
      <c r="F313" s="1" t="s">
        <v>3334</v>
      </c>
      <c r="G313" s="1" t="s">
        <v>74</v>
      </c>
      <c r="H313" s="1" t="s">
        <v>74</v>
      </c>
      <c r="I313" s="1" t="s">
        <v>3335</v>
      </c>
      <c r="J313" s="1" t="s">
        <v>3336</v>
      </c>
      <c r="K313" s="1" t="s">
        <v>74</v>
      </c>
      <c r="L313" s="1" t="s">
        <v>74</v>
      </c>
      <c r="M313" s="1" t="s">
        <v>74</v>
      </c>
      <c r="N313" s="1" t="s">
        <v>74</v>
      </c>
      <c r="O313" s="1" t="s">
        <v>74</v>
      </c>
      <c r="P313" s="1" t="s">
        <v>74</v>
      </c>
      <c r="Q313" s="1" t="s">
        <v>74</v>
      </c>
      <c r="R313" s="1" t="s">
        <v>74</v>
      </c>
      <c r="S313" s="1" t="s">
        <v>74</v>
      </c>
      <c r="T313" s="1" t="s">
        <v>74</v>
      </c>
      <c r="U313" s="1" t="s">
        <v>74</v>
      </c>
      <c r="V313" s="1" t="s">
        <v>3337</v>
      </c>
      <c r="W313" s="1" t="s">
        <v>74</v>
      </c>
      <c r="X313" s="1" t="s">
        <v>74</v>
      </c>
      <c r="Y313" s="1" t="s">
        <v>74</v>
      </c>
      <c r="Z313" s="1" t="s">
        <v>74</v>
      </c>
      <c r="AA313" s="1" t="s">
        <v>74</v>
      </c>
      <c r="AB313" s="1" t="s">
        <v>74</v>
      </c>
      <c r="AC313" s="1" t="s">
        <v>74</v>
      </c>
      <c r="AD313" s="1" t="s">
        <v>74</v>
      </c>
      <c r="AE313" s="1" t="s">
        <v>74</v>
      </c>
      <c r="AF313" s="1" t="s">
        <v>74</v>
      </c>
      <c r="AG313" s="1" t="s">
        <v>74</v>
      </c>
      <c r="AH313" s="1" t="s">
        <v>74</v>
      </c>
      <c r="AI313" s="1" t="s">
        <v>74</v>
      </c>
      <c r="AJ313" s="1" t="s">
        <v>74</v>
      </c>
      <c r="AK313" s="1" t="s">
        <v>74</v>
      </c>
      <c r="AL313" s="1" t="s">
        <v>74</v>
      </c>
      <c r="AM313" s="1" t="s">
        <v>74</v>
      </c>
      <c r="AN313" s="1" t="s">
        <v>74</v>
      </c>
      <c r="AO313" s="1" t="s">
        <v>3338</v>
      </c>
      <c r="AP313" s="1" t="s">
        <v>3339</v>
      </c>
      <c r="AQ313" s="1" t="s">
        <v>74</v>
      </c>
      <c r="AR313" s="1" t="s">
        <v>74</v>
      </c>
      <c r="AS313" s="1" t="s">
        <v>74</v>
      </c>
      <c r="AT313" s="1" t="s">
        <v>201</v>
      </c>
      <c r="AU313" s="1">
        <v>2021.0</v>
      </c>
      <c r="AV313" s="1">
        <v>32.0</v>
      </c>
      <c r="AW313" s="1">
        <v>120.0</v>
      </c>
      <c r="AX313" s="1" t="s">
        <v>74</v>
      </c>
      <c r="AY313" s="1" t="s">
        <v>74</v>
      </c>
      <c r="AZ313" s="1" t="s">
        <v>74</v>
      </c>
      <c r="BA313" s="1" t="s">
        <v>74</v>
      </c>
      <c r="BB313" s="1">
        <v>105.0</v>
      </c>
      <c r="BC313" s="1">
        <v>124.0</v>
      </c>
      <c r="BD313" s="1" t="s">
        <v>74</v>
      </c>
      <c r="BE313" s="1" t="s">
        <v>3340</v>
      </c>
      <c r="BF313" s="2" t="str">
        <f>HYPERLINK("http://dx.doi.org/10.33898/rdp.v32i120.463","http://dx.doi.org/10.33898/rdp.v32i120.463")</f>
        <v>http://dx.doi.org/10.33898/rdp.v32i120.463</v>
      </c>
      <c r="BG313" s="1" t="s">
        <v>74</v>
      </c>
      <c r="BH313" s="1" t="s">
        <v>74</v>
      </c>
      <c r="BI313" s="1" t="s">
        <v>74</v>
      </c>
      <c r="BJ313" s="1" t="s">
        <v>74</v>
      </c>
      <c r="BK313" s="1" t="s">
        <v>74</v>
      </c>
      <c r="BL313" s="1" t="s">
        <v>74</v>
      </c>
      <c r="BM313" s="1" t="s">
        <v>74</v>
      </c>
      <c r="BN313" s="1" t="s">
        <v>74</v>
      </c>
      <c r="BO313" s="1" t="s">
        <v>74</v>
      </c>
      <c r="BP313" s="1" t="s">
        <v>74</v>
      </c>
      <c r="BQ313" s="1" t="s">
        <v>74</v>
      </c>
      <c r="BR313" s="1" t="s">
        <v>74</v>
      </c>
      <c r="BS313" s="1" t="s">
        <v>3341</v>
      </c>
      <c r="BT313" s="1" t="str">
        <f>HYPERLINK("https%3A%2F%2Fwww.webofscience.com%2Fwos%2Fwoscc%2Ffull-record%2FWOS:000714592700007","View Full Record in Web of Science")</f>
        <v>View Full Record in Web of Science</v>
      </c>
    </row>
    <row r="314" ht="12.75" customHeight="1">
      <c r="A314" s="1" t="s">
        <v>72</v>
      </c>
      <c r="B314" s="1" t="s">
        <v>3342</v>
      </c>
      <c r="C314" s="1" t="s">
        <v>74</v>
      </c>
      <c r="D314" s="1" t="s">
        <v>74</v>
      </c>
      <c r="E314" s="1" t="s">
        <v>74</v>
      </c>
      <c r="F314" s="1" t="s">
        <v>3343</v>
      </c>
      <c r="G314" s="1" t="s">
        <v>74</v>
      </c>
      <c r="H314" s="1" t="s">
        <v>74</v>
      </c>
      <c r="I314" s="1" t="s">
        <v>3344</v>
      </c>
      <c r="J314" s="1" t="s">
        <v>945</v>
      </c>
      <c r="K314" s="1" t="s">
        <v>74</v>
      </c>
      <c r="L314" s="1" t="s">
        <v>74</v>
      </c>
      <c r="M314" s="1" t="s">
        <v>74</v>
      </c>
      <c r="N314" s="1" t="s">
        <v>74</v>
      </c>
      <c r="O314" s="1" t="s">
        <v>74</v>
      </c>
      <c r="P314" s="1" t="s">
        <v>74</v>
      </c>
      <c r="Q314" s="1" t="s">
        <v>74</v>
      </c>
      <c r="R314" s="1" t="s">
        <v>74</v>
      </c>
      <c r="S314" s="1" t="s">
        <v>74</v>
      </c>
      <c r="T314" s="1" t="s">
        <v>74</v>
      </c>
      <c r="U314" s="1" t="s">
        <v>74</v>
      </c>
      <c r="V314" s="1" t="s">
        <v>3345</v>
      </c>
      <c r="W314" s="1" t="s">
        <v>74</v>
      </c>
      <c r="X314" s="1" t="s">
        <v>74</v>
      </c>
      <c r="Y314" s="1" t="s">
        <v>74</v>
      </c>
      <c r="Z314" s="1" t="s">
        <v>74</v>
      </c>
      <c r="AA314" s="1" t="s">
        <v>3346</v>
      </c>
      <c r="AB314" s="1" t="s">
        <v>3347</v>
      </c>
      <c r="AC314" s="1" t="s">
        <v>74</v>
      </c>
      <c r="AD314" s="1" t="s">
        <v>74</v>
      </c>
      <c r="AE314" s="1" t="s">
        <v>74</v>
      </c>
      <c r="AF314" s="1" t="s">
        <v>74</v>
      </c>
      <c r="AG314" s="1" t="s">
        <v>74</v>
      </c>
      <c r="AH314" s="1" t="s">
        <v>74</v>
      </c>
      <c r="AI314" s="1" t="s">
        <v>74</v>
      </c>
      <c r="AJ314" s="1" t="s">
        <v>74</v>
      </c>
      <c r="AK314" s="1" t="s">
        <v>74</v>
      </c>
      <c r="AL314" s="1" t="s">
        <v>74</v>
      </c>
      <c r="AM314" s="1" t="s">
        <v>74</v>
      </c>
      <c r="AN314" s="1" t="s">
        <v>74</v>
      </c>
      <c r="AO314" s="1" t="s">
        <v>949</v>
      </c>
      <c r="AP314" s="1" t="s">
        <v>950</v>
      </c>
      <c r="AQ314" s="1" t="s">
        <v>74</v>
      </c>
      <c r="AR314" s="1" t="s">
        <v>74</v>
      </c>
      <c r="AS314" s="1" t="s">
        <v>74</v>
      </c>
      <c r="AT314" s="1" t="s">
        <v>212</v>
      </c>
      <c r="AU314" s="1">
        <v>2021.0</v>
      </c>
      <c r="AV314" s="1">
        <v>167.0</v>
      </c>
      <c r="AW314" s="1" t="s">
        <v>74</v>
      </c>
      <c r="AX314" s="1" t="s">
        <v>74</v>
      </c>
      <c r="AY314" s="1" t="s">
        <v>74</v>
      </c>
      <c r="AZ314" s="1" t="s">
        <v>74</v>
      </c>
      <c r="BA314" s="1" t="s">
        <v>74</v>
      </c>
      <c r="BB314" s="1" t="s">
        <v>74</v>
      </c>
      <c r="BC314" s="1" t="s">
        <v>74</v>
      </c>
      <c r="BD314" s="1">
        <v>113510.0</v>
      </c>
      <c r="BE314" s="1" t="s">
        <v>3348</v>
      </c>
      <c r="BF314" s="2" t="str">
        <f>HYPERLINK("http://dx.doi.org/10.1016/j.indcrop.2021.113510","http://dx.doi.org/10.1016/j.indcrop.2021.113510")</f>
        <v>http://dx.doi.org/10.1016/j.indcrop.2021.113510</v>
      </c>
      <c r="BG314" s="1" t="s">
        <v>74</v>
      </c>
      <c r="BH314" s="1" t="s">
        <v>3049</v>
      </c>
      <c r="BI314" s="1" t="s">
        <v>74</v>
      </c>
      <c r="BJ314" s="1" t="s">
        <v>74</v>
      </c>
      <c r="BK314" s="1" t="s">
        <v>74</v>
      </c>
      <c r="BL314" s="1" t="s">
        <v>74</v>
      </c>
      <c r="BM314" s="1" t="s">
        <v>74</v>
      </c>
      <c r="BN314" s="1" t="s">
        <v>74</v>
      </c>
      <c r="BO314" s="1" t="s">
        <v>74</v>
      </c>
      <c r="BP314" s="1" t="s">
        <v>74</v>
      </c>
      <c r="BQ314" s="1" t="s">
        <v>74</v>
      </c>
      <c r="BR314" s="1" t="s">
        <v>74</v>
      </c>
      <c r="BS314" s="1" t="s">
        <v>3349</v>
      </c>
      <c r="BT314" s="1" t="str">
        <f>HYPERLINK("https%3A%2F%2Fwww.webofscience.com%2Fwos%2Fwoscc%2Ffull-record%2FWOS:000663249800006","View Full Record in Web of Science")</f>
        <v>View Full Record in Web of Science</v>
      </c>
    </row>
    <row r="315" ht="12.75" customHeight="1">
      <c r="A315" s="1" t="s">
        <v>72</v>
      </c>
      <c r="B315" s="1" t="s">
        <v>3350</v>
      </c>
      <c r="C315" s="1" t="s">
        <v>74</v>
      </c>
      <c r="D315" s="1" t="s">
        <v>74</v>
      </c>
      <c r="E315" s="1" t="s">
        <v>74</v>
      </c>
      <c r="F315" s="1" t="s">
        <v>3351</v>
      </c>
      <c r="G315" s="1" t="s">
        <v>74</v>
      </c>
      <c r="H315" s="1" t="s">
        <v>74</v>
      </c>
      <c r="I315" s="1" t="s">
        <v>3352</v>
      </c>
      <c r="J315" s="1" t="s">
        <v>289</v>
      </c>
      <c r="K315" s="1" t="s">
        <v>74</v>
      </c>
      <c r="L315" s="1" t="s">
        <v>74</v>
      </c>
      <c r="M315" s="1" t="s">
        <v>74</v>
      </c>
      <c r="N315" s="1" t="s">
        <v>74</v>
      </c>
      <c r="O315" s="1" t="s">
        <v>74</v>
      </c>
      <c r="P315" s="1" t="s">
        <v>74</v>
      </c>
      <c r="Q315" s="1" t="s">
        <v>74</v>
      </c>
      <c r="R315" s="1" t="s">
        <v>74</v>
      </c>
      <c r="S315" s="1" t="s">
        <v>74</v>
      </c>
      <c r="T315" s="1" t="s">
        <v>74</v>
      </c>
      <c r="U315" s="1" t="s">
        <v>74</v>
      </c>
      <c r="V315" s="1" t="s">
        <v>3353</v>
      </c>
      <c r="W315" s="1" t="s">
        <v>74</v>
      </c>
      <c r="X315" s="1" t="s">
        <v>74</v>
      </c>
      <c r="Y315" s="1" t="s">
        <v>74</v>
      </c>
      <c r="Z315" s="1" t="s">
        <v>74</v>
      </c>
      <c r="AA315" s="1" t="s">
        <v>3354</v>
      </c>
      <c r="AB315" s="1" t="s">
        <v>3005</v>
      </c>
      <c r="AC315" s="1" t="s">
        <v>74</v>
      </c>
      <c r="AD315" s="1" t="s">
        <v>74</v>
      </c>
      <c r="AE315" s="1" t="s">
        <v>74</v>
      </c>
      <c r="AF315" s="1" t="s">
        <v>74</v>
      </c>
      <c r="AG315" s="1" t="s">
        <v>74</v>
      </c>
      <c r="AH315" s="1" t="s">
        <v>74</v>
      </c>
      <c r="AI315" s="1" t="s">
        <v>74</v>
      </c>
      <c r="AJ315" s="1" t="s">
        <v>74</v>
      </c>
      <c r="AK315" s="1" t="s">
        <v>74</v>
      </c>
      <c r="AL315" s="1" t="s">
        <v>74</v>
      </c>
      <c r="AM315" s="1" t="s">
        <v>74</v>
      </c>
      <c r="AN315" s="1" t="s">
        <v>74</v>
      </c>
      <c r="AO315" s="1" t="s">
        <v>293</v>
      </c>
      <c r="AP315" s="1" t="s">
        <v>294</v>
      </c>
      <c r="AQ315" s="1" t="s">
        <v>74</v>
      </c>
      <c r="AR315" s="1" t="s">
        <v>74</v>
      </c>
      <c r="AS315" s="1" t="s">
        <v>74</v>
      </c>
      <c r="AT315" s="1" t="s">
        <v>564</v>
      </c>
      <c r="AU315" s="1">
        <v>2021.0</v>
      </c>
      <c r="AV315" s="1">
        <v>170.0</v>
      </c>
      <c r="AW315" s="1" t="s">
        <v>74</v>
      </c>
      <c r="AX315" s="1" t="s">
        <v>74</v>
      </c>
      <c r="AY315" s="1" t="s">
        <v>74</v>
      </c>
      <c r="AZ315" s="1" t="s">
        <v>74</v>
      </c>
      <c r="BA315" s="1" t="s">
        <v>74</v>
      </c>
      <c r="BB315" s="1">
        <v>298.0</v>
      </c>
      <c r="BC315" s="1">
        <v>306.0</v>
      </c>
      <c r="BD315" s="1" t="s">
        <v>74</v>
      </c>
      <c r="BE315" s="1" t="s">
        <v>3355</v>
      </c>
      <c r="BF315" s="2" t="str">
        <f>HYPERLINK("http://dx.doi.org/10.1016/j.ijbiomac.2020.12.123","http://dx.doi.org/10.1016/j.ijbiomac.2020.12.123")</f>
        <v>http://dx.doi.org/10.1016/j.ijbiomac.2020.12.123</v>
      </c>
      <c r="BG315" s="1" t="s">
        <v>74</v>
      </c>
      <c r="BH315" s="1" t="s">
        <v>74</v>
      </c>
      <c r="BI315" s="1" t="s">
        <v>74</v>
      </c>
      <c r="BJ315" s="1" t="s">
        <v>74</v>
      </c>
      <c r="BK315" s="1" t="s">
        <v>74</v>
      </c>
      <c r="BL315" s="1" t="s">
        <v>74</v>
      </c>
      <c r="BM315" s="1" t="s">
        <v>74</v>
      </c>
      <c r="BN315" s="1">
        <v>3.3347931E7</v>
      </c>
      <c r="BO315" s="1" t="s">
        <v>74</v>
      </c>
      <c r="BP315" s="1" t="s">
        <v>74</v>
      </c>
      <c r="BQ315" s="1" t="s">
        <v>74</v>
      </c>
      <c r="BR315" s="1" t="s">
        <v>74</v>
      </c>
      <c r="BS315" s="1" t="s">
        <v>3356</v>
      </c>
      <c r="BT315" s="1" t="str">
        <f>HYPERLINK("https%3A%2F%2Fwww.webofscience.com%2Fwos%2Fwoscc%2Ffull-record%2FWOS:000613921400029","View Full Record in Web of Science")</f>
        <v>View Full Record in Web of Science</v>
      </c>
    </row>
    <row r="316" ht="12.75" customHeight="1">
      <c r="A316" s="1" t="s">
        <v>72</v>
      </c>
      <c r="B316" s="1" t="s">
        <v>3357</v>
      </c>
      <c r="C316" s="1" t="s">
        <v>74</v>
      </c>
      <c r="D316" s="1" t="s">
        <v>74</v>
      </c>
      <c r="E316" s="1" t="s">
        <v>74</v>
      </c>
      <c r="F316" s="1" t="s">
        <v>3358</v>
      </c>
      <c r="G316" s="1" t="s">
        <v>74</v>
      </c>
      <c r="H316" s="1" t="s">
        <v>74</v>
      </c>
      <c r="I316" s="1" t="s">
        <v>3359</v>
      </c>
      <c r="J316" s="1" t="s">
        <v>3360</v>
      </c>
      <c r="K316" s="1" t="s">
        <v>74</v>
      </c>
      <c r="L316" s="1" t="s">
        <v>74</v>
      </c>
      <c r="M316" s="1" t="s">
        <v>74</v>
      </c>
      <c r="N316" s="1" t="s">
        <v>74</v>
      </c>
      <c r="O316" s="1" t="s">
        <v>74</v>
      </c>
      <c r="P316" s="1" t="s">
        <v>74</v>
      </c>
      <c r="Q316" s="1" t="s">
        <v>74</v>
      </c>
      <c r="R316" s="1" t="s">
        <v>74</v>
      </c>
      <c r="S316" s="1" t="s">
        <v>74</v>
      </c>
      <c r="T316" s="1" t="s">
        <v>74</v>
      </c>
      <c r="U316" s="1" t="s">
        <v>74</v>
      </c>
      <c r="V316" s="1" t="s">
        <v>3361</v>
      </c>
      <c r="W316" s="1" t="s">
        <v>74</v>
      </c>
      <c r="X316" s="1" t="s">
        <v>74</v>
      </c>
      <c r="Y316" s="1" t="s">
        <v>74</v>
      </c>
      <c r="Z316" s="1" t="s">
        <v>74</v>
      </c>
      <c r="AA316" s="1" t="s">
        <v>3362</v>
      </c>
      <c r="AB316" s="1" t="s">
        <v>3363</v>
      </c>
      <c r="AC316" s="1" t="s">
        <v>74</v>
      </c>
      <c r="AD316" s="1" t="s">
        <v>74</v>
      </c>
      <c r="AE316" s="1" t="s">
        <v>74</v>
      </c>
      <c r="AF316" s="1" t="s">
        <v>74</v>
      </c>
      <c r="AG316" s="1" t="s">
        <v>74</v>
      </c>
      <c r="AH316" s="1" t="s">
        <v>74</v>
      </c>
      <c r="AI316" s="1" t="s">
        <v>74</v>
      </c>
      <c r="AJ316" s="1" t="s">
        <v>74</v>
      </c>
      <c r="AK316" s="1" t="s">
        <v>74</v>
      </c>
      <c r="AL316" s="1" t="s">
        <v>74</v>
      </c>
      <c r="AM316" s="1" t="s">
        <v>74</v>
      </c>
      <c r="AN316" s="1" t="s">
        <v>74</v>
      </c>
      <c r="AO316" s="1" t="s">
        <v>3364</v>
      </c>
      <c r="AP316" s="1" t="s">
        <v>3365</v>
      </c>
      <c r="AQ316" s="1" t="s">
        <v>74</v>
      </c>
      <c r="AR316" s="1" t="s">
        <v>74</v>
      </c>
      <c r="AS316" s="1" t="s">
        <v>74</v>
      </c>
      <c r="AT316" s="1" t="s">
        <v>422</v>
      </c>
      <c r="AU316" s="1">
        <v>2021.0</v>
      </c>
      <c r="AV316" s="1">
        <v>200.0</v>
      </c>
      <c r="AW316" s="1" t="s">
        <v>74</v>
      </c>
      <c r="AX316" s="1" t="s">
        <v>74</v>
      </c>
      <c r="AY316" s="1" t="s">
        <v>74</v>
      </c>
      <c r="AZ316" s="1" t="s">
        <v>74</v>
      </c>
      <c r="BA316" s="1" t="s">
        <v>74</v>
      </c>
      <c r="BB316" s="1" t="s">
        <v>74</v>
      </c>
      <c r="BC316" s="1" t="s">
        <v>74</v>
      </c>
      <c r="BD316" s="1">
        <v>105912.0</v>
      </c>
      <c r="BE316" s="1" t="s">
        <v>3366</v>
      </c>
      <c r="BF316" s="2" t="str">
        <f>HYPERLINK("http://dx.doi.org/10.1016/j.clay.2020.105912","http://dx.doi.org/10.1016/j.clay.2020.105912")</f>
        <v>http://dx.doi.org/10.1016/j.clay.2020.105912</v>
      </c>
      <c r="BG316" s="1" t="s">
        <v>74</v>
      </c>
      <c r="BH316" s="1" t="s">
        <v>625</v>
      </c>
      <c r="BI316" s="1" t="s">
        <v>74</v>
      </c>
      <c r="BJ316" s="1" t="s">
        <v>74</v>
      </c>
      <c r="BK316" s="1" t="s">
        <v>74</v>
      </c>
      <c r="BL316" s="1" t="s">
        <v>74</v>
      </c>
      <c r="BM316" s="1" t="s">
        <v>74</v>
      </c>
      <c r="BN316" s="1" t="s">
        <v>74</v>
      </c>
      <c r="BO316" s="1" t="s">
        <v>74</v>
      </c>
      <c r="BP316" s="1" t="s">
        <v>74</v>
      </c>
      <c r="BQ316" s="1" t="s">
        <v>74</v>
      </c>
      <c r="BR316" s="1" t="s">
        <v>74</v>
      </c>
      <c r="BS316" s="1" t="s">
        <v>3367</v>
      </c>
      <c r="BT316" s="1" t="str">
        <f>HYPERLINK("https%3A%2F%2Fwww.webofscience.com%2Fwos%2Fwoscc%2Ffull-record%2FWOS:000609020700003","View Full Record in Web of Science")</f>
        <v>View Full Record in Web of Science</v>
      </c>
    </row>
    <row r="317" ht="12.75" customHeight="1">
      <c r="A317" s="1" t="s">
        <v>72</v>
      </c>
      <c r="B317" s="1" t="s">
        <v>1833</v>
      </c>
      <c r="C317" s="1" t="s">
        <v>74</v>
      </c>
      <c r="D317" s="1" t="s">
        <v>74</v>
      </c>
      <c r="E317" s="1" t="s">
        <v>74</v>
      </c>
      <c r="F317" s="1" t="s">
        <v>1834</v>
      </c>
      <c r="G317" s="1" t="s">
        <v>74</v>
      </c>
      <c r="H317" s="1" t="s">
        <v>74</v>
      </c>
      <c r="I317" s="1" t="s">
        <v>3368</v>
      </c>
      <c r="J317" s="1" t="s">
        <v>1836</v>
      </c>
      <c r="K317" s="1" t="s">
        <v>74</v>
      </c>
      <c r="L317" s="1" t="s">
        <v>74</v>
      </c>
      <c r="M317" s="1" t="s">
        <v>74</v>
      </c>
      <c r="N317" s="1" t="s">
        <v>74</v>
      </c>
      <c r="O317" s="1" t="s">
        <v>74</v>
      </c>
      <c r="P317" s="1" t="s">
        <v>74</v>
      </c>
      <c r="Q317" s="1" t="s">
        <v>74</v>
      </c>
      <c r="R317" s="1" t="s">
        <v>74</v>
      </c>
      <c r="S317" s="1" t="s">
        <v>74</v>
      </c>
      <c r="T317" s="1" t="s">
        <v>74</v>
      </c>
      <c r="U317" s="1" t="s">
        <v>74</v>
      </c>
      <c r="V317" s="1" t="s">
        <v>74</v>
      </c>
      <c r="W317" s="1" t="s">
        <v>74</v>
      </c>
      <c r="X317" s="1" t="s">
        <v>74</v>
      </c>
      <c r="Y317" s="1" t="s">
        <v>74</v>
      </c>
      <c r="Z317" s="1" t="s">
        <v>74</v>
      </c>
      <c r="AA317" s="1" t="s">
        <v>1838</v>
      </c>
      <c r="AB317" s="1" t="s">
        <v>74</v>
      </c>
      <c r="AC317" s="1" t="s">
        <v>74</v>
      </c>
      <c r="AD317" s="1" t="s">
        <v>74</v>
      </c>
      <c r="AE317" s="1" t="s">
        <v>74</v>
      </c>
      <c r="AF317" s="1" t="s">
        <v>74</v>
      </c>
      <c r="AG317" s="1" t="s">
        <v>74</v>
      </c>
      <c r="AH317" s="1" t="s">
        <v>74</v>
      </c>
      <c r="AI317" s="1" t="s">
        <v>74</v>
      </c>
      <c r="AJ317" s="1" t="s">
        <v>74</v>
      </c>
      <c r="AK317" s="1" t="s">
        <v>74</v>
      </c>
      <c r="AL317" s="1" t="s">
        <v>74</v>
      </c>
      <c r="AM317" s="1" t="s">
        <v>74</v>
      </c>
      <c r="AN317" s="1" t="s">
        <v>74</v>
      </c>
      <c r="AO317" s="1" t="s">
        <v>1839</v>
      </c>
      <c r="AP317" s="1" t="s">
        <v>1840</v>
      </c>
      <c r="AQ317" s="1" t="s">
        <v>74</v>
      </c>
      <c r="AR317" s="1" t="s">
        <v>74</v>
      </c>
      <c r="AS317" s="1" t="s">
        <v>74</v>
      </c>
      <c r="AT317" s="1" t="s">
        <v>1727</v>
      </c>
      <c r="AU317" s="1">
        <v>2020.0</v>
      </c>
      <c r="AV317" s="1">
        <v>687.0</v>
      </c>
      <c r="AW317" s="1" t="s">
        <v>74</v>
      </c>
      <c r="AX317" s="1" t="s">
        <v>74</v>
      </c>
      <c r="AY317" s="1" t="s">
        <v>74</v>
      </c>
      <c r="AZ317" s="1" t="s">
        <v>74</v>
      </c>
      <c r="BA317" s="1" t="s">
        <v>74</v>
      </c>
      <c r="BB317" s="1" t="s">
        <v>74</v>
      </c>
      <c r="BC317" s="1" t="s">
        <v>74</v>
      </c>
      <c r="BD317" s="1">
        <v>108372.0</v>
      </c>
      <c r="BE317" s="1" t="s">
        <v>3369</v>
      </c>
      <c r="BF317" s="2" t="str">
        <f>HYPERLINK("http://dx.doi.org/10.1016/j.abb.2020.108372","http://dx.doi.org/10.1016/j.abb.2020.108372")</f>
        <v>http://dx.doi.org/10.1016/j.abb.2020.108372</v>
      </c>
      <c r="BG317" s="1" t="s">
        <v>74</v>
      </c>
      <c r="BH317" s="1" t="s">
        <v>74</v>
      </c>
      <c r="BI317" s="1" t="s">
        <v>74</v>
      </c>
      <c r="BJ317" s="1" t="s">
        <v>74</v>
      </c>
      <c r="BK317" s="1" t="s">
        <v>74</v>
      </c>
      <c r="BL317" s="1" t="s">
        <v>74</v>
      </c>
      <c r="BM317" s="1" t="s">
        <v>74</v>
      </c>
      <c r="BN317" s="1">
        <v>3.2340694E7</v>
      </c>
      <c r="BO317" s="1" t="s">
        <v>74</v>
      </c>
      <c r="BP317" s="1" t="s">
        <v>74</v>
      </c>
      <c r="BQ317" s="1" t="s">
        <v>74</v>
      </c>
      <c r="BR317" s="1" t="s">
        <v>74</v>
      </c>
      <c r="BS317" s="1" t="s">
        <v>3370</v>
      </c>
      <c r="BT317" s="1" t="str">
        <f>HYPERLINK("https%3A%2F%2Fwww.webofscience.com%2Fwos%2Fwoscc%2Ffull-record%2FWOS:000536143900004","View Full Record in Web of Science")</f>
        <v>View Full Record in Web of Science</v>
      </c>
    </row>
    <row r="318" ht="12.75" customHeight="1">
      <c r="A318" s="1" t="s">
        <v>72</v>
      </c>
      <c r="B318" s="1" t="s">
        <v>3371</v>
      </c>
      <c r="C318" s="1" t="s">
        <v>74</v>
      </c>
      <c r="D318" s="1" t="s">
        <v>74</v>
      </c>
      <c r="E318" s="1" t="s">
        <v>74</v>
      </c>
      <c r="F318" s="1" t="s">
        <v>3372</v>
      </c>
      <c r="G318" s="1" t="s">
        <v>74</v>
      </c>
      <c r="H318" s="1" t="s">
        <v>74</v>
      </c>
      <c r="I318" s="1" t="s">
        <v>3373</v>
      </c>
      <c r="J318" s="1" t="s">
        <v>3374</v>
      </c>
      <c r="K318" s="1" t="s">
        <v>74</v>
      </c>
      <c r="L318" s="1" t="s">
        <v>74</v>
      </c>
      <c r="M318" s="1" t="s">
        <v>74</v>
      </c>
      <c r="N318" s="1" t="s">
        <v>74</v>
      </c>
      <c r="O318" s="1" t="s">
        <v>74</v>
      </c>
      <c r="P318" s="1" t="s">
        <v>74</v>
      </c>
      <c r="Q318" s="1" t="s">
        <v>74</v>
      </c>
      <c r="R318" s="1" t="s">
        <v>74</v>
      </c>
      <c r="S318" s="1" t="s">
        <v>74</v>
      </c>
      <c r="T318" s="1" t="s">
        <v>74</v>
      </c>
      <c r="U318" s="1" t="s">
        <v>74</v>
      </c>
      <c r="V318" s="1" t="s">
        <v>3375</v>
      </c>
      <c r="W318" s="1" t="s">
        <v>74</v>
      </c>
      <c r="X318" s="1" t="s">
        <v>74</v>
      </c>
      <c r="Y318" s="1" t="s">
        <v>74</v>
      </c>
      <c r="Z318" s="1" t="s">
        <v>74</v>
      </c>
      <c r="AA318" s="1" t="s">
        <v>3376</v>
      </c>
      <c r="AB318" s="1" t="s">
        <v>3377</v>
      </c>
      <c r="AC318" s="1" t="s">
        <v>74</v>
      </c>
      <c r="AD318" s="1" t="s">
        <v>74</v>
      </c>
      <c r="AE318" s="1" t="s">
        <v>74</v>
      </c>
      <c r="AF318" s="1" t="s">
        <v>74</v>
      </c>
      <c r="AG318" s="1" t="s">
        <v>74</v>
      </c>
      <c r="AH318" s="1" t="s">
        <v>74</v>
      </c>
      <c r="AI318" s="1" t="s">
        <v>74</v>
      </c>
      <c r="AJ318" s="1" t="s">
        <v>74</v>
      </c>
      <c r="AK318" s="1" t="s">
        <v>74</v>
      </c>
      <c r="AL318" s="1" t="s">
        <v>74</v>
      </c>
      <c r="AM318" s="1" t="s">
        <v>74</v>
      </c>
      <c r="AN318" s="1" t="s">
        <v>74</v>
      </c>
      <c r="AO318" s="1" t="s">
        <v>3378</v>
      </c>
      <c r="AP318" s="1" t="s">
        <v>3379</v>
      </c>
      <c r="AQ318" s="1" t="s">
        <v>74</v>
      </c>
      <c r="AR318" s="1" t="s">
        <v>74</v>
      </c>
      <c r="AS318" s="1" t="s">
        <v>74</v>
      </c>
      <c r="AT318" s="1" t="s">
        <v>307</v>
      </c>
      <c r="AU318" s="1">
        <v>2019.0</v>
      </c>
      <c r="AV318" s="1">
        <v>89.0</v>
      </c>
      <c r="AW318" s="1" t="s">
        <v>74</v>
      </c>
      <c r="AX318" s="1" t="s">
        <v>74</v>
      </c>
      <c r="AY318" s="1" t="s">
        <v>74</v>
      </c>
      <c r="AZ318" s="1" t="s">
        <v>74</v>
      </c>
      <c r="BA318" s="1" t="s">
        <v>74</v>
      </c>
      <c r="BB318" s="1" t="s">
        <v>74</v>
      </c>
      <c r="BC318" s="1" t="s">
        <v>74</v>
      </c>
      <c r="BD318" s="1">
        <v>104248.0</v>
      </c>
      <c r="BE318" s="1" t="s">
        <v>3380</v>
      </c>
      <c r="BF318" s="2" t="str">
        <f>HYPERLINK("http://dx.doi.org/10.1016/j.landusepol.2019.104248","http://dx.doi.org/10.1016/j.landusepol.2019.104248")</f>
        <v>http://dx.doi.org/10.1016/j.landusepol.2019.104248</v>
      </c>
      <c r="BG318" s="1" t="s">
        <v>74</v>
      </c>
      <c r="BH318" s="1" t="s">
        <v>74</v>
      </c>
      <c r="BI318" s="1" t="s">
        <v>74</v>
      </c>
      <c r="BJ318" s="1" t="s">
        <v>74</v>
      </c>
      <c r="BK318" s="1" t="s">
        <v>74</v>
      </c>
      <c r="BL318" s="1" t="s">
        <v>74</v>
      </c>
      <c r="BM318" s="1" t="s">
        <v>74</v>
      </c>
      <c r="BN318" s="1" t="s">
        <v>74</v>
      </c>
      <c r="BO318" s="1" t="s">
        <v>74</v>
      </c>
      <c r="BP318" s="1" t="s">
        <v>74</v>
      </c>
      <c r="BQ318" s="1" t="s">
        <v>74</v>
      </c>
      <c r="BR318" s="1" t="s">
        <v>74</v>
      </c>
      <c r="BS318" s="1" t="s">
        <v>3381</v>
      </c>
      <c r="BT318" s="1" t="str">
        <f>HYPERLINK("https%3A%2F%2Fwww.webofscience.com%2Fwos%2Fwoscc%2Ffull-record%2FWOS:000501651100033","View Full Record in Web of Science")</f>
        <v>View Full Record in Web of Science</v>
      </c>
    </row>
    <row r="319" ht="12.75" customHeight="1">
      <c r="A319" s="1" t="s">
        <v>72</v>
      </c>
      <c r="B319" s="1" t="s">
        <v>3382</v>
      </c>
      <c r="C319" s="1" t="s">
        <v>74</v>
      </c>
      <c r="D319" s="1" t="s">
        <v>74</v>
      </c>
      <c r="E319" s="1" t="s">
        <v>74</v>
      </c>
      <c r="F319" s="1" t="s">
        <v>3383</v>
      </c>
      <c r="G319" s="1" t="s">
        <v>74</v>
      </c>
      <c r="H319" s="1" t="s">
        <v>74</v>
      </c>
      <c r="I319" s="1" t="s">
        <v>3384</v>
      </c>
      <c r="J319" s="1" t="s">
        <v>3385</v>
      </c>
      <c r="K319" s="1" t="s">
        <v>74</v>
      </c>
      <c r="L319" s="1" t="s">
        <v>74</v>
      </c>
      <c r="M319" s="1" t="s">
        <v>74</v>
      </c>
      <c r="N319" s="1" t="s">
        <v>74</v>
      </c>
      <c r="O319" s="1" t="s">
        <v>74</v>
      </c>
      <c r="P319" s="1" t="s">
        <v>74</v>
      </c>
      <c r="Q319" s="1" t="s">
        <v>74</v>
      </c>
      <c r="R319" s="1" t="s">
        <v>74</v>
      </c>
      <c r="S319" s="1" t="s">
        <v>74</v>
      </c>
      <c r="T319" s="1" t="s">
        <v>74</v>
      </c>
      <c r="U319" s="1" t="s">
        <v>74</v>
      </c>
      <c r="V319" s="1" t="s">
        <v>3386</v>
      </c>
      <c r="W319" s="1" t="s">
        <v>74</v>
      </c>
      <c r="X319" s="1" t="s">
        <v>74</v>
      </c>
      <c r="Y319" s="1" t="s">
        <v>74</v>
      </c>
      <c r="Z319" s="1" t="s">
        <v>74</v>
      </c>
      <c r="AA319" s="1" t="s">
        <v>3387</v>
      </c>
      <c r="AB319" s="1" t="s">
        <v>3388</v>
      </c>
      <c r="AC319" s="1" t="s">
        <v>74</v>
      </c>
      <c r="AD319" s="1" t="s">
        <v>74</v>
      </c>
      <c r="AE319" s="1" t="s">
        <v>74</v>
      </c>
      <c r="AF319" s="1" t="s">
        <v>74</v>
      </c>
      <c r="AG319" s="1" t="s">
        <v>74</v>
      </c>
      <c r="AH319" s="1" t="s">
        <v>74</v>
      </c>
      <c r="AI319" s="1" t="s">
        <v>74</v>
      </c>
      <c r="AJ319" s="1" t="s">
        <v>74</v>
      </c>
      <c r="AK319" s="1" t="s">
        <v>74</v>
      </c>
      <c r="AL319" s="1" t="s">
        <v>74</v>
      </c>
      <c r="AM319" s="1" t="s">
        <v>74</v>
      </c>
      <c r="AN319" s="1" t="s">
        <v>74</v>
      </c>
      <c r="AO319" s="1" t="s">
        <v>3389</v>
      </c>
      <c r="AP319" s="1" t="s">
        <v>3390</v>
      </c>
      <c r="AQ319" s="1" t="s">
        <v>74</v>
      </c>
      <c r="AR319" s="1" t="s">
        <v>74</v>
      </c>
      <c r="AS319" s="1" t="s">
        <v>74</v>
      </c>
      <c r="AT319" s="1" t="s">
        <v>564</v>
      </c>
      <c r="AU319" s="1">
        <v>2019.0</v>
      </c>
      <c r="AV319" s="1">
        <v>467.0</v>
      </c>
      <c r="AW319" s="1" t="s">
        <v>74</v>
      </c>
      <c r="AX319" s="1" t="s">
        <v>74</v>
      </c>
      <c r="AY319" s="1" t="s">
        <v>74</v>
      </c>
      <c r="AZ319" s="1" t="s">
        <v>74</v>
      </c>
      <c r="BA319" s="1" t="s">
        <v>74</v>
      </c>
      <c r="BB319" s="1">
        <v>851.0</v>
      </c>
      <c r="BC319" s="1">
        <v>859.0</v>
      </c>
      <c r="BD319" s="1" t="s">
        <v>74</v>
      </c>
      <c r="BE319" s="1" t="s">
        <v>3391</v>
      </c>
      <c r="BF319" s="2" t="str">
        <f>HYPERLINK("http://dx.doi.org/10.1016/j.apsusc.2018.10.120","http://dx.doi.org/10.1016/j.apsusc.2018.10.120")</f>
        <v>http://dx.doi.org/10.1016/j.apsusc.2018.10.120</v>
      </c>
      <c r="BG319" s="1" t="s">
        <v>74</v>
      </c>
      <c r="BH319" s="1" t="s">
        <v>74</v>
      </c>
      <c r="BI319" s="1" t="s">
        <v>74</v>
      </c>
      <c r="BJ319" s="1" t="s">
        <v>74</v>
      </c>
      <c r="BK319" s="1" t="s">
        <v>74</v>
      </c>
      <c r="BL319" s="1" t="s">
        <v>74</v>
      </c>
      <c r="BM319" s="1" t="s">
        <v>74</v>
      </c>
      <c r="BN319" s="1" t="s">
        <v>74</v>
      </c>
      <c r="BO319" s="1" t="s">
        <v>74</v>
      </c>
      <c r="BP319" s="1" t="s">
        <v>74</v>
      </c>
      <c r="BQ319" s="1" t="s">
        <v>74</v>
      </c>
      <c r="BR319" s="1" t="s">
        <v>74</v>
      </c>
      <c r="BS319" s="1" t="s">
        <v>3392</v>
      </c>
      <c r="BT319" s="1" t="str">
        <f>HYPERLINK("https%3A%2F%2Fwww.webofscience.com%2Fwos%2Fwoscc%2Ffull-record%2FWOS:000451023500099","View Full Record in Web of Science")</f>
        <v>View Full Record in Web of Science</v>
      </c>
    </row>
    <row r="320" ht="12.75" customHeight="1">
      <c r="A320" s="1" t="s">
        <v>742</v>
      </c>
      <c r="B320" s="1" t="s">
        <v>3393</v>
      </c>
      <c r="C320" s="1" t="s">
        <v>74</v>
      </c>
      <c r="D320" s="1" t="s">
        <v>3394</v>
      </c>
      <c r="E320" s="1" t="s">
        <v>74</v>
      </c>
      <c r="F320" s="1" t="s">
        <v>3395</v>
      </c>
      <c r="G320" s="1" t="s">
        <v>74</v>
      </c>
      <c r="H320" s="1" t="s">
        <v>74</v>
      </c>
      <c r="I320" s="1" t="s">
        <v>3396</v>
      </c>
      <c r="J320" s="1" t="s">
        <v>3397</v>
      </c>
      <c r="K320" s="1" t="s">
        <v>74</v>
      </c>
      <c r="L320" s="1" t="s">
        <v>74</v>
      </c>
      <c r="M320" s="1" t="s">
        <v>74</v>
      </c>
      <c r="N320" s="1" t="s">
        <v>74</v>
      </c>
      <c r="O320" s="1" t="s">
        <v>74</v>
      </c>
      <c r="P320" s="1" t="s">
        <v>74</v>
      </c>
      <c r="Q320" s="1" t="s">
        <v>74</v>
      </c>
      <c r="R320" s="1" t="s">
        <v>74</v>
      </c>
      <c r="S320" s="1" t="s">
        <v>74</v>
      </c>
      <c r="T320" s="1" t="s">
        <v>74</v>
      </c>
      <c r="U320" s="1" t="s">
        <v>74</v>
      </c>
      <c r="V320" s="1" t="s">
        <v>3398</v>
      </c>
      <c r="W320" s="1" t="s">
        <v>74</v>
      </c>
      <c r="X320" s="1" t="s">
        <v>74</v>
      </c>
      <c r="Y320" s="1" t="s">
        <v>74</v>
      </c>
      <c r="Z320" s="1" t="s">
        <v>74</v>
      </c>
      <c r="AA320" s="1" t="s">
        <v>3399</v>
      </c>
      <c r="AB320" s="1" t="s">
        <v>3400</v>
      </c>
      <c r="AC320" s="1" t="s">
        <v>74</v>
      </c>
      <c r="AD320" s="1" t="s">
        <v>74</v>
      </c>
      <c r="AE320" s="1" t="s">
        <v>74</v>
      </c>
      <c r="AF320" s="1" t="s">
        <v>74</v>
      </c>
      <c r="AG320" s="1" t="s">
        <v>74</v>
      </c>
      <c r="AH320" s="1" t="s">
        <v>74</v>
      </c>
      <c r="AI320" s="1" t="s">
        <v>74</v>
      </c>
      <c r="AJ320" s="1" t="s">
        <v>74</v>
      </c>
      <c r="AK320" s="1" t="s">
        <v>74</v>
      </c>
      <c r="AL320" s="1" t="s">
        <v>74</v>
      </c>
      <c r="AM320" s="1" t="s">
        <v>74</v>
      </c>
      <c r="AN320" s="1" t="s">
        <v>74</v>
      </c>
      <c r="AO320" s="1" t="s">
        <v>74</v>
      </c>
      <c r="AP320" s="1" t="s">
        <v>74</v>
      </c>
      <c r="AQ320" s="1" t="s">
        <v>3401</v>
      </c>
      <c r="AR320" s="1" t="s">
        <v>74</v>
      </c>
      <c r="AS320" s="1" t="s">
        <v>74</v>
      </c>
      <c r="AT320" s="1" t="s">
        <v>74</v>
      </c>
      <c r="AU320" s="1">
        <v>2019.0</v>
      </c>
      <c r="AV320" s="1" t="s">
        <v>74</v>
      </c>
      <c r="AW320" s="1" t="s">
        <v>74</v>
      </c>
      <c r="AX320" s="1" t="s">
        <v>74</v>
      </c>
      <c r="AY320" s="1" t="s">
        <v>74</v>
      </c>
      <c r="AZ320" s="1" t="s">
        <v>74</v>
      </c>
      <c r="BA320" s="1" t="s">
        <v>74</v>
      </c>
      <c r="BB320" s="1">
        <v>53.0</v>
      </c>
      <c r="BC320" s="1">
        <v>69.0</v>
      </c>
      <c r="BD320" s="1" t="s">
        <v>74</v>
      </c>
      <c r="BE320" s="1" t="s">
        <v>3402</v>
      </c>
      <c r="BF320" s="2" t="str">
        <f>HYPERLINK("http://dx.doi.org/10.1007/978-3-030-28452-7_4","http://dx.doi.org/10.1007/978-3-030-28452-7_4")</f>
        <v>http://dx.doi.org/10.1007/978-3-030-28452-7_4</v>
      </c>
      <c r="BG320" s="1" t="s">
        <v>3403</v>
      </c>
      <c r="BH320" s="1" t="s">
        <v>74</v>
      </c>
      <c r="BI320" s="1" t="s">
        <v>74</v>
      </c>
      <c r="BJ320" s="1" t="s">
        <v>74</v>
      </c>
      <c r="BK320" s="1" t="s">
        <v>74</v>
      </c>
      <c r="BL320" s="1" t="s">
        <v>74</v>
      </c>
      <c r="BM320" s="1" t="s">
        <v>74</v>
      </c>
      <c r="BN320" s="1" t="s">
        <v>74</v>
      </c>
      <c r="BO320" s="1" t="s">
        <v>74</v>
      </c>
      <c r="BP320" s="1" t="s">
        <v>74</v>
      </c>
      <c r="BQ320" s="1" t="s">
        <v>74</v>
      </c>
      <c r="BR320" s="1" t="s">
        <v>74</v>
      </c>
      <c r="BS320" s="1" t="s">
        <v>3404</v>
      </c>
      <c r="BT320" s="1" t="str">
        <f>HYPERLINK("https%3A%2F%2Fwww.webofscience.com%2Fwos%2Fwoscc%2Ffull-record%2FWOS:000631257800005","View Full Record in Web of Science")</f>
        <v>View Full Record in Web of Science</v>
      </c>
    </row>
    <row r="321" ht="12.75" customHeight="1">
      <c r="A321" s="1" t="s">
        <v>72</v>
      </c>
      <c r="B321" s="1" t="s">
        <v>3405</v>
      </c>
      <c r="C321" s="1" t="s">
        <v>74</v>
      </c>
      <c r="D321" s="1" t="s">
        <v>74</v>
      </c>
      <c r="E321" s="1" t="s">
        <v>74</v>
      </c>
      <c r="F321" s="1" t="s">
        <v>3406</v>
      </c>
      <c r="G321" s="1" t="s">
        <v>74</v>
      </c>
      <c r="H321" s="1" t="s">
        <v>74</v>
      </c>
      <c r="I321" s="1" t="s">
        <v>3407</v>
      </c>
      <c r="J321" s="1" t="s">
        <v>3408</v>
      </c>
      <c r="K321" s="1" t="s">
        <v>74</v>
      </c>
      <c r="L321" s="1" t="s">
        <v>74</v>
      </c>
      <c r="M321" s="1" t="s">
        <v>74</v>
      </c>
      <c r="N321" s="1" t="s">
        <v>74</v>
      </c>
      <c r="O321" s="1" t="s">
        <v>74</v>
      </c>
      <c r="P321" s="1" t="s">
        <v>74</v>
      </c>
      <c r="Q321" s="1" t="s">
        <v>74</v>
      </c>
      <c r="R321" s="1" t="s">
        <v>74</v>
      </c>
      <c r="S321" s="1" t="s">
        <v>74</v>
      </c>
      <c r="T321" s="1" t="s">
        <v>74</v>
      </c>
      <c r="U321" s="1" t="s">
        <v>74</v>
      </c>
      <c r="V321" s="1" t="s">
        <v>3409</v>
      </c>
      <c r="W321" s="1" t="s">
        <v>74</v>
      </c>
      <c r="X321" s="1" t="s">
        <v>74</v>
      </c>
      <c r="Y321" s="1" t="s">
        <v>74</v>
      </c>
      <c r="Z321" s="1" t="s">
        <v>74</v>
      </c>
      <c r="AA321" s="1" t="s">
        <v>3410</v>
      </c>
      <c r="AB321" s="1" t="s">
        <v>3411</v>
      </c>
      <c r="AC321" s="1" t="s">
        <v>74</v>
      </c>
      <c r="AD321" s="1" t="s">
        <v>74</v>
      </c>
      <c r="AE321" s="1" t="s">
        <v>74</v>
      </c>
      <c r="AF321" s="1" t="s">
        <v>74</v>
      </c>
      <c r="AG321" s="1" t="s">
        <v>74</v>
      </c>
      <c r="AH321" s="1" t="s">
        <v>74</v>
      </c>
      <c r="AI321" s="1" t="s">
        <v>74</v>
      </c>
      <c r="AJ321" s="1" t="s">
        <v>74</v>
      </c>
      <c r="AK321" s="1" t="s">
        <v>74</v>
      </c>
      <c r="AL321" s="1" t="s">
        <v>74</v>
      </c>
      <c r="AM321" s="1" t="s">
        <v>74</v>
      </c>
      <c r="AN321" s="1" t="s">
        <v>74</v>
      </c>
      <c r="AO321" s="1" t="s">
        <v>3412</v>
      </c>
      <c r="AP321" s="1" t="s">
        <v>74</v>
      </c>
      <c r="AQ321" s="1" t="s">
        <v>74</v>
      </c>
      <c r="AR321" s="1" t="s">
        <v>74</v>
      </c>
      <c r="AS321" s="1" t="s">
        <v>74</v>
      </c>
      <c r="AT321" s="1" t="s">
        <v>3122</v>
      </c>
      <c r="AU321" s="1">
        <v>2018.0</v>
      </c>
      <c r="AV321" s="1">
        <v>6.0</v>
      </c>
      <c r="AW321" s="1" t="s">
        <v>74</v>
      </c>
      <c r="AX321" s="1" t="s">
        <v>74</v>
      </c>
      <c r="AY321" s="1" t="s">
        <v>74</v>
      </c>
      <c r="AZ321" s="1" t="s">
        <v>74</v>
      </c>
      <c r="BA321" s="1" t="s">
        <v>74</v>
      </c>
      <c r="BB321" s="1" t="s">
        <v>74</v>
      </c>
      <c r="BC321" s="1" t="s">
        <v>74</v>
      </c>
      <c r="BD321" s="1">
        <v>312.0</v>
      </c>
      <c r="BE321" s="1" t="s">
        <v>3413</v>
      </c>
      <c r="BF321" s="2" t="str">
        <f>HYPERLINK("http://dx.doi.org/10.3389/fchem.2018.00312","http://dx.doi.org/10.3389/fchem.2018.00312")</f>
        <v>http://dx.doi.org/10.3389/fchem.2018.00312</v>
      </c>
      <c r="BG321" s="1" t="s">
        <v>74</v>
      </c>
      <c r="BH321" s="1" t="s">
        <v>74</v>
      </c>
      <c r="BI321" s="1" t="s">
        <v>74</v>
      </c>
      <c r="BJ321" s="1" t="s">
        <v>74</v>
      </c>
      <c r="BK321" s="1" t="s">
        <v>74</v>
      </c>
      <c r="BL321" s="1" t="s">
        <v>74</v>
      </c>
      <c r="BM321" s="1" t="s">
        <v>74</v>
      </c>
      <c r="BN321" s="1">
        <v>3.0109223E7</v>
      </c>
      <c r="BO321" s="1" t="s">
        <v>74</v>
      </c>
      <c r="BP321" s="1" t="s">
        <v>74</v>
      </c>
      <c r="BQ321" s="1" t="s">
        <v>74</v>
      </c>
      <c r="BR321" s="1" t="s">
        <v>74</v>
      </c>
      <c r="BS321" s="1" t="s">
        <v>3414</v>
      </c>
      <c r="BT321" s="1" t="str">
        <f>HYPERLINK("https%3A%2F%2Fwww.webofscience.com%2Fwos%2Fwoscc%2Ffull-record%2FWOS:000440156500001","View Full Record in Web of Science")</f>
        <v>View Full Record in Web of Science</v>
      </c>
    </row>
    <row r="322" ht="12.75" customHeight="1">
      <c r="A322" s="1" t="s">
        <v>72</v>
      </c>
      <c r="B322" s="1" t="s">
        <v>3415</v>
      </c>
      <c r="C322" s="1" t="s">
        <v>74</v>
      </c>
      <c r="D322" s="1" t="s">
        <v>74</v>
      </c>
      <c r="E322" s="1" t="s">
        <v>74</v>
      </c>
      <c r="F322" s="1" t="s">
        <v>3416</v>
      </c>
      <c r="G322" s="1" t="s">
        <v>74</v>
      </c>
      <c r="H322" s="1" t="s">
        <v>74</v>
      </c>
      <c r="I322" s="1" t="s">
        <v>3417</v>
      </c>
      <c r="J322" s="1" t="s">
        <v>3418</v>
      </c>
      <c r="K322" s="1" t="s">
        <v>74</v>
      </c>
      <c r="L322" s="1" t="s">
        <v>74</v>
      </c>
      <c r="M322" s="1" t="s">
        <v>74</v>
      </c>
      <c r="N322" s="1" t="s">
        <v>74</v>
      </c>
      <c r="O322" s="1" t="s">
        <v>74</v>
      </c>
      <c r="P322" s="1" t="s">
        <v>74</v>
      </c>
      <c r="Q322" s="1" t="s">
        <v>74</v>
      </c>
      <c r="R322" s="1" t="s">
        <v>74</v>
      </c>
      <c r="S322" s="1" t="s">
        <v>74</v>
      </c>
      <c r="T322" s="1" t="s">
        <v>74</v>
      </c>
      <c r="U322" s="1" t="s">
        <v>74</v>
      </c>
      <c r="V322" s="1" t="s">
        <v>3419</v>
      </c>
      <c r="W322" s="1" t="s">
        <v>74</v>
      </c>
      <c r="X322" s="1" t="s">
        <v>74</v>
      </c>
      <c r="Y322" s="1" t="s">
        <v>74</v>
      </c>
      <c r="Z322" s="1" t="s">
        <v>74</v>
      </c>
      <c r="AA322" s="1" t="s">
        <v>3420</v>
      </c>
      <c r="AB322" s="1" t="s">
        <v>3421</v>
      </c>
      <c r="AC322" s="1" t="s">
        <v>74</v>
      </c>
      <c r="AD322" s="1" t="s">
        <v>74</v>
      </c>
      <c r="AE322" s="1" t="s">
        <v>74</v>
      </c>
      <c r="AF322" s="1" t="s">
        <v>74</v>
      </c>
      <c r="AG322" s="1" t="s">
        <v>74</v>
      </c>
      <c r="AH322" s="1" t="s">
        <v>74</v>
      </c>
      <c r="AI322" s="1" t="s">
        <v>74</v>
      </c>
      <c r="AJ322" s="1" t="s">
        <v>74</v>
      </c>
      <c r="AK322" s="1" t="s">
        <v>74</v>
      </c>
      <c r="AL322" s="1" t="s">
        <v>74</v>
      </c>
      <c r="AM322" s="1" t="s">
        <v>74</v>
      </c>
      <c r="AN322" s="1" t="s">
        <v>74</v>
      </c>
      <c r="AO322" s="1" t="s">
        <v>3422</v>
      </c>
      <c r="AP322" s="1" t="s">
        <v>3423</v>
      </c>
      <c r="AQ322" s="1" t="s">
        <v>74</v>
      </c>
      <c r="AR322" s="1" t="s">
        <v>74</v>
      </c>
      <c r="AS322" s="1" t="s">
        <v>74</v>
      </c>
      <c r="AT322" s="1" t="s">
        <v>939</v>
      </c>
      <c r="AU322" s="1">
        <v>2017.0</v>
      </c>
      <c r="AV322" s="1">
        <v>145.0</v>
      </c>
      <c r="AW322" s="1">
        <v>6.0</v>
      </c>
      <c r="AX322" s="1" t="s">
        <v>74</v>
      </c>
      <c r="AY322" s="1" t="s">
        <v>74</v>
      </c>
      <c r="AZ322" s="1" t="s">
        <v>74</v>
      </c>
      <c r="BA322" s="1" t="s">
        <v>74</v>
      </c>
      <c r="BB322" s="1">
        <v>2661.0</v>
      </c>
      <c r="BC322" s="1">
        <v>2675.0</v>
      </c>
      <c r="BD322" s="1" t="s">
        <v>74</v>
      </c>
      <c r="BE322" s="1" t="s">
        <v>3424</v>
      </c>
      <c r="BF322" s="2" t="str">
        <f>HYPERLINK("http://dx.doi.org/10.1090/proc/13426","http://dx.doi.org/10.1090/proc/13426")</f>
        <v>http://dx.doi.org/10.1090/proc/13426</v>
      </c>
      <c r="BG322" s="1" t="s">
        <v>74</v>
      </c>
      <c r="BH322" s="1" t="s">
        <v>74</v>
      </c>
      <c r="BI322" s="1" t="s">
        <v>74</v>
      </c>
      <c r="BJ322" s="1" t="s">
        <v>74</v>
      </c>
      <c r="BK322" s="1" t="s">
        <v>74</v>
      </c>
      <c r="BL322" s="1" t="s">
        <v>74</v>
      </c>
      <c r="BM322" s="1" t="s">
        <v>74</v>
      </c>
      <c r="BN322" s="1" t="s">
        <v>74</v>
      </c>
      <c r="BO322" s="1" t="s">
        <v>74</v>
      </c>
      <c r="BP322" s="1" t="s">
        <v>74</v>
      </c>
      <c r="BQ322" s="1" t="s">
        <v>74</v>
      </c>
      <c r="BR322" s="1" t="s">
        <v>74</v>
      </c>
      <c r="BS322" s="1" t="s">
        <v>3425</v>
      </c>
      <c r="BT322" s="1" t="str">
        <f>HYPERLINK("https%3A%2F%2Fwww.webofscience.com%2Fwos%2Fwoscc%2Ffull-record%2FWOS:000398833500031","View Full Record in Web of Science")</f>
        <v>View Full Record in Web of Science</v>
      </c>
    </row>
    <row r="323" ht="12.75" customHeight="1">
      <c r="A323" s="1" t="s">
        <v>72</v>
      </c>
      <c r="B323" s="1" t="s">
        <v>3426</v>
      </c>
      <c r="C323" s="1" t="s">
        <v>74</v>
      </c>
      <c r="D323" s="1" t="s">
        <v>74</v>
      </c>
      <c r="E323" s="1" t="s">
        <v>74</v>
      </c>
      <c r="F323" s="1" t="s">
        <v>3427</v>
      </c>
      <c r="G323" s="1" t="s">
        <v>74</v>
      </c>
      <c r="H323" s="1" t="s">
        <v>74</v>
      </c>
      <c r="I323" s="1" t="s">
        <v>3428</v>
      </c>
      <c r="J323" s="1" t="s">
        <v>3429</v>
      </c>
      <c r="K323" s="1" t="s">
        <v>74</v>
      </c>
      <c r="L323" s="1" t="s">
        <v>74</v>
      </c>
      <c r="M323" s="1" t="s">
        <v>74</v>
      </c>
      <c r="N323" s="1" t="s">
        <v>74</v>
      </c>
      <c r="O323" s="1" t="s">
        <v>3430</v>
      </c>
      <c r="P323" s="1" t="s">
        <v>3431</v>
      </c>
      <c r="Q323" s="1" t="s">
        <v>1979</v>
      </c>
      <c r="R323" s="1" t="s">
        <v>74</v>
      </c>
      <c r="S323" s="1" t="s">
        <v>74</v>
      </c>
      <c r="T323" s="1" t="s">
        <v>74</v>
      </c>
      <c r="U323" s="1" t="s">
        <v>74</v>
      </c>
      <c r="V323" s="1" t="s">
        <v>74</v>
      </c>
      <c r="W323" s="1" t="s">
        <v>74</v>
      </c>
      <c r="X323" s="1" t="s">
        <v>74</v>
      </c>
      <c r="Y323" s="1" t="s">
        <v>74</v>
      </c>
      <c r="Z323" s="1" t="s">
        <v>74</v>
      </c>
      <c r="AA323" s="1" t="s">
        <v>3432</v>
      </c>
      <c r="AB323" s="1" t="s">
        <v>74</v>
      </c>
      <c r="AC323" s="1" t="s">
        <v>74</v>
      </c>
      <c r="AD323" s="1" t="s">
        <v>74</v>
      </c>
      <c r="AE323" s="1" t="s">
        <v>74</v>
      </c>
      <c r="AF323" s="1" t="s">
        <v>74</v>
      </c>
      <c r="AG323" s="1" t="s">
        <v>74</v>
      </c>
      <c r="AH323" s="1" t="s">
        <v>74</v>
      </c>
      <c r="AI323" s="1" t="s">
        <v>74</v>
      </c>
      <c r="AJ323" s="1" t="s">
        <v>74</v>
      </c>
      <c r="AK323" s="1" t="s">
        <v>74</v>
      </c>
      <c r="AL323" s="1" t="s">
        <v>74</v>
      </c>
      <c r="AM323" s="1" t="s">
        <v>74</v>
      </c>
      <c r="AN323" s="1" t="s">
        <v>74</v>
      </c>
      <c r="AO323" s="1" t="s">
        <v>3433</v>
      </c>
      <c r="AP323" s="1" t="s">
        <v>3434</v>
      </c>
      <c r="AQ323" s="1" t="s">
        <v>74</v>
      </c>
      <c r="AR323" s="1" t="s">
        <v>74</v>
      </c>
      <c r="AS323" s="1" t="s">
        <v>74</v>
      </c>
      <c r="AT323" s="1" t="s">
        <v>2097</v>
      </c>
      <c r="AU323" s="1">
        <v>2015.0</v>
      </c>
      <c r="AV323" s="1">
        <v>357.0</v>
      </c>
      <c r="AW323" s="1" t="s">
        <v>74</v>
      </c>
      <c r="AX323" s="1" t="s">
        <v>74</v>
      </c>
      <c r="AY323" s="1">
        <v>1.0</v>
      </c>
      <c r="AZ323" s="1" t="s">
        <v>74</v>
      </c>
      <c r="BA323" s="1">
        <v>1299.0</v>
      </c>
      <c r="BB323" s="1" t="s">
        <v>3435</v>
      </c>
      <c r="BC323" s="1" t="s">
        <v>3435</v>
      </c>
      <c r="BD323" s="1" t="s">
        <v>74</v>
      </c>
      <c r="BE323" s="1" t="s">
        <v>3436</v>
      </c>
      <c r="BF323" s="2" t="str">
        <f>HYPERLINK("http://dx.doi.org/10.1016/j.jns.2015.08.1356","http://dx.doi.org/10.1016/j.jns.2015.08.1356")</f>
        <v>http://dx.doi.org/10.1016/j.jns.2015.08.1356</v>
      </c>
      <c r="BG323" s="1" t="s">
        <v>74</v>
      </c>
      <c r="BH323" s="1" t="s">
        <v>74</v>
      </c>
      <c r="BI323" s="1" t="s">
        <v>74</v>
      </c>
      <c r="BJ323" s="1" t="s">
        <v>74</v>
      </c>
      <c r="BK323" s="1" t="s">
        <v>74</v>
      </c>
      <c r="BL323" s="1" t="s">
        <v>74</v>
      </c>
      <c r="BM323" s="1" t="s">
        <v>74</v>
      </c>
      <c r="BN323" s="1" t="s">
        <v>74</v>
      </c>
      <c r="BO323" s="1" t="s">
        <v>74</v>
      </c>
      <c r="BP323" s="1" t="s">
        <v>74</v>
      </c>
      <c r="BQ323" s="1" t="s">
        <v>74</v>
      </c>
      <c r="BR323" s="1" t="s">
        <v>74</v>
      </c>
      <c r="BS323" s="1" t="s">
        <v>3437</v>
      </c>
      <c r="BT323" s="1" t="str">
        <f>HYPERLINK("https%3A%2F%2Fwww.webofscience.com%2Fwos%2Fwoscc%2Ffull-record%2FWOS:000384634802174","View Full Record in Web of Science")</f>
        <v>View Full Record in Web of Science</v>
      </c>
    </row>
    <row r="324" ht="12.75" customHeight="1">
      <c r="A324" s="1" t="s">
        <v>72</v>
      </c>
      <c r="B324" s="1" t="s">
        <v>3438</v>
      </c>
      <c r="C324" s="1" t="s">
        <v>74</v>
      </c>
      <c r="D324" s="1" t="s">
        <v>74</v>
      </c>
      <c r="E324" s="1" t="s">
        <v>74</v>
      </c>
      <c r="F324" s="1" t="s">
        <v>3439</v>
      </c>
      <c r="G324" s="1" t="s">
        <v>74</v>
      </c>
      <c r="H324" s="1" t="s">
        <v>74</v>
      </c>
      <c r="I324" s="1" t="s">
        <v>3440</v>
      </c>
      <c r="J324" s="1" t="s">
        <v>3441</v>
      </c>
      <c r="K324" s="1" t="s">
        <v>74</v>
      </c>
      <c r="L324" s="1" t="s">
        <v>74</v>
      </c>
      <c r="M324" s="1" t="s">
        <v>74</v>
      </c>
      <c r="N324" s="1" t="s">
        <v>74</v>
      </c>
      <c r="O324" s="1" t="s">
        <v>3442</v>
      </c>
      <c r="P324" s="1" t="s">
        <v>3443</v>
      </c>
      <c r="Q324" s="1" t="s">
        <v>3444</v>
      </c>
      <c r="R324" s="1" t="s">
        <v>74</v>
      </c>
      <c r="S324" s="1" t="s">
        <v>74</v>
      </c>
      <c r="T324" s="1" t="s">
        <v>74</v>
      </c>
      <c r="U324" s="1" t="s">
        <v>74</v>
      </c>
      <c r="V324" s="1" t="s">
        <v>3445</v>
      </c>
      <c r="W324" s="1" t="s">
        <v>74</v>
      </c>
      <c r="X324" s="1" t="s">
        <v>74</v>
      </c>
      <c r="Y324" s="1" t="s">
        <v>74</v>
      </c>
      <c r="Z324" s="1" t="s">
        <v>74</v>
      </c>
      <c r="AA324" s="1" t="s">
        <v>3446</v>
      </c>
      <c r="AB324" s="1" t="s">
        <v>3447</v>
      </c>
      <c r="AC324" s="1" t="s">
        <v>74</v>
      </c>
      <c r="AD324" s="1" t="s">
        <v>74</v>
      </c>
      <c r="AE324" s="1" t="s">
        <v>74</v>
      </c>
      <c r="AF324" s="1" t="s">
        <v>74</v>
      </c>
      <c r="AG324" s="1" t="s">
        <v>74</v>
      </c>
      <c r="AH324" s="1" t="s">
        <v>74</v>
      </c>
      <c r="AI324" s="1" t="s">
        <v>74</v>
      </c>
      <c r="AJ324" s="1" t="s">
        <v>74</v>
      </c>
      <c r="AK324" s="1" t="s">
        <v>74</v>
      </c>
      <c r="AL324" s="1" t="s">
        <v>74</v>
      </c>
      <c r="AM324" s="1" t="s">
        <v>74</v>
      </c>
      <c r="AN324" s="1" t="s">
        <v>74</v>
      </c>
      <c r="AO324" s="1" t="s">
        <v>3448</v>
      </c>
      <c r="AP324" s="1" t="s">
        <v>74</v>
      </c>
      <c r="AQ324" s="1" t="s">
        <v>74</v>
      </c>
      <c r="AR324" s="1" t="s">
        <v>74</v>
      </c>
      <c r="AS324" s="1" t="s">
        <v>74</v>
      </c>
      <c r="AT324" s="1" t="s">
        <v>201</v>
      </c>
      <c r="AU324" s="1">
        <v>2012.0</v>
      </c>
      <c r="AV324" s="1">
        <v>127.0</v>
      </c>
      <c r="AW324" s="1" t="s">
        <v>74</v>
      </c>
      <c r="AX324" s="1" t="s">
        <v>74</v>
      </c>
      <c r="AY324" s="1" t="s">
        <v>74</v>
      </c>
      <c r="AZ324" s="1" t="s">
        <v>74</v>
      </c>
      <c r="BA324" s="1" t="s">
        <v>74</v>
      </c>
      <c r="BB324" s="1">
        <v>162.0</v>
      </c>
      <c r="BC324" s="1">
        <v>167.0</v>
      </c>
      <c r="BD324" s="1" t="s">
        <v>74</v>
      </c>
      <c r="BE324" s="1" t="s">
        <v>3449</v>
      </c>
      <c r="BF324" s="2" t="str">
        <f>HYPERLINK("http://dx.doi.org/10.1016/j.hydromet.2012.07.014","http://dx.doi.org/10.1016/j.hydromet.2012.07.014")</f>
        <v>http://dx.doi.org/10.1016/j.hydromet.2012.07.014</v>
      </c>
      <c r="BG324" s="1" t="s">
        <v>74</v>
      </c>
      <c r="BH324" s="1" t="s">
        <v>74</v>
      </c>
      <c r="BI324" s="1" t="s">
        <v>74</v>
      </c>
      <c r="BJ324" s="1" t="s">
        <v>74</v>
      </c>
      <c r="BK324" s="1" t="s">
        <v>74</v>
      </c>
      <c r="BL324" s="1" t="s">
        <v>74</v>
      </c>
      <c r="BM324" s="1" t="s">
        <v>74</v>
      </c>
      <c r="BN324" s="1" t="s">
        <v>74</v>
      </c>
      <c r="BO324" s="1" t="s">
        <v>74</v>
      </c>
      <c r="BP324" s="1" t="s">
        <v>74</v>
      </c>
      <c r="BQ324" s="1" t="s">
        <v>74</v>
      </c>
      <c r="BR324" s="1" t="s">
        <v>74</v>
      </c>
      <c r="BS324" s="1" t="s">
        <v>3450</v>
      </c>
      <c r="BT324" s="1" t="str">
        <f>HYPERLINK("https%3A%2F%2Fwww.webofscience.com%2Fwos%2Fwoscc%2Ffull-record%2FWOS:000310410000021","View Full Record in Web of Science")</f>
        <v>View Full Record in Web of Science</v>
      </c>
    </row>
    <row r="325" ht="12.75" customHeight="1">
      <c r="A325" s="1" t="s">
        <v>72</v>
      </c>
      <c r="B325" s="1" t="s">
        <v>3451</v>
      </c>
      <c r="C325" s="1" t="s">
        <v>74</v>
      </c>
      <c r="D325" s="1" t="s">
        <v>74</v>
      </c>
      <c r="E325" s="1" t="s">
        <v>74</v>
      </c>
      <c r="F325" s="1" t="s">
        <v>3452</v>
      </c>
      <c r="G325" s="1" t="s">
        <v>74</v>
      </c>
      <c r="H325" s="1" t="s">
        <v>74</v>
      </c>
      <c r="I325" s="1" t="s">
        <v>3453</v>
      </c>
      <c r="J325" s="1" t="s">
        <v>3454</v>
      </c>
      <c r="K325" s="1" t="s">
        <v>74</v>
      </c>
      <c r="L325" s="1" t="s">
        <v>74</v>
      </c>
      <c r="M325" s="1" t="s">
        <v>74</v>
      </c>
      <c r="N325" s="1" t="s">
        <v>74</v>
      </c>
      <c r="O325" s="1" t="s">
        <v>74</v>
      </c>
      <c r="P325" s="1" t="s">
        <v>74</v>
      </c>
      <c r="Q325" s="1" t="s">
        <v>74</v>
      </c>
      <c r="R325" s="1" t="s">
        <v>74</v>
      </c>
      <c r="S325" s="1" t="s">
        <v>74</v>
      </c>
      <c r="T325" s="1" t="s">
        <v>74</v>
      </c>
      <c r="U325" s="1" t="s">
        <v>74</v>
      </c>
      <c r="V325" s="1" t="s">
        <v>3455</v>
      </c>
      <c r="W325" s="1" t="s">
        <v>74</v>
      </c>
      <c r="X325" s="1" t="s">
        <v>74</v>
      </c>
      <c r="Y325" s="1" t="s">
        <v>74</v>
      </c>
      <c r="Z325" s="1" t="s">
        <v>74</v>
      </c>
      <c r="AA325" s="1" t="s">
        <v>3456</v>
      </c>
      <c r="AB325" s="1" t="s">
        <v>3457</v>
      </c>
      <c r="AC325" s="1" t="s">
        <v>74</v>
      </c>
      <c r="AD325" s="1" t="s">
        <v>74</v>
      </c>
      <c r="AE325" s="1" t="s">
        <v>74</v>
      </c>
      <c r="AF325" s="1" t="s">
        <v>74</v>
      </c>
      <c r="AG325" s="1" t="s">
        <v>74</v>
      </c>
      <c r="AH325" s="1" t="s">
        <v>74</v>
      </c>
      <c r="AI325" s="1" t="s">
        <v>74</v>
      </c>
      <c r="AJ325" s="1" t="s">
        <v>74</v>
      </c>
      <c r="AK325" s="1" t="s">
        <v>74</v>
      </c>
      <c r="AL325" s="1" t="s">
        <v>74</v>
      </c>
      <c r="AM325" s="1" t="s">
        <v>74</v>
      </c>
      <c r="AN325" s="1" t="s">
        <v>74</v>
      </c>
      <c r="AO325" s="1" t="s">
        <v>3458</v>
      </c>
      <c r="AP325" s="1" t="s">
        <v>3459</v>
      </c>
      <c r="AQ325" s="1" t="s">
        <v>74</v>
      </c>
      <c r="AR325" s="1" t="s">
        <v>74</v>
      </c>
      <c r="AS325" s="1" t="s">
        <v>74</v>
      </c>
      <c r="AT325" s="1" t="s">
        <v>201</v>
      </c>
      <c r="AU325" s="1">
        <v>2012.0</v>
      </c>
      <c r="AV325" s="1">
        <v>54.0</v>
      </c>
      <c r="AW325" s="1">
        <v>10.0</v>
      </c>
      <c r="AX325" s="1" t="s">
        <v>74</v>
      </c>
      <c r="AY325" s="1" t="s">
        <v>74</v>
      </c>
      <c r="AZ325" s="1" t="s">
        <v>74</v>
      </c>
      <c r="BA325" s="1" t="s">
        <v>74</v>
      </c>
      <c r="BB325" s="1" t="s">
        <v>74</v>
      </c>
      <c r="BC325" s="1" t="s">
        <v>74</v>
      </c>
      <c r="BD325" s="1">
        <v>105018.0</v>
      </c>
      <c r="BE325" s="1" t="s">
        <v>3460</v>
      </c>
      <c r="BF325" s="2" t="str">
        <f>HYPERLINK("http://dx.doi.org/10.1088/0741-3335/54/10/105018","http://dx.doi.org/10.1088/0741-3335/54/10/105018")</f>
        <v>http://dx.doi.org/10.1088/0741-3335/54/10/105018</v>
      </c>
      <c r="BG325" s="1" t="s">
        <v>74</v>
      </c>
      <c r="BH325" s="1" t="s">
        <v>74</v>
      </c>
      <c r="BI325" s="1" t="s">
        <v>74</v>
      </c>
      <c r="BJ325" s="1" t="s">
        <v>74</v>
      </c>
      <c r="BK325" s="1" t="s">
        <v>74</v>
      </c>
      <c r="BL325" s="1" t="s">
        <v>74</v>
      </c>
      <c r="BM325" s="1" t="s">
        <v>74</v>
      </c>
      <c r="BN325" s="1" t="s">
        <v>74</v>
      </c>
      <c r="BO325" s="1" t="s">
        <v>74</v>
      </c>
      <c r="BP325" s="1" t="s">
        <v>74</v>
      </c>
      <c r="BQ325" s="1" t="s">
        <v>74</v>
      </c>
      <c r="BR325" s="1" t="s">
        <v>74</v>
      </c>
      <c r="BS325" s="1" t="s">
        <v>3461</v>
      </c>
      <c r="BT325" s="1" t="str">
        <f>HYPERLINK("https%3A%2F%2Fwww.webofscience.com%2Fwos%2Fwoscc%2Ffull-record%2FWOS:000309051700019","View Full Record in Web of Science")</f>
        <v>View Full Record in Web of Science</v>
      </c>
    </row>
    <row r="326" ht="12.75" customHeight="1">
      <c r="A326" s="1" t="s">
        <v>72</v>
      </c>
      <c r="B326" s="1" t="s">
        <v>1952</v>
      </c>
      <c r="C326" s="1" t="s">
        <v>74</v>
      </c>
      <c r="D326" s="1" t="s">
        <v>74</v>
      </c>
      <c r="E326" s="1" t="s">
        <v>74</v>
      </c>
      <c r="F326" s="1" t="s">
        <v>1952</v>
      </c>
      <c r="G326" s="1" t="s">
        <v>74</v>
      </c>
      <c r="H326" s="1" t="s">
        <v>74</v>
      </c>
      <c r="I326" s="1" t="s">
        <v>3462</v>
      </c>
      <c r="J326" s="1" t="s">
        <v>1300</v>
      </c>
      <c r="K326" s="1" t="s">
        <v>74</v>
      </c>
      <c r="L326" s="1" t="s">
        <v>74</v>
      </c>
      <c r="M326" s="1" t="s">
        <v>74</v>
      </c>
      <c r="N326" s="1" t="s">
        <v>74</v>
      </c>
      <c r="O326" s="1" t="s">
        <v>74</v>
      </c>
      <c r="P326" s="1" t="s">
        <v>74</v>
      </c>
      <c r="Q326" s="1" t="s">
        <v>74</v>
      </c>
      <c r="R326" s="1" t="s">
        <v>74</v>
      </c>
      <c r="S326" s="1" t="s">
        <v>74</v>
      </c>
      <c r="T326" s="1" t="s">
        <v>74</v>
      </c>
      <c r="U326" s="1" t="s">
        <v>74</v>
      </c>
      <c r="V326" s="1" t="s">
        <v>3463</v>
      </c>
      <c r="W326" s="1" t="s">
        <v>74</v>
      </c>
      <c r="X326" s="1" t="s">
        <v>74</v>
      </c>
      <c r="Y326" s="1" t="s">
        <v>74</v>
      </c>
      <c r="Z326" s="1" t="s">
        <v>74</v>
      </c>
      <c r="AA326" s="1" t="s">
        <v>3464</v>
      </c>
      <c r="AB326" s="1" t="s">
        <v>1958</v>
      </c>
      <c r="AC326" s="1" t="s">
        <v>74</v>
      </c>
      <c r="AD326" s="1" t="s">
        <v>74</v>
      </c>
      <c r="AE326" s="1" t="s">
        <v>74</v>
      </c>
      <c r="AF326" s="1" t="s">
        <v>74</v>
      </c>
      <c r="AG326" s="1" t="s">
        <v>74</v>
      </c>
      <c r="AH326" s="1" t="s">
        <v>74</v>
      </c>
      <c r="AI326" s="1" t="s">
        <v>74</v>
      </c>
      <c r="AJ326" s="1" t="s">
        <v>74</v>
      </c>
      <c r="AK326" s="1" t="s">
        <v>74</v>
      </c>
      <c r="AL326" s="1" t="s">
        <v>74</v>
      </c>
      <c r="AM326" s="1" t="s">
        <v>74</v>
      </c>
      <c r="AN326" s="1" t="s">
        <v>74</v>
      </c>
      <c r="AO326" s="1" t="s">
        <v>1304</v>
      </c>
      <c r="AP326" s="1" t="s">
        <v>3244</v>
      </c>
      <c r="AQ326" s="1" t="s">
        <v>74</v>
      </c>
      <c r="AR326" s="1" t="s">
        <v>74</v>
      </c>
      <c r="AS326" s="1" t="s">
        <v>74</v>
      </c>
      <c r="AT326" s="1" t="s">
        <v>3465</v>
      </c>
      <c r="AU326" s="1">
        <v>2005.0</v>
      </c>
      <c r="AV326" s="1">
        <v>94.0</v>
      </c>
      <c r="AW326" s="1">
        <v>17.0</v>
      </c>
      <c r="AX326" s="1" t="s">
        <v>74</v>
      </c>
      <c r="AY326" s="1" t="s">
        <v>74</v>
      </c>
      <c r="AZ326" s="1" t="s">
        <v>74</v>
      </c>
      <c r="BA326" s="1" t="s">
        <v>74</v>
      </c>
      <c r="BB326" s="1" t="s">
        <v>74</v>
      </c>
      <c r="BC326" s="1" t="s">
        <v>74</v>
      </c>
      <c r="BD326" s="1">
        <v>178002.0</v>
      </c>
      <c r="BE326" s="1" t="s">
        <v>3466</v>
      </c>
      <c r="BF326" s="2" t="str">
        <f>HYPERLINK("http://dx.doi.org/10.1103/PhysRevLett.94.178002","http://dx.doi.org/10.1103/PhysRevLett.94.178002")</f>
        <v>http://dx.doi.org/10.1103/PhysRevLett.94.178002</v>
      </c>
      <c r="BG326" s="1" t="s">
        <v>74</v>
      </c>
      <c r="BH326" s="1" t="s">
        <v>74</v>
      </c>
      <c r="BI326" s="1" t="s">
        <v>74</v>
      </c>
      <c r="BJ326" s="1" t="s">
        <v>74</v>
      </c>
      <c r="BK326" s="1" t="s">
        <v>74</v>
      </c>
      <c r="BL326" s="1" t="s">
        <v>74</v>
      </c>
      <c r="BM326" s="1" t="s">
        <v>74</v>
      </c>
      <c r="BN326" s="1">
        <v>1.5904336E7</v>
      </c>
      <c r="BO326" s="1" t="s">
        <v>74</v>
      </c>
      <c r="BP326" s="1" t="s">
        <v>74</v>
      </c>
      <c r="BQ326" s="1" t="s">
        <v>74</v>
      </c>
      <c r="BR326" s="1" t="s">
        <v>74</v>
      </c>
      <c r="BS326" s="1" t="s">
        <v>3467</v>
      </c>
      <c r="BT326" s="1" t="str">
        <f>HYPERLINK("https%3A%2F%2Fwww.webofscience.com%2Fwos%2Fwoscc%2Ffull-record%2FWOS:000228932200068","View Full Record in Web of Science")</f>
        <v>View Full Record in Web of Science</v>
      </c>
    </row>
    <row r="327" ht="12.75" customHeight="1">
      <c r="A327" s="1" t="s">
        <v>72</v>
      </c>
      <c r="B327" s="1" t="s">
        <v>3468</v>
      </c>
      <c r="C327" s="1" t="s">
        <v>74</v>
      </c>
      <c r="D327" s="1" t="s">
        <v>74</v>
      </c>
      <c r="E327" s="1" t="s">
        <v>74</v>
      </c>
      <c r="F327" s="1" t="s">
        <v>3468</v>
      </c>
      <c r="G327" s="1" t="s">
        <v>74</v>
      </c>
      <c r="H327" s="1" t="s">
        <v>74</v>
      </c>
      <c r="I327" s="1" t="s">
        <v>3469</v>
      </c>
      <c r="J327" s="1" t="s">
        <v>3470</v>
      </c>
      <c r="K327" s="1" t="s">
        <v>74</v>
      </c>
      <c r="L327" s="1" t="s">
        <v>74</v>
      </c>
      <c r="M327" s="1" t="s">
        <v>74</v>
      </c>
      <c r="N327" s="1" t="s">
        <v>74</v>
      </c>
      <c r="O327" s="1" t="s">
        <v>74</v>
      </c>
      <c r="P327" s="1" t="s">
        <v>74</v>
      </c>
      <c r="Q327" s="1" t="s">
        <v>74</v>
      </c>
      <c r="R327" s="1" t="s">
        <v>74</v>
      </c>
      <c r="S327" s="1" t="s">
        <v>74</v>
      </c>
      <c r="T327" s="1" t="s">
        <v>74</v>
      </c>
      <c r="U327" s="1" t="s">
        <v>74</v>
      </c>
      <c r="V327" s="1" t="s">
        <v>3471</v>
      </c>
      <c r="W327" s="1" t="s">
        <v>74</v>
      </c>
      <c r="X327" s="1" t="s">
        <v>74</v>
      </c>
      <c r="Y327" s="1" t="s">
        <v>74</v>
      </c>
      <c r="Z327" s="1" t="s">
        <v>74</v>
      </c>
      <c r="AA327" s="1" t="s">
        <v>3472</v>
      </c>
      <c r="AB327" s="1" t="s">
        <v>2663</v>
      </c>
      <c r="AC327" s="1" t="s">
        <v>74</v>
      </c>
      <c r="AD327" s="1" t="s">
        <v>74</v>
      </c>
      <c r="AE327" s="1" t="s">
        <v>74</v>
      </c>
      <c r="AF327" s="1" t="s">
        <v>74</v>
      </c>
      <c r="AG327" s="1" t="s">
        <v>74</v>
      </c>
      <c r="AH327" s="1" t="s">
        <v>74</v>
      </c>
      <c r="AI327" s="1" t="s">
        <v>74</v>
      </c>
      <c r="AJ327" s="1" t="s">
        <v>74</v>
      </c>
      <c r="AK327" s="1" t="s">
        <v>74</v>
      </c>
      <c r="AL327" s="1" t="s">
        <v>74</v>
      </c>
      <c r="AM327" s="1" t="s">
        <v>74</v>
      </c>
      <c r="AN327" s="1" t="s">
        <v>74</v>
      </c>
      <c r="AO327" s="1" t="s">
        <v>3473</v>
      </c>
      <c r="AP327" s="1" t="s">
        <v>3474</v>
      </c>
      <c r="AQ327" s="1" t="s">
        <v>74</v>
      </c>
      <c r="AR327" s="1" t="s">
        <v>74</v>
      </c>
      <c r="AS327" s="1" t="s">
        <v>74</v>
      </c>
      <c r="AT327" s="1" t="s">
        <v>74</v>
      </c>
      <c r="AU327" s="1">
        <v>2001.0</v>
      </c>
      <c r="AV327" s="1">
        <v>117.0</v>
      </c>
      <c r="AW327" s="1">
        <v>11.0</v>
      </c>
      <c r="AX327" s="1" t="s">
        <v>74</v>
      </c>
      <c r="AY327" s="1" t="s">
        <v>74</v>
      </c>
      <c r="AZ327" s="1" t="s">
        <v>74</v>
      </c>
      <c r="BA327" s="1" t="s">
        <v>74</v>
      </c>
      <c r="BB327" s="1">
        <v>667.0</v>
      </c>
      <c r="BC327" s="1">
        <v>672.0</v>
      </c>
      <c r="BD327" s="1" t="s">
        <v>74</v>
      </c>
      <c r="BE327" s="1" t="s">
        <v>3475</v>
      </c>
      <c r="BF327" s="2" t="str">
        <f>HYPERLINK("http://dx.doi.org/10.1016/S0038-1098(01)00015-1","http://dx.doi.org/10.1016/S0038-1098(01)00015-1")</f>
        <v>http://dx.doi.org/10.1016/S0038-1098(01)00015-1</v>
      </c>
      <c r="BG327" s="1" t="s">
        <v>74</v>
      </c>
      <c r="BH327" s="1" t="s">
        <v>74</v>
      </c>
      <c r="BI327" s="1" t="s">
        <v>74</v>
      </c>
      <c r="BJ327" s="1" t="s">
        <v>74</v>
      </c>
      <c r="BK327" s="1" t="s">
        <v>74</v>
      </c>
      <c r="BL327" s="1" t="s">
        <v>74</v>
      </c>
      <c r="BM327" s="1" t="s">
        <v>74</v>
      </c>
      <c r="BN327" s="1" t="s">
        <v>74</v>
      </c>
      <c r="BO327" s="1" t="s">
        <v>74</v>
      </c>
      <c r="BP327" s="1" t="s">
        <v>74</v>
      </c>
      <c r="BQ327" s="1" t="s">
        <v>74</v>
      </c>
      <c r="BR327" s="1" t="s">
        <v>74</v>
      </c>
      <c r="BS327" s="1" t="s">
        <v>3476</v>
      </c>
      <c r="BT327" s="1" t="str">
        <f>HYPERLINK("https%3A%2F%2Fwww.webofscience.com%2Fwos%2Fwoscc%2Ffull-record%2FWOS:000167475900008","View Full Record in Web of Science")</f>
        <v>View Full Record in Web of Science</v>
      </c>
    </row>
    <row r="328" ht="12.75" customHeight="1">
      <c r="A328" s="1" t="s">
        <v>72</v>
      </c>
      <c r="B328" s="1" t="s">
        <v>3477</v>
      </c>
      <c r="C328" s="1" t="s">
        <v>74</v>
      </c>
      <c r="D328" s="1" t="s">
        <v>74</v>
      </c>
      <c r="E328" s="1" t="s">
        <v>74</v>
      </c>
      <c r="F328" s="1" t="s">
        <v>3477</v>
      </c>
      <c r="G328" s="1" t="s">
        <v>74</v>
      </c>
      <c r="H328" s="1" t="s">
        <v>74</v>
      </c>
      <c r="I328" s="1" t="s">
        <v>3478</v>
      </c>
      <c r="J328" s="1" t="s">
        <v>3479</v>
      </c>
      <c r="K328" s="1" t="s">
        <v>74</v>
      </c>
      <c r="L328" s="1" t="s">
        <v>74</v>
      </c>
      <c r="M328" s="1" t="s">
        <v>74</v>
      </c>
      <c r="N328" s="1" t="s">
        <v>74</v>
      </c>
      <c r="O328" s="1" t="s">
        <v>74</v>
      </c>
      <c r="P328" s="1" t="s">
        <v>74</v>
      </c>
      <c r="Q328" s="1" t="s">
        <v>74</v>
      </c>
      <c r="R328" s="1" t="s">
        <v>74</v>
      </c>
      <c r="S328" s="1" t="s">
        <v>74</v>
      </c>
      <c r="T328" s="1" t="s">
        <v>74</v>
      </c>
      <c r="U328" s="1" t="s">
        <v>74</v>
      </c>
      <c r="V328" s="1" t="s">
        <v>3480</v>
      </c>
      <c r="W328" s="1" t="s">
        <v>74</v>
      </c>
      <c r="X328" s="1" t="s">
        <v>74</v>
      </c>
      <c r="Y328" s="1" t="s">
        <v>74</v>
      </c>
      <c r="Z328" s="1" t="s">
        <v>74</v>
      </c>
      <c r="AA328" s="1" t="s">
        <v>3481</v>
      </c>
      <c r="AB328" s="1" t="s">
        <v>3482</v>
      </c>
      <c r="AC328" s="1" t="s">
        <v>74</v>
      </c>
      <c r="AD328" s="1" t="s">
        <v>74</v>
      </c>
      <c r="AE328" s="1" t="s">
        <v>74</v>
      </c>
      <c r="AF328" s="1" t="s">
        <v>74</v>
      </c>
      <c r="AG328" s="1" t="s">
        <v>74</v>
      </c>
      <c r="AH328" s="1" t="s">
        <v>74</v>
      </c>
      <c r="AI328" s="1" t="s">
        <v>74</v>
      </c>
      <c r="AJ328" s="1" t="s">
        <v>74</v>
      </c>
      <c r="AK328" s="1" t="s">
        <v>74</v>
      </c>
      <c r="AL328" s="1" t="s">
        <v>74</v>
      </c>
      <c r="AM328" s="1" t="s">
        <v>74</v>
      </c>
      <c r="AN328" s="1" t="s">
        <v>74</v>
      </c>
      <c r="AO328" s="1" t="s">
        <v>3483</v>
      </c>
      <c r="AP328" s="1" t="s">
        <v>74</v>
      </c>
      <c r="AQ328" s="1" t="s">
        <v>74</v>
      </c>
      <c r="AR328" s="1" t="s">
        <v>74</v>
      </c>
      <c r="AS328" s="1" t="s">
        <v>74</v>
      </c>
      <c r="AT328" s="1" t="s">
        <v>201</v>
      </c>
      <c r="AU328" s="1">
        <v>2000.0</v>
      </c>
      <c r="AV328" s="1">
        <v>72.0</v>
      </c>
      <c r="AW328" s="1">
        <v>3.0</v>
      </c>
      <c r="AX328" s="1" t="s">
        <v>74</v>
      </c>
      <c r="AY328" s="1" t="s">
        <v>74</v>
      </c>
      <c r="AZ328" s="1" t="s">
        <v>74</v>
      </c>
      <c r="BA328" s="1" t="s">
        <v>74</v>
      </c>
      <c r="BB328" s="1">
        <v>459.0</v>
      </c>
      <c r="BC328" s="1">
        <v>464.0</v>
      </c>
      <c r="BD328" s="1" t="s">
        <v>74</v>
      </c>
      <c r="BE328" s="1" t="s">
        <v>3484</v>
      </c>
      <c r="BF328" s="2" t="str">
        <f>HYPERLINK("http://dx.doi.org/10.1016/S0378-8741(00)00239-7","http://dx.doi.org/10.1016/S0378-8741(00)00239-7")</f>
        <v>http://dx.doi.org/10.1016/S0378-8741(00)00239-7</v>
      </c>
      <c r="BG328" s="1" t="s">
        <v>74</v>
      </c>
      <c r="BH328" s="1" t="s">
        <v>74</v>
      </c>
      <c r="BI328" s="1" t="s">
        <v>74</v>
      </c>
      <c r="BJ328" s="1" t="s">
        <v>74</v>
      </c>
      <c r="BK328" s="1" t="s">
        <v>74</v>
      </c>
      <c r="BL328" s="1" t="s">
        <v>74</v>
      </c>
      <c r="BM328" s="1" t="s">
        <v>74</v>
      </c>
      <c r="BN328" s="1">
        <v>1.0996286E7</v>
      </c>
      <c r="BO328" s="1" t="s">
        <v>74</v>
      </c>
      <c r="BP328" s="1" t="s">
        <v>74</v>
      </c>
      <c r="BQ328" s="1" t="s">
        <v>74</v>
      </c>
      <c r="BR328" s="1" t="s">
        <v>74</v>
      </c>
      <c r="BS328" s="1" t="s">
        <v>3485</v>
      </c>
      <c r="BT328" s="1" t="str">
        <f>HYPERLINK("https%3A%2F%2Fwww.webofscience.com%2Fwos%2Fwoscc%2Ffull-record%2FWOS:000089382500010","View Full Record in Web of Science")</f>
        <v>View Full Record in Web of Science</v>
      </c>
    </row>
    <row r="329" ht="12.75" customHeight="1">
      <c r="A329" s="1" t="s">
        <v>72</v>
      </c>
      <c r="B329" s="1" t="s">
        <v>3486</v>
      </c>
      <c r="C329" s="1" t="s">
        <v>74</v>
      </c>
      <c r="D329" s="1" t="s">
        <v>74</v>
      </c>
      <c r="E329" s="1" t="s">
        <v>74</v>
      </c>
      <c r="F329" s="1" t="s">
        <v>3487</v>
      </c>
      <c r="G329" s="1" t="s">
        <v>74</v>
      </c>
      <c r="H329" s="1" t="s">
        <v>74</v>
      </c>
      <c r="I329" s="1" t="s">
        <v>3488</v>
      </c>
      <c r="J329" s="1" t="s">
        <v>3489</v>
      </c>
      <c r="K329" s="1" t="s">
        <v>74</v>
      </c>
      <c r="L329" s="1" t="s">
        <v>74</v>
      </c>
      <c r="M329" s="1" t="s">
        <v>74</v>
      </c>
      <c r="N329" s="1" t="s">
        <v>74</v>
      </c>
      <c r="O329" s="1" t="s">
        <v>74</v>
      </c>
      <c r="P329" s="1" t="s">
        <v>74</v>
      </c>
      <c r="Q329" s="1" t="s">
        <v>74</v>
      </c>
      <c r="R329" s="1" t="s">
        <v>74</v>
      </c>
      <c r="S329" s="1" t="s">
        <v>74</v>
      </c>
      <c r="T329" s="1" t="s">
        <v>74</v>
      </c>
      <c r="U329" s="1" t="s">
        <v>74</v>
      </c>
      <c r="V329" s="1" t="s">
        <v>3490</v>
      </c>
      <c r="W329" s="1" t="s">
        <v>74</v>
      </c>
      <c r="X329" s="1" t="s">
        <v>74</v>
      </c>
      <c r="Y329" s="1" t="s">
        <v>74</v>
      </c>
      <c r="Z329" s="1" t="s">
        <v>74</v>
      </c>
      <c r="AA329" s="1" t="s">
        <v>3491</v>
      </c>
      <c r="AB329" s="1" t="s">
        <v>3492</v>
      </c>
      <c r="AC329" s="1" t="s">
        <v>74</v>
      </c>
      <c r="AD329" s="1" t="s">
        <v>74</v>
      </c>
      <c r="AE329" s="1" t="s">
        <v>74</v>
      </c>
      <c r="AF329" s="1" t="s">
        <v>74</v>
      </c>
      <c r="AG329" s="1" t="s">
        <v>74</v>
      </c>
      <c r="AH329" s="1" t="s">
        <v>74</v>
      </c>
      <c r="AI329" s="1" t="s">
        <v>74</v>
      </c>
      <c r="AJ329" s="1" t="s">
        <v>74</v>
      </c>
      <c r="AK329" s="1" t="s">
        <v>74</v>
      </c>
      <c r="AL329" s="1" t="s">
        <v>74</v>
      </c>
      <c r="AM329" s="1" t="s">
        <v>74</v>
      </c>
      <c r="AN329" s="1" t="s">
        <v>74</v>
      </c>
      <c r="AO329" s="1" t="s">
        <v>3493</v>
      </c>
      <c r="AP329" s="1" t="s">
        <v>74</v>
      </c>
      <c r="AQ329" s="1" t="s">
        <v>74</v>
      </c>
      <c r="AR329" s="1" t="s">
        <v>74</v>
      </c>
      <c r="AS329" s="1" t="s">
        <v>74</v>
      </c>
      <c r="AT329" s="1" t="s">
        <v>939</v>
      </c>
      <c r="AU329" s="1">
        <v>2024.0</v>
      </c>
      <c r="AV329" s="1">
        <v>43.0</v>
      </c>
      <c r="AW329" s="1" t="s">
        <v>74</v>
      </c>
      <c r="AX329" s="1" t="s">
        <v>74</v>
      </c>
      <c r="AY329" s="1" t="s">
        <v>74</v>
      </c>
      <c r="AZ329" s="1" t="s">
        <v>74</v>
      </c>
      <c r="BA329" s="1" t="s">
        <v>74</v>
      </c>
      <c r="BB329" s="1" t="s">
        <v>74</v>
      </c>
      <c r="BC329" s="1" t="s">
        <v>74</v>
      </c>
      <c r="BD329" s="1">
        <v>101272.0</v>
      </c>
      <c r="BE329" s="1" t="s">
        <v>3494</v>
      </c>
      <c r="BF329" s="2" t="str">
        <f>HYPERLINK("http://dx.doi.org/10.1016/j.fpsl.2024.101272","http://dx.doi.org/10.1016/j.fpsl.2024.101272")</f>
        <v>http://dx.doi.org/10.1016/j.fpsl.2024.101272</v>
      </c>
      <c r="BG329" s="1" t="s">
        <v>74</v>
      </c>
      <c r="BH329" s="1" t="s">
        <v>3495</v>
      </c>
      <c r="BI329" s="1" t="s">
        <v>74</v>
      </c>
      <c r="BJ329" s="1" t="s">
        <v>74</v>
      </c>
      <c r="BK329" s="1" t="s">
        <v>74</v>
      </c>
      <c r="BL329" s="1" t="s">
        <v>74</v>
      </c>
      <c r="BM329" s="1" t="s">
        <v>74</v>
      </c>
      <c r="BN329" s="1" t="s">
        <v>74</v>
      </c>
      <c r="BO329" s="1" t="s">
        <v>74</v>
      </c>
      <c r="BP329" s="1" t="s">
        <v>74</v>
      </c>
      <c r="BQ329" s="1" t="s">
        <v>74</v>
      </c>
      <c r="BR329" s="1" t="s">
        <v>74</v>
      </c>
      <c r="BS329" s="1" t="s">
        <v>3496</v>
      </c>
      <c r="BT329" s="1" t="str">
        <f>HYPERLINK("https%3A%2F%2Fwww.webofscience.com%2Fwos%2Fwoscc%2Ffull-record%2FWOS:001215499300001","View Full Record in Web of Science")</f>
        <v>View Full Record in Web of Science</v>
      </c>
    </row>
    <row r="330" ht="12.75" customHeight="1">
      <c r="A330" s="1" t="s">
        <v>72</v>
      </c>
      <c r="B330" s="1" t="s">
        <v>3497</v>
      </c>
      <c r="C330" s="1" t="s">
        <v>74</v>
      </c>
      <c r="D330" s="1" t="s">
        <v>74</v>
      </c>
      <c r="E330" s="1" t="s">
        <v>74</v>
      </c>
      <c r="F330" s="1" t="s">
        <v>3498</v>
      </c>
      <c r="G330" s="1" t="s">
        <v>74</v>
      </c>
      <c r="H330" s="1" t="s">
        <v>74</v>
      </c>
      <c r="I330" s="1" t="s">
        <v>3499</v>
      </c>
      <c r="J330" s="1" t="s">
        <v>3500</v>
      </c>
      <c r="K330" s="1" t="s">
        <v>74</v>
      </c>
      <c r="L330" s="1" t="s">
        <v>74</v>
      </c>
      <c r="M330" s="1" t="s">
        <v>74</v>
      </c>
      <c r="N330" s="1" t="s">
        <v>74</v>
      </c>
      <c r="O330" s="1" t="s">
        <v>74</v>
      </c>
      <c r="P330" s="1" t="s">
        <v>74</v>
      </c>
      <c r="Q330" s="1" t="s">
        <v>74</v>
      </c>
      <c r="R330" s="1" t="s">
        <v>74</v>
      </c>
      <c r="S330" s="1" t="s">
        <v>74</v>
      </c>
      <c r="T330" s="1" t="s">
        <v>74</v>
      </c>
      <c r="U330" s="1" t="s">
        <v>74</v>
      </c>
      <c r="V330" s="1" t="s">
        <v>3501</v>
      </c>
      <c r="W330" s="1" t="s">
        <v>74</v>
      </c>
      <c r="X330" s="1" t="s">
        <v>74</v>
      </c>
      <c r="Y330" s="1" t="s">
        <v>74</v>
      </c>
      <c r="Z330" s="1" t="s">
        <v>74</v>
      </c>
      <c r="AA330" s="1" t="s">
        <v>3502</v>
      </c>
      <c r="AB330" s="1" t="s">
        <v>3503</v>
      </c>
      <c r="AC330" s="1" t="s">
        <v>74</v>
      </c>
      <c r="AD330" s="1" t="s">
        <v>74</v>
      </c>
      <c r="AE330" s="1" t="s">
        <v>74</v>
      </c>
      <c r="AF330" s="1" t="s">
        <v>74</v>
      </c>
      <c r="AG330" s="1" t="s">
        <v>74</v>
      </c>
      <c r="AH330" s="1" t="s">
        <v>74</v>
      </c>
      <c r="AI330" s="1" t="s">
        <v>74</v>
      </c>
      <c r="AJ330" s="1" t="s">
        <v>74</v>
      </c>
      <c r="AK330" s="1" t="s">
        <v>74</v>
      </c>
      <c r="AL330" s="1" t="s">
        <v>74</v>
      </c>
      <c r="AM330" s="1" t="s">
        <v>74</v>
      </c>
      <c r="AN330" s="1" t="s">
        <v>74</v>
      </c>
      <c r="AO330" s="1" t="s">
        <v>3504</v>
      </c>
      <c r="AP330" s="1" t="s">
        <v>3505</v>
      </c>
      <c r="AQ330" s="1" t="s">
        <v>74</v>
      </c>
      <c r="AR330" s="1" t="s">
        <v>74</v>
      </c>
      <c r="AS330" s="1" t="s">
        <v>74</v>
      </c>
      <c r="AT330" s="1" t="s">
        <v>422</v>
      </c>
      <c r="AU330" s="1">
        <v>2023.0</v>
      </c>
      <c r="AV330" s="1">
        <v>86.0</v>
      </c>
      <c r="AW330" s="1">
        <v>1.0</v>
      </c>
      <c r="AX330" s="1" t="s">
        <v>74</v>
      </c>
      <c r="AY330" s="1" t="s">
        <v>74</v>
      </c>
      <c r="AZ330" s="1" t="s">
        <v>74</v>
      </c>
      <c r="BA330" s="1" t="s">
        <v>74</v>
      </c>
      <c r="BB330" s="1" t="s">
        <v>74</v>
      </c>
      <c r="BC330" s="1" t="s">
        <v>74</v>
      </c>
      <c r="BD330" s="1">
        <v>8.0</v>
      </c>
      <c r="BE330" s="1" t="s">
        <v>3506</v>
      </c>
      <c r="BF330" s="2" t="str">
        <f>HYPERLINK("http://dx.doi.org/10.1007/s00285-022-01839-8","http://dx.doi.org/10.1007/s00285-022-01839-8")</f>
        <v>http://dx.doi.org/10.1007/s00285-022-01839-8</v>
      </c>
      <c r="BG330" s="1" t="s">
        <v>74</v>
      </c>
      <c r="BH330" s="1" t="s">
        <v>74</v>
      </c>
      <c r="BI330" s="1" t="s">
        <v>74</v>
      </c>
      <c r="BJ330" s="1" t="s">
        <v>74</v>
      </c>
      <c r="BK330" s="1" t="s">
        <v>74</v>
      </c>
      <c r="BL330" s="1" t="s">
        <v>74</v>
      </c>
      <c r="BM330" s="1" t="s">
        <v>74</v>
      </c>
      <c r="BN330" s="1">
        <v>3.6469157E7</v>
      </c>
      <c r="BO330" s="1" t="s">
        <v>74</v>
      </c>
      <c r="BP330" s="1" t="s">
        <v>74</v>
      </c>
      <c r="BQ330" s="1" t="s">
        <v>74</v>
      </c>
      <c r="BR330" s="1" t="s">
        <v>74</v>
      </c>
      <c r="BS330" s="1" t="s">
        <v>3507</v>
      </c>
      <c r="BT330" s="1" t="str">
        <f>HYPERLINK("https%3A%2F%2Fwww.webofscience.com%2Fwos%2Fwoscc%2Ffull-record%2FWOS:000894485000002","View Full Record in Web of Science")</f>
        <v>View Full Record in Web of Science</v>
      </c>
    </row>
    <row r="331" ht="12.75" customHeight="1">
      <c r="A331" s="1" t="s">
        <v>72</v>
      </c>
      <c r="B331" s="1" t="s">
        <v>3508</v>
      </c>
      <c r="C331" s="1" t="s">
        <v>74</v>
      </c>
      <c r="D331" s="1" t="s">
        <v>74</v>
      </c>
      <c r="E331" s="1" t="s">
        <v>74</v>
      </c>
      <c r="F331" s="1" t="s">
        <v>3509</v>
      </c>
      <c r="G331" s="1" t="s">
        <v>74</v>
      </c>
      <c r="H331" s="1" t="s">
        <v>74</v>
      </c>
      <c r="I331" s="1" t="s">
        <v>3510</v>
      </c>
      <c r="J331" s="1" t="s">
        <v>3511</v>
      </c>
      <c r="K331" s="1" t="s">
        <v>74</v>
      </c>
      <c r="L331" s="1" t="s">
        <v>74</v>
      </c>
      <c r="M331" s="1" t="s">
        <v>74</v>
      </c>
      <c r="N331" s="1" t="s">
        <v>74</v>
      </c>
      <c r="O331" s="1" t="s">
        <v>74</v>
      </c>
      <c r="P331" s="1" t="s">
        <v>74</v>
      </c>
      <c r="Q331" s="1" t="s">
        <v>74</v>
      </c>
      <c r="R331" s="1" t="s">
        <v>74</v>
      </c>
      <c r="S331" s="1" t="s">
        <v>74</v>
      </c>
      <c r="T331" s="1" t="s">
        <v>74</v>
      </c>
      <c r="U331" s="1" t="s">
        <v>74</v>
      </c>
      <c r="V331" s="1" t="s">
        <v>3512</v>
      </c>
      <c r="W331" s="1" t="s">
        <v>74</v>
      </c>
      <c r="X331" s="1" t="s">
        <v>74</v>
      </c>
      <c r="Y331" s="1" t="s">
        <v>74</v>
      </c>
      <c r="Z331" s="1" t="s">
        <v>74</v>
      </c>
      <c r="AA331" s="1" t="s">
        <v>3513</v>
      </c>
      <c r="AB331" s="1" t="s">
        <v>3514</v>
      </c>
      <c r="AC331" s="1" t="s">
        <v>74</v>
      </c>
      <c r="AD331" s="1" t="s">
        <v>74</v>
      </c>
      <c r="AE331" s="1" t="s">
        <v>74</v>
      </c>
      <c r="AF331" s="1" t="s">
        <v>74</v>
      </c>
      <c r="AG331" s="1" t="s">
        <v>74</v>
      </c>
      <c r="AH331" s="1" t="s">
        <v>74</v>
      </c>
      <c r="AI331" s="1" t="s">
        <v>74</v>
      </c>
      <c r="AJ331" s="1" t="s">
        <v>74</v>
      </c>
      <c r="AK331" s="1" t="s">
        <v>74</v>
      </c>
      <c r="AL331" s="1" t="s">
        <v>74</v>
      </c>
      <c r="AM331" s="1" t="s">
        <v>74</v>
      </c>
      <c r="AN331" s="1" t="s">
        <v>74</v>
      </c>
      <c r="AO331" s="1" t="s">
        <v>3515</v>
      </c>
      <c r="AP331" s="1" t="s">
        <v>3516</v>
      </c>
      <c r="AQ331" s="1" t="s">
        <v>74</v>
      </c>
      <c r="AR331" s="1" t="s">
        <v>74</v>
      </c>
      <c r="AS331" s="1" t="s">
        <v>74</v>
      </c>
      <c r="AT331" s="1" t="s">
        <v>74</v>
      </c>
      <c r="AU331" s="1">
        <v>2022.0</v>
      </c>
      <c r="AV331" s="1">
        <v>45.0</v>
      </c>
      <c r="AW331" s="1" t="s">
        <v>74</v>
      </c>
      <c r="AX331" s="1" t="s">
        <v>74</v>
      </c>
      <c r="AY331" s="1" t="s">
        <v>74</v>
      </c>
      <c r="AZ331" s="1" t="s">
        <v>74</v>
      </c>
      <c r="BA331" s="1" t="s">
        <v>74</v>
      </c>
      <c r="BB331" s="1" t="s">
        <v>74</v>
      </c>
      <c r="BC331" s="1" t="s">
        <v>74</v>
      </c>
      <c r="BD331" s="1" t="s">
        <v>3517</v>
      </c>
      <c r="BE331" s="1" t="s">
        <v>3518</v>
      </c>
      <c r="BF331" s="2" t="str">
        <f>HYPERLINK("http://dx.doi.org/10.1017/S0140525X22001388","http://dx.doi.org/10.1017/S0140525X22001388")</f>
        <v>http://dx.doi.org/10.1017/S0140525X22001388</v>
      </c>
      <c r="BG331" s="1" t="s">
        <v>74</v>
      </c>
      <c r="BH331" s="1" t="s">
        <v>74</v>
      </c>
      <c r="BI331" s="1" t="s">
        <v>74</v>
      </c>
      <c r="BJ331" s="1" t="s">
        <v>74</v>
      </c>
      <c r="BK331" s="1" t="s">
        <v>74</v>
      </c>
      <c r="BL331" s="1" t="s">
        <v>74</v>
      </c>
      <c r="BM331" s="1" t="s">
        <v>74</v>
      </c>
      <c r="BN331" s="1">
        <v>3.6353862E7</v>
      </c>
      <c r="BO331" s="1" t="s">
        <v>74</v>
      </c>
      <c r="BP331" s="1" t="s">
        <v>74</v>
      </c>
      <c r="BQ331" s="1" t="s">
        <v>74</v>
      </c>
      <c r="BR331" s="1" t="s">
        <v>74</v>
      </c>
      <c r="BS331" s="1" t="s">
        <v>3519</v>
      </c>
      <c r="BT331" s="1" t="str">
        <f>HYPERLINK("https%3A%2F%2Fwww.webofscience.com%2Fwos%2Fwoscc%2Ffull-record%2FWOS:001083755500017","View Full Record in Web of Science")</f>
        <v>View Full Record in Web of Science</v>
      </c>
    </row>
    <row r="332" ht="12.75" customHeight="1">
      <c r="A332" s="1" t="s">
        <v>72</v>
      </c>
      <c r="B332" s="1" t="s">
        <v>3520</v>
      </c>
      <c r="C332" s="1" t="s">
        <v>74</v>
      </c>
      <c r="D332" s="1" t="s">
        <v>74</v>
      </c>
      <c r="E332" s="1" t="s">
        <v>74</v>
      </c>
      <c r="F332" s="1" t="s">
        <v>3521</v>
      </c>
      <c r="G332" s="1" t="s">
        <v>74</v>
      </c>
      <c r="H332" s="1" t="s">
        <v>74</v>
      </c>
      <c r="I332" s="1" t="s">
        <v>3522</v>
      </c>
      <c r="J332" s="1" t="s">
        <v>3523</v>
      </c>
      <c r="K332" s="1" t="s">
        <v>74</v>
      </c>
      <c r="L332" s="1" t="s">
        <v>74</v>
      </c>
      <c r="M332" s="1" t="s">
        <v>74</v>
      </c>
      <c r="N332" s="1" t="s">
        <v>74</v>
      </c>
      <c r="O332" s="1" t="s">
        <v>74</v>
      </c>
      <c r="P332" s="1" t="s">
        <v>74</v>
      </c>
      <c r="Q332" s="1" t="s">
        <v>74</v>
      </c>
      <c r="R332" s="1" t="s">
        <v>74</v>
      </c>
      <c r="S332" s="1" t="s">
        <v>74</v>
      </c>
      <c r="T332" s="1" t="s">
        <v>74</v>
      </c>
      <c r="U332" s="1" t="s">
        <v>74</v>
      </c>
      <c r="V332" s="1" t="s">
        <v>3524</v>
      </c>
      <c r="W332" s="1" t="s">
        <v>74</v>
      </c>
      <c r="X332" s="1" t="s">
        <v>74</v>
      </c>
      <c r="Y332" s="1" t="s">
        <v>74</v>
      </c>
      <c r="Z332" s="1" t="s">
        <v>74</v>
      </c>
      <c r="AA332" s="1" t="s">
        <v>3525</v>
      </c>
      <c r="AB332" s="1" t="s">
        <v>3526</v>
      </c>
      <c r="AC332" s="1" t="s">
        <v>74</v>
      </c>
      <c r="AD332" s="1" t="s">
        <v>74</v>
      </c>
      <c r="AE332" s="1" t="s">
        <v>74</v>
      </c>
      <c r="AF332" s="1" t="s">
        <v>74</v>
      </c>
      <c r="AG332" s="1" t="s">
        <v>74</v>
      </c>
      <c r="AH332" s="1" t="s">
        <v>74</v>
      </c>
      <c r="AI332" s="1" t="s">
        <v>74</v>
      </c>
      <c r="AJ332" s="1" t="s">
        <v>74</v>
      </c>
      <c r="AK332" s="1" t="s">
        <v>74</v>
      </c>
      <c r="AL332" s="1" t="s">
        <v>74</v>
      </c>
      <c r="AM332" s="1" t="s">
        <v>74</v>
      </c>
      <c r="AN332" s="1" t="s">
        <v>74</v>
      </c>
      <c r="AO332" s="1" t="s">
        <v>3527</v>
      </c>
      <c r="AP332" s="1" t="s">
        <v>74</v>
      </c>
      <c r="AQ332" s="1" t="s">
        <v>74</v>
      </c>
      <c r="AR332" s="1" t="s">
        <v>74</v>
      </c>
      <c r="AS332" s="1" t="s">
        <v>74</v>
      </c>
      <c r="AT332" s="1" t="s">
        <v>74</v>
      </c>
      <c r="AU332" s="1">
        <v>2022.0</v>
      </c>
      <c r="AV332" s="1">
        <v>10.0</v>
      </c>
      <c r="AW332" s="1" t="s">
        <v>74</v>
      </c>
      <c r="AX332" s="1" t="s">
        <v>74</v>
      </c>
      <c r="AY332" s="1" t="s">
        <v>74</v>
      </c>
      <c r="AZ332" s="1" t="s">
        <v>74</v>
      </c>
      <c r="BA332" s="1" t="s">
        <v>74</v>
      </c>
      <c r="BB332" s="1">
        <v>46513.0</v>
      </c>
      <c r="BC332" s="1">
        <v>46525.0</v>
      </c>
      <c r="BD332" s="1" t="s">
        <v>74</v>
      </c>
      <c r="BE332" s="1" t="s">
        <v>3528</v>
      </c>
      <c r="BF332" s="2" t="str">
        <f>HYPERLINK("http://dx.doi.org/10.1109/ACCESS.2022.3170066","http://dx.doi.org/10.1109/ACCESS.2022.3170066")</f>
        <v>http://dx.doi.org/10.1109/ACCESS.2022.3170066</v>
      </c>
      <c r="BG332" s="1" t="s">
        <v>74</v>
      </c>
      <c r="BH332" s="1" t="s">
        <v>74</v>
      </c>
      <c r="BI332" s="1" t="s">
        <v>74</v>
      </c>
      <c r="BJ332" s="1" t="s">
        <v>74</v>
      </c>
      <c r="BK332" s="1" t="s">
        <v>74</v>
      </c>
      <c r="BL332" s="1" t="s">
        <v>74</v>
      </c>
      <c r="BM332" s="1" t="s">
        <v>74</v>
      </c>
      <c r="BN332" s="1" t="s">
        <v>74</v>
      </c>
      <c r="BO332" s="1" t="s">
        <v>74</v>
      </c>
      <c r="BP332" s="1" t="s">
        <v>74</v>
      </c>
      <c r="BQ332" s="1" t="s">
        <v>74</v>
      </c>
      <c r="BR332" s="1" t="s">
        <v>74</v>
      </c>
      <c r="BS332" s="1" t="s">
        <v>3529</v>
      </c>
      <c r="BT332" s="1" t="str">
        <f>HYPERLINK("https%3A%2F%2Fwww.webofscience.com%2Fwos%2Fwoscc%2Ffull-record%2FWOS:000791723000001","View Full Record in Web of Science")</f>
        <v>View Full Record in Web of Science</v>
      </c>
    </row>
    <row r="333" ht="12.75" customHeight="1">
      <c r="A333" s="1" t="s">
        <v>72</v>
      </c>
      <c r="B333" s="1" t="s">
        <v>3530</v>
      </c>
      <c r="C333" s="1" t="s">
        <v>74</v>
      </c>
      <c r="D333" s="1" t="s">
        <v>74</v>
      </c>
      <c r="E333" s="1" t="s">
        <v>74</v>
      </c>
      <c r="F333" s="1" t="s">
        <v>3531</v>
      </c>
      <c r="G333" s="1" t="s">
        <v>74</v>
      </c>
      <c r="H333" s="1" t="s">
        <v>74</v>
      </c>
      <c r="I333" s="1" t="s">
        <v>3532</v>
      </c>
      <c r="J333" s="1" t="s">
        <v>3533</v>
      </c>
      <c r="K333" s="1" t="s">
        <v>74</v>
      </c>
      <c r="L333" s="1" t="s">
        <v>74</v>
      </c>
      <c r="M333" s="1" t="s">
        <v>74</v>
      </c>
      <c r="N333" s="1" t="s">
        <v>74</v>
      </c>
      <c r="O333" s="1" t="s">
        <v>74</v>
      </c>
      <c r="P333" s="1" t="s">
        <v>74</v>
      </c>
      <c r="Q333" s="1" t="s">
        <v>74</v>
      </c>
      <c r="R333" s="1" t="s">
        <v>74</v>
      </c>
      <c r="S333" s="1" t="s">
        <v>74</v>
      </c>
      <c r="T333" s="1" t="s">
        <v>74</v>
      </c>
      <c r="U333" s="1" t="s">
        <v>74</v>
      </c>
      <c r="V333" s="1" t="s">
        <v>3534</v>
      </c>
      <c r="W333" s="1" t="s">
        <v>74</v>
      </c>
      <c r="X333" s="1" t="s">
        <v>74</v>
      </c>
      <c r="Y333" s="1" t="s">
        <v>74</v>
      </c>
      <c r="Z333" s="1" t="s">
        <v>74</v>
      </c>
      <c r="AA333" s="1" t="s">
        <v>3535</v>
      </c>
      <c r="AB333" s="1" t="s">
        <v>3536</v>
      </c>
      <c r="AC333" s="1" t="s">
        <v>74</v>
      </c>
      <c r="AD333" s="1" t="s">
        <v>74</v>
      </c>
      <c r="AE333" s="1" t="s">
        <v>74</v>
      </c>
      <c r="AF333" s="1" t="s">
        <v>74</v>
      </c>
      <c r="AG333" s="1" t="s">
        <v>74</v>
      </c>
      <c r="AH333" s="1" t="s">
        <v>74</v>
      </c>
      <c r="AI333" s="1" t="s">
        <v>74</v>
      </c>
      <c r="AJ333" s="1" t="s">
        <v>74</v>
      </c>
      <c r="AK333" s="1" t="s">
        <v>74</v>
      </c>
      <c r="AL333" s="1" t="s">
        <v>74</v>
      </c>
      <c r="AM333" s="1" t="s">
        <v>74</v>
      </c>
      <c r="AN333" s="1" t="s">
        <v>74</v>
      </c>
      <c r="AO333" s="1" t="s">
        <v>3537</v>
      </c>
      <c r="AP333" s="1" t="s">
        <v>3538</v>
      </c>
      <c r="AQ333" s="1" t="s">
        <v>74</v>
      </c>
      <c r="AR333" s="1" t="s">
        <v>74</v>
      </c>
      <c r="AS333" s="1" t="s">
        <v>74</v>
      </c>
      <c r="AT333" s="1" t="s">
        <v>895</v>
      </c>
      <c r="AU333" s="1">
        <v>2022.0</v>
      </c>
      <c r="AV333" s="1">
        <v>806.0</v>
      </c>
      <c r="AW333" s="1" t="s">
        <v>74</v>
      </c>
      <c r="AX333" s="1">
        <v>2.0</v>
      </c>
      <c r="AY333" s="1" t="s">
        <v>74</v>
      </c>
      <c r="AZ333" s="1" t="s">
        <v>74</v>
      </c>
      <c r="BA333" s="1" t="s">
        <v>74</v>
      </c>
      <c r="BB333" s="1" t="s">
        <v>74</v>
      </c>
      <c r="BC333" s="1" t="s">
        <v>74</v>
      </c>
      <c r="BD333" s="1">
        <v>150604.0</v>
      </c>
      <c r="BE333" s="1" t="s">
        <v>3539</v>
      </c>
      <c r="BF333" s="2" t="str">
        <f>HYPERLINK("http://dx.doi.org/10.1016/j.scitotenv.2021.150604","http://dx.doi.org/10.1016/j.scitotenv.2021.150604")</f>
        <v>http://dx.doi.org/10.1016/j.scitotenv.2021.150604</v>
      </c>
      <c r="BG333" s="1" t="s">
        <v>74</v>
      </c>
      <c r="BH333" s="1" t="s">
        <v>1405</v>
      </c>
      <c r="BI333" s="1" t="s">
        <v>74</v>
      </c>
      <c r="BJ333" s="1" t="s">
        <v>74</v>
      </c>
      <c r="BK333" s="1" t="s">
        <v>74</v>
      </c>
      <c r="BL333" s="1" t="s">
        <v>74</v>
      </c>
      <c r="BM333" s="1" t="s">
        <v>74</v>
      </c>
      <c r="BN333" s="1">
        <v>3.4597564E7</v>
      </c>
      <c r="BO333" s="1" t="s">
        <v>74</v>
      </c>
      <c r="BP333" s="1" t="s">
        <v>74</v>
      </c>
      <c r="BQ333" s="1" t="s">
        <v>74</v>
      </c>
      <c r="BR333" s="1" t="s">
        <v>74</v>
      </c>
      <c r="BS333" s="1" t="s">
        <v>3540</v>
      </c>
      <c r="BT333" s="1" t="str">
        <f>HYPERLINK("https%3A%2F%2Fwww.webofscience.com%2Fwos%2Fwoscc%2Ffull-record%2FWOS:000707641100012","View Full Record in Web of Science")</f>
        <v>View Full Record in Web of Science</v>
      </c>
    </row>
    <row r="334" ht="12.75" customHeight="1">
      <c r="A334" s="1" t="s">
        <v>72</v>
      </c>
      <c r="B334" s="1" t="s">
        <v>3541</v>
      </c>
      <c r="C334" s="1" t="s">
        <v>74</v>
      </c>
      <c r="D334" s="1" t="s">
        <v>74</v>
      </c>
      <c r="E334" s="1" t="s">
        <v>74</v>
      </c>
      <c r="F334" s="1" t="s">
        <v>3542</v>
      </c>
      <c r="G334" s="1" t="s">
        <v>74</v>
      </c>
      <c r="H334" s="1" t="s">
        <v>74</v>
      </c>
      <c r="I334" s="1" t="s">
        <v>3543</v>
      </c>
      <c r="J334" s="1" t="s">
        <v>3544</v>
      </c>
      <c r="K334" s="1" t="s">
        <v>74</v>
      </c>
      <c r="L334" s="1" t="s">
        <v>74</v>
      </c>
      <c r="M334" s="1" t="s">
        <v>74</v>
      </c>
      <c r="N334" s="1" t="s">
        <v>74</v>
      </c>
      <c r="O334" s="1" t="s">
        <v>74</v>
      </c>
      <c r="P334" s="1" t="s">
        <v>74</v>
      </c>
      <c r="Q334" s="1" t="s">
        <v>74</v>
      </c>
      <c r="R334" s="1" t="s">
        <v>74</v>
      </c>
      <c r="S334" s="1" t="s">
        <v>74</v>
      </c>
      <c r="T334" s="1" t="s">
        <v>74</v>
      </c>
      <c r="U334" s="1" t="s">
        <v>74</v>
      </c>
      <c r="V334" s="1" t="s">
        <v>3545</v>
      </c>
      <c r="W334" s="1" t="s">
        <v>74</v>
      </c>
      <c r="X334" s="1" t="s">
        <v>74</v>
      </c>
      <c r="Y334" s="1" t="s">
        <v>74</v>
      </c>
      <c r="Z334" s="1" t="s">
        <v>74</v>
      </c>
      <c r="AA334" s="1" t="s">
        <v>3546</v>
      </c>
      <c r="AB334" s="1" t="s">
        <v>3547</v>
      </c>
      <c r="AC334" s="1" t="s">
        <v>74</v>
      </c>
      <c r="AD334" s="1" t="s">
        <v>74</v>
      </c>
      <c r="AE334" s="1" t="s">
        <v>74</v>
      </c>
      <c r="AF334" s="1" t="s">
        <v>74</v>
      </c>
      <c r="AG334" s="1" t="s">
        <v>74</v>
      </c>
      <c r="AH334" s="1" t="s">
        <v>74</v>
      </c>
      <c r="AI334" s="1" t="s">
        <v>74</v>
      </c>
      <c r="AJ334" s="1" t="s">
        <v>74</v>
      </c>
      <c r="AK334" s="1" t="s">
        <v>74</v>
      </c>
      <c r="AL334" s="1" t="s">
        <v>74</v>
      </c>
      <c r="AM334" s="1" t="s">
        <v>74</v>
      </c>
      <c r="AN334" s="1" t="s">
        <v>74</v>
      </c>
      <c r="AO334" s="1" t="s">
        <v>3548</v>
      </c>
      <c r="AP334" s="1" t="s">
        <v>74</v>
      </c>
      <c r="AQ334" s="1" t="s">
        <v>74</v>
      </c>
      <c r="AR334" s="1" t="s">
        <v>74</v>
      </c>
      <c r="AS334" s="1" t="s">
        <v>74</v>
      </c>
      <c r="AT334" s="1" t="s">
        <v>164</v>
      </c>
      <c r="AU334" s="1">
        <v>2021.0</v>
      </c>
      <c r="AV334" s="1">
        <v>38.0</v>
      </c>
      <c r="AW334" s="1" t="s">
        <v>74</v>
      </c>
      <c r="AX334" s="1" t="s">
        <v>74</v>
      </c>
      <c r="AY334" s="1" t="s">
        <v>74</v>
      </c>
      <c r="AZ334" s="1" t="s">
        <v>74</v>
      </c>
      <c r="BA334" s="1" t="s">
        <v>74</v>
      </c>
      <c r="BB334" s="1" t="s">
        <v>74</v>
      </c>
      <c r="BC334" s="1" t="s">
        <v>74</v>
      </c>
      <c r="BD334" s="1">
        <v>100906.0</v>
      </c>
      <c r="BE334" s="1" t="s">
        <v>3549</v>
      </c>
      <c r="BF334" s="2" t="str">
        <f>HYPERLINK("http://dx.doi.org/10.1016/j.uclim.2021.100906","http://dx.doi.org/10.1016/j.uclim.2021.100906")</f>
        <v>http://dx.doi.org/10.1016/j.uclim.2021.100906</v>
      </c>
      <c r="BG334" s="1" t="s">
        <v>74</v>
      </c>
      <c r="BH334" s="1" t="s">
        <v>3550</v>
      </c>
      <c r="BI334" s="1" t="s">
        <v>74</v>
      </c>
      <c r="BJ334" s="1" t="s">
        <v>74</v>
      </c>
      <c r="BK334" s="1" t="s">
        <v>74</v>
      </c>
      <c r="BL334" s="1" t="s">
        <v>74</v>
      </c>
      <c r="BM334" s="1" t="s">
        <v>74</v>
      </c>
      <c r="BN334" s="1" t="s">
        <v>74</v>
      </c>
      <c r="BO334" s="1" t="s">
        <v>74</v>
      </c>
      <c r="BP334" s="1" t="s">
        <v>74</v>
      </c>
      <c r="BQ334" s="1" t="s">
        <v>74</v>
      </c>
      <c r="BR334" s="1" t="s">
        <v>74</v>
      </c>
      <c r="BS334" s="1" t="s">
        <v>3551</v>
      </c>
      <c r="BT334" s="1" t="str">
        <f>HYPERLINK("https%3A%2F%2Fwww.webofscience.com%2Fwos%2Fwoscc%2Ffull-record%2FWOS:000679341600003","View Full Record in Web of Science")</f>
        <v>View Full Record in Web of Science</v>
      </c>
    </row>
    <row r="335" ht="12.75" customHeight="1">
      <c r="A335" s="1" t="s">
        <v>72</v>
      </c>
      <c r="B335" s="1" t="s">
        <v>3552</v>
      </c>
      <c r="C335" s="1" t="s">
        <v>74</v>
      </c>
      <c r="D335" s="1" t="s">
        <v>74</v>
      </c>
      <c r="E335" s="1" t="s">
        <v>74</v>
      </c>
      <c r="F335" s="1" t="s">
        <v>3553</v>
      </c>
      <c r="G335" s="1" t="s">
        <v>74</v>
      </c>
      <c r="H335" s="1" t="s">
        <v>74</v>
      </c>
      <c r="I335" s="1" t="s">
        <v>3554</v>
      </c>
      <c r="J335" s="1" t="s">
        <v>3555</v>
      </c>
      <c r="K335" s="1" t="s">
        <v>74</v>
      </c>
      <c r="L335" s="1" t="s">
        <v>74</v>
      </c>
      <c r="M335" s="1" t="s">
        <v>74</v>
      </c>
      <c r="N335" s="1" t="s">
        <v>74</v>
      </c>
      <c r="O335" s="1" t="s">
        <v>74</v>
      </c>
      <c r="P335" s="1" t="s">
        <v>74</v>
      </c>
      <c r="Q335" s="1" t="s">
        <v>74</v>
      </c>
      <c r="R335" s="1" t="s">
        <v>74</v>
      </c>
      <c r="S335" s="1" t="s">
        <v>74</v>
      </c>
      <c r="T335" s="1" t="s">
        <v>74</v>
      </c>
      <c r="U335" s="1" t="s">
        <v>74</v>
      </c>
      <c r="V335" s="1" t="s">
        <v>3556</v>
      </c>
      <c r="W335" s="1" t="s">
        <v>74</v>
      </c>
      <c r="X335" s="1" t="s">
        <v>74</v>
      </c>
      <c r="Y335" s="1" t="s">
        <v>74</v>
      </c>
      <c r="Z335" s="1" t="s">
        <v>74</v>
      </c>
      <c r="AA335" s="1" t="s">
        <v>3557</v>
      </c>
      <c r="AB335" s="1" t="s">
        <v>3558</v>
      </c>
      <c r="AC335" s="1" t="s">
        <v>74</v>
      </c>
      <c r="AD335" s="1" t="s">
        <v>74</v>
      </c>
      <c r="AE335" s="1" t="s">
        <v>74</v>
      </c>
      <c r="AF335" s="1" t="s">
        <v>74</v>
      </c>
      <c r="AG335" s="1" t="s">
        <v>74</v>
      </c>
      <c r="AH335" s="1" t="s">
        <v>74</v>
      </c>
      <c r="AI335" s="1" t="s">
        <v>74</v>
      </c>
      <c r="AJ335" s="1" t="s">
        <v>74</v>
      </c>
      <c r="AK335" s="1" t="s">
        <v>74</v>
      </c>
      <c r="AL335" s="1" t="s">
        <v>74</v>
      </c>
      <c r="AM335" s="1" t="s">
        <v>74</v>
      </c>
      <c r="AN335" s="1" t="s">
        <v>74</v>
      </c>
      <c r="AO335" s="1" t="s">
        <v>3559</v>
      </c>
      <c r="AP335" s="1" t="s">
        <v>3560</v>
      </c>
      <c r="AQ335" s="1" t="s">
        <v>74</v>
      </c>
      <c r="AR335" s="1" t="s">
        <v>74</v>
      </c>
      <c r="AS335" s="1" t="s">
        <v>74</v>
      </c>
      <c r="AT335" s="1" t="s">
        <v>164</v>
      </c>
      <c r="AU335" s="1">
        <v>2021.0</v>
      </c>
      <c r="AV335" s="1">
        <v>17.0</v>
      </c>
      <c r="AW335" s="1">
        <v>7.0</v>
      </c>
      <c r="AX335" s="1" t="s">
        <v>74</v>
      </c>
      <c r="AY335" s="1" t="s">
        <v>74</v>
      </c>
      <c r="AZ335" s="1" t="s">
        <v>74</v>
      </c>
      <c r="BA335" s="1" t="s">
        <v>74</v>
      </c>
      <c r="BB335" s="1" t="s">
        <v>74</v>
      </c>
      <c r="BC335" s="1" t="s">
        <v>74</v>
      </c>
      <c r="BD335" s="1" t="s">
        <v>3561</v>
      </c>
      <c r="BE335" s="1" t="s">
        <v>3562</v>
      </c>
      <c r="BF335" s="2" t="str">
        <f>HYPERLINK("http://dx.doi.org/10.1371/journal.pcbi.1008650","http://dx.doi.org/10.1371/journal.pcbi.1008650")</f>
        <v>http://dx.doi.org/10.1371/journal.pcbi.1008650</v>
      </c>
      <c r="BG335" s="1" t="s">
        <v>74</v>
      </c>
      <c r="BH335" s="1" t="s">
        <v>74</v>
      </c>
      <c r="BI335" s="1" t="s">
        <v>74</v>
      </c>
      <c r="BJ335" s="1" t="s">
        <v>74</v>
      </c>
      <c r="BK335" s="1" t="s">
        <v>74</v>
      </c>
      <c r="BL335" s="1" t="s">
        <v>74</v>
      </c>
      <c r="BM335" s="1" t="s">
        <v>74</v>
      </c>
      <c r="BN335" s="1">
        <v>3.431997E7</v>
      </c>
      <c r="BO335" s="1" t="s">
        <v>74</v>
      </c>
      <c r="BP335" s="1" t="s">
        <v>74</v>
      </c>
      <c r="BQ335" s="1" t="s">
        <v>74</v>
      </c>
      <c r="BR335" s="1" t="s">
        <v>74</v>
      </c>
      <c r="BS335" s="1" t="s">
        <v>3563</v>
      </c>
      <c r="BT335" s="1" t="str">
        <f>HYPERLINK("https%3A%2F%2Fwww.webofscience.com%2Fwos%2Fwoscc%2Ffull-record%2FWOS:000685215100001","View Full Record in Web of Science")</f>
        <v>View Full Record in Web of Science</v>
      </c>
    </row>
    <row r="336" ht="12.75" customHeight="1">
      <c r="A336" s="1" t="s">
        <v>86</v>
      </c>
      <c r="B336" s="1" t="s">
        <v>3564</v>
      </c>
      <c r="C336" s="1" t="s">
        <v>74</v>
      </c>
      <c r="D336" s="1" t="s">
        <v>74</v>
      </c>
      <c r="E336" s="1" t="s">
        <v>248</v>
      </c>
      <c r="F336" s="1" t="s">
        <v>3565</v>
      </c>
      <c r="G336" s="1" t="s">
        <v>74</v>
      </c>
      <c r="H336" s="1" t="s">
        <v>74</v>
      </c>
      <c r="I336" s="1" t="s">
        <v>3566</v>
      </c>
      <c r="J336" s="1" t="s">
        <v>3567</v>
      </c>
      <c r="K336" s="1" t="s">
        <v>74</v>
      </c>
      <c r="L336" s="1" t="s">
        <v>74</v>
      </c>
      <c r="M336" s="1" t="s">
        <v>74</v>
      </c>
      <c r="N336" s="1" t="s">
        <v>74</v>
      </c>
      <c r="O336" s="1" t="s">
        <v>3568</v>
      </c>
      <c r="P336" s="1" t="s">
        <v>3569</v>
      </c>
      <c r="Q336" s="1" t="s">
        <v>3570</v>
      </c>
      <c r="R336" s="1" t="s">
        <v>3571</v>
      </c>
      <c r="S336" s="1" t="s">
        <v>74</v>
      </c>
      <c r="T336" s="1" t="s">
        <v>74</v>
      </c>
      <c r="U336" s="1" t="s">
        <v>74</v>
      </c>
      <c r="V336" s="1" t="s">
        <v>3572</v>
      </c>
      <c r="W336" s="1" t="s">
        <v>74</v>
      </c>
      <c r="X336" s="1" t="s">
        <v>74</v>
      </c>
      <c r="Y336" s="1" t="s">
        <v>74</v>
      </c>
      <c r="Z336" s="1" t="s">
        <v>74</v>
      </c>
      <c r="AA336" s="1" t="s">
        <v>74</v>
      </c>
      <c r="AB336" s="1" t="s">
        <v>3573</v>
      </c>
      <c r="AC336" s="1" t="s">
        <v>74</v>
      </c>
      <c r="AD336" s="1" t="s">
        <v>74</v>
      </c>
      <c r="AE336" s="1" t="s">
        <v>74</v>
      </c>
      <c r="AF336" s="1" t="s">
        <v>74</v>
      </c>
      <c r="AG336" s="1" t="s">
        <v>74</v>
      </c>
      <c r="AH336" s="1" t="s">
        <v>74</v>
      </c>
      <c r="AI336" s="1" t="s">
        <v>74</v>
      </c>
      <c r="AJ336" s="1" t="s">
        <v>74</v>
      </c>
      <c r="AK336" s="1" t="s">
        <v>74</v>
      </c>
      <c r="AL336" s="1" t="s">
        <v>74</v>
      </c>
      <c r="AM336" s="1" t="s">
        <v>74</v>
      </c>
      <c r="AN336" s="1" t="s">
        <v>74</v>
      </c>
      <c r="AO336" s="1" t="s">
        <v>74</v>
      </c>
      <c r="AP336" s="1" t="s">
        <v>74</v>
      </c>
      <c r="AQ336" s="1" t="s">
        <v>3574</v>
      </c>
      <c r="AR336" s="1" t="s">
        <v>74</v>
      </c>
      <c r="AS336" s="1" t="s">
        <v>74</v>
      </c>
      <c r="AT336" s="1" t="s">
        <v>74</v>
      </c>
      <c r="AU336" s="1">
        <v>2021.0</v>
      </c>
      <c r="AV336" s="1" t="s">
        <v>74</v>
      </c>
      <c r="AW336" s="1" t="s">
        <v>74</v>
      </c>
      <c r="AX336" s="1" t="s">
        <v>74</v>
      </c>
      <c r="AY336" s="1" t="s">
        <v>74</v>
      </c>
      <c r="AZ336" s="1" t="s">
        <v>74</v>
      </c>
      <c r="BA336" s="1" t="s">
        <v>74</v>
      </c>
      <c r="BB336" s="1">
        <v>61.0</v>
      </c>
      <c r="BC336" s="1">
        <v>66.0</v>
      </c>
      <c r="BD336" s="1" t="s">
        <v>74</v>
      </c>
      <c r="BE336" s="1" t="s">
        <v>3575</v>
      </c>
      <c r="BF336" s="2" t="str">
        <f>HYPERLINK("http://dx.doi.org/10.1109/SACVLC53127.2021.9652255","http://dx.doi.org/10.1109/SACVLC53127.2021.9652255")</f>
        <v>http://dx.doi.org/10.1109/SACVLC53127.2021.9652255</v>
      </c>
      <c r="BG336" s="1" t="s">
        <v>74</v>
      </c>
      <c r="BH336" s="1" t="s">
        <v>74</v>
      </c>
      <c r="BI336" s="1" t="s">
        <v>74</v>
      </c>
      <c r="BJ336" s="1" t="s">
        <v>74</v>
      </c>
      <c r="BK336" s="1" t="s">
        <v>74</v>
      </c>
      <c r="BL336" s="1" t="s">
        <v>74</v>
      </c>
      <c r="BM336" s="1" t="s">
        <v>74</v>
      </c>
      <c r="BN336" s="1" t="s">
        <v>74</v>
      </c>
      <c r="BO336" s="1" t="s">
        <v>74</v>
      </c>
      <c r="BP336" s="1" t="s">
        <v>74</v>
      </c>
      <c r="BQ336" s="1" t="s">
        <v>74</v>
      </c>
      <c r="BR336" s="1" t="s">
        <v>74</v>
      </c>
      <c r="BS336" s="1" t="s">
        <v>3576</v>
      </c>
      <c r="BT336" s="1" t="str">
        <f>HYPERLINK("https%3A%2F%2Fwww.webofscience.com%2Fwos%2Fwoscc%2Ffull-record%2FWOS:000760247000011","View Full Record in Web of Science")</f>
        <v>View Full Record in Web of Science</v>
      </c>
    </row>
    <row r="337" ht="12.75" customHeight="1">
      <c r="A337" s="1" t="s">
        <v>86</v>
      </c>
      <c r="B337" s="1" t="s">
        <v>3577</v>
      </c>
      <c r="C337" s="1" t="s">
        <v>74</v>
      </c>
      <c r="D337" s="1" t="s">
        <v>74</v>
      </c>
      <c r="E337" s="1" t="s">
        <v>248</v>
      </c>
      <c r="F337" s="1" t="s">
        <v>3578</v>
      </c>
      <c r="G337" s="1" t="s">
        <v>74</v>
      </c>
      <c r="H337" s="1" t="s">
        <v>74</v>
      </c>
      <c r="I337" s="1" t="s">
        <v>3579</v>
      </c>
      <c r="J337" s="1" t="s">
        <v>3580</v>
      </c>
      <c r="K337" s="1" t="s">
        <v>74</v>
      </c>
      <c r="L337" s="1" t="s">
        <v>74</v>
      </c>
      <c r="M337" s="1" t="s">
        <v>74</v>
      </c>
      <c r="N337" s="1" t="s">
        <v>74</v>
      </c>
      <c r="O337" s="1" t="s">
        <v>3581</v>
      </c>
      <c r="P337" s="1" t="s">
        <v>3582</v>
      </c>
      <c r="Q337" s="1" t="s">
        <v>3583</v>
      </c>
      <c r="R337" s="1" t="s">
        <v>74</v>
      </c>
      <c r="S337" s="1" t="s">
        <v>74</v>
      </c>
      <c r="T337" s="1" t="s">
        <v>74</v>
      </c>
      <c r="U337" s="1" t="s">
        <v>74</v>
      </c>
      <c r="V337" s="1" t="s">
        <v>3584</v>
      </c>
      <c r="W337" s="1" t="s">
        <v>74</v>
      </c>
      <c r="X337" s="1" t="s">
        <v>74</v>
      </c>
      <c r="Y337" s="1" t="s">
        <v>74</v>
      </c>
      <c r="Z337" s="1" t="s">
        <v>74</v>
      </c>
      <c r="AA337" s="1" t="s">
        <v>3585</v>
      </c>
      <c r="AB337" s="1" t="s">
        <v>74</v>
      </c>
      <c r="AC337" s="1" t="s">
        <v>74</v>
      </c>
      <c r="AD337" s="1" t="s">
        <v>74</v>
      </c>
      <c r="AE337" s="1" t="s">
        <v>74</v>
      </c>
      <c r="AF337" s="1" t="s">
        <v>74</v>
      </c>
      <c r="AG337" s="1" t="s">
        <v>74</v>
      </c>
      <c r="AH337" s="1" t="s">
        <v>74</v>
      </c>
      <c r="AI337" s="1" t="s">
        <v>74</v>
      </c>
      <c r="AJ337" s="1" t="s">
        <v>74</v>
      </c>
      <c r="AK337" s="1" t="s">
        <v>74</v>
      </c>
      <c r="AL337" s="1" t="s">
        <v>74</v>
      </c>
      <c r="AM337" s="1" t="s">
        <v>74</v>
      </c>
      <c r="AN337" s="1" t="s">
        <v>74</v>
      </c>
      <c r="AO337" s="1" t="s">
        <v>74</v>
      </c>
      <c r="AP337" s="1" t="s">
        <v>74</v>
      </c>
      <c r="AQ337" s="1" t="s">
        <v>3586</v>
      </c>
      <c r="AR337" s="1" t="s">
        <v>74</v>
      </c>
      <c r="AS337" s="1" t="s">
        <v>74</v>
      </c>
      <c r="AT337" s="1" t="s">
        <v>74</v>
      </c>
      <c r="AU337" s="1">
        <v>2020.0</v>
      </c>
      <c r="AV337" s="1" t="s">
        <v>74</v>
      </c>
      <c r="AW337" s="1" t="s">
        <v>74</v>
      </c>
      <c r="AX337" s="1" t="s">
        <v>74</v>
      </c>
      <c r="AY337" s="1" t="s">
        <v>74</v>
      </c>
      <c r="AZ337" s="1" t="s">
        <v>74</v>
      </c>
      <c r="BA337" s="1" t="s">
        <v>74</v>
      </c>
      <c r="BB337" s="1" t="s">
        <v>74</v>
      </c>
      <c r="BC337" s="1" t="s">
        <v>74</v>
      </c>
      <c r="BD337" s="1" t="s">
        <v>74</v>
      </c>
      <c r="BE337" s="1" t="s">
        <v>74</v>
      </c>
      <c r="BF337" s="1" t="s">
        <v>74</v>
      </c>
      <c r="BG337" s="1" t="s">
        <v>74</v>
      </c>
      <c r="BH337" s="1" t="s">
        <v>74</v>
      </c>
      <c r="BI337" s="1" t="s">
        <v>74</v>
      </c>
      <c r="BJ337" s="1" t="s">
        <v>74</v>
      </c>
      <c r="BK337" s="1" t="s">
        <v>74</v>
      </c>
      <c r="BL337" s="1" t="s">
        <v>74</v>
      </c>
      <c r="BM337" s="1" t="s">
        <v>74</v>
      </c>
      <c r="BN337" s="1" t="s">
        <v>74</v>
      </c>
      <c r="BO337" s="1" t="s">
        <v>74</v>
      </c>
      <c r="BP337" s="1" t="s">
        <v>74</v>
      </c>
      <c r="BQ337" s="1" t="s">
        <v>74</v>
      </c>
      <c r="BR337" s="1" t="s">
        <v>74</v>
      </c>
      <c r="BS337" s="1" t="s">
        <v>3587</v>
      </c>
      <c r="BT337" s="1" t="str">
        <f>HYPERLINK("https%3A%2F%2Fwww.webofscience.com%2Fwos%2Fwoscc%2Ffull-record%2FWOS:001331796100042","View Full Record in Web of Science")</f>
        <v>View Full Record in Web of Science</v>
      </c>
    </row>
    <row r="338" ht="12.75" customHeight="1">
      <c r="A338" s="1" t="s">
        <v>72</v>
      </c>
      <c r="B338" s="1" t="s">
        <v>3588</v>
      </c>
      <c r="C338" s="1" t="s">
        <v>74</v>
      </c>
      <c r="D338" s="1" t="s">
        <v>74</v>
      </c>
      <c r="E338" s="1" t="s">
        <v>74</v>
      </c>
      <c r="F338" s="1" t="s">
        <v>3589</v>
      </c>
      <c r="G338" s="1" t="s">
        <v>74</v>
      </c>
      <c r="H338" s="1" t="s">
        <v>74</v>
      </c>
      <c r="I338" s="1" t="s">
        <v>3590</v>
      </c>
      <c r="J338" s="1" t="s">
        <v>3591</v>
      </c>
      <c r="K338" s="1" t="s">
        <v>74</v>
      </c>
      <c r="L338" s="1" t="s">
        <v>74</v>
      </c>
      <c r="M338" s="1" t="s">
        <v>74</v>
      </c>
      <c r="N338" s="1" t="s">
        <v>74</v>
      </c>
      <c r="O338" s="1" t="s">
        <v>74</v>
      </c>
      <c r="P338" s="1" t="s">
        <v>74</v>
      </c>
      <c r="Q338" s="1" t="s">
        <v>74</v>
      </c>
      <c r="R338" s="1" t="s">
        <v>74</v>
      </c>
      <c r="S338" s="1" t="s">
        <v>74</v>
      </c>
      <c r="T338" s="1" t="s">
        <v>74</v>
      </c>
      <c r="U338" s="1" t="s">
        <v>74</v>
      </c>
      <c r="V338" s="1" t="s">
        <v>3592</v>
      </c>
      <c r="W338" s="1" t="s">
        <v>74</v>
      </c>
      <c r="X338" s="1" t="s">
        <v>74</v>
      </c>
      <c r="Y338" s="1" t="s">
        <v>74</v>
      </c>
      <c r="Z338" s="1" t="s">
        <v>74</v>
      </c>
      <c r="AA338" s="1" t="s">
        <v>3593</v>
      </c>
      <c r="AB338" s="1" t="s">
        <v>3594</v>
      </c>
      <c r="AC338" s="1" t="s">
        <v>74</v>
      </c>
      <c r="AD338" s="1" t="s">
        <v>74</v>
      </c>
      <c r="AE338" s="1" t="s">
        <v>74</v>
      </c>
      <c r="AF338" s="1" t="s">
        <v>74</v>
      </c>
      <c r="AG338" s="1" t="s">
        <v>74</v>
      </c>
      <c r="AH338" s="1" t="s">
        <v>74</v>
      </c>
      <c r="AI338" s="1" t="s">
        <v>74</v>
      </c>
      <c r="AJ338" s="1" t="s">
        <v>74</v>
      </c>
      <c r="AK338" s="1" t="s">
        <v>74</v>
      </c>
      <c r="AL338" s="1" t="s">
        <v>74</v>
      </c>
      <c r="AM338" s="1" t="s">
        <v>74</v>
      </c>
      <c r="AN338" s="1" t="s">
        <v>74</v>
      </c>
      <c r="AO338" s="1" t="s">
        <v>3595</v>
      </c>
      <c r="AP338" s="1" t="s">
        <v>3596</v>
      </c>
      <c r="AQ338" s="1" t="s">
        <v>74</v>
      </c>
      <c r="AR338" s="1" t="s">
        <v>74</v>
      </c>
      <c r="AS338" s="1" t="s">
        <v>74</v>
      </c>
      <c r="AT338" s="1" t="s">
        <v>939</v>
      </c>
      <c r="AU338" s="1">
        <v>2019.0</v>
      </c>
      <c r="AV338" s="1">
        <v>120.0</v>
      </c>
      <c r="AW338" s="1" t="s">
        <v>74</v>
      </c>
      <c r="AX338" s="1" t="s">
        <v>74</v>
      </c>
      <c r="AY338" s="1" t="s">
        <v>74</v>
      </c>
      <c r="AZ338" s="1" t="s">
        <v>74</v>
      </c>
      <c r="BA338" s="1" t="s">
        <v>74</v>
      </c>
      <c r="BB338" s="1">
        <v>904.0</v>
      </c>
      <c r="BC338" s="1">
        <v>912.0</v>
      </c>
      <c r="BD338" s="1" t="s">
        <v>74</v>
      </c>
      <c r="BE338" s="1" t="s">
        <v>3597</v>
      </c>
      <c r="BF338" s="2" t="str">
        <f>HYPERLINK("http://dx.doi.org/10.1016/j.foodres.2018.12.014","http://dx.doi.org/10.1016/j.foodres.2018.12.014")</f>
        <v>http://dx.doi.org/10.1016/j.foodres.2018.12.014</v>
      </c>
      <c r="BG338" s="1" t="s">
        <v>74</v>
      </c>
      <c r="BH338" s="1" t="s">
        <v>74</v>
      </c>
      <c r="BI338" s="1" t="s">
        <v>74</v>
      </c>
      <c r="BJ338" s="1" t="s">
        <v>74</v>
      </c>
      <c r="BK338" s="1" t="s">
        <v>74</v>
      </c>
      <c r="BL338" s="1" t="s">
        <v>74</v>
      </c>
      <c r="BM338" s="1" t="s">
        <v>74</v>
      </c>
      <c r="BN338" s="1">
        <v>3.1000312E7</v>
      </c>
      <c r="BO338" s="1" t="s">
        <v>74</v>
      </c>
      <c r="BP338" s="1" t="s">
        <v>74</v>
      </c>
      <c r="BQ338" s="1" t="s">
        <v>74</v>
      </c>
      <c r="BR338" s="1" t="s">
        <v>74</v>
      </c>
      <c r="BS338" s="1" t="s">
        <v>3598</v>
      </c>
      <c r="BT338" s="1" t="str">
        <f>HYPERLINK("https%3A%2F%2Fwww.webofscience.com%2Fwos%2Fwoscc%2Ffull-record%2FWOS:000467195400096","View Full Record in Web of Science")</f>
        <v>View Full Record in Web of Science</v>
      </c>
    </row>
    <row r="339" ht="12.75" customHeight="1">
      <c r="A339" s="1" t="s">
        <v>72</v>
      </c>
      <c r="B339" s="1" t="s">
        <v>3599</v>
      </c>
      <c r="C339" s="1" t="s">
        <v>74</v>
      </c>
      <c r="D339" s="1" t="s">
        <v>74</v>
      </c>
      <c r="E339" s="1" t="s">
        <v>74</v>
      </c>
      <c r="F339" s="1" t="s">
        <v>3600</v>
      </c>
      <c r="G339" s="1" t="s">
        <v>74</v>
      </c>
      <c r="H339" s="1" t="s">
        <v>74</v>
      </c>
      <c r="I339" s="1" t="s">
        <v>3601</v>
      </c>
      <c r="J339" s="1" t="s">
        <v>3602</v>
      </c>
      <c r="K339" s="1" t="s">
        <v>74</v>
      </c>
      <c r="L339" s="1" t="s">
        <v>74</v>
      </c>
      <c r="M339" s="1" t="s">
        <v>74</v>
      </c>
      <c r="N339" s="1" t="s">
        <v>74</v>
      </c>
      <c r="O339" s="1" t="s">
        <v>74</v>
      </c>
      <c r="P339" s="1" t="s">
        <v>74</v>
      </c>
      <c r="Q339" s="1" t="s">
        <v>74</v>
      </c>
      <c r="R339" s="1" t="s">
        <v>74</v>
      </c>
      <c r="S339" s="1" t="s">
        <v>74</v>
      </c>
      <c r="T339" s="1" t="s">
        <v>74</v>
      </c>
      <c r="U339" s="1" t="s">
        <v>74</v>
      </c>
      <c r="V339" s="1" t="s">
        <v>3603</v>
      </c>
      <c r="W339" s="1" t="s">
        <v>74</v>
      </c>
      <c r="X339" s="1" t="s">
        <v>74</v>
      </c>
      <c r="Y339" s="1" t="s">
        <v>74</v>
      </c>
      <c r="Z339" s="1" t="s">
        <v>74</v>
      </c>
      <c r="AA339" s="1" t="s">
        <v>3604</v>
      </c>
      <c r="AB339" s="1" t="s">
        <v>3605</v>
      </c>
      <c r="AC339" s="1" t="s">
        <v>74</v>
      </c>
      <c r="AD339" s="1" t="s">
        <v>74</v>
      </c>
      <c r="AE339" s="1" t="s">
        <v>74</v>
      </c>
      <c r="AF339" s="1" t="s">
        <v>74</v>
      </c>
      <c r="AG339" s="1" t="s">
        <v>74</v>
      </c>
      <c r="AH339" s="1" t="s">
        <v>74</v>
      </c>
      <c r="AI339" s="1" t="s">
        <v>74</v>
      </c>
      <c r="AJ339" s="1" t="s">
        <v>74</v>
      </c>
      <c r="AK339" s="1" t="s">
        <v>74</v>
      </c>
      <c r="AL339" s="1" t="s">
        <v>74</v>
      </c>
      <c r="AM339" s="1" t="s">
        <v>74</v>
      </c>
      <c r="AN339" s="1" t="s">
        <v>74</v>
      </c>
      <c r="AO339" s="1" t="s">
        <v>3606</v>
      </c>
      <c r="AP339" s="1" t="s">
        <v>3607</v>
      </c>
      <c r="AQ339" s="1" t="s">
        <v>74</v>
      </c>
      <c r="AR339" s="1" t="s">
        <v>74</v>
      </c>
      <c r="AS339" s="1" t="s">
        <v>74</v>
      </c>
      <c r="AT339" s="1" t="s">
        <v>537</v>
      </c>
      <c r="AU339" s="1">
        <v>2018.0</v>
      </c>
      <c r="AV339" s="1">
        <v>410.0</v>
      </c>
      <c r="AW339" s="1">
        <v>27.0</v>
      </c>
      <c r="AX339" s="1" t="s">
        <v>74</v>
      </c>
      <c r="AY339" s="1" t="s">
        <v>74</v>
      </c>
      <c r="AZ339" s="1" t="s">
        <v>74</v>
      </c>
      <c r="BA339" s="1" t="s">
        <v>74</v>
      </c>
      <c r="BB339" s="1">
        <v>7229.0</v>
      </c>
      <c r="BC339" s="1">
        <v>7238.0</v>
      </c>
      <c r="BD339" s="1" t="s">
        <v>74</v>
      </c>
      <c r="BE339" s="1" t="s">
        <v>3608</v>
      </c>
      <c r="BF339" s="2" t="str">
        <f>HYPERLINK("http://dx.doi.org/10.1007/s00216-018-1330-1","http://dx.doi.org/10.1007/s00216-018-1330-1")</f>
        <v>http://dx.doi.org/10.1007/s00216-018-1330-1</v>
      </c>
      <c r="BG339" s="1" t="s">
        <v>74</v>
      </c>
      <c r="BH339" s="1" t="s">
        <v>74</v>
      </c>
      <c r="BI339" s="1" t="s">
        <v>74</v>
      </c>
      <c r="BJ339" s="1" t="s">
        <v>74</v>
      </c>
      <c r="BK339" s="1" t="s">
        <v>74</v>
      </c>
      <c r="BL339" s="1" t="s">
        <v>74</v>
      </c>
      <c r="BM339" s="1" t="s">
        <v>74</v>
      </c>
      <c r="BN339" s="1">
        <v>3.0151686E7</v>
      </c>
      <c r="BO339" s="1" t="s">
        <v>74</v>
      </c>
      <c r="BP339" s="1" t="s">
        <v>74</v>
      </c>
      <c r="BQ339" s="1" t="s">
        <v>74</v>
      </c>
      <c r="BR339" s="1" t="s">
        <v>74</v>
      </c>
      <c r="BS339" s="1" t="s">
        <v>3609</v>
      </c>
      <c r="BT339" s="1" t="str">
        <f>HYPERLINK("https%3A%2F%2Fwww.webofscience.com%2Fwos%2Fwoscc%2Ffull-record%2FWOS:000447361700026","View Full Record in Web of Science")</f>
        <v>View Full Record in Web of Science</v>
      </c>
    </row>
    <row r="340" ht="12.75" customHeight="1">
      <c r="A340" s="1" t="s">
        <v>72</v>
      </c>
      <c r="B340" s="1" t="s">
        <v>3610</v>
      </c>
      <c r="C340" s="1" t="s">
        <v>74</v>
      </c>
      <c r="D340" s="1" t="s">
        <v>74</v>
      </c>
      <c r="E340" s="1" t="s">
        <v>74</v>
      </c>
      <c r="F340" s="1" t="s">
        <v>3611</v>
      </c>
      <c r="G340" s="1" t="s">
        <v>74</v>
      </c>
      <c r="H340" s="1" t="s">
        <v>74</v>
      </c>
      <c r="I340" s="1" t="s">
        <v>3612</v>
      </c>
      <c r="J340" s="1" t="s">
        <v>3613</v>
      </c>
      <c r="K340" s="1" t="s">
        <v>74</v>
      </c>
      <c r="L340" s="1" t="s">
        <v>74</v>
      </c>
      <c r="M340" s="1" t="s">
        <v>74</v>
      </c>
      <c r="N340" s="1" t="s">
        <v>74</v>
      </c>
      <c r="O340" s="1" t="s">
        <v>74</v>
      </c>
      <c r="P340" s="1" t="s">
        <v>74</v>
      </c>
      <c r="Q340" s="1" t="s">
        <v>74</v>
      </c>
      <c r="R340" s="1" t="s">
        <v>74</v>
      </c>
      <c r="S340" s="1" t="s">
        <v>74</v>
      </c>
      <c r="T340" s="1" t="s">
        <v>74</v>
      </c>
      <c r="U340" s="1" t="s">
        <v>74</v>
      </c>
      <c r="V340" s="1" t="s">
        <v>3614</v>
      </c>
      <c r="W340" s="1" t="s">
        <v>74</v>
      </c>
      <c r="X340" s="1" t="s">
        <v>74</v>
      </c>
      <c r="Y340" s="1" t="s">
        <v>74</v>
      </c>
      <c r="Z340" s="1" t="s">
        <v>74</v>
      </c>
      <c r="AA340" s="1" t="s">
        <v>3615</v>
      </c>
      <c r="AB340" s="1" t="s">
        <v>3616</v>
      </c>
      <c r="AC340" s="1" t="s">
        <v>74</v>
      </c>
      <c r="AD340" s="1" t="s">
        <v>74</v>
      </c>
      <c r="AE340" s="1" t="s">
        <v>74</v>
      </c>
      <c r="AF340" s="1" t="s">
        <v>74</v>
      </c>
      <c r="AG340" s="1" t="s">
        <v>74</v>
      </c>
      <c r="AH340" s="1" t="s">
        <v>74</v>
      </c>
      <c r="AI340" s="1" t="s">
        <v>74</v>
      </c>
      <c r="AJ340" s="1" t="s">
        <v>74</v>
      </c>
      <c r="AK340" s="1" t="s">
        <v>74</v>
      </c>
      <c r="AL340" s="1" t="s">
        <v>74</v>
      </c>
      <c r="AM340" s="1" t="s">
        <v>74</v>
      </c>
      <c r="AN340" s="1" t="s">
        <v>74</v>
      </c>
      <c r="AO340" s="1" t="s">
        <v>74</v>
      </c>
      <c r="AP340" s="1" t="s">
        <v>3617</v>
      </c>
      <c r="AQ340" s="1" t="s">
        <v>74</v>
      </c>
      <c r="AR340" s="1" t="s">
        <v>74</v>
      </c>
      <c r="AS340" s="1" t="s">
        <v>74</v>
      </c>
      <c r="AT340" s="1" t="s">
        <v>123</v>
      </c>
      <c r="AU340" s="1">
        <v>2018.0</v>
      </c>
      <c r="AV340" s="1">
        <v>18.0</v>
      </c>
      <c r="AW340" s="1" t="s">
        <v>74</v>
      </c>
      <c r="AX340" s="1" t="s">
        <v>74</v>
      </c>
      <c r="AY340" s="1" t="s">
        <v>74</v>
      </c>
      <c r="AZ340" s="1" t="s">
        <v>74</v>
      </c>
      <c r="BA340" s="1" t="s">
        <v>74</v>
      </c>
      <c r="BB340" s="1" t="s">
        <v>74</v>
      </c>
      <c r="BC340" s="1" t="s">
        <v>74</v>
      </c>
      <c r="BD340" s="1">
        <v>111.0</v>
      </c>
      <c r="BE340" s="1" t="s">
        <v>3618</v>
      </c>
      <c r="BF340" s="2" t="str">
        <f>HYPERLINK("http://dx.doi.org/10.1186/s12887-018-1083-1","http://dx.doi.org/10.1186/s12887-018-1083-1")</f>
        <v>http://dx.doi.org/10.1186/s12887-018-1083-1</v>
      </c>
      <c r="BG340" s="1" t="s">
        <v>74</v>
      </c>
      <c r="BH340" s="1" t="s">
        <v>74</v>
      </c>
      <c r="BI340" s="1" t="s">
        <v>74</v>
      </c>
      <c r="BJ340" s="1" t="s">
        <v>74</v>
      </c>
      <c r="BK340" s="1" t="s">
        <v>74</v>
      </c>
      <c r="BL340" s="1" t="s">
        <v>74</v>
      </c>
      <c r="BM340" s="1" t="s">
        <v>74</v>
      </c>
      <c r="BN340" s="1">
        <v>2.9544457E7</v>
      </c>
      <c r="BO340" s="1" t="s">
        <v>74</v>
      </c>
      <c r="BP340" s="1" t="s">
        <v>74</v>
      </c>
      <c r="BQ340" s="1" t="s">
        <v>74</v>
      </c>
      <c r="BR340" s="1" t="s">
        <v>74</v>
      </c>
      <c r="BS340" s="1" t="s">
        <v>3619</v>
      </c>
      <c r="BT340" s="1" t="str">
        <f>HYPERLINK("https%3A%2F%2Fwww.webofscience.com%2Fwos%2Fwoscc%2Ffull-record%2FWOS:000427541300001","View Full Record in Web of Science")</f>
        <v>View Full Record in Web of Science</v>
      </c>
    </row>
    <row r="341" ht="12.75" customHeight="1">
      <c r="A341" s="1" t="s">
        <v>72</v>
      </c>
      <c r="B341" s="1" t="s">
        <v>3620</v>
      </c>
      <c r="C341" s="1" t="s">
        <v>74</v>
      </c>
      <c r="D341" s="1" t="s">
        <v>74</v>
      </c>
      <c r="E341" s="1" t="s">
        <v>74</v>
      </c>
      <c r="F341" s="1" t="s">
        <v>3621</v>
      </c>
      <c r="G341" s="1" t="s">
        <v>74</v>
      </c>
      <c r="H341" s="1" t="s">
        <v>74</v>
      </c>
      <c r="I341" s="1" t="s">
        <v>3622</v>
      </c>
      <c r="J341" s="1" t="s">
        <v>3623</v>
      </c>
      <c r="K341" s="1" t="s">
        <v>74</v>
      </c>
      <c r="L341" s="1" t="s">
        <v>74</v>
      </c>
      <c r="M341" s="1" t="s">
        <v>74</v>
      </c>
      <c r="N341" s="1" t="s">
        <v>74</v>
      </c>
      <c r="O341" s="1" t="s">
        <v>74</v>
      </c>
      <c r="P341" s="1" t="s">
        <v>74</v>
      </c>
      <c r="Q341" s="1" t="s">
        <v>74</v>
      </c>
      <c r="R341" s="1" t="s">
        <v>74</v>
      </c>
      <c r="S341" s="1" t="s">
        <v>74</v>
      </c>
      <c r="T341" s="1" t="s">
        <v>74</v>
      </c>
      <c r="U341" s="1" t="s">
        <v>74</v>
      </c>
      <c r="V341" s="1" t="s">
        <v>3624</v>
      </c>
      <c r="W341" s="1" t="s">
        <v>74</v>
      </c>
      <c r="X341" s="1" t="s">
        <v>74</v>
      </c>
      <c r="Y341" s="1" t="s">
        <v>74</v>
      </c>
      <c r="Z341" s="1" t="s">
        <v>74</v>
      </c>
      <c r="AA341" s="1" t="s">
        <v>3625</v>
      </c>
      <c r="AB341" s="1" t="s">
        <v>3626</v>
      </c>
      <c r="AC341" s="1" t="s">
        <v>74</v>
      </c>
      <c r="AD341" s="1" t="s">
        <v>74</v>
      </c>
      <c r="AE341" s="1" t="s">
        <v>74</v>
      </c>
      <c r="AF341" s="1" t="s">
        <v>74</v>
      </c>
      <c r="AG341" s="1" t="s">
        <v>74</v>
      </c>
      <c r="AH341" s="1" t="s">
        <v>74</v>
      </c>
      <c r="AI341" s="1" t="s">
        <v>74</v>
      </c>
      <c r="AJ341" s="1" t="s">
        <v>74</v>
      </c>
      <c r="AK341" s="1" t="s">
        <v>74</v>
      </c>
      <c r="AL341" s="1" t="s">
        <v>74</v>
      </c>
      <c r="AM341" s="1" t="s">
        <v>74</v>
      </c>
      <c r="AN341" s="1" t="s">
        <v>74</v>
      </c>
      <c r="AO341" s="1" t="s">
        <v>3627</v>
      </c>
      <c r="AP341" s="1" t="s">
        <v>3628</v>
      </c>
      <c r="AQ341" s="1" t="s">
        <v>74</v>
      </c>
      <c r="AR341" s="1" t="s">
        <v>74</v>
      </c>
      <c r="AS341" s="1" t="s">
        <v>74</v>
      </c>
      <c r="AT341" s="1" t="s">
        <v>348</v>
      </c>
      <c r="AU341" s="1">
        <v>2017.0</v>
      </c>
      <c r="AV341" s="1">
        <v>68.0</v>
      </c>
      <c r="AW341" s="1">
        <v>5.0</v>
      </c>
      <c r="AX341" s="1" t="s">
        <v>74</v>
      </c>
      <c r="AY341" s="1" t="s">
        <v>74</v>
      </c>
      <c r="AZ341" s="1" t="s">
        <v>74</v>
      </c>
      <c r="BA341" s="1" t="s">
        <v>74</v>
      </c>
      <c r="BB341" s="1">
        <v>325.0</v>
      </c>
      <c r="BC341" s="1">
        <v>338.0</v>
      </c>
      <c r="BD341" s="1" t="s">
        <v>74</v>
      </c>
      <c r="BE341" s="1" t="s">
        <v>3629</v>
      </c>
      <c r="BF341" s="2" t="str">
        <f>HYPERLINK("http://dx.doi.org/10.1515/jee-2017-0064","http://dx.doi.org/10.1515/jee-2017-0064")</f>
        <v>http://dx.doi.org/10.1515/jee-2017-0064</v>
      </c>
      <c r="BG341" s="1" t="s">
        <v>74</v>
      </c>
      <c r="BH341" s="1" t="s">
        <v>74</v>
      </c>
      <c r="BI341" s="1" t="s">
        <v>74</v>
      </c>
      <c r="BJ341" s="1" t="s">
        <v>74</v>
      </c>
      <c r="BK341" s="1" t="s">
        <v>74</v>
      </c>
      <c r="BL341" s="1" t="s">
        <v>74</v>
      </c>
      <c r="BM341" s="1" t="s">
        <v>74</v>
      </c>
      <c r="BN341" s="1" t="s">
        <v>74</v>
      </c>
      <c r="BO341" s="1" t="s">
        <v>74</v>
      </c>
      <c r="BP341" s="1" t="s">
        <v>74</v>
      </c>
      <c r="BQ341" s="1" t="s">
        <v>74</v>
      </c>
      <c r="BR341" s="1" t="s">
        <v>74</v>
      </c>
      <c r="BS341" s="1" t="s">
        <v>3630</v>
      </c>
      <c r="BT341" s="1" t="str">
        <f>HYPERLINK("https%3A%2F%2Fwww.webofscience.com%2Fwos%2Fwoscc%2Ffull-record%2FWOS:000418491200001","View Full Record in Web of Science")</f>
        <v>View Full Record in Web of Science</v>
      </c>
    </row>
    <row r="342" ht="12.75" customHeight="1">
      <c r="A342" s="1" t="s">
        <v>72</v>
      </c>
      <c r="B342" s="1" t="s">
        <v>3631</v>
      </c>
      <c r="C342" s="1" t="s">
        <v>74</v>
      </c>
      <c r="D342" s="1" t="s">
        <v>74</v>
      </c>
      <c r="E342" s="1" t="s">
        <v>74</v>
      </c>
      <c r="F342" s="1" t="s">
        <v>3632</v>
      </c>
      <c r="G342" s="1" t="s">
        <v>74</v>
      </c>
      <c r="H342" s="1" t="s">
        <v>74</v>
      </c>
      <c r="I342" s="1" t="s">
        <v>3633</v>
      </c>
      <c r="J342" s="1" t="s">
        <v>3634</v>
      </c>
      <c r="K342" s="1" t="s">
        <v>74</v>
      </c>
      <c r="L342" s="1" t="s">
        <v>74</v>
      </c>
      <c r="M342" s="1" t="s">
        <v>74</v>
      </c>
      <c r="N342" s="1" t="s">
        <v>74</v>
      </c>
      <c r="O342" s="1" t="s">
        <v>74</v>
      </c>
      <c r="P342" s="1" t="s">
        <v>74</v>
      </c>
      <c r="Q342" s="1" t="s">
        <v>74</v>
      </c>
      <c r="R342" s="1" t="s">
        <v>74</v>
      </c>
      <c r="S342" s="1" t="s">
        <v>74</v>
      </c>
      <c r="T342" s="1" t="s">
        <v>74</v>
      </c>
      <c r="U342" s="1" t="s">
        <v>74</v>
      </c>
      <c r="V342" s="1" t="s">
        <v>3635</v>
      </c>
      <c r="W342" s="1" t="s">
        <v>74</v>
      </c>
      <c r="X342" s="1" t="s">
        <v>74</v>
      </c>
      <c r="Y342" s="1" t="s">
        <v>74</v>
      </c>
      <c r="Z342" s="1" t="s">
        <v>74</v>
      </c>
      <c r="AA342" s="1" t="s">
        <v>3636</v>
      </c>
      <c r="AB342" s="1" t="s">
        <v>3637</v>
      </c>
      <c r="AC342" s="1" t="s">
        <v>74</v>
      </c>
      <c r="AD342" s="1" t="s">
        <v>74</v>
      </c>
      <c r="AE342" s="1" t="s">
        <v>74</v>
      </c>
      <c r="AF342" s="1" t="s">
        <v>74</v>
      </c>
      <c r="AG342" s="1" t="s">
        <v>74</v>
      </c>
      <c r="AH342" s="1" t="s">
        <v>74</v>
      </c>
      <c r="AI342" s="1" t="s">
        <v>74</v>
      </c>
      <c r="AJ342" s="1" t="s">
        <v>74</v>
      </c>
      <c r="AK342" s="1" t="s">
        <v>74</v>
      </c>
      <c r="AL342" s="1" t="s">
        <v>74</v>
      </c>
      <c r="AM342" s="1" t="s">
        <v>74</v>
      </c>
      <c r="AN342" s="1" t="s">
        <v>74</v>
      </c>
      <c r="AO342" s="1" t="s">
        <v>3638</v>
      </c>
      <c r="AP342" s="1" t="s">
        <v>3639</v>
      </c>
      <c r="AQ342" s="1" t="s">
        <v>74</v>
      </c>
      <c r="AR342" s="1" t="s">
        <v>74</v>
      </c>
      <c r="AS342" s="1" t="s">
        <v>74</v>
      </c>
      <c r="AT342" s="1" t="s">
        <v>201</v>
      </c>
      <c r="AU342" s="1">
        <v>2016.0</v>
      </c>
      <c r="AV342" s="1">
        <v>47.0</v>
      </c>
      <c r="AW342" s="1">
        <v>5.0</v>
      </c>
      <c r="AX342" s="1" t="s">
        <v>74</v>
      </c>
      <c r="AY342" s="1" t="s">
        <v>74</v>
      </c>
      <c r="AZ342" s="1" t="s">
        <v>74</v>
      </c>
      <c r="BA342" s="1" t="s">
        <v>74</v>
      </c>
      <c r="BB342" s="1">
        <v>392.0</v>
      </c>
      <c r="BC342" s="1">
        <v>402.0</v>
      </c>
      <c r="BD342" s="1" t="s">
        <v>74</v>
      </c>
      <c r="BE342" s="1" t="s">
        <v>3640</v>
      </c>
      <c r="BF342" s="2" t="str">
        <f>HYPERLINK("http://dx.doi.org/10.1111/jtxs.12184","http://dx.doi.org/10.1111/jtxs.12184")</f>
        <v>http://dx.doi.org/10.1111/jtxs.12184</v>
      </c>
      <c r="BG342" s="1" t="s">
        <v>74</v>
      </c>
      <c r="BH342" s="1" t="s">
        <v>74</v>
      </c>
      <c r="BI342" s="1" t="s">
        <v>74</v>
      </c>
      <c r="BJ342" s="1" t="s">
        <v>74</v>
      </c>
      <c r="BK342" s="1" t="s">
        <v>74</v>
      </c>
      <c r="BL342" s="1" t="s">
        <v>74</v>
      </c>
      <c r="BM342" s="1" t="s">
        <v>74</v>
      </c>
      <c r="BN342" s="1" t="s">
        <v>74</v>
      </c>
      <c r="BO342" s="1" t="s">
        <v>74</v>
      </c>
      <c r="BP342" s="1" t="s">
        <v>74</v>
      </c>
      <c r="BQ342" s="1" t="s">
        <v>74</v>
      </c>
      <c r="BR342" s="1" t="s">
        <v>74</v>
      </c>
      <c r="BS342" s="1" t="s">
        <v>3641</v>
      </c>
      <c r="BT342" s="1" t="str">
        <f>HYPERLINK("https%3A%2F%2Fwww.webofscience.com%2Fwos%2Fwoscc%2Ffull-record%2FWOS:000385410800002","View Full Record in Web of Science")</f>
        <v>View Full Record in Web of Science</v>
      </c>
    </row>
    <row r="343" ht="12.75" customHeight="1">
      <c r="A343" s="1" t="s">
        <v>72</v>
      </c>
      <c r="B343" s="1" t="s">
        <v>3642</v>
      </c>
      <c r="C343" s="1" t="s">
        <v>74</v>
      </c>
      <c r="D343" s="1" t="s">
        <v>74</v>
      </c>
      <c r="E343" s="1" t="s">
        <v>74</v>
      </c>
      <c r="F343" s="1" t="s">
        <v>3643</v>
      </c>
      <c r="G343" s="1" t="s">
        <v>74</v>
      </c>
      <c r="H343" s="1" t="s">
        <v>74</v>
      </c>
      <c r="I343" s="1" t="s">
        <v>3644</v>
      </c>
      <c r="J343" s="1" t="s">
        <v>77</v>
      </c>
      <c r="K343" s="1" t="s">
        <v>74</v>
      </c>
      <c r="L343" s="1" t="s">
        <v>74</v>
      </c>
      <c r="M343" s="1" t="s">
        <v>74</v>
      </c>
      <c r="N343" s="1" t="s">
        <v>74</v>
      </c>
      <c r="O343" s="1" t="s">
        <v>74</v>
      </c>
      <c r="P343" s="1" t="s">
        <v>74</v>
      </c>
      <c r="Q343" s="1" t="s">
        <v>74</v>
      </c>
      <c r="R343" s="1" t="s">
        <v>74</v>
      </c>
      <c r="S343" s="1" t="s">
        <v>74</v>
      </c>
      <c r="T343" s="1" t="s">
        <v>74</v>
      </c>
      <c r="U343" s="1" t="s">
        <v>74</v>
      </c>
      <c r="V343" s="1" t="s">
        <v>3645</v>
      </c>
      <c r="W343" s="1" t="s">
        <v>74</v>
      </c>
      <c r="X343" s="1" t="s">
        <v>74</v>
      </c>
      <c r="Y343" s="1" t="s">
        <v>74</v>
      </c>
      <c r="Z343" s="1" t="s">
        <v>74</v>
      </c>
      <c r="AA343" s="1" t="s">
        <v>3646</v>
      </c>
      <c r="AB343" s="1" t="s">
        <v>3647</v>
      </c>
      <c r="AC343" s="1" t="s">
        <v>74</v>
      </c>
      <c r="AD343" s="1" t="s">
        <v>74</v>
      </c>
      <c r="AE343" s="1" t="s">
        <v>74</v>
      </c>
      <c r="AF343" s="1" t="s">
        <v>74</v>
      </c>
      <c r="AG343" s="1" t="s">
        <v>74</v>
      </c>
      <c r="AH343" s="1" t="s">
        <v>74</v>
      </c>
      <c r="AI343" s="1" t="s">
        <v>74</v>
      </c>
      <c r="AJ343" s="1" t="s">
        <v>74</v>
      </c>
      <c r="AK343" s="1" t="s">
        <v>74</v>
      </c>
      <c r="AL343" s="1" t="s">
        <v>74</v>
      </c>
      <c r="AM343" s="1" t="s">
        <v>74</v>
      </c>
      <c r="AN343" s="1" t="s">
        <v>74</v>
      </c>
      <c r="AO343" s="1" t="s">
        <v>81</v>
      </c>
      <c r="AP343" s="1" t="s">
        <v>74</v>
      </c>
      <c r="AQ343" s="1" t="s">
        <v>74</v>
      </c>
      <c r="AR343" s="1" t="s">
        <v>74</v>
      </c>
      <c r="AS343" s="1" t="s">
        <v>74</v>
      </c>
      <c r="AT343" s="1" t="s">
        <v>3648</v>
      </c>
      <c r="AU343" s="1">
        <v>2016.0</v>
      </c>
      <c r="AV343" s="1">
        <v>11.0</v>
      </c>
      <c r="AW343" s="1">
        <v>1.0</v>
      </c>
      <c r="AX343" s="1" t="s">
        <v>74</v>
      </c>
      <c r="AY343" s="1" t="s">
        <v>74</v>
      </c>
      <c r="AZ343" s="1" t="s">
        <v>74</v>
      </c>
      <c r="BA343" s="1" t="s">
        <v>74</v>
      </c>
      <c r="BB343" s="1" t="s">
        <v>74</v>
      </c>
      <c r="BC343" s="1" t="s">
        <v>74</v>
      </c>
      <c r="BD343" s="1" t="s">
        <v>3649</v>
      </c>
      <c r="BE343" s="1" t="s">
        <v>3650</v>
      </c>
      <c r="BF343" s="2" t="str">
        <f>HYPERLINK("http://dx.doi.org/10.1371/journal.pone.0147047","http://dx.doi.org/10.1371/journal.pone.0147047")</f>
        <v>http://dx.doi.org/10.1371/journal.pone.0147047</v>
      </c>
      <c r="BG343" s="1" t="s">
        <v>74</v>
      </c>
      <c r="BH343" s="1" t="s">
        <v>74</v>
      </c>
      <c r="BI343" s="1" t="s">
        <v>74</v>
      </c>
      <c r="BJ343" s="1" t="s">
        <v>74</v>
      </c>
      <c r="BK343" s="1" t="s">
        <v>74</v>
      </c>
      <c r="BL343" s="1" t="s">
        <v>74</v>
      </c>
      <c r="BM343" s="1" t="s">
        <v>74</v>
      </c>
      <c r="BN343" s="1">
        <v>2.6751579E7</v>
      </c>
      <c r="BO343" s="1" t="s">
        <v>74</v>
      </c>
      <c r="BP343" s="1" t="s">
        <v>74</v>
      </c>
      <c r="BQ343" s="1" t="s">
        <v>74</v>
      </c>
      <c r="BR343" s="1" t="s">
        <v>74</v>
      </c>
      <c r="BS343" s="1" t="s">
        <v>3651</v>
      </c>
      <c r="BT343" s="1" t="str">
        <f>HYPERLINK("https%3A%2F%2Fwww.webofscience.com%2Fwos%2Fwoscc%2Ffull-record%2FWOS:000367888100190","View Full Record in Web of Science")</f>
        <v>View Full Record in Web of Science</v>
      </c>
    </row>
    <row r="344" ht="12.75" customHeight="1">
      <c r="A344" s="1" t="s">
        <v>72</v>
      </c>
      <c r="B344" s="1" t="s">
        <v>3652</v>
      </c>
      <c r="C344" s="1" t="s">
        <v>74</v>
      </c>
      <c r="D344" s="1" t="s">
        <v>74</v>
      </c>
      <c r="E344" s="1" t="s">
        <v>74</v>
      </c>
      <c r="F344" s="1" t="s">
        <v>3653</v>
      </c>
      <c r="G344" s="1" t="s">
        <v>74</v>
      </c>
      <c r="H344" s="1" t="s">
        <v>74</v>
      </c>
      <c r="I344" s="1" t="s">
        <v>3654</v>
      </c>
      <c r="J344" s="1" t="s">
        <v>847</v>
      </c>
      <c r="K344" s="1" t="s">
        <v>74</v>
      </c>
      <c r="L344" s="1" t="s">
        <v>74</v>
      </c>
      <c r="M344" s="1" t="s">
        <v>74</v>
      </c>
      <c r="N344" s="1" t="s">
        <v>74</v>
      </c>
      <c r="O344" s="1" t="s">
        <v>74</v>
      </c>
      <c r="P344" s="1" t="s">
        <v>74</v>
      </c>
      <c r="Q344" s="1" t="s">
        <v>74</v>
      </c>
      <c r="R344" s="1" t="s">
        <v>74</v>
      </c>
      <c r="S344" s="1" t="s">
        <v>74</v>
      </c>
      <c r="T344" s="1" t="s">
        <v>74</v>
      </c>
      <c r="U344" s="1" t="s">
        <v>74</v>
      </c>
      <c r="V344" s="1" t="s">
        <v>3655</v>
      </c>
      <c r="W344" s="1" t="s">
        <v>74</v>
      </c>
      <c r="X344" s="1" t="s">
        <v>74</v>
      </c>
      <c r="Y344" s="1" t="s">
        <v>74</v>
      </c>
      <c r="Z344" s="1" t="s">
        <v>74</v>
      </c>
      <c r="AA344" s="1" t="s">
        <v>3656</v>
      </c>
      <c r="AB344" s="1" t="s">
        <v>3657</v>
      </c>
      <c r="AC344" s="1" t="s">
        <v>74</v>
      </c>
      <c r="AD344" s="1" t="s">
        <v>74</v>
      </c>
      <c r="AE344" s="1" t="s">
        <v>74</v>
      </c>
      <c r="AF344" s="1" t="s">
        <v>74</v>
      </c>
      <c r="AG344" s="1" t="s">
        <v>74</v>
      </c>
      <c r="AH344" s="1" t="s">
        <v>74</v>
      </c>
      <c r="AI344" s="1" t="s">
        <v>74</v>
      </c>
      <c r="AJ344" s="1" t="s">
        <v>74</v>
      </c>
      <c r="AK344" s="1" t="s">
        <v>74</v>
      </c>
      <c r="AL344" s="1" t="s">
        <v>74</v>
      </c>
      <c r="AM344" s="1" t="s">
        <v>74</v>
      </c>
      <c r="AN344" s="1" t="s">
        <v>74</v>
      </c>
      <c r="AO344" s="1" t="s">
        <v>851</v>
      </c>
      <c r="AP344" s="1" t="s">
        <v>852</v>
      </c>
      <c r="AQ344" s="1" t="s">
        <v>74</v>
      </c>
      <c r="AR344" s="1" t="s">
        <v>74</v>
      </c>
      <c r="AS344" s="1" t="s">
        <v>74</v>
      </c>
      <c r="AT344" s="1" t="s">
        <v>3308</v>
      </c>
      <c r="AU344" s="1">
        <v>2015.0</v>
      </c>
      <c r="AV344" s="1">
        <v>391.0</v>
      </c>
      <c r="AW344" s="1" t="s">
        <v>74</v>
      </c>
      <c r="AX344" s="1" t="s">
        <v>74</v>
      </c>
      <c r="AY344" s="1" t="s">
        <v>74</v>
      </c>
      <c r="AZ344" s="1" t="s">
        <v>74</v>
      </c>
      <c r="BA344" s="1" t="s">
        <v>74</v>
      </c>
      <c r="BB344" s="1">
        <v>179.0</v>
      </c>
      <c r="BC344" s="1">
        <v>183.0</v>
      </c>
      <c r="BD344" s="1" t="s">
        <v>74</v>
      </c>
      <c r="BE344" s="1" t="s">
        <v>74</v>
      </c>
      <c r="BF344" s="1" t="s">
        <v>74</v>
      </c>
      <c r="BG344" s="1" t="s">
        <v>74</v>
      </c>
      <c r="BH344" s="1" t="s">
        <v>74</v>
      </c>
      <c r="BI344" s="1" t="s">
        <v>74</v>
      </c>
      <c r="BJ344" s="1" t="s">
        <v>74</v>
      </c>
      <c r="BK344" s="1" t="s">
        <v>74</v>
      </c>
      <c r="BL344" s="1" t="s">
        <v>74</v>
      </c>
      <c r="BM344" s="1" t="s">
        <v>74</v>
      </c>
      <c r="BN344" s="1" t="s">
        <v>74</v>
      </c>
      <c r="BO344" s="1" t="s">
        <v>74</v>
      </c>
      <c r="BP344" s="1" t="s">
        <v>74</v>
      </c>
      <c r="BQ344" s="1" t="s">
        <v>74</v>
      </c>
      <c r="BR344" s="1" t="s">
        <v>74</v>
      </c>
      <c r="BS344" s="1" t="s">
        <v>3658</v>
      </c>
      <c r="BT344" s="1" t="str">
        <f>HYPERLINK("https%3A%2F%2Fwww.webofscience.com%2Fwos%2Fwoscc%2Ffull-record%2FWOS:000355260900029","View Full Record in Web of Science")</f>
        <v>View Full Record in Web of Science</v>
      </c>
    </row>
    <row r="345" ht="12.75" customHeight="1">
      <c r="A345" s="1" t="s">
        <v>72</v>
      </c>
      <c r="B345" s="1" t="s">
        <v>3659</v>
      </c>
      <c r="C345" s="1" t="s">
        <v>74</v>
      </c>
      <c r="D345" s="1" t="s">
        <v>74</v>
      </c>
      <c r="E345" s="1" t="s">
        <v>74</v>
      </c>
      <c r="F345" s="1" t="s">
        <v>3660</v>
      </c>
      <c r="G345" s="1" t="s">
        <v>74</v>
      </c>
      <c r="H345" s="1" t="s">
        <v>74</v>
      </c>
      <c r="I345" s="1" t="s">
        <v>3661</v>
      </c>
      <c r="J345" s="1" t="s">
        <v>3662</v>
      </c>
      <c r="K345" s="1" t="s">
        <v>74</v>
      </c>
      <c r="L345" s="1" t="s">
        <v>74</v>
      </c>
      <c r="M345" s="1" t="s">
        <v>74</v>
      </c>
      <c r="N345" s="1" t="s">
        <v>74</v>
      </c>
      <c r="O345" s="1" t="s">
        <v>74</v>
      </c>
      <c r="P345" s="1" t="s">
        <v>74</v>
      </c>
      <c r="Q345" s="1" t="s">
        <v>74</v>
      </c>
      <c r="R345" s="1" t="s">
        <v>74</v>
      </c>
      <c r="S345" s="1" t="s">
        <v>74</v>
      </c>
      <c r="T345" s="1" t="s">
        <v>74</v>
      </c>
      <c r="U345" s="1" t="s">
        <v>74</v>
      </c>
      <c r="V345" s="1" t="s">
        <v>3663</v>
      </c>
      <c r="W345" s="1" t="s">
        <v>74</v>
      </c>
      <c r="X345" s="1" t="s">
        <v>74</v>
      </c>
      <c r="Y345" s="1" t="s">
        <v>74</v>
      </c>
      <c r="Z345" s="1" t="s">
        <v>74</v>
      </c>
      <c r="AA345" s="1" t="s">
        <v>3664</v>
      </c>
      <c r="AB345" s="1" t="s">
        <v>74</v>
      </c>
      <c r="AC345" s="1" t="s">
        <v>74</v>
      </c>
      <c r="AD345" s="1" t="s">
        <v>74</v>
      </c>
      <c r="AE345" s="1" t="s">
        <v>74</v>
      </c>
      <c r="AF345" s="1" t="s">
        <v>74</v>
      </c>
      <c r="AG345" s="1" t="s">
        <v>74</v>
      </c>
      <c r="AH345" s="1" t="s">
        <v>74</v>
      </c>
      <c r="AI345" s="1" t="s">
        <v>74</v>
      </c>
      <c r="AJ345" s="1" t="s">
        <v>74</v>
      </c>
      <c r="AK345" s="1" t="s">
        <v>74</v>
      </c>
      <c r="AL345" s="1" t="s">
        <v>74</v>
      </c>
      <c r="AM345" s="1" t="s">
        <v>74</v>
      </c>
      <c r="AN345" s="1" t="s">
        <v>74</v>
      </c>
      <c r="AO345" s="1" t="s">
        <v>3665</v>
      </c>
      <c r="AP345" s="1" t="s">
        <v>3666</v>
      </c>
      <c r="AQ345" s="1" t="s">
        <v>74</v>
      </c>
      <c r="AR345" s="1" t="s">
        <v>74</v>
      </c>
      <c r="AS345" s="1" t="s">
        <v>74</v>
      </c>
      <c r="AT345" s="1" t="s">
        <v>74</v>
      </c>
      <c r="AU345" s="1">
        <v>2015.0</v>
      </c>
      <c r="AV345" s="1">
        <v>15.0</v>
      </c>
      <c r="AW345" s="1">
        <v>4.0</v>
      </c>
      <c r="AX345" s="1" t="s">
        <v>74</v>
      </c>
      <c r="AY345" s="1" t="s">
        <v>74</v>
      </c>
      <c r="AZ345" s="1" t="s">
        <v>74</v>
      </c>
      <c r="BA345" s="1" t="s">
        <v>74</v>
      </c>
      <c r="BB345" s="1">
        <v>1061.0</v>
      </c>
      <c r="BC345" s="1">
        <v>1070.0</v>
      </c>
      <c r="BD345" s="1" t="s">
        <v>74</v>
      </c>
      <c r="BE345" s="1" t="s">
        <v>74</v>
      </c>
      <c r="BF345" s="1" t="s">
        <v>74</v>
      </c>
      <c r="BG345" s="1" t="s">
        <v>74</v>
      </c>
      <c r="BH345" s="1" t="s">
        <v>74</v>
      </c>
      <c r="BI345" s="1" t="s">
        <v>74</v>
      </c>
      <c r="BJ345" s="1" t="s">
        <v>74</v>
      </c>
      <c r="BK345" s="1" t="s">
        <v>74</v>
      </c>
      <c r="BL345" s="1" t="s">
        <v>74</v>
      </c>
      <c r="BM345" s="1" t="s">
        <v>74</v>
      </c>
      <c r="BN345" s="1" t="s">
        <v>74</v>
      </c>
      <c r="BO345" s="1" t="s">
        <v>74</v>
      </c>
      <c r="BP345" s="1" t="s">
        <v>74</v>
      </c>
      <c r="BQ345" s="1" t="s">
        <v>74</v>
      </c>
      <c r="BR345" s="1" t="s">
        <v>74</v>
      </c>
      <c r="BS345" s="1" t="s">
        <v>3667</v>
      </c>
      <c r="BT345" s="1" t="str">
        <f>HYPERLINK("https%3A%2F%2Fwww.webofscience.com%2Fwos%2Fwoscc%2Ffull-record%2FWOS:000374767800019","View Full Record in Web of Science")</f>
        <v>View Full Record in Web of Science</v>
      </c>
    </row>
    <row r="346" ht="12.75" customHeight="1">
      <c r="A346" s="1" t="s">
        <v>72</v>
      </c>
      <c r="B346" s="1" t="s">
        <v>3668</v>
      </c>
      <c r="C346" s="1" t="s">
        <v>74</v>
      </c>
      <c r="D346" s="1" t="s">
        <v>74</v>
      </c>
      <c r="E346" s="1" t="s">
        <v>74</v>
      </c>
      <c r="F346" s="1" t="s">
        <v>3669</v>
      </c>
      <c r="G346" s="1" t="s">
        <v>74</v>
      </c>
      <c r="H346" s="1" t="s">
        <v>74</v>
      </c>
      <c r="I346" s="1" t="s">
        <v>3670</v>
      </c>
      <c r="J346" s="1" t="s">
        <v>3671</v>
      </c>
      <c r="K346" s="1" t="s">
        <v>74</v>
      </c>
      <c r="L346" s="1" t="s">
        <v>74</v>
      </c>
      <c r="M346" s="1" t="s">
        <v>74</v>
      </c>
      <c r="N346" s="1" t="s">
        <v>74</v>
      </c>
      <c r="O346" s="1" t="s">
        <v>74</v>
      </c>
      <c r="P346" s="1" t="s">
        <v>74</v>
      </c>
      <c r="Q346" s="1" t="s">
        <v>74</v>
      </c>
      <c r="R346" s="1" t="s">
        <v>74</v>
      </c>
      <c r="S346" s="1" t="s">
        <v>74</v>
      </c>
      <c r="T346" s="1" t="s">
        <v>74</v>
      </c>
      <c r="U346" s="1" t="s">
        <v>74</v>
      </c>
      <c r="V346" s="1" t="s">
        <v>3672</v>
      </c>
      <c r="W346" s="1" t="s">
        <v>74</v>
      </c>
      <c r="X346" s="1" t="s">
        <v>74</v>
      </c>
      <c r="Y346" s="1" t="s">
        <v>74</v>
      </c>
      <c r="Z346" s="1" t="s">
        <v>74</v>
      </c>
      <c r="AA346" s="1" t="s">
        <v>386</v>
      </c>
      <c r="AB346" s="1" t="s">
        <v>3673</v>
      </c>
      <c r="AC346" s="1" t="s">
        <v>74</v>
      </c>
      <c r="AD346" s="1" t="s">
        <v>74</v>
      </c>
      <c r="AE346" s="1" t="s">
        <v>74</v>
      </c>
      <c r="AF346" s="1" t="s">
        <v>74</v>
      </c>
      <c r="AG346" s="1" t="s">
        <v>74</v>
      </c>
      <c r="AH346" s="1" t="s">
        <v>74</v>
      </c>
      <c r="AI346" s="1" t="s">
        <v>74</v>
      </c>
      <c r="AJ346" s="1" t="s">
        <v>74</v>
      </c>
      <c r="AK346" s="1" t="s">
        <v>74</v>
      </c>
      <c r="AL346" s="1" t="s">
        <v>74</v>
      </c>
      <c r="AM346" s="1" t="s">
        <v>74</v>
      </c>
      <c r="AN346" s="1" t="s">
        <v>74</v>
      </c>
      <c r="AO346" s="1" t="s">
        <v>3674</v>
      </c>
      <c r="AP346" s="1" t="s">
        <v>3675</v>
      </c>
      <c r="AQ346" s="1" t="s">
        <v>74</v>
      </c>
      <c r="AR346" s="1" t="s">
        <v>74</v>
      </c>
      <c r="AS346" s="1" t="s">
        <v>74</v>
      </c>
      <c r="AT346" s="1" t="s">
        <v>307</v>
      </c>
      <c r="AU346" s="1">
        <v>2014.0</v>
      </c>
      <c r="AV346" s="1">
        <v>49.0</v>
      </c>
      <c r="AW346" s="1">
        <v>12.0</v>
      </c>
      <c r="AX346" s="1" t="s">
        <v>74</v>
      </c>
      <c r="AY346" s="1" t="s">
        <v>74</v>
      </c>
      <c r="AZ346" s="1" t="s">
        <v>74</v>
      </c>
      <c r="BA346" s="1" t="s">
        <v>74</v>
      </c>
      <c r="BB346" s="1">
        <v>2220.0</v>
      </c>
      <c r="BC346" s="1">
        <v>2227.0</v>
      </c>
      <c r="BD346" s="1" t="s">
        <v>74</v>
      </c>
      <c r="BE346" s="1" t="s">
        <v>3676</v>
      </c>
      <c r="BF346" s="2" t="str">
        <f>HYPERLINK("http://dx.doi.org/10.1016/j.procbio.2014.09.011","http://dx.doi.org/10.1016/j.procbio.2014.09.011")</f>
        <v>http://dx.doi.org/10.1016/j.procbio.2014.09.011</v>
      </c>
      <c r="BG346" s="1" t="s">
        <v>74</v>
      </c>
      <c r="BH346" s="1" t="s">
        <v>74</v>
      </c>
      <c r="BI346" s="1" t="s">
        <v>74</v>
      </c>
      <c r="BJ346" s="1" t="s">
        <v>74</v>
      </c>
      <c r="BK346" s="1" t="s">
        <v>74</v>
      </c>
      <c r="BL346" s="1" t="s">
        <v>74</v>
      </c>
      <c r="BM346" s="1" t="s">
        <v>74</v>
      </c>
      <c r="BN346" s="1" t="s">
        <v>74</v>
      </c>
      <c r="BO346" s="1" t="s">
        <v>74</v>
      </c>
      <c r="BP346" s="1" t="s">
        <v>74</v>
      </c>
      <c r="BQ346" s="1" t="s">
        <v>74</v>
      </c>
      <c r="BR346" s="1" t="s">
        <v>74</v>
      </c>
      <c r="BS346" s="1" t="s">
        <v>3677</v>
      </c>
      <c r="BT346" s="1" t="str">
        <f>HYPERLINK("https%3A%2F%2Fwww.webofscience.com%2Fwos%2Fwoscc%2Ffull-record%2FWOS:000347761100027","View Full Record in Web of Science")</f>
        <v>View Full Record in Web of Science</v>
      </c>
    </row>
    <row r="347" ht="12.75" customHeight="1">
      <c r="A347" s="1" t="s">
        <v>72</v>
      </c>
      <c r="B347" s="1" t="s">
        <v>3678</v>
      </c>
      <c r="C347" s="1" t="s">
        <v>74</v>
      </c>
      <c r="D347" s="1" t="s">
        <v>74</v>
      </c>
      <c r="E347" s="1" t="s">
        <v>74</v>
      </c>
      <c r="F347" s="1" t="s">
        <v>3679</v>
      </c>
      <c r="G347" s="1" t="s">
        <v>74</v>
      </c>
      <c r="H347" s="1" t="s">
        <v>74</v>
      </c>
      <c r="I347" s="1" t="s">
        <v>3680</v>
      </c>
      <c r="J347" s="1" t="s">
        <v>3681</v>
      </c>
      <c r="K347" s="1" t="s">
        <v>74</v>
      </c>
      <c r="L347" s="1" t="s">
        <v>74</v>
      </c>
      <c r="M347" s="1" t="s">
        <v>74</v>
      </c>
      <c r="N347" s="1" t="s">
        <v>74</v>
      </c>
      <c r="O347" s="1" t="s">
        <v>74</v>
      </c>
      <c r="P347" s="1" t="s">
        <v>74</v>
      </c>
      <c r="Q347" s="1" t="s">
        <v>74</v>
      </c>
      <c r="R347" s="1" t="s">
        <v>74</v>
      </c>
      <c r="S347" s="1" t="s">
        <v>74</v>
      </c>
      <c r="T347" s="1" t="s">
        <v>74</v>
      </c>
      <c r="U347" s="1" t="s">
        <v>74</v>
      </c>
      <c r="V347" s="1" t="s">
        <v>3682</v>
      </c>
      <c r="W347" s="1" t="s">
        <v>74</v>
      </c>
      <c r="X347" s="1" t="s">
        <v>74</v>
      </c>
      <c r="Y347" s="1" t="s">
        <v>74</v>
      </c>
      <c r="Z347" s="1" t="s">
        <v>74</v>
      </c>
      <c r="AA347" s="1" t="s">
        <v>3683</v>
      </c>
      <c r="AB347" s="1" t="s">
        <v>3684</v>
      </c>
      <c r="AC347" s="1" t="s">
        <v>74</v>
      </c>
      <c r="AD347" s="1" t="s">
        <v>74</v>
      </c>
      <c r="AE347" s="1" t="s">
        <v>74</v>
      </c>
      <c r="AF347" s="1" t="s">
        <v>74</v>
      </c>
      <c r="AG347" s="1" t="s">
        <v>74</v>
      </c>
      <c r="AH347" s="1" t="s">
        <v>74</v>
      </c>
      <c r="AI347" s="1" t="s">
        <v>74</v>
      </c>
      <c r="AJ347" s="1" t="s">
        <v>74</v>
      </c>
      <c r="AK347" s="1" t="s">
        <v>74</v>
      </c>
      <c r="AL347" s="1" t="s">
        <v>74</v>
      </c>
      <c r="AM347" s="1" t="s">
        <v>74</v>
      </c>
      <c r="AN347" s="1" t="s">
        <v>74</v>
      </c>
      <c r="AO347" s="1" t="s">
        <v>3685</v>
      </c>
      <c r="AP347" s="1" t="s">
        <v>3686</v>
      </c>
      <c r="AQ347" s="1" t="s">
        <v>74</v>
      </c>
      <c r="AR347" s="1" t="s">
        <v>74</v>
      </c>
      <c r="AS347" s="1" t="s">
        <v>74</v>
      </c>
      <c r="AT347" s="1" t="s">
        <v>537</v>
      </c>
      <c r="AU347" s="1">
        <v>2014.0</v>
      </c>
      <c r="AV347" s="1">
        <v>109.0</v>
      </c>
      <c r="AW347" s="1" t="s">
        <v>74</v>
      </c>
      <c r="AX347" s="1" t="s">
        <v>74</v>
      </c>
      <c r="AY347" s="1" t="s">
        <v>74</v>
      </c>
      <c r="AZ347" s="1" t="s">
        <v>1416</v>
      </c>
      <c r="BA347" s="1" t="s">
        <v>74</v>
      </c>
      <c r="BB347" s="1">
        <v>106.0</v>
      </c>
      <c r="BC347" s="1">
        <v>114.0</v>
      </c>
      <c r="BD347" s="1" t="s">
        <v>74</v>
      </c>
      <c r="BE347" s="1" t="s">
        <v>3687</v>
      </c>
      <c r="BF347" s="2" t="str">
        <f>HYPERLINK("http://dx.doi.org/10.1016/j.polymdegradstab.2014.06.020","http://dx.doi.org/10.1016/j.polymdegradstab.2014.06.020")</f>
        <v>http://dx.doi.org/10.1016/j.polymdegradstab.2014.06.020</v>
      </c>
      <c r="BG347" s="1" t="s">
        <v>74</v>
      </c>
      <c r="BH347" s="1" t="s">
        <v>74</v>
      </c>
      <c r="BI347" s="1" t="s">
        <v>74</v>
      </c>
      <c r="BJ347" s="1" t="s">
        <v>74</v>
      </c>
      <c r="BK347" s="1" t="s">
        <v>74</v>
      </c>
      <c r="BL347" s="1" t="s">
        <v>74</v>
      </c>
      <c r="BM347" s="1" t="s">
        <v>74</v>
      </c>
      <c r="BN347" s="1" t="s">
        <v>74</v>
      </c>
      <c r="BO347" s="1" t="s">
        <v>74</v>
      </c>
      <c r="BP347" s="1" t="s">
        <v>74</v>
      </c>
      <c r="BQ347" s="1" t="s">
        <v>74</v>
      </c>
      <c r="BR347" s="1" t="s">
        <v>74</v>
      </c>
      <c r="BS347" s="1" t="s">
        <v>3688</v>
      </c>
      <c r="BT347" s="1" t="str">
        <f>HYPERLINK("https%3A%2F%2Fwww.webofscience.com%2Fwos%2Fwoscc%2Ffull-record%2FWOS:000345472900014","View Full Record in Web of Science")</f>
        <v>View Full Record in Web of Science</v>
      </c>
    </row>
    <row r="348" ht="12.75" customHeight="1">
      <c r="A348" s="1" t="s">
        <v>72</v>
      </c>
      <c r="B348" s="1" t="s">
        <v>2236</v>
      </c>
      <c r="C348" s="1" t="s">
        <v>74</v>
      </c>
      <c r="D348" s="1" t="s">
        <v>74</v>
      </c>
      <c r="E348" s="1" t="s">
        <v>74</v>
      </c>
      <c r="F348" s="1" t="s">
        <v>2237</v>
      </c>
      <c r="G348" s="1" t="s">
        <v>74</v>
      </c>
      <c r="H348" s="1" t="s">
        <v>74</v>
      </c>
      <c r="I348" s="1" t="s">
        <v>3689</v>
      </c>
      <c r="J348" s="1" t="s">
        <v>3690</v>
      </c>
      <c r="K348" s="1" t="s">
        <v>74</v>
      </c>
      <c r="L348" s="1" t="s">
        <v>74</v>
      </c>
      <c r="M348" s="1" t="s">
        <v>74</v>
      </c>
      <c r="N348" s="1" t="s">
        <v>74</v>
      </c>
      <c r="O348" s="1" t="s">
        <v>74</v>
      </c>
      <c r="P348" s="1" t="s">
        <v>74</v>
      </c>
      <c r="Q348" s="1" t="s">
        <v>74</v>
      </c>
      <c r="R348" s="1" t="s">
        <v>74</v>
      </c>
      <c r="S348" s="1" t="s">
        <v>74</v>
      </c>
      <c r="T348" s="1" t="s">
        <v>74</v>
      </c>
      <c r="U348" s="1" t="s">
        <v>74</v>
      </c>
      <c r="V348" s="1" t="s">
        <v>3691</v>
      </c>
      <c r="W348" s="1" t="s">
        <v>74</v>
      </c>
      <c r="X348" s="1" t="s">
        <v>74</v>
      </c>
      <c r="Y348" s="1" t="s">
        <v>74</v>
      </c>
      <c r="Z348" s="1" t="s">
        <v>74</v>
      </c>
      <c r="AA348" s="1" t="s">
        <v>2240</v>
      </c>
      <c r="AB348" s="1" t="s">
        <v>74</v>
      </c>
      <c r="AC348" s="1" t="s">
        <v>74</v>
      </c>
      <c r="AD348" s="1" t="s">
        <v>74</v>
      </c>
      <c r="AE348" s="1" t="s">
        <v>74</v>
      </c>
      <c r="AF348" s="1" t="s">
        <v>74</v>
      </c>
      <c r="AG348" s="1" t="s">
        <v>74</v>
      </c>
      <c r="AH348" s="1" t="s">
        <v>74</v>
      </c>
      <c r="AI348" s="1" t="s">
        <v>74</v>
      </c>
      <c r="AJ348" s="1" t="s">
        <v>74</v>
      </c>
      <c r="AK348" s="1" t="s">
        <v>74</v>
      </c>
      <c r="AL348" s="1" t="s">
        <v>74</v>
      </c>
      <c r="AM348" s="1" t="s">
        <v>74</v>
      </c>
      <c r="AN348" s="1" t="s">
        <v>74</v>
      </c>
      <c r="AO348" s="1" t="s">
        <v>3692</v>
      </c>
      <c r="AP348" s="1" t="s">
        <v>3693</v>
      </c>
      <c r="AQ348" s="1" t="s">
        <v>74</v>
      </c>
      <c r="AR348" s="1" t="s">
        <v>74</v>
      </c>
      <c r="AS348" s="1" t="s">
        <v>74</v>
      </c>
      <c r="AT348" s="1" t="s">
        <v>307</v>
      </c>
      <c r="AU348" s="1">
        <v>2013.0</v>
      </c>
      <c r="AV348" s="1">
        <v>11.0</v>
      </c>
      <c r="AW348" s="1">
        <v>12.0</v>
      </c>
      <c r="AX348" s="1" t="s">
        <v>74</v>
      </c>
      <c r="AY348" s="1" t="s">
        <v>74</v>
      </c>
      <c r="AZ348" s="1" t="s">
        <v>74</v>
      </c>
      <c r="BA348" s="1" t="s">
        <v>74</v>
      </c>
      <c r="BB348" s="1">
        <v>1638.0</v>
      </c>
      <c r="BC348" s="1">
        <v>1644.0</v>
      </c>
      <c r="BD348" s="1" t="s">
        <v>74</v>
      </c>
      <c r="BE348" s="1" t="s">
        <v>3694</v>
      </c>
      <c r="BF348" s="2" t="str">
        <f>HYPERLINK("http://dx.doi.org/10.2478/s11534-013-0281-6","http://dx.doi.org/10.2478/s11534-013-0281-6")</f>
        <v>http://dx.doi.org/10.2478/s11534-013-0281-6</v>
      </c>
      <c r="BG348" s="1" t="s">
        <v>74</v>
      </c>
      <c r="BH348" s="1" t="s">
        <v>74</v>
      </c>
      <c r="BI348" s="1" t="s">
        <v>74</v>
      </c>
      <c r="BJ348" s="1" t="s">
        <v>74</v>
      </c>
      <c r="BK348" s="1" t="s">
        <v>74</v>
      </c>
      <c r="BL348" s="1" t="s">
        <v>74</v>
      </c>
      <c r="BM348" s="1" t="s">
        <v>74</v>
      </c>
      <c r="BN348" s="1" t="s">
        <v>74</v>
      </c>
      <c r="BO348" s="1" t="s">
        <v>74</v>
      </c>
      <c r="BP348" s="1" t="s">
        <v>74</v>
      </c>
      <c r="BQ348" s="1" t="s">
        <v>74</v>
      </c>
      <c r="BR348" s="1" t="s">
        <v>74</v>
      </c>
      <c r="BS348" s="1" t="s">
        <v>3695</v>
      </c>
      <c r="BT348" s="1" t="str">
        <f>HYPERLINK("https%3A%2F%2Fwww.webofscience.com%2Fwos%2Fwoscc%2Ffull-record%2FWOS:000328838400003","View Full Record in Web of Science")</f>
        <v>View Full Record in Web of Science</v>
      </c>
    </row>
    <row r="349" ht="12.75" customHeight="1">
      <c r="A349" s="1" t="s">
        <v>72</v>
      </c>
      <c r="B349" s="1" t="s">
        <v>3696</v>
      </c>
      <c r="C349" s="1" t="s">
        <v>74</v>
      </c>
      <c r="D349" s="1" t="s">
        <v>74</v>
      </c>
      <c r="E349" s="1" t="s">
        <v>74</v>
      </c>
      <c r="F349" s="1" t="s">
        <v>3697</v>
      </c>
      <c r="G349" s="1" t="s">
        <v>74</v>
      </c>
      <c r="H349" s="1" t="s">
        <v>74</v>
      </c>
      <c r="I349" s="1" t="s">
        <v>3698</v>
      </c>
      <c r="J349" s="1" t="s">
        <v>3699</v>
      </c>
      <c r="K349" s="1" t="s">
        <v>74</v>
      </c>
      <c r="L349" s="1" t="s">
        <v>74</v>
      </c>
      <c r="M349" s="1" t="s">
        <v>74</v>
      </c>
      <c r="N349" s="1" t="s">
        <v>74</v>
      </c>
      <c r="O349" s="1" t="s">
        <v>74</v>
      </c>
      <c r="P349" s="1" t="s">
        <v>74</v>
      </c>
      <c r="Q349" s="1" t="s">
        <v>74</v>
      </c>
      <c r="R349" s="1" t="s">
        <v>74</v>
      </c>
      <c r="S349" s="1" t="s">
        <v>74</v>
      </c>
      <c r="T349" s="1" t="s">
        <v>74</v>
      </c>
      <c r="U349" s="1" t="s">
        <v>74</v>
      </c>
      <c r="V349" s="1" t="s">
        <v>74</v>
      </c>
      <c r="W349" s="1" t="s">
        <v>74</v>
      </c>
      <c r="X349" s="1" t="s">
        <v>74</v>
      </c>
      <c r="Y349" s="1" t="s">
        <v>74</v>
      </c>
      <c r="Z349" s="1" t="s">
        <v>74</v>
      </c>
      <c r="AA349" s="1" t="s">
        <v>3700</v>
      </c>
      <c r="AB349" s="1" t="s">
        <v>74</v>
      </c>
      <c r="AC349" s="1" t="s">
        <v>74</v>
      </c>
      <c r="AD349" s="1" t="s">
        <v>74</v>
      </c>
      <c r="AE349" s="1" t="s">
        <v>74</v>
      </c>
      <c r="AF349" s="1" t="s">
        <v>74</v>
      </c>
      <c r="AG349" s="1" t="s">
        <v>74</v>
      </c>
      <c r="AH349" s="1" t="s">
        <v>74</v>
      </c>
      <c r="AI349" s="1" t="s">
        <v>74</v>
      </c>
      <c r="AJ349" s="1" t="s">
        <v>74</v>
      </c>
      <c r="AK349" s="1" t="s">
        <v>74</v>
      </c>
      <c r="AL349" s="1" t="s">
        <v>74</v>
      </c>
      <c r="AM349" s="1" t="s">
        <v>74</v>
      </c>
      <c r="AN349" s="1" t="s">
        <v>74</v>
      </c>
      <c r="AO349" s="1" t="s">
        <v>3701</v>
      </c>
      <c r="AP349" s="1" t="s">
        <v>3702</v>
      </c>
      <c r="AQ349" s="1" t="s">
        <v>74</v>
      </c>
      <c r="AR349" s="1" t="s">
        <v>74</v>
      </c>
      <c r="AS349" s="1" t="s">
        <v>74</v>
      </c>
      <c r="AT349" s="1" t="s">
        <v>212</v>
      </c>
      <c r="AU349" s="1">
        <v>2013.0</v>
      </c>
      <c r="AV349" s="1">
        <v>42.0</v>
      </c>
      <c r="AW349" s="1" t="s">
        <v>74</v>
      </c>
      <c r="AX349" s="1" t="s">
        <v>74</v>
      </c>
      <c r="AY349" s="1">
        <v>57.0</v>
      </c>
      <c r="AZ349" s="1" t="s">
        <v>74</v>
      </c>
      <c r="BA349" s="1">
        <v>2166.0</v>
      </c>
      <c r="BB349" s="1" t="s">
        <v>74</v>
      </c>
      <c r="BC349" s="1" t="s">
        <v>74</v>
      </c>
      <c r="BD349" s="1" t="s">
        <v>74</v>
      </c>
      <c r="BE349" s="1" t="s">
        <v>74</v>
      </c>
      <c r="BF349" s="1" t="s">
        <v>74</v>
      </c>
      <c r="BG349" s="1" t="s">
        <v>74</v>
      </c>
      <c r="BH349" s="1" t="s">
        <v>74</v>
      </c>
      <c r="BI349" s="1" t="s">
        <v>74</v>
      </c>
      <c r="BJ349" s="1" t="s">
        <v>74</v>
      </c>
      <c r="BK349" s="1" t="s">
        <v>74</v>
      </c>
      <c r="BL349" s="1" t="s">
        <v>74</v>
      </c>
      <c r="BM349" s="1" t="s">
        <v>74</v>
      </c>
      <c r="BN349" s="1" t="s">
        <v>74</v>
      </c>
      <c r="BO349" s="1" t="s">
        <v>74</v>
      </c>
      <c r="BP349" s="1" t="s">
        <v>74</v>
      </c>
      <c r="BQ349" s="1" t="s">
        <v>74</v>
      </c>
      <c r="BR349" s="1" t="s">
        <v>74</v>
      </c>
      <c r="BS349" s="1" t="s">
        <v>3703</v>
      </c>
      <c r="BT349" s="1" t="str">
        <f>HYPERLINK("https%3A%2F%2Fwww.webofscience.com%2Fwos%2Fwoscc%2Ffull-record%2FWOS:000209370401239","View Full Record in Web of Science")</f>
        <v>View Full Record in Web of Science</v>
      </c>
    </row>
    <row r="350" ht="12.75" customHeight="1">
      <c r="A350" s="1" t="s">
        <v>72</v>
      </c>
      <c r="B350" s="1" t="s">
        <v>3704</v>
      </c>
      <c r="C350" s="1" t="s">
        <v>74</v>
      </c>
      <c r="D350" s="1" t="s">
        <v>74</v>
      </c>
      <c r="E350" s="1" t="s">
        <v>74</v>
      </c>
      <c r="F350" s="1" t="s">
        <v>3705</v>
      </c>
      <c r="G350" s="1" t="s">
        <v>74</v>
      </c>
      <c r="H350" s="1" t="s">
        <v>74</v>
      </c>
      <c r="I350" s="1" t="s">
        <v>3706</v>
      </c>
      <c r="J350" s="1" t="s">
        <v>2660</v>
      </c>
      <c r="K350" s="1" t="s">
        <v>74</v>
      </c>
      <c r="L350" s="1" t="s">
        <v>74</v>
      </c>
      <c r="M350" s="1" t="s">
        <v>74</v>
      </c>
      <c r="N350" s="1" t="s">
        <v>74</v>
      </c>
      <c r="O350" s="1" t="s">
        <v>74</v>
      </c>
      <c r="P350" s="1" t="s">
        <v>74</v>
      </c>
      <c r="Q350" s="1" t="s">
        <v>74</v>
      </c>
      <c r="R350" s="1" t="s">
        <v>74</v>
      </c>
      <c r="S350" s="1" t="s">
        <v>74</v>
      </c>
      <c r="T350" s="1" t="s">
        <v>74</v>
      </c>
      <c r="U350" s="1" t="s">
        <v>74</v>
      </c>
      <c r="V350" s="1" t="s">
        <v>3707</v>
      </c>
      <c r="W350" s="1" t="s">
        <v>74</v>
      </c>
      <c r="X350" s="1" t="s">
        <v>74</v>
      </c>
      <c r="Y350" s="1" t="s">
        <v>74</v>
      </c>
      <c r="Z350" s="1" t="s">
        <v>74</v>
      </c>
      <c r="AA350" s="1" t="s">
        <v>3708</v>
      </c>
      <c r="AB350" s="1" t="s">
        <v>3709</v>
      </c>
      <c r="AC350" s="1" t="s">
        <v>74</v>
      </c>
      <c r="AD350" s="1" t="s">
        <v>74</v>
      </c>
      <c r="AE350" s="1" t="s">
        <v>74</v>
      </c>
      <c r="AF350" s="1" t="s">
        <v>74</v>
      </c>
      <c r="AG350" s="1" t="s">
        <v>74</v>
      </c>
      <c r="AH350" s="1" t="s">
        <v>74</v>
      </c>
      <c r="AI350" s="1" t="s">
        <v>74</v>
      </c>
      <c r="AJ350" s="1" t="s">
        <v>74</v>
      </c>
      <c r="AK350" s="1" t="s">
        <v>74</v>
      </c>
      <c r="AL350" s="1" t="s">
        <v>74</v>
      </c>
      <c r="AM350" s="1" t="s">
        <v>74</v>
      </c>
      <c r="AN350" s="1" t="s">
        <v>74</v>
      </c>
      <c r="AO350" s="1" t="s">
        <v>2664</v>
      </c>
      <c r="AP350" s="1" t="s">
        <v>2665</v>
      </c>
      <c r="AQ350" s="1" t="s">
        <v>74</v>
      </c>
      <c r="AR350" s="1" t="s">
        <v>74</v>
      </c>
      <c r="AS350" s="1" t="s">
        <v>74</v>
      </c>
      <c r="AT350" s="1" t="s">
        <v>1702</v>
      </c>
      <c r="AU350" s="1">
        <v>2012.0</v>
      </c>
      <c r="AV350" s="1">
        <v>111.0</v>
      </c>
      <c r="AW350" s="1">
        <v>1.0</v>
      </c>
      <c r="AX350" s="1" t="s">
        <v>74</v>
      </c>
      <c r="AY350" s="1" t="s">
        <v>74</v>
      </c>
      <c r="AZ350" s="1" t="s">
        <v>74</v>
      </c>
      <c r="BA350" s="1" t="s">
        <v>74</v>
      </c>
      <c r="BB350" s="1" t="s">
        <v>74</v>
      </c>
      <c r="BC350" s="1" t="s">
        <v>74</v>
      </c>
      <c r="BD350" s="1">
        <v>13916.0</v>
      </c>
      <c r="BE350" s="1" t="s">
        <v>3710</v>
      </c>
      <c r="BF350" s="2" t="str">
        <f>HYPERLINK("http://dx.doi.org/10.1063/1.3676285","http://dx.doi.org/10.1063/1.3676285")</f>
        <v>http://dx.doi.org/10.1063/1.3676285</v>
      </c>
      <c r="BG350" s="1" t="s">
        <v>74</v>
      </c>
      <c r="BH350" s="1" t="s">
        <v>74</v>
      </c>
      <c r="BI350" s="1" t="s">
        <v>74</v>
      </c>
      <c r="BJ350" s="1" t="s">
        <v>74</v>
      </c>
      <c r="BK350" s="1" t="s">
        <v>74</v>
      </c>
      <c r="BL350" s="1" t="s">
        <v>74</v>
      </c>
      <c r="BM350" s="1" t="s">
        <v>74</v>
      </c>
      <c r="BN350" s="1" t="s">
        <v>74</v>
      </c>
      <c r="BO350" s="1" t="s">
        <v>74</v>
      </c>
      <c r="BP350" s="1" t="s">
        <v>74</v>
      </c>
      <c r="BQ350" s="1" t="s">
        <v>74</v>
      </c>
      <c r="BR350" s="1" t="s">
        <v>74</v>
      </c>
      <c r="BS350" s="1" t="s">
        <v>3711</v>
      </c>
      <c r="BT350" s="1" t="str">
        <f>HYPERLINK("https%3A%2F%2Fwww.webofscience.com%2Fwos%2Fwoscc%2Ffull-record%2FWOS:000299127200069","View Full Record in Web of Science")</f>
        <v>View Full Record in Web of Science</v>
      </c>
    </row>
    <row r="351" ht="12.75" customHeight="1">
      <c r="A351" s="1" t="s">
        <v>72</v>
      </c>
      <c r="B351" s="1" t="s">
        <v>3712</v>
      </c>
      <c r="C351" s="1" t="s">
        <v>74</v>
      </c>
      <c r="D351" s="1" t="s">
        <v>74</v>
      </c>
      <c r="E351" s="1" t="s">
        <v>74</v>
      </c>
      <c r="F351" s="1" t="s">
        <v>3713</v>
      </c>
      <c r="G351" s="1" t="s">
        <v>74</v>
      </c>
      <c r="H351" s="1" t="s">
        <v>74</v>
      </c>
      <c r="I351" s="1" t="s">
        <v>3714</v>
      </c>
      <c r="J351" s="1" t="s">
        <v>957</v>
      </c>
      <c r="K351" s="1" t="s">
        <v>74</v>
      </c>
      <c r="L351" s="1" t="s">
        <v>74</v>
      </c>
      <c r="M351" s="1" t="s">
        <v>74</v>
      </c>
      <c r="N351" s="1" t="s">
        <v>74</v>
      </c>
      <c r="O351" s="1" t="s">
        <v>74</v>
      </c>
      <c r="P351" s="1" t="s">
        <v>74</v>
      </c>
      <c r="Q351" s="1" t="s">
        <v>74</v>
      </c>
      <c r="R351" s="1" t="s">
        <v>74</v>
      </c>
      <c r="S351" s="1" t="s">
        <v>74</v>
      </c>
      <c r="T351" s="1" t="s">
        <v>74</v>
      </c>
      <c r="U351" s="1" t="s">
        <v>74</v>
      </c>
      <c r="V351" s="1" t="s">
        <v>3715</v>
      </c>
      <c r="W351" s="1" t="s">
        <v>74</v>
      </c>
      <c r="X351" s="1" t="s">
        <v>74</v>
      </c>
      <c r="Y351" s="1" t="s">
        <v>74</v>
      </c>
      <c r="Z351" s="1" t="s">
        <v>74</v>
      </c>
      <c r="AA351" s="1" t="s">
        <v>74</v>
      </c>
      <c r="AB351" s="1" t="s">
        <v>3716</v>
      </c>
      <c r="AC351" s="1" t="s">
        <v>74</v>
      </c>
      <c r="AD351" s="1" t="s">
        <v>74</v>
      </c>
      <c r="AE351" s="1" t="s">
        <v>74</v>
      </c>
      <c r="AF351" s="1" t="s">
        <v>74</v>
      </c>
      <c r="AG351" s="1" t="s">
        <v>74</v>
      </c>
      <c r="AH351" s="1" t="s">
        <v>74</v>
      </c>
      <c r="AI351" s="1" t="s">
        <v>74</v>
      </c>
      <c r="AJ351" s="1" t="s">
        <v>74</v>
      </c>
      <c r="AK351" s="1" t="s">
        <v>74</v>
      </c>
      <c r="AL351" s="1" t="s">
        <v>74</v>
      </c>
      <c r="AM351" s="1" t="s">
        <v>74</v>
      </c>
      <c r="AN351" s="1" t="s">
        <v>74</v>
      </c>
      <c r="AO351" s="1" t="s">
        <v>960</v>
      </c>
      <c r="AP351" s="1" t="s">
        <v>961</v>
      </c>
      <c r="AQ351" s="1" t="s">
        <v>74</v>
      </c>
      <c r="AR351" s="1" t="s">
        <v>74</v>
      </c>
      <c r="AS351" s="1" t="s">
        <v>74</v>
      </c>
      <c r="AT351" s="1" t="s">
        <v>939</v>
      </c>
      <c r="AU351" s="1">
        <v>2011.0</v>
      </c>
      <c r="AV351" s="1">
        <v>115.0</v>
      </c>
      <c r="AW351" s="1" t="s">
        <v>74</v>
      </c>
      <c r="AX351" s="1" t="s">
        <v>74</v>
      </c>
      <c r="AY351" s="1" t="s">
        <v>74</v>
      </c>
      <c r="AZ351" s="1" t="s">
        <v>74</v>
      </c>
      <c r="BA351" s="1" t="s">
        <v>74</v>
      </c>
      <c r="BB351" s="1">
        <v>293.0</v>
      </c>
      <c r="BC351" s="1">
        <v>342.0</v>
      </c>
      <c r="BD351" s="1" t="s">
        <v>74</v>
      </c>
      <c r="BE351" s="1" t="s">
        <v>3717</v>
      </c>
      <c r="BF351" s="2" t="str">
        <f>HYPERLINK("http://dx.doi.org/10.1007/s11854-011-0031-x","http://dx.doi.org/10.1007/s11854-011-0031-x")</f>
        <v>http://dx.doi.org/10.1007/s11854-011-0031-x</v>
      </c>
      <c r="BG351" s="1" t="s">
        <v>74</v>
      </c>
      <c r="BH351" s="1" t="s">
        <v>74</v>
      </c>
      <c r="BI351" s="1" t="s">
        <v>74</v>
      </c>
      <c r="BJ351" s="1" t="s">
        <v>74</v>
      </c>
      <c r="BK351" s="1" t="s">
        <v>74</v>
      </c>
      <c r="BL351" s="1" t="s">
        <v>74</v>
      </c>
      <c r="BM351" s="1" t="s">
        <v>74</v>
      </c>
      <c r="BN351" s="1" t="s">
        <v>74</v>
      </c>
      <c r="BO351" s="1" t="s">
        <v>74</v>
      </c>
      <c r="BP351" s="1" t="s">
        <v>74</v>
      </c>
      <c r="BQ351" s="1" t="s">
        <v>74</v>
      </c>
      <c r="BR351" s="1" t="s">
        <v>74</v>
      </c>
      <c r="BS351" s="1" t="s">
        <v>3718</v>
      </c>
      <c r="BT351" s="1" t="str">
        <f>HYPERLINK("https%3A%2F%2Fwww.webofscience.com%2Fwos%2Fwoscc%2Ffull-record%2FWOS:000300373400011","View Full Record in Web of Science")</f>
        <v>View Full Record in Web of Science</v>
      </c>
    </row>
    <row r="352" ht="12.75" customHeight="1">
      <c r="A352" s="1" t="s">
        <v>72</v>
      </c>
      <c r="B352" s="1" t="s">
        <v>3719</v>
      </c>
      <c r="C352" s="1" t="s">
        <v>74</v>
      </c>
      <c r="D352" s="1" t="s">
        <v>74</v>
      </c>
      <c r="E352" s="1" t="s">
        <v>74</v>
      </c>
      <c r="F352" s="1" t="s">
        <v>3720</v>
      </c>
      <c r="G352" s="1" t="s">
        <v>74</v>
      </c>
      <c r="H352" s="1" t="s">
        <v>74</v>
      </c>
      <c r="I352" s="1" t="s">
        <v>3721</v>
      </c>
      <c r="J352" s="1" t="s">
        <v>3722</v>
      </c>
      <c r="K352" s="1" t="s">
        <v>74</v>
      </c>
      <c r="L352" s="1" t="s">
        <v>74</v>
      </c>
      <c r="M352" s="1" t="s">
        <v>74</v>
      </c>
      <c r="N352" s="1" t="s">
        <v>74</v>
      </c>
      <c r="O352" s="1" t="s">
        <v>74</v>
      </c>
      <c r="P352" s="1" t="s">
        <v>74</v>
      </c>
      <c r="Q352" s="1" t="s">
        <v>74</v>
      </c>
      <c r="R352" s="1" t="s">
        <v>74</v>
      </c>
      <c r="S352" s="1" t="s">
        <v>74</v>
      </c>
      <c r="T352" s="1" t="s">
        <v>74</v>
      </c>
      <c r="U352" s="1" t="s">
        <v>74</v>
      </c>
      <c r="V352" s="1" t="s">
        <v>3723</v>
      </c>
      <c r="W352" s="1" t="s">
        <v>74</v>
      </c>
      <c r="X352" s="1" t="s">
        <v>74</v>
      </c>
      <c r="Y352" s="1" t="s">
        <v>74</v>
      </c>
      <c r="Z352" s="1" t="s">
        <v>74</v>
      </c>
      <c r="AA352" s="1" t="s">
        <v>3724</v>
      </c>
      <c r="AB352" s="1" t="s">
        <v>3725</v>
      </c>
      <c r="AC352" s="1" t="s">
        <v>74</v>
      </c>
      <c r="AD352" s="1" t="s">
        <v>74</v>
      </c>
      <c r="AE352" s="1" t="s">
        <v>74</v>
      </c>
      <c r="AF352" s="1" t="s">
        <v>74</v>
      </c>
      <c r="AG352" s="1" t="s">
        <v>74</v>
      </c>
      <c r="AH352" s="1" t="s">
        <v>74</v>
      </c>
      <c r="AI352" s="1" t="s">
        <v>74</v>
      </c>
      <c r="AJ352" s="1" t="s">
        <v>74</v>
      </c>
      <c r="AK352" s="1" t="s">
        <v>74</v>
      </c>
      <c r="AL352" s="1" t="s">
        <v>74</v>
      </c>
      <c r="AM352" s="1" t="s">
        <v>74</v>
      </c>
      <c r="AN352" s="1" t="s">
        <v>74</v>
      </c>
      <c r="AO352" s="1" t="s">
        <v>3726</v>
      </c>
      <c r="AP352" s="1" t="s">
        <v>3727</v>
      </c>
      <c r="AQ352" s="1" t="s">
        <v>74</v>
      </c>
      <c r="AR352" s="1" t="s">
        <v>74</v>
      </c>
      <c r="AS352" s="1" t="s">
        <v>74</v>
      </c>
      <c r="AT352" s="1" t="s">
        <v>2530</v>
      </c>
      <c r="AU352" s="1">
        <v>2009.0</v>
      </c>
      <c r="AV352" s="1">
        <v>238.0</v>
      </c>
      <c r="AW352" s="1">
        <v>1.0</v>
      </c>
      <c r="AX352" s="1" t="s">
        <v>74</v>
      </c>
      <c r="AY352" s="1" t="s">
        <v>74</v>
      </c>
      <c r="AZ352" s="1" t="s">
        <v>74</v>
      </c>
      <c r="BA352" s="1" t="s">
        <v>74</v>
      </c>
      <c r="BB352" s="1">
        <v>37.0</v>
      </c>
      <c r="BC352" s="1">
        <v>46.0</v>
      </c>
      <c r="BD352" s="1" t="s">
        <v>74</v>
      </c>
      <c r="BE352" s="1" t="s">
        <v>3728</v>
      </c>
      <c r="BF352" s="2" t="str">
        <f>HYPERLINK("http://dx.doi.org/10.1016/j.taap.2009.04.011","http://dx.doi.org/10.1016/j.taap.2009.04.011")</f>
        <v>http://dx.doi.org/10.1016/j.taap.2009.04.011</v>
      </c>
      <c r="BG352" s="1" t="s">
        <v>74</v>
      </c>
      <c r="BH352" s="1" t="s">
        <v>74</v>
      </c>
      <c r="BI352" s="1" t="s">
        <v>74</v>
      </c>
      <c r="BJ352" s="1" t="s">
        <v>74</v>
      </c>
      <c r="BK352" s="1" t="s">
        <v>74</v>
      </c>
      <c r="BL352" s="1" t="s">
        <v>74</v>
      </c>
      <c r="BM352" s="1" t="s">
        <v>74</v>
      </c>
      <c r="BN352" s="1">
        <v>1.9379766E7</v>
      </c>
      <c r="BO352" s="1" t="s">
        <v>74</v>
      </c>
      <c r="BP352" s="1" t="s">
        <v>74</v>
      </c>
      <c r="BQ352" s="1" t="s">
        <v>74</v>
      </c>
      <c r="BR352" s="1" t="s">
        <v>74</v>
      </c>
      <c r="BS352" s="1" t="s">
        <v>3729</v>
      </c>
      <c r="BT352" s="1" t="str">
        <f>HYPERLINK("https%3A%2F%2Fwww.webofscience.com%2Fwos%2Fwoscc%2Ffull-record%2FWOS:000267009800005","View Full Record in Web of Science")</f>
        <v>View Full Record in Web of Science</v>
      </c>
    </row>
    <row r="353" ht="12.75" customHeight="1">
      <c r="A353" s="1" t="s">
        <v>72</v>
      </c>
      <c r="B353" s="1" t="s">
        <v>3730</v>
      </c>
      <c r="C353" s="1" t="s">
        <v>74</v>
      </c>
      <c r="D353" s="1" t="s">
        <v>74</v>
      </c>
      <c r="E353" s="1" t="s">
        <v>74</v>
      </c>
      <c r="F353" s="1" t="s">
        <v>3731</v>
      </c>
      <c r="G353" s="1" t="s">
        <v>74</v>
      </c>
      <c r="H353" s="1" t="s">
        <v>74</v>
      </c>
      <c r="I353" s="1" t="s">
        <v>3732</v>
      </c>
      <c r="J353" s="1" t="s">
        <v>2477</v>
      </c>
      <c r="K353" s="1" t="s">
        <v>74</v>
      </c>
      <c r="L353" s="1" t="s">
        <v>74</v>
      </c>
      <c r="M353" s="1" t="s">
        <v>74</v>
      </c>
      <c r="N353" s="1" t="s">
        <v>74</v>
      </c>
      <c r="O353" s="1" t="s">
        <v>74</v>
      </c>
      <c r="P353" s="1" t="s">
        <v>74</v>
      </c>
      <c r="Q353" s="1" t="s">
        <v>74</v>
      </c>
      <c r="R353" s="1" t="s">
        <v>74</v>
      </c>
      <c r="S353" s="1" t="s">
        <v>74</v>
      </c>
      <c r="T353" s="1" t="s">
        <v>74</v>
      </c>
      <c r="U353" s="1" t="s">
        <v>74</v>
      </c>
      <c r="V353" s="1" t="s">
        <v>3733</v>
      </c>
      <c r="W353" s="1" t="s">
        <v>74</v>
      </c>
      <c r="X353" s="1" t="s">
        <v>74</v>
      </c>
      <c r="Y353" s="1" t="s">
        <v>74</v>
      </c>
      <c r="Z353" s="1" t="s">
        <v>74</v>
      </c>
      <c r="AA353" s="1" t="s">
        <v>3734</v>
      </c>
      <c r="AB353" s="1" t="s">
        <v>3735</v>
      </c>
      <c r="AC353" s="1" t="s">
        <v>74</v>
      </c>
      <c r="AD353" s="1" t="s">
        <v>74</v>
      </c>
      <c r="AE353" s="1" t="s">
        <v>74</v>
      </c>
      <c r="AF353" s="1" t="s">
        <v>74</v>
      </c>
      <c r="AG353" s="1" t="s">
        <v>74</v>
      </c>
      <c r="AH353" s="1" t="s">
        <v>74</v>
      </c>
      <c r="AI353" s="1" t="s">
        <v>74</v>
      </c>
      <c r="AJ353" s="1" t="s">
        <v>74</v>
      </c>
      <c r="AK353" s="1" t="s">
        <v>74</v>
      </c>
      <c r="AL353" s="1" t="s">
        <v>74</v>
      </c>
      <c r="AM353" s="1" t="s">
        <v>74</v>
      </c>
      <c r="AN353" s="1" t="s">
        <v>74</v>
      </c>
      <c r="AO353" s="1" t="s">
        <v>2481</v>
      </c>
      <c r="AP353" s="1" t="s">
        <v>2482</v>
      </c>
      <c r="AQ353" s="1" t="s">
        <v>74</v>
      </c>
      <c r="AR353" s="1" t="s">
        <v>74</v>
      </c>
      <c r="AS353" s="1" t="s">
        <v>74</v>
      </c>
      <c r="AT353" s="1" t="s">
        <v>485</v>
      </c>
      <c r="AU353" s="1">
        <v>2008.0</v>
      </c>
      <c r="AV353" s="1">
        <v>8.0</v>
      </c>
      <c r="AW353" s="1">
        <v>2.0</v>
      </c>
      <c r="AX353" s="1" t="s">
        <v>74</v>
      </c>
      <c r="AY353" s="1" t="s">
        <v>74</v>
      </c>
      <c r="AZ353" s="1" t="s">
        <v>74</v>
      </c>
      <c r="BA353" s="1" t="s">
        <v>74</v>
      </c>
      <c r="BB353" s="1">
        <v>563.0</v>
      </c>
      <c r="BC353" s="1">
        <v>575.0</v>
      </c>
      <c r="BD353" s="1" t="s">
        <v>74</v>
      </c>
      <c r="BE353" s="1" t="s">
        <v>74</v>
      </c>
      <c r="BF353" s="1" t="s">
        <v>74</v>
      </c>
      <c r="BG353" s="1" t="s">
        <v>74</v>
      </c>
      <c r="BH353" s="1" t="s">
        <v>74</v>
      </c>
      <c r="BI353" s="1" t="s">
        <v>74</v>
      </c>
      <c r="BJ353" s="1" t="s">
        <v>74</v>
      </c>
      <c r="BK353" s="1" t="s">
        <v>74</v>
      </c>
      <c r="BL353" s="1" t="s">
        <v>74</v>
      </c>
      <c r="BM353" s="1" t="s">
        <v>74</v>
      </c>
      <c r="BN353" s="1" t="s">
        <v>74</v>
      </c>
      <c r="BO353" s="1" t="s">
        <v>74</v>
      </c>
      <c r="BP353" s="1" t="s">
        <v>74</v>
      </c>
      <c r="BQ353" s="1" t="s">
        <v>74</v>
      </c>
      <c r="BR353" s="1" t="s">
        <v>74</v>
      </c>
      <c r="BS353" s="1" t="s">
        <v>3736</v>
      </c>
      <c r="BT353" s="1" t="str">
        <f>HYPERLINK("https%3A%2F%2Fwww.webofscience.com%2Fwos%2Fwoscc%2Ffull-record%2FWOS:000255769800014","View Full Record in Web of Science")</f>
        <v>View Full Record in Web of Science</v>
      </c>
    </row>
    <row r="354" ht="12.75" customHeight="1">
      <c r="A354" s="1" t="s">
        <v>72</v>
      </c>
      <c r="B354" s="1" t="s">
        <v>3737</v>
      </c>
      <c r="C354" s="1" t="s">
        <v>74</v>
      </c>
      <c r="D354" s="1" t="s">
        <v>74</v>
      </c>
      <c r="E354" s="1" t="s">
        <v>74</v>
      </c>
      <c r="F354" s="1" t="s">
        <v>3738</v>
      </c>
      <c r="G354" s="1" t="s">
        <v>74</v>
      </c>
      <c r="H354" s="1" t="s">
        <v>74</v>
      </c>
      <c r="I354" s="1" t="s">
        <v>3739</v>
      </c>
      <c r="J354" s="1" t="s">
        <v>3740</v>
      </c>
      <c r="K354" s="1" t="s">
        <v>74</v>
      </c>
      <c r="L354" s="1" t="s">
        <v>74</v>
      </c>
      <c r="M354" s="1" t="s">
        <v>74</v>
      </c>
      <c r="N354" s="1" t="s">
        <v>74</v>
      </c>
      <c r="O354" s="1" t="s">
        <v>74</v>
      </c>
      <c r="P354" s="1" t="s">
        <v>74</v>
      </c>
      <c r="Q354" s="1" t="s">
        <v>74</v>
      </c>
      <c r="R354" s="1" t="s">
        <v>74</v>
      </c>
      <c r="S354" s="1" t="s">
        <v>74</v>
      </c>
      <c r="T354" s="1" t="s">
        <v>74</v>
      </c>
      <c r="U354" s="1" t="s">
        <v>74</v>
      </c>
      <c r="V354" s="1" t="s">
        <v>3741</v>
      </c>
      <c r="W354" s="1" t="s">
        <v>74</v>
      </c>
      <c r="X354" s="1" t="s">
        <v>74</v>
      </c>
      <c r="Y354" s="1" t="s">
        <v>74</v>
      </c>
      <c r="Z354" s="1" t="s">
        <v>74</v>
      </c>
      <c r="AA354" s="1" t="s">
        <v>74</v>
      </c>
      <c r="AB354" s="1" t="s">
        <v>3742</v>
      </c>
      <c r="AC354" s="1" t="s">
        <v>74</v>
      </c>
      <c r="AD354" s="1" t="s">
        <v>74</v>
      </c>
      <c r="AE354" s="1" t="s">
        <v>74</v>
      </c>
      <c r="AF354" s="1" t="s">
        <v>74</v>
      </c>
      <c r="AG354" s="1" t="s">
        <v>74</v>
      </c>
      <c r="AH354" s="1" t="s">
        <v>74</v>
      </c>
      <c r="AI354" s="1" t="s">
        <v>74</v>
      </c>
      <c r="AJ354" s="1" t="s">
        <v>74</v>
      </c>
      <c r="AK354" s="1" t="s">
        <v>74</v>
      </c>
      <c r="AL354" s="1" t="s">
        <v>74</v>
      </c>
      <c r="AM354" s="1" t="s">
        <v>74</v>
      </c>
      <c r="AN354" s="1" t="s">
        <v>74</v>
      </c>
      <c r="AO354" s="1" t="s">
        <v>3743</v>
      </c>
      <c r="AP354" s="1" t="s">
        <v>3744</v>
      </c>
      <c r="AQ354" s="1" t="s">
        <v>74</v>
      </c>
      <c r="AR354" s="1" t="s">
        <v>74</v>
      </c>
      <c r="AS354" s="1" t="s">
        <v>74</v>
      </c>
      <c r="AT354" s="1" t="s">
        <v>3308</v>
      </c>
      <c r="AU354" s="1">
        <v>2006.0</v>
      </c>
      <c r="AV354" s="1">
        <v>16.0</v>
      </c>
      <c r="AW354" s="1">
        <v>19.0</v>
      </c>
      <c r="AX354" s="1" t="s">
        <v>74</v>
      </c>
      <c r="AY354" s="1" t="s">
        <v>74</v>
      </c>
      <c r="AZ354" s="1" t="s">
        <v>74</v>
      </c>
      <c r="BA354" s="1" t="s">
        <v>74</v>
      </c>
      <c r="BB354" s="1">
        <v>5097.0</v>
      </c>
      <c r="BC354" s="1">
        <v>5101.0</v>
      </c>
      <c r="BD354" s="1" t="s">
        <v>74</v>
      </c>
      <c r="BE354" s="1" t="s">
        <v>3745</v>
      </c>
      <c r="BF354" s="2" t="str">
        <f>HYPERLINK("http://dx.doi.org/10.1016/j.bmcl.2006.07.029","http://dx.doi.org/10.1016/j.bmcl.2006.07.029")</f>
        <v>http://dx.doi.org/10.1016/j.bmcl.2006.07.029</v>
      </c>
      <c r="BG354" s="1" t="s">
        <v>74</v>
      </c>
      <c r="BH354" s="1" t="s">
        <v>74</v>
      </c>
      <c r="BI354" s="1" t="s">
        <v>74</v>
      </c>
      <c r="BJ354" s="1" t="s">
        <v>74</v>
      </c>
      <c r="BK354" s="1" t="s">
        <v>74</v>
      </c>
      <c r="BL354" s="1" t="s">
        <v>74</v>
      </c>
      <c r="BM354" s="1" t="s">
        <v>74</v>
      </c>
      <c r="BN354" s="1">
        <v>1.6875818E7</v>
      </c>
      <c r="BO354" s="1" t="s">
        <v>74</v>
      </c>
      <c r="BP354" s="1" t="s">
        <v>74</v>
      </c>
      <c r="BQ354" s="1" t="s">
        <v>74</v>
      </c>
      <c r="BR354" s="1" t="s">
        <v>74</v>
      </c>
      <c r="BS354" s="1" t="s">
        <v>3746</v>
      </c>
      <c r="BT354" s="1" t="str">
        <f>HYPERLINK("https%3A%2F%2Fwww.webofscience.com%2Fwos%2Fwoscc%2Ffull-record%2FWOS:000240615400023","View Full Record in Web of Science")</f>
        <v>View Full Record in Web of Science</v>
      </c>
    </row>
    <row r="355" ht="12.75" customHeight="1">
      <c r="A355" s="1" t="s">
        <v>72</v>
      </c>
      <c r="B355" s="1" t="s">
        <v>3747</v>
      </c>
      <c r="C355" s="1" t="s">
        <v>74</v>
      </c>
      <c r="D355" s="1" t="s">
        <v>74</v>
      </c>
      <c r="E355" s="1" t="s">
        <v>74</v>
      </c>
      <c r="F355" s="1" t="s">
        <v>3747</v>
      </c>
      <c r="G355" s="1" t="s">
        <v>74</v>
      </c>
      <c r="H355" s="1" t="s">
        <v>74</v>
      </c>
      <c r="I355" s="1" t="s">
        <v>3748</v>
      </c>
      <c r="J355" s="1" t="s">
        <v>3749</v>
      </c>
      <c r="K355" s="1" t="s">
        <v>74</v>
      </c>
      <c r="L355" s="1" t="s">
        <v>74</v>
      </c>
      <c r="M355" s="1" t="s">
        <v>74</v>
      </c>
      <c r="N355" s="1" t="s">
        <v>74</v>
      </c>
      <c r="O355" s="1" t="s">
        <v>74</v>
      </c>
      <c r="P355" s="1" t="s">
        <v>74</v>
      </c>
      <c r="Q355" s="1" t="s">
        <v>74</v>
      </c>
      <c r="R355" s="1" t="s">
        <v>74</v>
      </c>
      <c r="S355" s="1" t="s">
        <v>74</v>
      </c>
      <c r="T355" s="1" t="s">
        <v>74</v>
      </c>
      <c r="U355" s="1" t="s">
        <v>74</v>
      </c>
      <c r="V355" s="1" t="s">
        <v>3750</v>
      </c>
      <c r="W355" s="1" t="s">
        <v>74</v>
      </c>
      <c r="X355" s="1" t="s">
        <v>74</v>
      </c>
      <c r="Y355" s="1" t="s">
        <v>74</v>
      </c>
      <c r="Z355" s="1" t="s">
        <v>74</v>
      </c>
      <c r="AA355" s="1" t="s">
        <v>3751</v>
      </c>
      <c r="AB355" s="1" t="s">
        <v>3752</v>
      </c>
      <c r="AC355" s="1" t="s">
        <v>74</v>
      </c>
      <c r="AD355" s="1" t="s">
        <v>74</v>
      </c>
      <c r="AE355" s="1" t="s">
        <v>74</v>
      </c>
      <c r="AF355" s="1" t="s">
        <v>74</v>
      </c>
      <c r="AG355" s="1" t="s">
        <v>74</v>
      </c>
      <c r="AH355" s="1" t="s">
        <v>74</v>
      </c>
      <c r="AI355" s="1" t="s">
        <v>74</v>
      </c>
      <c r="AJ355" s="1" t="s">
        <v>74</v>
      </c>
      <c r="AK355" s="1" t="s">
        <v>74</v>
      </c>
      <c r="AL355" s="1" t="s">
        <v>74</v>
      </c>
      <c r="AM355" s="1" t="s">
        <v>74</v>
      </c>
      <c r="AN355" s="1" t="s">
        <v>74</v>
      </c>
      <c r="AO355" s="1" t="s">
        <v>3753</v>
      </c>
      <c r="AP355" s="1" t="s">
        <v>3754</v>
      </c>
      <c r="AQ355" s="1" t="s">
        <v>74</v>
      </c>
      <c r="AR355" s="1" t="s">
        <v>74</v>
      </c>
      <c r="AS355" s="1" t="s">
        <v>74</v>
      </c>
      <c r="AT355" s="1" t="s">
        <v>537</v>
      </c>
      <c r="AU355" s="1">
        <v>2005.0</v>
      </c>
      <c r="AV355" s="1">
        <v>48.0</v>
      </c>
      <c r="AW355" s="1" t="s">
        <v>3755</v>
      </c>
      <c r="AX355" s="1" t="s">
        <v>74</v>
      </c>
      <c r="AY355" s="1" t="s">
        <v>74</v>
      </c>
      <c r="AZ355" s="1" t="s">
        <v>74</v>
      </c>
      <c r="BA355" s="1" t="s">
        <v>74</v>
      </c>
      <c r="BB355" s="1">
        <v>4695.0</v>
      </c>
      <c r="BC355" s="1">
        <v>4703.0</v>
      </c>
      <c r="BD355" s="1" t="s">
        <v>74</v>
      </c>
      <c r="BE355" s="1" t="s">
        <v>3756</v>
      </c>
      <c r="BF355" s="2" t="str">
        <f>HYPERLINK("http://dx.doi.org/10.1016/j.ijheatmasstransfer.2005.07.003","http://dx.doi.org/10.1016/j.ijheatmasstransfer.2005.07.003")</f>
        <v>http://dx.doi.org/10.1016/j.ijheatmasstransfer.2005.07.003</v>
      </c>
      <c r="BG355" s="1" t="s">
        <v>74</v>
      </c>
      <c r="BH355" s="1" t="s">
        <v>74</v>
      </c>
      <c r="BI355" s="1" t="s">
        <v>74</v>
      </c>
      <c r="BJ355" s="1" t="s">
        <v>74</v>
      </c>
      <c r="BK355" s="1" t="s">
        <v>74</v>
      </c>
      <c r="BL355" s="1" t="s">
        <v>74</v>
      </c>
      <c r="BM355" s="1" t="s">
        <v>74</v>
      </c>
      <c r="BN355" s="1" t="s">
        <v>74</v>
      </c>
      <c r="BO355" s="1" t="s">
        <v>74</v>
      </c>
      <c r="BP355" s="1" t="s">
        <v>74</v>
      </c>
      <c r="BQ355" s="1" t="s">
        <v>74</v>
      </c>
      <c r="BR355" s="1" t="s">
        <v>74</v>
      </c>
      <c r="BS355" s="1" t="s">
        <v>3757</v>
      </c>
      <c r="BT355" s="1" t="str">
        <f>HYPERLINK("https%3A%2F%2Fwww.webofscience.com%2Fwos%2Fwoscc%2Ffull-record%2FWOS:000232602900002","View Full Record in Web of Science")</f>
        <v>View Full Record in Web of Science</v>
      </c>
    </row>
    <row r="356" ht="12.75" customHeight="1">
      <c r="A356" s="1" t="s">
        <v>72</v>
      </c>
      <c r="B356" s="1" t="s">
        <v>3758</v>
      </c>
      <c r="C356" s="1" t="s">
        <v>74</v>
      </c>
      <c r="D356" s="1" t="s">
        <v>74</v>
      </c>
      <c r="E356" s="1" t="s">
        <v>74</v>
      </c>
      <c r="F356" s="1" t="s">
        <v>3758</v>
      </c>
      <c r="G356" s="1" t="s">
        <v>74</v>
      </c>
      <c r="H356" s="1" t="s">
        <v>74</v>
      </c>
      <c r="I356" s="1" t="s">
        <v>3759</v>
      </c>
      <c r="J356" s="1" t="s">
        <v>354</v>
      </c>
      <c r="K356" s="1" t="s">
        <v>74</v>
      </c>
      <c r="L356" s="1" t="s">
        <v>74</v>
      </c>
      <c r="M356" s="1" t="s">
        <v>74</v>
      </c>
      <c r="N356" s="1" t="s">
        <v>74</v>
      </c>
      <c r="O356" s="1" t="s">
        <v>74</v>
      </c>
      <c r="P356" s="1" t="s">
        <v>74</v>
      </c>
      <c r="Q356" s="1" t="s">
        <v>74</v>
      </c>
      <c r="R356" s="1" t="s">
        <v>74</v>
      </c>
      <c r="S356" s="1" t="s">
        <v>74</v>
      </c>
      <c r="T356" s="1" t="s">
        <v>74</v>
      </c>
      <c r="U356" s="1" t="s">
        <v>74</v>
      </c>
      <c r="V356" s="1" t="s">
        <v>3760</v>
      </c>
      <c r="W356" s="1" t="s">
        <v>74</v>
      </c>
      <c r="X356" s="1" t="s">
        <v>74</v>
      </c>
      <c r="Y356" s="1" t="s">
        <v>74</v>
      </c>
      <c r="Z356" s="1" t="s">
        <v>74</v>
      </c>
      <c r="AA356" s="1" t="s">
        <v>74</v>
      </c>
      <c r="AB356" s="1" t="s">
        <v>74</v>
      </c>
      <c r="AC356" s="1" t="s">
        <v>74</v>
      </c>
      <c r="AD356" s="1" t="s">
        <v>74</v>
      </c>
      <c r="AE356" s="1" t="s">
        <v>74</v>
      </c>
      <c r="AF356" s="1" t="s">
        <v>74</v>
      </c>
      <c r="AG356" s="1" t="s">
        <v>74</v>
      </c>
      <c r="AH356" s="1" t="s">
        <v>74</v>
      </c>
      <c r="AI356" s="1" t="s">
        <v>74</v>
      </c>
      <c r="AJ356" s="1" t="s">
        <v>74</v>
      </c>
      <c r="AK356" s="1" t="s">
        <v>74</v>
      </c>
      <c r="AL356" s="1" t="s">
        <v>74</v>
      </c>
      <c r="AM356" s="1" t="s">
        <v>74</v>
      </c>
      <c r="AN356" s="1" t="s">
        <v>74</v>
      </c>
      <c r="AO356" s="1" t="s">
        <v>358</v>
      </c>
      <c r="AP356" s="1" t="s">
        <v>359</v>
      </c>
      <c r="AQ356" s="1" t="s">
        <v>74</v>
      </c>
      <c r="AR356" s="1" t="s">
        <v>74</v>
      </c>
      <c r="AS356" s="1" t="s">
        <v>74</v>
      </c>
      <c r="AT356" s="1" t="s">
        <v>3761</v>
      </c>
      <c r="AU356" s="1">
        <v>2005.0</v>
      </c>
      <c r="AV356" s="1">
        <v>50.0</v>
      </c>
      <c r="AW356" s="1">
        <v>6.0</v>
      </c>
      <c r="AX356" s="1" t="s">
        <v>74</v>
      </c>
      <c r="AY356" s="1" t="s">
        <v>74</v>
      </c>
      <c r="AZ356" s="1" t="s">
        <v>74</v>
      </c>
      <c r="BA356" s="1" t="s">
        <v>74</v>
      </c>
      <c r="BB356" s="1">
        <v>1369.0</v>
      </c>
      <c r="BC356" s="1">
        <v>1376.0</v>
      </c>
      <c r="BD356" s="1" t="s">
        <v>74</v>
      </c>
      <c r="BE356" s="1" t="s">
        <v>3762</v>
      </c>
      <c r="BF356" s="2" t="str">
        <f>HYPERLINK("http://dx.doi.org/10.1016/j.electacta.2004.08.025","http://dx.doi.org/10.1016/j.electacta.2004.08.025")</f>
        <v>http://dx.doi.org/10.1016/j.electacta.2004.08.025</v>
      </c>
      <c r="BG356" s="1" t="s">
        <v>74</v>
      </c>
      <c r="BH356" s="1" t="s">
        <v>74</v>
      </c>
      <c r="BI356" s="1" t="s">
        <v>74</v>
      </c>
      <c r="BJ356" s="1" t="s">
        <v>74</v>
      </c>
      <c r="BK356" s="1" t="s">
        <v>74</v>
      </c>
      <c r="BL356" s="1" t="s">
        <v>74</v>
      </c>
      <c r="BM356" s="1" t="s">
        <v>74</v>
      </c>
      <c r="BN356" s="1" t="s">
        <v>74</v>
      </c>
      <c r="BO356" s="1" t="s">
        <v>74</v>
      </c>
      <c r="BP356" s="1" t="s">
        <v>74</v>
      </c>
      <c r="BQ356" s="1" t="s">
        <v>74</v>
      </c>
      <c r="BR356" s="1" t="s">
        <v>74</v>
      </c>
      <c r="BS356" s="1" t="s">
        <v>3763</v>
      </c>
      <c r="BT356" s="1" t="str">
        <f>HYPERLINK("https%3A%2F%2Fwww.webofscience.com%2Fwos%2Fwoscc%2Ffull-record%2FWOS:000226470200012","View Full Record in Web of Science")</f>
        <v>View Full Record in Web of Science</v>
      </c>
    </row>
    <row r="357" ht="12.75" customHeight="1">
      <c r="A357" s="1" t="s">
        <v>72</v>
      </c>
      <c r="B357" s="1" t="s">
        <v>3764</v>
      </c>
      <c r="C357" s="1" t="s">
        <v>74</v>
      </c>
      <c r="D357" s="1" t="s">
        <v>74</v>
      </c>
      <c r="E357" s="1" t="s">
        <v>74</v>
      </c>
      <c r="F357" s="1" t="s">
        <v>3764</v>
      </c>
      <c r="G357" s="1" t="s">
        <v>74</v>
      </c>
      <c r="H357" s="1" t="s">
        <v>74</v>
      </c>
      <c r="I357" s="1" t="s">
        <v>3765</v>
      </c>
      <c r="J357" s="1" t="s">
        <v>354</v>
      </c>
      <c r="K357" s="1" t="s">
        <v>74</v>
      </c>
      <c r="L357" s="1" t="s">
        <v>74</v>
      </c>
      <c r="M357" s="1" t="s">
        <v>74</v>
      </c>
      <c r="N357" s="1" t="s">
        <v>74</v>
      </c>
      <c r="O357" s="1" t="s">
        <v>74</v>
      </c>
      <c r="P357" s="1" t="s">
        <v>74</v>
      </c>
      <c r="Q357" s="1" t="s">
        <v>74</v>
      </c>
      <c r="R357" s="1" t="s">
        <v>74</v>
      </c>
      <c r="S357" s="1" t="s">
        <v>74</v>
      </c>
      <c r="T357" s="1" t="s">
        <v>74</v>
      </c>
      <c r="U357" s="1" t="s">
        <v>74</v>
      </c>
      <c r="V357" s="1" t="s">
        <v>3766</v>
      </c>
      <c r="W357" s="1" t="s">
        <v>74</v>
      </c>
      <c r="X357" s="1" t="s">
        <v>74</v>
      </c>
      <c r="Y357" s="1" t="s">
        <v>74</v>
      </c>
      <c r="Z357" s="1" t="s">
        <v>74</v>
      </c>
      <c r="AA357" s="1" t="s">
        <v>3767</v>
      </c>
      <c r="AB357" s="1" t="s">
        <v>3768</v>
      </c>
      <c r="AC357" s="1" t="s">
        <v>74</v>
      </c>
      <c r="AD357" s="1" t="s">
        <v>74</v>
      </c>
      <c r="AE357" s="1" t="s">
        <v>74</v>
      </c>
      <c r="AF357" s="1" t="s">
        <v>74</v>
      </c>
      <c r="AG357" s="1" t="s">
        <v>74</v>
      </c>
      <c r="AH357" s="1" t="s">
        <v>74</v>
      </c>
      <c r="AI357" s="1" t="s">
        <v>74</v>
      </c>
      <c r="AJ357" s="1" t="s">
        <v>74</v>
      </c>
      <c r="AK357" s="1" t="s">
        <v>74</v>
      </c>
      <c r="AL357" s="1" t="s">
        <v>74</v>
      </c>
      <c r="AM357" s="1" t="s">
        <v>74</v>
      </c>
      <c r="AN357" s="1" t="s">
        <v>74</v>
      </c>
      <c r="AO357" s="1" t="s">
        <v>358</v>
      </c>
      <c r="AP357" s="1" t="s">
        <v>359</v>
      </c>
      <c r="AQ357" s="1" t="s">
        <v>74</v>
      </c>
      <c r="AR357" s="1" t="s">
        <v>74</v>
      </c>
      <c r="AS357" s="1" t="s">
        <v>74</v>
      </c>
      <c r="AT357" s="1" t="s">
        <v>3769</v>
      </c>
      <c r="AU357" s="1">
        <v>2002.0</v>
      </c>
      <c r="AV357" s="1">
        <v>48.0</v>
      </c>
      <c r="AW357" s="1">
        <v>4.0</v>
      </c>
      <c r="AX357" s="1" t="s">
        <v>74</v>
      </c>
      <c r="AY357" s="1" t="s">
        <v>74</v>
      </c>
      <c r="AZ357" s="1" t="s">
        <v>74</v>
      </c>
      <c r="BA357" s="1" t="s">
        <v>74</v>
      </c>
      <c r="BB357" s="1">
        <v>323.0</v>
      </c>
      <c r="BC357" s="1">
        <v>329.0</v>
      </c>
      <c r="BD357" s="1" t="s">
        <v>3770</v>
      </c>
      <c r="BE357" s="1" t="s">
        <v>3771</v>
      </c>
      <c r="BF357" s="2" t="str">
        <f>HYPERLINK("http://dx.doi.org/10.1016/S0013-4686(02)00647-3","http://dx.doi.org/10.1016/S0013-4686(02)00647-3")</f>
        <v>http://dx.doi.org/10.1016/S0013-4686(02)00647-3</v>
      </c>
      <c r="BG357" s="1" t="s">
        <v>74</v>
      </c>
      <c r="BH357" s="1" t="s">
        <v>74</v>
      </c>
      <c r="BI357" s="1" t="s">
        <v>74</v>
      </c>
      <c r="BJ357" s="1" t="s">
        <v>74</v>
      </c>
      <c r="BK357" s="1" t="s">
        <v>74</v>
      </c>
      <c r="BL357" s="1" t="s">
        <v>74</v>
      </c>
      <c r="BM357" s="1" t="s">
        <v>74</v>
      </c>
      <c r="BN357" s="1" t="s">
        <v>74</v>
      </c>
      <c r="BO357" s="1" t="s">
        <v>74</v>
      </c>
      <c r="BP357" s="1" t="s">
        <v>74</v>
      </c>
      <c r="BQ357" s="1" t="s">
        <v>74</v>
      </c>
      <c r="BR357" s="1" t="s">
        <v>74</v>
      </c>
      <c r="BS357" s="1" t="s">
        <v>3772</v>
      </c>
      <c r="BT357" s="1" t="str">
        <f>HYPERLINK("https%3A%2F%2Fwww.webofscience.com%2Fwos%2Fwoscc%2Ffull-record%2FWOS:000180408400004","View Full Record in Web of Science")</f>
        <v>View Full Record in Web of Science</v>
      </c>
    </row>
    <row r="358" ht="12.75" customHeight="1">
      <c r="A358" s="1" t="s">
        <v>72</v>
      </c>
      <c r="B358" s="1" t="s">
        <v>3773</v>
      </c>
      <c r="C358" s="1" t="s">
        <v>74</v>
      </c>
      <c r="D358" s="1" t="s">
        <v>74</v>
      </c>
      <c r="E358" s="1" t="s">
        <v>74</v>
      </c>
      <c r="F358" s="1" t="s">
        <v>3773</v>
      </c>
      <c r="G358" s="1" t="s">
        <v>74</v>
      </c>
      <c r="H358" s="1" t="s">
        <v>74</v>
      </c>
      <c r="I358" s="1" t="s">
        <v>3774</v>
      </c>
      <c r="J358" s="1" t="s">
        <v>810</v>
      </c>
      <c r="K358" s="1" t="s">
        <v>74</v>
      </c>
      <c r="L358" s="1" t="s">
        <v>74</v>
      </c>
      <c r="M358" s="1" t="s">
        <v>74</v>
      </c>
      <c r="N358" s="1" t="s">
        <v>74</v>
      </c>
      <c r="O358" s="1" t="s">
        <v>74</v>
      </c>
      <c r="P358" s="1" t="s">
        <v>74</v>
      </c>
      <c r="Q358" s="1" t="s">
        <v>74</v>
      </c>
      <c r="R358" s="1" t="s">
        <v>74</v>
      </c>
      <c r="S358" s="1" t="s">
        <v>74</v>
      </c>
      <c r="T358" s="1" t="s">
        <v>74</v>
      </c>
      <c r="U358" s="1" t="s">
        <v>74</v>
      </c>
      <c r="V358" s="1" t="s">
        <v>3775</v>
      </c>
      <c r="W358" s="1" t="s">
        <v>74</v>
      </c>
      <c r="X358" s="1" t="s">
        <v>74</v>
      </c>
      <c r="Y358" s="1" t="s">
        <v>74</v>
      </c>
      <c r="Z358" s="1" t="s">
        <v>74</v>
      </c>
      <c r="AA358" s="1" t="s">
        <v>3776</v>
      </c>
      <c r="AB358" s="1" t="s">
        <v>3777</v>
      </c>
      <c r="AC358" s="1" t="s">
        <v>74</v>
      </c>
      <c r="AD358" s="1" t="s">
        <v>74</v>
      </c>
      <c r="AE358" s="1" t="s">
        <v>74</v>
      </c>
      <c r="AF358" s="1" t="s">
        <v>74</v>
      </c>
      <c r="AG358" s="1" t="s">
        <v>74</v>
      </c>
      <c r="AH358" s="1" t="s">
        <v>74</v>
      </c>
      <c r="AI358" s="1" t="s">
        <v>74</v>
      </c>
      <c r="AJ358" s="1" t="s">
        <v>74</v>
      </c>
      <c r="AK358" s="1" t="s">
        <v>74</v>
      </c>
      <c r="AL358" s="1" t="s">
        <v>74</v>
      </c>
      <c r="AM358" s="1" t="s">
        <v>74</v>
      </c>
      <c r="AN358" s="1" t="s">
        <v>74</v>
      </c>
      <c r="AO358" s="1" t="s">
        <v>814</v>
      </c>
      <c r="AP358" s="1" t="s">
        <v>74</v>
      </c>
      <c r="AQ358" s="1" t="s">
        <v>74</v>
      </c>
      <c r="AR358" s="1" t="s">
        <v>74</v>
      </c>
      <c r="AS358" s="1" t="s">
        <v>74</v>
      </c>
      <c r="AT358" s="1" t="s">
        <v>496</v>
      </c>
      <c r="AU358" s="1">
        <v>2002.0</v>
      </c>
      <c r="AV358" s="1">
        <v>13.0</v>
      </c>
      <c r="AW358" s="1">
        <v>2.0</v>
      </c>
      <c r="AX358" s="1" t="s">
        <v>74</v>
      </c>
      <c r="AY358" s="1" t="s">
        <v>74</v>
      </c>
      <c r="AZ358" s="1" t="s">
        <v>74</v>
      </c>
      <c r="BA358" s="1" t="s">
        <v>74</v>
      </c>
      <c r="BB358" s="1">
        <v>251.0</v>
      </c>
      <c r="BC358" s="1">
        <v>259.0</v>
      </c>
      <c r="BD358" s="1" t="s">
        <v>74</v>
      </c>
      <c r="BE358" s="1" t="s">
        <v>3778</v>
      </c>
      <c r="BF358" s="2" t="str">
        <f>HYPERLINK("http://dx.doi.org/10.1590/S0103-50532002000200018","http://dx.doi.org/10.1590/S0103-50532002000200018")</f>
        <v>http://dx.doi.org/10.1590/S0103-50532002000200018</v>
      </c>
      <c r="BG358" s="1" t="s">
        <v>74</v>
      </c>
      <c r="BH358" s="1" t="s">
        <v>74</v>
      </c>
      <c r="BI358" s="1" t="s">
        <v>74</v>
      </c>
      <c r="BJ358" s="1" t="s">
        <v>74</v>
      </c>
      <c r="BK358" s="1" t="s">
        <v>74</v>
      </c>
      <c r="BL358" s="1" t="s">
        <v>74</v>
      </c>
      <c r="BM358" s="1" t="s">
        <v>74</v>
      </c>
      <c r="BN358" s="1" t="s">
        <v>74</v>
      </c>
      <c r="BO358" s="1" t="s">
        <v>74</v>
      </c>
      <c r="BP358" s="1" t="s">
        <v>74</v>
      </c>
      <c r="BQ358" s="1" t="s">
        <v>74</v>
      </c>
      <c r="BR358" s="1" t="s">
        <v>74</v>
      </c>
      <c r="BS358" s="1" t="s">
        <v>3779</v>
      </c>
      <c r="BT358" s="1" t="str">
        <f>HYPERLINK("https%3A%2F%2Fwww.webofscience.com%2Fwos%2Fwoscc%2Ffull-record%2FWOS:000174728900017","View Full Record in Web of Science")</f>
        <v>View Full Record in Web of Science</v>
      </c>
    </row>
    <row r="359" ht="12.75" customHeight="1">
      <c r="A359" s="1" t="s">
        <v>72</v>
      </c>
      <c r="B359" s="1" t="s">
        <v>3780</v>
      </c>
      <c r="C359" s="1" t="s">
        <v>74</v>
      </c>
      <c r="D359" s="1" t="s">
        <v>74</v>
      </c>
      <c r="E359" s="1" t="s">
        <v>74</v>
      </c>
      <c r="F359" s="1" t="s">
        <v>3780</v>
      </c>
      <c r="G359" s="1" t="s">
        <v>74</v>
      </c>
      <c r="H359" s="1" t="s">
        <v>74</v>
      </c>
      <c r="I359" s="1" t="s">
        <v>3781</v>
      </c>
      <c r="J359" s="1" t="s">
        <v>302</v>
      </c>
      <c r="K359" s="1" t="s">
        <v>74</v>
      </c>
      <c r="L359" s="1" t="s">
        <v>74</v>
      </c>
      <c r="M359" s="1" t="s">
        <v>74</v>
      </c>
      <c r="N359" s="1" t="s">
        <v>74</v>
      </c>
      <c r="O359" s="1" t="s">
        <v>74</v>
      </c>
      <c r="P359" s="1" t="s">
        <v>74</v>
      </c>
      <c r="Q359" s="1" t="s">
        <v>74</v>
      </c>
      <c r="R359" s="1" t="s">
        <v>74</v>
      </c>
      <c r="S359" s="1" t="s">
        <v>74</v>
      </c>
      <c r="T359" s="1" t="s">
        <v>74</v>
      </c>
      <c r="U359" s="1" t="s">
        <v>74</v>
      </c>
      <c r="V359" s="1" t="s">
        <v>3782</v>
      </c>
      <c r="W359" s="1" t="s">
        <v>74</v>
      </c>
      <c r="X359" s="1" t="s">
        <v>74</v>
      </c>
      <c r="Y359" s="1" t="s">
        <v>74</v>
      </c>
      <c r="Z359" s="1" t="s">
        <v>74</v>
      </c>
      <c r="AA359" s="1" t="s">
        <v>74</v>
      </c>
      <c r="AB359" s="1" t="s">
        <v>74</v>
      </c>
      <c r="AC359" s="1" t="s">
        <v>74</v>
      </c>
      <c r="AD359" s="1" t="s">
        <v>74</v>
      </c>
      <c r="AE359" s="1" t="s">
        <v>74</v>
      </c>
      <c r="AF359" s="1" t="s">
        <v>74</v>
      </c>
      <c r="AG359" s="1" t="s">
        <v>74</v>
      </c>
      <c r="AH359" s="1" t="s">
        <v>74</v>
      </c>
      <c r="AI359" s="1" t="s">
        <v>74</v>
      </c>
      <c r="AJ359" s="1" t="s">
        <v>74</v>
      </c>
      <c r="AK359" s="1" t="s">
        <v>74</v>
      </c>
      <c r="AL359" s="1" t="s">
        <v>74</v>
      </c>
      <c r="AM359" s="1" t="s">
        <v>74</v>
      </c>
      <c r="AN359" s="1" t="s">
        <v>74</v>
      </c>
      <c r="AO359" s="1" t="s">
        <v>305</v>
      </c>
      <c r="AP359" s="1" t="s">
        <v>74</v>
      </c>
      <c r="AQ359" s="1" t="s">
        <v>74</v>
      </c>
      <c r="AR359" s="1" t="s">
        <v>74</v>
      </c>
      <c r="AS359" s="1" t="s">
        <v>74</v>
      </c>
      <c r="AT359" s="1" t="s">
        <v>422</v>
      </c>
      <c r="AU359" s="1">
        <v>2002.0</v>
      </c>
      <c r="AV359" s="1">
        <v>130.0</v>
      </c>
      <c r="AW359" s="1">
        <v>1.0</v>
      </c>
      <c r="AX359" s="1" t="s">
        <v>74</v>
      </c>
      <c r="AY359" s="1" t="s">
        <v>74</v>
      </c>
      <c r="AZ359" s="1" t="s">
        <v>74</v>
      </c>
      <c r="BA359" s="1" t="s">
        <v>74</v>
      </c>
      <c r="BB359" s="1">
        <v>71.0</v>
      </c>
      <c r="BC359" s="1">
        <v>78.0</v>
      </c>
      <c r="BD359" s="1" t="s">
        <v>74</v>
      </c>
      <c r="BE359" s="1" t="s">
        <v>74</v>
      </c>
      <c r="BF359" s="1" t="s">
        <v>74</v>
      </c>
      <c r="BG359" s="1" t="s">
        <v>74</v>
      </c>
      <c r="BH359" s="1" t="s">
        <v>74</v>
      </c>
      <c r="BI359" s="1" t="s">
        <v>74</v>
      </c>
      <c r="BJ359" s="1" t="s">
        <v>74</v>
      </c>
      <c r="BK359" s="1" t="s">
        <v>74</v>
      </c>
      <c r="BL359" s="1" t="s">
        <v>74</v>
      </c>
      <c r="BM359" s="1" t="s">
        <v>74</v>
      </c>
      <c r="BN359" s="1">
        <v>1.1961965E7</v>
      </c>
      <c r="BO359" s="1" t="s">
        <v>74</v>
      </c>
      <c r="BP359" s="1" t="s">
        <v>74</v>
      </c>
      <c r="BQ359" s="1" t="s">
        <v>74</v>
      </c>
      <c r="BR359" s="1" t="s">
        <v>74</v>
      </c>
      <c r="BS359" s="1" t="s">
        <v>3783</v>
      </c>
      <c r="BT359" s="1" t="str">
        <f>HYPERLINK("https%3A%2F%2Fwww.webofscience.com%2Fwos%2Fwoscc%2Ffull-record%2FWOS:000174303900010","View Full Record in Web of Science")</f>
        <v>View Full Record in Web of Science</v>
      </c>
    </row>
    <row r="360" ht="12.75" customHeight="1">
      <c r="A360" s="1" t="s">
        <v>72</v>
      </c>
      <c r="B360" s="1" t="s">
        <v>3784</v>
      </c>
      <c r="C360" s="1" t="s">
        <v>74</v>
      </c>
      <c r="D360" s="1" t="s">
        <v>74</v>
      </c>
      <c r="E360" s="1" t="s">
        <v>74</v>
      </c>
      <c r="F360" s="1" t="s">
        <v>3784</v>
      </c>
      <c r="G360" s="1" t="s">
        <v>74</v>
      </c>
      <c r="H360" s="1" t="s">
        <v>74</v>
      </c>
      <c r="I360" s="1" t="s">
        <v>3785</v>
      </c>
      <c r="J360" s="1" t="s">
        <v>3786</v>
      </c>
      <c r="K360" s="1" t="s">
        <v>74</v>
      </c>
      <c r="L360" s="1" t="s">
        <v>74</v>
      </c>
      <c r="M360" s="1" t="s">
        <v>74</v>
      </c>
      <c r="N360" s="1" t="s">
        <v>74</v>
      </c>
      <c r="O360" s="1" t="s">
        <v>74</v>
      </c>
      <c r="P360" s="1" t="s">
        <v>74</v>
      </c>
      <c r="Q360" s="1" t="s">
        <v>74</v>
      </c>
      <c r="R360" s="1" t="s">
        <v>74</v>
      </c>
      <c r="S360" s="1" t="s">
        <v>74</v>
      </c>
      <c r="T360" s="1" t="s">
        <v>74</v>
      </c>
      <c r="U360" s="1" t="s">
        <v>74</v>
      </c>
      <c r="V360" s="1" t="s">
        <v>3787</v>
      </c>
      <c r="W360" s="1" t="s">
        <v>74</v>
      </c>
      <c r="X360" s="1" t="s">
        <v>74</v>
      </c>
      <c r="Y360" s="1" t="s">
        <v>74</v>
      </c>
      <c r="Z360" s="1" t="s">
        <v>74</v>
      </c>
      <c r="AA360" s="1" t="s">
        <v>3788</v>
      </c>
      <c r="AB360" s="1" t="s">
        <v>3789</v>
      </c>
      <c r="AC360" s="1" t="s">
        <v>74</v>
      </c>
      <c r="AD360" s="1" t="s">
        <v>74</v>
      </c>
      <c r="AE360" s="1" t="s">
        <v>74</v>
      </c>
      <c r="AF360" s="1" t="s">
        <v>74</v>
      </c>
      <c r="AG360" s="1" t="s">
        <v>74</v>
      </c>
      <c r="AH360" s="1" t="s">
        <v>74</v>
      </c>
      <c r="AI360" s="1" t="s">
        <v>74</v>
      </c>
      <c r="AJ360" s="1" t="s">
        <v>74</v>
      </c>
      <c r="AK360" s="1" t="s">
        <v>74</v>
      </c>
      <c r="AL360" s="1" t="s">
        <v>74</v>
      </c>
      <c r="AM360" s="1" t="s">
        <v>74</v>
      </c>
      <c r="AN360" s="1" t="s">
        <v>74</v>
      </c>
      <c r="AO360" s="1" t="s">
        <v>3790</v>
      </c>
      <c r="AP360" s="1" t="s">
        <v>74</v>
      </c>
      <c r="AQ360" s="1" t="s">
        <v>74</v>
      </c>
      <c r="AR360" s="1" t="s">
        <v>74</v>
      </c>
      <c r="AS360" s="1" t="s">
        <v>74</v>
      </c>
      <c r="AT360" s="1" t="s">
        <v>235</v>
      </c>
      <c r="AU360" s="1">
        <v>1999.0</v>
      </c>
      <c r="AV360" s="1">
        <v>18.0</v>
      </c>
      <c r="AW360" s="1">
        <v>3.0</v>
      </c>
      <c r="AX360" s="1" t="s">
        <v>74</v>
      </c>
      <c r="AY360" s="1" t="s">
        <v>74</v>
      </c>
      <c r="AZ360" s="1" t="s">
        <v>74</v>
      </c>
      <c r="BA360" s="1" t="s">
        <v>74</v>
      </c>
      <c r="BB360" s="1">
        <v>297.0</v>
      </c>
      <c r="BC360" s="1">
        <v>306.0</v>
      </c>
      <c r="BD360" s="1" t="s">
        <v>74</v>
      </c>
      <c r="BE360" s="1" t="s">
        <v>3791</v>
      </c>
      <c r="BF360" s="2" t="str">
        <f>HYPERLINK("http://dx.doi.org/10.1023/A:1021087312176","http://dx.doi.org/10.1023/A:1021087312176")</f>
        <v>http://dx.doi.org/10.1023/A:1021087312176</v>
      </c>
      <c r="BG360" s="1" t="s">
        <v>74</v>
      </c>
      <c r="BH360" s="1" t="s">
        <v>74</v>
      </c>
      <c r="BI360" s="1" t="s">
        <v>74</v>
      </c>
      <c r="BJ360" s="1" t="s">
        <v>74</v>
      </c>
      <c r="BK360" s="1" t="s">
        <v>74</v>
      </c>
      <c r="BL360" s="1" t="s">
        <v>74</v>
      </c>
      <c r="BM360" s="1" t="s">
        <v>74</v>
      </c>
      <c r="BN360" s="1">
        <v>1.0395448E7</v>
      </c>
      <c r="BO360" s="1" t="s">
        <v>74</v>
      </c>
      <c r="BP360" s="1" t="s">
        <v>74</v>
      </c>
      <c r="BQ360" s="1" t="s">
        <v>74</v>
      </c>
      <c r="BR360" s="1" t="s">
        <v>74</v>
      </c>
      <c r="BS360" s="1" t="s">
        <v>3792</v>
      </c>
      <c r="BT360" s="1" t="str">
        <f>HYPERLINK("https%3A%2F%2Fwww.webofscience.com%2Fwos%2Fwoscc%2Ffull-record%2FWOS:000080782300006","View Full Record in Web of Science")</f>
        <v>View Full Record in Web of Science</v>
      </c>
    </row>
    <row r="361" ht="12.75" customHeight="1">
      <c r="A361" s="1" t="s">
        <v>72</v>
      </c>
      <c r="B361" s="1" t="s">
        <v>1316</v>
      </c>
      <c r="C361" s="1" t="s">
        <v>74</v>
      </c>
      <c r="D361" s="1" t="s">
        <v>74</v>
      </c>
      <c r="E361" s="1" t="s">
        <v>74</v>
      </c>
      <c r="F361" s="1" t="s">
        <v>1316</v>
      </c>
      <c r="G361" s="1" t="s">
        <v>74</v>
      </c>
      <c r="H361" s="1" t="s">
        <v>74</v>
      </c>
      <c r="I361" s="1" t="s">
        <v>3793</v>
      </c>
      <c r="J361" s="1" t="s">
        <v>3794</v>
      </c>
      <c r="K361" s="1" t="s">
        <v>74</v>
      </c>
      <c r="L361" s="1" t="s">
        <v>74</v>
      </c>
      <c r="M361" s="1" t="s">
        <v>74</v>
      </c>
      <c r="N361" s="1" t="s">
        <v>74</v>
      </c>
      <c r="O361" s="1" t="s">
        <v>74</v>
      </c>
      <c r="P361" s="1" t="s">
        <v>74</v>
      </c>
      <c r="Q361" s="1" t="s">
        <v>74</v>
      </c>
      <c r="R361" s="1" t="s">
        <v>74</v>
      </c>
      <c r="S361" s="1" t="s">
        <v>74</v>
      </c>
      <c r="T361" s="1" t="s">
        <v>74</v>
      </c>
      <c r="U361" s="1" t="s">
        <v>74</v>
      </c>
      <c r="V361" s="1" t="s">
        <v>3795</v>
      </c>
      <c r="W361" s="1" t="s">
        <v>74</v>
      </c>
      <c r="X361" s="1" t="s">
        <v>74</v>
      </c>
      <c r="Y361" s="1" t="s">
        <v>74</v>
      </c>
      <c r="Z361" s="1" t="s">
        <v>74</v>
      </c>
      <c r="AA361" s="1" t="s">
        <v>1320</v>
      </c>
      <c r="AB361" s="1" t="s">
        <v>3796</v>
      </c>
      <c r="AC361" s="1" t="s">
        <v>74</v>
      </c>
      <c r="AD361" s="1" t="s">
        <v>74</v>
      </c>
      <c r="AE361" s="1" t="s">
        <v>74</v>
      </c>
      <c r="AF361" s="1" t="s">
        <v>74</v>
      </c>
      <c r="AG361" s="1" t="s">
        <v>74</v>
      </c>
      <c r="AH361" s="1" t="s">
        <v>74</v>
      </c>
      <c r="AI361" s="1" t="s">
        <v>74</v>
      </c>
      <c r="AJ361" s="1" t="s">
        <v>74</v>
      </c>
      <c r="AK361" s="1" t="s">
        <v>74</v>
      </c>
      <c r="AL361" s="1" t="s">
        <v>74</v>
      </c>
      <c r="AM361" s="1" t="s">
        <v>74</v>
      </c>
      <c r="AN361" s="1" t="s">
        <v>74</v>
      </c>
      <c r="AO361" s="1" t="s">
        <v>3797</v>
      </c>
      <c r="AP361" s="1" t="s">
        <v>74</v>
      </c>
      <c r="AQ361" s="1" t="s">
        <v>74</v>
      </c>
      <c r="AR361" s="1" t="s">
        <v>74</v>
      </c>
      <c r="AS361" s="1" t="s">
        <v>74</v>
      </c>
      <c r="AT361" s="1" t="s">
        <v>1332</v>
      </c>
      <c r="AU361" s="1">
        <v>1997.0</v>
      </c>
      <c r="AV361" s="1">
        <v>11.0</v>
      </c>
      <c r="AW361" s="1">
        <v>28.0</v>
      </c>
      <c r="AX361" s="1" t="s">
        <v>74</v>
      </c>
      <c r="AY361" s="1" t="s">
        <v>74</v>
      </c>
      <c r="AZ361" s="1" t="s">
        <v>74</v>
      </c>
      <c r="BA361" s="1" t="s">
        <v>74</v>
      </c>
      <c r="BB361" s="1">
        <v>3329.0</v>
      </c>
      <c r="BC361" s="1">
        <v>3341.0</v>
      </c>
      <c r="BD361" s="1" t="s">
        <v>74</v>
      </c>
      <c r="BE361" s="1" t="s">
        <v>3798</v>
      </c>
      <c r="BF361" s="2" t="str">
        <f>HYPERLINK("http://dx.doi.org/10.1142/S0217979297001635","http://dx.doi.org/10.1142/S0217979297001635")</f>
        <v>http://dx.doi.org/10.1142/S0217979297001635</v>
      </c>
      <c r="BG361" s="1" t="s">
        <v>74</v>
      </c>
      <c r="BH361" s="1" t="s">
        <v>74</v>
      </c>
      <c r="BI361" s="1" t="s">
        <v>74</v>
      </c>
      <c r="BJ361" s="1" t="s">
        <v>74</v>
      </c>
      <c r="BK361" s="1" t="s">
        <v>74</v>
      </c>
      <c r="BL361" s="1" t="s">
        <v>74</v>
      </c>
      <c r="BM361" s="1" t="s">
        <v>74</v>
      </c>
      <c r="BN361" s="1" t="s">
        <v>74</v>
      </c>
      <c r="BO361" s="1" t="s">
        <v>74</v>
      </c>
      <c r="BP361" s="1" t="s">
        <v>74</v>
      </c>
      <c r="BQ361" s="1" t="s">
        <v>74</v>
      </c>
      <c r="BR361" s="1" t="s">
        <v>74</v>
      </c>
      <c r="BS361" s="1" t="s">
        <v>3799</v>
      </c>
      <c r="BT361" s="1" t="str">
        <f>HYPERLINK("https%3A%2F%2Fwww.webofscience.com%2Fwos%2Fwoscc%2Ffull-record%2FWOS:000071164000006","View Full Record in Web of Science")</f>
        <v>View Full Record in Web of Science</v>
      </c>
    </row>
    <row r="362" ht="12.75" customHeight="1">
      <c r="A362" s="1" t="s">
        <v>72</v>
      </c>
      <c r="B362" s="1" t="s">
        <v>3800</v>
      </c>
      <c r="C362" s="1" t="s">
        <v>74</v>
      </c>
      <c r="D362" s="1" t="s">
        <v>74</v>
      </c>
      <c r="E362" s="1" t="s">
        <v>74</v>
      </c>
      <c r="F362" s="1" t="s">
        <v>3800</v>
      </c>
      <c r="G362" s="1" t="s">
        <v>74</v>
      </c>
      <c r="H362" s="1" t="s">
        <v>74</v>
      </c>
      <c r="I362" s="1" t="s">
        <v>3801</v>
      </c>
      <c r="J362" s="1" t="s">
        <v>3802</v>
      </c>
      <c r="K362" s="1" t="s">
        <v>74</v>
      </c>
      <c r="L362" s="1" t="s">
        <v>74</v>
      </c>
      <c r="M362" s="1" t="s">
        <v>74</v>
      </c>
      <c r="N362" s="1" t="s">
        <v>74</v>
      </c>
      <c r="O362" s="1" t="s">
        <v>3803</v>
      </c>
      <c r="P362" s="1" t="s">
        <v>3804</v>
      </c>
      <c r="Q362" s="1" t="s">
        <v>3805</v>
      </c>
      <c r="R362" s="1" t="s">
        <v>3806</v>
      </c>
      <c r="S362" s="1" t="s">
        <v>74</v>
      </c>
      <c r="T362" s="1" t="s">
        <v>74</v>
      </c>
      <c r="U362" s="1" t="s">
        <v>74</v>
      </c>
      <c r="V362" s="1" t="s">
        <v>3807</v>
      </c>
      <c r="W362" s="1" t="s">
        <v>74</v>
      </c>
      <c r="X362" s="1" t="s">
        <v>74</v>
      </c>
      <c r="Y362" s="1" t="s">
        <v>74</v>
      </c>
      <c r="Z362" s="1" t="s">
        <v>74</v>
      </c>
      <c r="AA362" s="1" t="s">
        <v>74</v>
      </c>
      <c r="AB362" s="1" t="s">
        <v>74</v>
      </c>
      <c r="AC362" s="1" t="s">
        <v>74</v>
      </c>
      <c r="AD362" s="1" t="s">
        <v>74</v>
      </c>
      <c r="AE362" s="1" t="s">
        <v>74</v>
      </c>
      <c r="AF362" s="1" t="s">
        <v>74</v>
      </c>
      <c r="AG362" s="1" t="s">
        <v>74</v>
      </c>
      <c r="AH362" s="1" t="s">
        <v>74</v>
      </c>
      <c r="AI362" s="1" t="s">
        <v>74</v>
      </c>
      <c r="AJ362" s="1" t="s">
        <v>74</v>
      </c>
      <c r="AK362" s="1" t="s">
        <v>74</v>
      </c>
      <c r="AL362" s="1" t="s">
        <v>74</v>
      </c>
      <c r="AM362" s="1" t="s">
        <v>74</v>
      </c>
      <c r="AN362" s="1" t="s">
        <v>74</v>
      </c>
      <c r="AO362" s="1" t="s">
        <v>3808</v>
      </c>
      <c r="AP362" s="1" t="s">
        <v>3809</v>
      </c>
      <c r="AQ362" s="1" t="s">
        <v>74</v>
      </c>
      <c r="AR362" s="1" t="s">
        <v>74</v>
      </c>
      <c r="AS362" s="1" t="s">
        <v>74</v>
      </c>
      <c r="AT362" s="1" t="s">
        <v>235</v>
      </c>
      <c r="AU362" s="1">
        <v>1995.0</v>
      </c>
      <c r="AV362" s="1" t="s">
        <v>74</v>
      </c>
      <c r="AW362" s="1" t="s">
        <v>74</v>
      </c>
      <c r="AX362" s="1" t="s">
        <v>74</v>
      </c>
      <c r="AY362" s="1">
        <v>42.0</v>
      </c>
      <c r="AZ362" s="1" t="s">
        <v>74</v>
      </c>
      <c r="BA362" s="1" t="s">
        <v>74</v>
      </c>
      <c r="BB362" s="1">
        <v>584.0</v>
      </c>
      <c r="BC362" s="1">
        <v>586.0</v>
      </c>
      <c r="BD362" s="1" t="s">
        <v>74</v>
      </c>
      <c r="BE362" s="1" t="s">
        <v>3810</v>
      </c>
      <c r="BF362" s="2" t="str">
        <f>HYPERLINK("http://dx.doi.org/10.1016/0920-5632(95)00318-4","http://dx.doi.org/10.1016/0920-5632(95)00318-4")</f>
        <v>http://dx.doi.org/10.1016/0920-5632(95)00318-4</v>
      </c>
      <c r="BG362" s="1" t="s">
        <v>74</v>
      </c>
      <c r="BH362" s="1" t="s">
        <v>74</v>
      </c>
      <c r="BI362" s="1" t="s">
        <v>74</v>
      </c>
      <c r="BJ362" s="1" t="s">
        <v>74</v>
      </c>
      <c r="BK362" s="1" t="s">
        <v>74</v>
      </c>
      <c r="BL362" s="1" t="s">
        <v>74</v>
      </c>
      <c r="BM362" s="1" t="s">
        <v>74</v>
      </c>
      <c r="BN362" s="1" t="s">
        <v>74</v>
      </c>
      <c r="BO362" s="1" t="s">
        <v>74</v>
      </c>
      <c r="BP362" s="1" t="s">
        <v>74</v>
      </c>
      <c r="BQ362" s="1" t="s">
        <v>74</v>
      </c>
      <c r="BR362" s="1" t="s">
        <v>74</v>
      </c>
      <c r="BS362" s="1" t="s">
        <v>3811</v>
      </c>
      <c r="BT362" s="1" t="str">
        <f>HYPERLINK("https%3A%2F%2Fwww.webofscience.com%2Fwos%2Fwoscc%2Ffull-record%2FWOS:A1995QZ61700139","View Full Record in Web of Science")</f>
        <v>View Full Record in Web of Science</v>
      </c>
    </row>
    <row r="363" ht="12.75" customHeight="1">
      <c r="A363" s="1" t="s">
        <v>72</v>
      </c>
      <c r="B363" s="1" t="s">
        <v>3812</v>
      </c>
      <c r="C363" s="1" t="s">
        <v>74</v>
      </c>
      <c r="D363" s="1" t="s">
        <v>74</v>
      </c>
      <c r="E363" s="1" t="s">
        <v>74</v>
      </c>
      <c r="F363" s="1" t="s">
        <v>3813</v>
      </c>
      <c r="G363" s="1" t="s">
        <v>74</v>
      </c>
      <c r="H363" s="1" t="s">
        <v>74</v>
      </c>
      <c r="I363" s="1" t="s">
        <v>3814</v>
      </c>
      <c r="J363" s="1" t="s">
        <v>3815</v>
      </c>
      <c r="K363" s="1" t="s">
        <v>74</v>
      </c>
      <c r="L363" s="1" t="s">
        <v>74</v>
      </c>
      <c r="M363" s="1" t="s">
        <v>74</v>
      </c>
      <c r="N363" s="1" t="s">
        <v>74</v>
      </c>
      <c r="O363" s="1" t="s">
        <v>74</v>
      </c>
      <c r="P363" s="1" t="s">
        <v>74</v>
      </c>
      <c r="Q363" s="1" t="s">
        <v>74</v>
      </c>
      <c r="R363" s="1" t="s">
        <v>74</v>
      </c>
      <c r="S363" s="1" t="s">
        <v>74</v>
      </c>
      <c r="T363" s="1" t="s">
        <v>74</v>
      </c>
      <c r="U363" s="1" t="s">
        <v>74</v>
      </c>
      <c r="V363" s="1" t="s">
        <v>3816</v>
      </c>
      <c r="W363" s="1" t="s">
        <v>74</v>
      </c>
      <c r="X363" s="1" t="s">
        <v>74</v>
      </c>
      <c r="Y363" s="1" t="s">
        <v>74</v>
      </c>
      <c r="Z363" s="1" t="s">
        <v>74</v>
      </c>
      <c r="AA363" s="1" t="s">
        <v>3817</v>
      </c>
      <c r="AB363" s="1" t="s">
        <v>3818</v>
      </c>
      <c r="AC363" s="1" t="s">
        <v>74</v>
      </c>
      <c r="AD363" s="1" t="s">
        <v>74</v>
      </c>
      <c r="AE363" s="1" t="s">
        <v>74</v>
      </c>
      <c r="AF363" s="1" t="s">
        <v>74</v>
      </c>
      <c r="AG363" s="1" t="s">
        <v>74</v>
      </c>
      <c r="AH363" s="1" t="s">
        <v>74</v>
      </c>
      <c r="AI363" s="1" t="s">
        <v>74</v>
      </c>
      <c r="AJ363" s="1" t="s">
        <v>74</v>
      </c>
      <c r="AK363" s="1" t="s">
        <v>74</v>
      </c>
      <c r="AL363" s="1" t="s">
        <v>74</v>
      </c>
      <c r="AM363" s="1" t="s">
        <v>74</v>
      </c>
      <c r="AN363" s="1" t="s">
        <v>74</v>
      </c>
      <c r="AO363" s="1" t="s">
        <v>74</v>
      </c>
      <c r="AP363" s="1" t="s">
        <v>3819</v>
      </c>
      <c r="AQ363" s="1" t="s">
        <v>74</v>
      </c>
      <c r="AR363" s="1" t="s">
        <v>74</v>
      </c>
      <c r="AS363" s="1" t="s">
        <v>74</v>
      </c>
      <c r="AT363" s="1" t="s">
        <v>3820</v>
      </c>
      <c r="AU363" s="1">
        <v>2025.0</v>
      </c>
      <c r="AV363" s="1">
        <v>17.0</v>
      </c>
      <c r="AW363" s="1">
        <v>7.0</v>
      </c>
      <c r="AX363" s="1" t="s">
        <v>74</v>
      </c>
      <c r="AY363" s="1" t="s">
        <v>74</v>
      </c>
      <c r="AZ363" s="1" t="s">
        <v>74</v>
      </c>
      <c r="BA363" s="1" t="s">
        <v>74</v>
      </c>
      <c r="BB363" s="1" t="s">
        <v>74</v>
      </c>
      <c r="BC363" s="1" t="s">
        <v>74</v>
      </c>
      <c r="BD363" s="1">
        <v>1140.0</v>
      </c>
      <c r="BE363" s="1" t="s">
        <v>3821</v>
      </c>
      <c r="BF363" s="2" t="str">
        <f>HYPERLINK("http://dx.doi.org/10.3390/nu17071140","http://dx.doi.org/10.3390/nu17071140")</f>
        <v>http://dx.doi.org/10.3390/nu17071140</v>
      </c>
      <c r="BG363" s="1" t="s">
        <v>74</v>
      </c>
      <c r="BH363" s="1" t="s">
        <v>74</v>
      </c>
      <c r="BI363" s="1" t="s">
        <v>74</v>
      </c>
      <c r="BJ363" s="1" t="s">
        <v>74</v>
      </c>
      <c r="BK363" s="1" t="s">
        <v>74</v>
      </c>
      <c r="BL363" s="1" t="s">
        <v>74</v>
      </c>
      <c r="BM363" s="1" t="s">
        <v>74</v>
      </c>
      <c r="BN363" s="1">
        <v>4.0218899E7</v>
      </c>
      <c r="BO363" s="1" t="s">
        <v>74</v>
      </c>
      <c r="BP363" s="1" t="s">
        <v>74</v>
      </c>
      <c r="BQ363" s="1" t="s">
        <v>74</v>
      </c>
      <c r="BR363" s="1" t="s">
        <v>74</v>
      </c>
      <c r="BS363" s="1" t="s">
        <v>3822</v>
      </c>
      <c r="BT363" s="1" t="str">
        <f>HYPERLINK("https%3A%2F%2Fwww.webofscience.com%2Fwos%2Fwoscc%2Ffull-record%2FWOS:001463736500001","View Full Record in Web of Science")</f>
        <v>View Full Record in Web of Science</v>
      </c>
    </row>
    <row r="364" ht="12.75" customHeight="1">
      <c r="A364" s="1" t="s">
        <v>72</v>
      </c>
      <c r="B364" s="1" t="s">
        <v>3823</v>
      </c>
      <c r="C364" s="1" t="s">
        <v>74</v>
      </c>
      <c r="D364" s="1" t="s">
        <v>74</v>
      </c>
      <c r="E364" s="1" t="s">
        <v>74</v>
      </c>
      <c r="F364" s="1" t="s">
        <v>3824</v>
      </c>
      <c r="G364" s="1" t="s">
        <v>74</v>
      </c>
      <c r="H364" s="1" t="s">
        <v>74</v>
      </c>
      <c r="I364" s="1" t="s">
        <v>3825</v>
      </c>
      <c r="J364" s="1" t="s">
        <v>3826</v>
      </c>
      <c r="K364" s="1" t="s">
        <v>74</v>
      </c>
      <c r="L364" s="1" t="s">
        <v>74</v>
      </c>
      <c r="M364" s="1" t="s">
        <v>74</v>
      </c>
      <c r="N364" s="1" t="s">
        <v>74</v>
      </c>
      <c r="O364" s="1" t="s">
        <v>74</v>
      </c>
      <c r="P364" s="1" t="s">
        <v>74</v>
      </c>
      <c r="Q364" s="1" t="s">
        <v>74</v>
      </c>
      <c r="R364" s="1" t="s">
        <v>74</v>
      </c>
      <c r="S364" s="1" t="s">
        <v>74</v>
      </c>
      <c r="T364" s="1" t="s">
        <v>74</v>
      </c>
      <c r="U364" s="1" t="s">
        <v>74</v>
      </c>
      <c r="V364" s="1" t="s">
        <v>3827</v>
      </c>
      <c r="W364" s="1" t="s">
        <v>74</v>
      </c>
      <c r="X364" s="1" t="s">
        <v>74</v>
      </c>
      <c r="Y364" s="1" t="s">
        <v>74</v>
      </c>
      <c r="Z364" s="1" t="s">
        <v>74</v>
      </c>
      <c r="AA364" s="1" t="s">
        <v>3828</v>
      </c>
      <c r="AB364" s="1" t="s">
        <v>3829</v>
      </c>
      <c r="AC364" s="1" t="s">
        <v>74</v>
      </c>
      <c r="AD364" s="1" t="s">
        <v>74</v>
      </c>
      <c r="AE364" s="1" t="s">
        <v>74</v>
      </c>
      <c r="AF364" s="1" t="s">
        <v>74</v>
      </c>
      <c r="AG364" s="1" t="s">
        <v>74</v>
      </c>
      <c r="AH364" s="1" t="s">
        <v>74</v>
      </c>
      <c r="AI364" s="1" t="s">
        <v>74</v>
      </c>
      <c r="AJ364" s="1" t="s">
        <v>74</v>
      </c>
      <c r="AK364" s="1" t="s">
        <v>74</v>
      </c>
      <c r="AL364" s="1" t="s">
        <v>74</v>
      </c>
      <c r="AM364" s="1" t="s">
        <v>74</v>
      </c>
      <c r="AN364" s="1" t="s">
        <v>74</v>
      </c>
      <c r="AO364" s="1" t="s">
        <v>3830</v>
      </c>
      <c r="AP364" s="1" t="s">
        <v>3831</v>
      </c>
      <c r="AQ364" s="1" t="s">
        <v>74</v>
      </c>
      <c r="AR364" s="1" t="s">
        <v>74</v>
      </c>
      <c r="AS364" s="1" t="s">
        <v>74</v>
      </c>
      <c r="AT364" s="1" t="s">
        <v>3832</v>
      </c>
      <c r="AU364" s="1">
        <v>2025.0</v>
      </c>
      <c r="AV364" s="1" t="s">
        <v>74</v>
      </c>
      <c r="AW364" s="1" t="s">
        <v>74</v>
      </c>
      <c r="AX364" s="1" t="s">
        <v>74</v>
      </c>
      <c r="AY364" s="1" t="s">
        <v>74</v>
      </c>
      <c r="AZ364" s="1" t="s">
        <v>74</v>
      </c>
      <c r="BA364" s="1" t="s">
        <v>74</v>
      </c>
      <c r="BB364" s="1" t="s">
        <v>74</v>
      </c>
      <c r="BC364" s="1" t="s">
        <v>74</v>
      </c>
      <c r="BD364" s="1" t="s">
        <v>74</v>
      </c>
      <c r="BE364" s="1" t="s">
        <v>3833</v>
      </c>
      <c r="BF364" s="2" t="str">
        <f>HYPERLINK("http://dx.doi.org/10.1177/03080226241310724","http://dx.doi.org/10.1177/03080226241310724")</f>
        <v>http://dx.doi.org/10.1177/03080226241310724</v>
      </c>
      <c r="BG364" s="1" t="s">
        <v>74</v>
      </c>
      <c r="BH364" s="1" t="s">
        <v>1372</v>
      </c>
      <c r="BI364" s="1" t="s">
        <v>74</v>
      </c>
      <c r="BJ364" s="1" t="s">
        <v>74</v>
      </c>
      <c r="BK364" s="1" t="s">
        <v>74</v>
      </c>
      <c r="BL364" s="1" t="s">
        <v>74</v>
      </c>
      <c r="BM364" s="1" t="s">
        <v>74</v>
      </c>
      <c r="BN364" s="1" t="s">
        <v>74</v>
      </c>
      <c r="BO364" s="1" t="s">
        <v>74</v>
      </c>
      <c r="BP364" s="1" t="s">
        <v>74</v>
      </c>
      <c r="BQ364" s="1" t="s">
        <v>74</v>
      </c>
      <c r="BR364" s="1" t="s">
        <v>74</v>
      </c>
      <c r="BS364" s="1" t="s">
        <v>3834</v>
      </c>
      <c r="BT364" s="1" t="str">
        <f>HYPERLINK("https%3A%2F%2Fwww.webofscience.com%2Fwos%2Fwoscc%2Ffull-record%2FWOS:001400924600001","View Full Record in Web of Science")</f>
        <v>View Full Record in Web of Science</v>
      </c>
    </row>
    <row r="365" ht="12.75" customHeight="1">
      <c r="A365" s="1" t="s">
        <v>72</v>
      </c>
      <c r="B365" s="1" t="s">
        <v>3835</v>
      </c>
      <c r="C365" s="1" t="s">
        <v>74</v>
      </c>
      <c r="D365" s="1" t="s">
        <v>74</v>
      </c>
      <c r="E365" s="1" t="s">
        <v>74</v>
      </c>
      <c r="F365" s="1" t="s">
        <v>3836</v>
      </c>
      <c r="G365" s="1" t="s">
        <v>74</v>
      </c>
      <c r="H365" s="1" t="s">
        <v>74</v>
      </c>
      <c r="I365" s="1" t="s">
        <v>3837</v>
      </c>
      <c r="J365" s="1" t="s">
        <v>3838</v>
      </c>
      <c r="K365" s="1" t="s">
        <v>74</v>
      </c>
      <c r="L365" s="1" t="s">
        <v>74</v>
      </c>
      <c r="M365" s="1" t="s">
        <v>74</v>
      </c>
      <c r="N365" s="1" t="s">
        <v>74</v>
      </c>
      <c r="O365" s="1" t="s">
        <v>74</v>
      </c>
      <c r="P365" s="1" t="s">
        <v>74</v>
      </c>
      <c r="Q365" s="1" t="s">
        <v>74</v>
      </c>
      <c r="R365" s="1" t="s">
        <v>74</v>
      </c>
      <c r="S365" s="1" t="s">
        <v>74</v>
      </c>
      <c r="T365" s="1" t="s">
        <v>74</v>
      </c>
      <c r="U365" s="1" t="s">
        <v>74</v>
      </c>
      <c r="V365" s="1" t="s">
        <v>3839</v>
      </c>
      <c r="W365" s="1" t="s">
        <v>74</v>
      </c>
      <c r="X365" s="1" t="s">
        <v>74</v>
      </c>
      <c r="Y365" s="1" t="s">
        <v>74</v>
      </c>
      <c r="Z365" s="1" t="s">
        <v>74</v>
      </c>
      <c r="AA365" s="1" t="s">
        <v>3840</v>
      </c>
      <c r="AB365" s="1" t="s">
        <v>74</v>
      </c>
      <c r="AC365" s="1" t="s">
        <v>74</v>
      </c>
      <c r="AD365" s="1" t="s">
        <v>74</v>
      </c>
      <c r="AE365" s="1" t="s">
        <v>74</v>
      </c>
      <c r="AF365" s="1" t="s">
        <v>74</v>
      </c>
      <c r="AG365" s="1" t="s">
        <v>74</v>
      </c>
      <c r="AH365" s="1" t="s">
        <v>74</v>
      </c>
      <c r="AI365" s="1" t="s">
        <v>74</v>
      </c>
      <c r="AJ365" s="1" t="s">
        <v>74</v>
      </c>
      <c r="AK365" s="1" t="s">
        <v>74</v>
      </c>
      <c r="AL365" s="1" t="s">
        <v>74</v>
      </c>
      <c r="AM365" s="1" t="s">
        <v>74</v>
      </c>
      <c r="AN365" s="1" t="s">
        <v>74</v>
      </c>
      <c r="AO365" s="1" t="s">
        <v>3841</v>
      </c>
      <c r="AP365" s="1" t="s">
        <v>3842</v>
      </c>
      <c r="AQ365" s="1" t="s">
        <v>74</v>
      </c>
      <c r="AR365" s="1" t="s">
        <v>74</v>
      </c>
      <c r="AS365" s="1" t="s">
        <v>74</v>
      </c>
      <c r="AT365" s="1" t="s">
        <v>307</v>
      </c>
      <c r="AU365" s="1">
        <v>2024.0</v>
      </c>
      <c r="AV365" s="1">
        <v>75.0</v>
      </c>
      <c r="AW365" s="1">
        <v>6.0</v>
      </c>
      <c r="AX365" s="1" t="s">
        <v>74</v>
      </c>
      <c r="AY365" s="1" t="s">
        <v>1313</v>
      </c>
      <c r="AZ365" s="1" t="s">
        <v>74</v>
      </c>
      <c r="BA365" s="1" t="s">
        <v>74</v>
      </c>
      <c r="BB365" s="1" t="s">
        <v>3843</v>
      </c>
      <c r="BC365" s="1" t="s">
        <v>3844</v>
      </c>
      <c r="BD365" s="1" t="s">
        <v>74</v>
      </c>
      <c r="BE365" s="1" t="s">
        <v>3845</v>
      </c>
      <c r="BF365" s="2" t="str">
        <f>HYPERLINK("http://dx.doi.org/10.1016/j.jadohealth.2024.08.007","http://dx.doi.org/10.1016/j.jadohealth.2024.08.007")</f>
        <v>http://dx.doi.org/10.1016/j.jadohealth.2024.08.007</v>
      </c>
      <c r="BG365" s="1" t="s">
        <v>74</v>
      </c>
      <c r="BH365" s="1" t="s">
        <v>3846</v>
      </c>
      <c r="BI365" s="1" t="s">
        <v>74</v>
      </c>
      <c r="BJ365" s="1" t="s">
        <v>74</v>
      </c>
      <c r="BK365" s="1" t="s">
        <v>74</v>
      </c>
      <c r="BL365" s="1" t="s">
        <v>74</v>
      </c>
      <c r="BM365" s="1" t="s">
        <v>74</v>
      </c>
      <c r="BN365" s="1">
        <v>3.9567058E7</v>
      </c>
      <c r="BO365" s="1" t="s">
        <v>74</v>
      </c>
      <c r="BP365" s="1" t="s">
        <v>74</v>
      </c>
      <c r="BQ365" s="1" t="s">
        <v>74</v>
      </c>
      <c r="BR365" s="1" t="s">
        <v>74</v>
      </c>
      <c r="BS365" s="1" t="s">
        <v>3847</v>
      </c>
      <c r="BT365" s="1" t="str">
        <f>HYPERLINK("https%3A%2F%2Fwww.webofscience.com%2Fwos%2Fwoscc%2Ffull-record%2FWOS:001364654000006","View Full Record in Web of Science")</f>
        <v>View Full Record in Web of Science</v>
      </c>
    </row>
    <row r="366" ht="12.75" customHeight="1">
      <c r="A366" s="1" t="s">
        <v>72</v>
      </c>
      <c r="B366" s="1" t="s">
        <v>3848</v>
      </c>
      <c r="C366" s="1" t="s">
        <v>74</v>
      </c>
      <c r="D366" s="1" t="s">
        <v>74</v>
      </c>
      <c r="E366" s="1" t="s">
        <v>74</v>
      </c>
      <c r="F366" s="1" t="s">
        <v>3849</v>
      </c>
      <c r="G366" s="1" t="s">
        <v>74</v>
      </c>
      <c r="H366" s="1" t="s">
        <v>74</v>
      </c>
      <c r="I366" s="1" t="s">
        <v>3850</v>
      </c>
      <c r="J366" s="1" t="s">
        <v>3851</v>
      </c>
      <c r="K366" s="1" t="s">
        <v>74</v>
      </c>
      <c r="L366" s="1" t="s">
        <v>74</v>
      </c>
      <c r="M366" s="1" t="s">
        <v>74</v>
      </c>
      <c r="N366" s="1" t="s">
        <v>74</v>
      </c>
      <c r="O366" s="1" t="s">
        <v>74</v>
      </c>
      <c r="P366" s="1" t="s">
        <v>74</v>
      </c>
      <c r="Q366" s="1" t="s">
        <v>74</v>
      </c>
      <c r="R366" s="1" t="s">
        <v>74</v>
      </c>
      <c r="S366" s="1" t="s">
        <v>74</v>
      </c>
      <c r="T366" s="1" t="s">
        <v>74</v>
      </c>
      <c r="U366" s="1" t="s">
        <v>74</v>
      </c>
      <c r="V366" s="1" t="s">
        <v>3852</v>
      </c>
      <c r="W366" s="1" t="s">
        <v>74</v>
      </c>
      <c r="X366" s="1" t="s">
        <v>74</v>
      </c>
      <c r="Y366" s="1" t="s">
        <v>74</v>
      </c>
      <c r="Z366" s="1" t="s">
        <v>74</v>
      </c>
      <c r="AA366" s="1" t="s">
        <v>3853</v>
      </c>
      <c r="AB366" s="1" t="s">
        <v>3854</v>
      </c>
      <c r="AC366" s="1" t="s">
        <v>74</v>
      </c>
      <c r="AD366" s="1" t="s">
        <v>74</v>
      </c>
      <c r="AE366" s="1" t="s">
        <v>74</v>
      </c>
      <c r="AF366" s="1" t="s">
        <v>74</v>
      </c>
      <c r="AG366" s="1" t="s">
        <v>74</v>
      </c>
      <c r="AH366" s="1" t="s">
        <v>74</v>
      </c>
      <c r="AI366" s="1" t="s">
        <v>74</v>
      </c>
      <c r="AJ366" s="1" t="s">
        <v>74</v>
      </c>
      <c r="AK366" s="1" t="s">
        <v>74</v>
      </c>
      <c r="AL366" s="1" t="s">
        <v>74</v>
      </c>
      <c r="AM366" s="1" t="s">
        <v>74</v>
      </c>
      <c r="AN366" s="1" t="s">
        <v>74</v>
      </c>
      <c r="AO366" s="1" t="s">
        <v>74</v>
      </c>
      <c r="AP366" s="1" t="s">
        <v>3855</v>
      </c>
      <c r="AQ366" s="1" t="s">
        <v>74</v>
      </c>
      <c r="AR366" s="1" t="s">
        <v>74</v>
      </c>
      <c r="AS366" s="1" t="s">
        <v>74</v>
      </c>
      <c r="AT366" s="1" t="s">
        <v>1213</v>
      </c>
      <c r="AU366" s="1">
        <v>2024.0</v>
      </c>
      <c r="AV366" s="1">
        <v>13.0</v>
      </c>
      <c r="AW366" s="1">
        <v>3.0</v>
      </c>
      <c r="AX366" s="1" t="s">
        <v>74</v>
      </c>
      <c r="AY366" s="1" t="s">
        <v>74</v>
      </c>
      <c r="AZ366" s="1" t="s">
        <v>74</v>
      </c>
      <c r="BA366" s="1" t="s">
        <v>74</v>
      </c>
      <c r="BB366" s="1" t="s">
        <v>74</v>
      </c>
      <c r="BC366" s="1" t="s">
        <v>74</v>
      </c>
      <c r="BD366" s="1">
        <v>273.0</v>
      </c>
      <c r="BE366" s="1" t="s">
        <v>3856</v>
      </c>
      <c r="BF366" s="2" t="str">
        <f>HYPERLINK("http://dx.doi.org/10.3390/antiox13030273","http://dx.doi.org/10.3390/antiox13030273")</f>
        <v>http://dx.doi.org/10.3390/antiox13030273</v>
      </c>
      <c r="BG366" s="1" t="s">
        <v>74</v>
      </c>
      <c r="BH366" s="1" t="s">
        <v>74</v>
      </c>
      <c r="BI366" s="1" t="s">
        <v>74</v>
      </c>
      <c r="BJ366" s="1" t="s">
        <v>74</v>
      </c>
      <c r="BK366" s="1" t="s">
        <v>74</v>
      </c>
      <c r="BL366" s="1" t="s">
        <v>74</v>
      </c>
      <c r="BM366" s="1" t="s">
        <v>74</v>
      </c>
      <c r="BN366" s="1">
        <v>3.8539807E7</v>
      </c>
      <c r="BO366" s="1" t="s">
        <v>74</v>
      </c>
      <c r="BP366" s="1" t="s">
        <v>74</v>
      </c>
      <c r="BQ366" s="1" t="s">
        <v>74</v>
      </c>
      <c r="BR366" s="1" t="s">
        <v>74</v>
      </c>
      <c r="BS366" s="1" t="s">
        <v>3857</v>
      </c>
      <c r="BT366" s="1" t="str">
        <f>HYPERLINK("https%3A%2F%2Fwww.webofscience.com%2Fwos%2Fwoscc%2Ffull-record%2FWOS:001192095900001","View Full Record in Web of Science")</f>
        <v>View Full Record in Web of Science</v>
      </c>
    </row>
    <row r="367" ht="12.75" customHeight="1">
      <c r="A367" s="1" t="s">
        <v>72</v>
      </c>
      <c r="B367" s="1" t="s">
        <v>3858</v>
      </c>
      <c r="C367" s="1" t="s">
        <v>74</v>
      </c>
      <c r="D367" s="1" t="s">
        <v>74</v>
      </c>
      <c r="E367" s="1" t="s">
        <v>74</v>
      </c>
      <c r="F367" s="1" t="s">
        <v>3859</v>
      </c>
      <c r="G367" s="1" t="s">
        <v>74</v>
      </c>
      <c r="H367" s="1" t="s">
        <v>74</v>
      </c>
      <c r="I367" s="1" t="s">
        <v>3860</v>
      </c>
      <c r="J367" s="1" t="s">
        <v>3861</v>
      </c>
      <c r="K367" s="1" t="s">
        <v>74</v>
      </c>
      <c r="L367" s="1" t="s">
        <v>74</v>
      </c>
      <c r="M367" s="1" t="s">
        <v>74</v>
      </c>
      <c r="N367" s="1" t="s">
        <v>74</v>
      </c>
      <c r="O367" s="1" t="s">
        <v>74</v>
      </c>
      <c r="P367" s="1" t="s">
        <v>74</v>
      </c>
      <c r="Q367" s="1" t="s">
        <v>74</v>
      </c>
      <c r="R367" s="1" t="s">
        <v>74</v>
      </c>
      <c r="S367" s="1" t="s">
        <v>74</v>
      </c>
      <c r="T367" s="1" t="s">
        <v>74</v>
      </c>
      <c r="U367" s="1" t="s">
        <v>74</v>
      </c>
      <c r="V367" s="1" t="s">
        <v>3862</v>
      </c>
      <c r="W367" s="1" t="s">
        <v>74</v>
      </c>
      <c r="X367" s="1" t="s">
        <v>74</v>
      </c>
      <c r="Y367" s="1" t="s">
        <v>74</v>
      </c>
      <c r="Z367" s="1" t="s">
        <v>74</v>
      </c>
      <c r="AA367" s="1" t="s">
        <v>3863</v>
      </c>
      <c r="AB367" s="1" t="s">
        <v>3864</v>
      </c>
      <c r="AC367" s="1" t="s">
        <v>74</v>
      </c>
      <c r="AD367" s="1" t="s">
        <v>74</v>
      </c>
      <c r="AE367" s="1" t="s">
        <v>74</v>
      </c>
      <c r="AF367" s="1" t="s">
        <v>74</v>
      </c>
      <c r="AG367" s="1" t="s">
        <v>74</v>
      </c>
      <c r="AH367" s="1" t="s">
        <v>74</v>
      </c>
      <c r="AI367" s="1" t="s">
        <v>74</v>
      </c>
      <c r="AJ367" s="1" t="s">
        <v>74</v>
      </c>
      <c r="AK367" s="1" t="s">
        <v>74</v>
      </c>
      <c r="AL367" s="1" t="s">
        <v>74</v>
      </c>
      <c r="AM367" s="1" t="s">
        <v>74</v>
      </c>
      <c r="AN367" s="1" t="s">
        <v>74</v>
      </c>
      <c r="AO367" s="1" t="s">
        <v>74</v>
      </c>
      <c r="AP367" s="1" t="s">
        <v>3865</v>
      </c>
      <c r="AQ367" s="1" t="s">
        <v>74</v>
      </c>
      <c r="AR367" s="1" t="s">
        <v>74</v>
      </c>
      <c r="AS367" s="1" t="s">
        <v>74</v>
      </c>
      <c r="AT367" s="1" t="s">
        <v>348</v>
      </c>
      <c r="AU367" s="1">
        <v>2023.0</v>
      </c>
      <c r="AV367" s="1">
        <v>12.0</v>
      </c>
      <c r="AW367" s="1">
        <v>18.0</v>
      </c>
      <c r="AX367" s="1" t="s">
        <v>74</v>
      </c>
      <c r="AY367" s="1" t="s">
        <v>74</v>
      </c>
      <c r="AZ367" s="1" t="s">
        <v>74</v>
      </c>
      <c r="BA367" s="1" t="s">
        <v>74</v>
      </c>
      <c r="BB367" s="1" t="s">
        <v>74</v>
      </c>
      <c r="BC367" s="1" t="s">
        <v>74</v>
      </c>
      <c r="BD367" s="1">
        <v>3400.0</v>
      </c>
      <c r="BE367" s="1" t="s">
        <v>3866</v>
      </c>
      <c r="BF367" s="2" t="str">
        <f>HYPERLINK("http://dx.doi.org/10.3390/foods12183400","http://dx.doi.org/10.3390/foods12183400")</f>
        <v>http://dx.doi.org/10.3390/foods12183400</v>
      </c>
      <c r="BG367" s="1" t="s">
        <v>74</v>
      </c>
      <c r="BH367" s="1" t="s">
        <v>74</v>
      </c>
      <c r="BI367" s="1" t="s">
        <v>74</v>
      </c>
      <c r="BJ367" s="1" t="s">
        <v>74</v>
      </c>
      <c r="BK367" s="1" t="s">
        <v>74</v>
      </c>
      <c r="BL367" s="1" t="s">
        <v>74</v>
      </c>
      <c r="BM367" s="1" t="s">
        <v>74</v>
      </c>
      <c r="BN367" s="1">
        <v>3.7761109E7</v>
      </c>
      <c r="BO367" s="1" t="s">
        <v>74</v>
      </c>
      <c r="BP367" s="1" t="s">
        <v>74</v>
      </c>
      <c r="BQ367" s="1" t="s">
        <v>74</v>
      </c>
      <c r="BR367" s="1" t="s">
        <v>74</v>
      </c>
      <c r="BS367" s="1" t="s">
        <v>3867</v>
      </c>
      <c r="BT367" s="1" t="str">
        <f>HYPERLINK("https%3A%2F%2Fwww.webofscience.com%2Fwos%2Fwoscc%2Ffull-record%2FWOS:001076208300001","View Full Record in Web of Science")</f>
        <v>View Full Record in Web of Science</v>
      </c>
    </row>
    <row r="368" ht="12.75" customHeight="1">
      <c r="A368" s="1" t="s">
        <v>72</v>
      </c>
      <c r="B368" s="1" t="s">
        <v>3868</v>
      </c>
      <c r="C368" s="1" t="s">
        <v>74</v>
      </c>
      <c r="D368" s="1" t="s">
        <v>74</v>
      </c>
      <c r="E368" s="1" t="s">
        <v>74</v>
      </c>
      <c r="F368" s="1" t="s">
        <v>3869</v>
      </c>
      <c r="G368" s="1" t="s">
        <v>74</v>
      </c>
      <c r="H368" s="1" t="s">
        <v>74</v>
      </c>
      <c r="I368" s="1" t="s">
        <v>3870</v>
      </c>
      <c r="J368" s="1" t="s">
        <v>3871</v>
      </c>
      <c r="K368" s="1" t="s">
        <v>74</v>
      </c>
      <c r="L368" s="1" t="s">
        <v>74</v>
      </c>
      <c r="M368" s="1" t="s">
        <v>74</v>
      </c>
      <c r="N368" s="1" t="s">
        <v>74</v>
      </c>
      <c r="O368" s="1" t="s">
        <v>74</v>
      </c>
      <c r="P368" s="1" t="s">
        <v>74</v>
      </c>
      <c r="Q368" s="1" t="s">
        <v>74</v>
      </c>
      <c r="R368" s="1" t="s">
        <v>74</v>
      </c>
      <c r="S368" s="1" t="s">
        <v>74</v>
      </c>
      <c r="T368" s="1" t="s">
        <v>74</v>
      </c>
      <c r="U368" s="1" t="s">
        <v>74</v>
      </c>
      <c r="V368" s="1" t="s">
        <v>3872</v>
      </c>
      <c r="W368" s="1" t="s">
        <v>74</v>
      </c>
      <c r="X368" s="1" t="s">
        <v>74</v>
      </c>
      <c r="Y368" s="1" t="s">
        <v>74</v>
      </c>
      <c r="Z368" s="1" t="s">
        <v>74</v>
      </c>
      <c r="AA368" s="1" t="s">
        <v>3873</v>
      </c>
      <c r="AB368" s="1" t="s">
        <v>3874</v>
      </c>
      <c r="AC368" s="1" t="s">
        <v>74</v>
      </c>
      <c r="AD368" s="1" t="s">
        <v>74</v>
      </c>
      <c r="AE368" s="1" t="s">
        <v>74</v>
      </c>
      <c r="AF368" s="1" t="s">
        <v>74</v>
      </c>
      <c r="AG368" s="1" t="s">
        <v>74</v>
      </c>
      <c r="AH368" s="1" t="s">
        <v>74</v>
      </c>
      <c r="AI368" s="1" t="s">
        <v>74</v>
      </c>
      <c r="AJ368" s="1" t="s">
        <v>74</v>
      </c>
      <c r="AK368" s="1" t="s">
        <v>74</v>
      </c>
      <c r="AL368" s="1" t="s">
        <v>74</v>
      </c>
      <c r="AM368" s="1" t="s">
        <v>74</v>
      </c>
      <c r="AN368" s="1" t="s">
        <v>74</v>
      </c>
      <c r="AO368" s="1" t="s">
        <v>3875</v>
      </c>
      <c r="AP368" s="1" t="s">
        <v>3876</v>
      </c>
      <c r="AQ368" s="1" t="s">
        <v>74</v>
      </c>
      <c r="AR368" s="1" t="s">
        <v>74</v>
      </c>
      <c r="AS368" s="1" t="s">
        <v>74</v>
      </c>
      <c r="AT368" s="1" t="s">
        <v>348</v>
      </c>
      <c r="AU368" s="1">
        <v>2023.0</v>
      </c>
      <c r="AV368" s="1">
        <v>75.0</v>
      </c>
      <c r="AW368" s="1" t="s">
        <v>74</v>
      </c>
      <c r="AX368" s="1" t="s">
        <v>74</v>
      </c>
      <c r="AY368" s="1" t="s">
        <v>74</v>
      </c>
      <c r="AZ368" s="1" t="s">
        <v>74</v>
      </c>
      <c r="BA368" s="1" t="s">
        <v>74</v>
      </c>
      <c r="BB368" s="1" t="s">
        <v>74</v>
      </c>
      <c r="BC368" s="1" t="s">
        <v>74</v>
      </c>
      <c r="BD368" s="1">
        <v>102552.0</v>
      </c>
      <c r="BE368" s="1" t="s">
        <v>3877</v>
      </c>
      <c r="BF368" s="2" t="str">
        <f>HYPERLINK("http://dx.doi.org/10.1016/j.jcou.2023.102552","http://dx.doi.org/10.1016/j.jcou.2023.102552")</f>
        <v>http://dx.doi.org/10.1016/j.jcou.2023.102552</v>
      </c>
      <c r="BG368" s="1" t="s">
        <v>74</v>
      </c>
      <c r="BH368" s="1" t="s">
        <v>224</v>
      </c>
      <c r="BI368" s="1" t="s">
        <v>74</v>
      </c>
      <c r="BJ368" s="1" t="s">
        <v>74</v>
      </c>
      <c r="BK368" s="1" t="s">
        <v>74</v>
      </c>
      <c r="BL368" s="1" t="s">
        <v>74</v>
      </c>
      <c r="BM368" s="1" t="s">
        <v>74</v>
      </c>
      <c r="BN368" s="1" t="s">
        <v>74</v>
      </c>
      <c r="BO368" s="1" t="s">
        <v>74</v>
      </c>
      <c r="BP368" s="1" t="s">
        <v>74</v>
      </c>
      <c r="BQ368" s="1" t="s">
        <v>74</v>
      </c>
      <c r="BR368" s="1" t="s">
        <v>74</v>
      </c>
      <c r="BS368" s="1" t="s">
        <v>3878</v>
      </c>
      <c r="BT368" s="1" t="str">
        <f>HYPERLINK("https%3A%2F%2Fwww.webofscience.com%2Fwos%2Fwoscc%2Ffull-record%2FWOS:001055232500001","View Full Record in Web of Science")</f>
        <v>View Full Record in Web of Science</v>
      </c>
    </row>
    <row r="369" ht="12.75" customHeight="1">
      <c r="A369" s="1" t="s">
        <v>72</v>
      </c>
      <c r="B369" s="1" t="s">
        <v>3879</v>
      </c>
      <c r="C369" s="1" t="s">
        <v>74</v>
      </c>
      <c r="D369" s="1" t="s">
        <v>74</v>
      </c>
      <c r="E369" s="1" t="s">
        <v>74</v>
      </c>
      <c r="F369" s="1" t="s">
        <v>3880</v>
      </c>
      <c r="G369" s="1" t="s">
        <v>74</v>
      </c>
      <c r="H369" s="1" t="s">
        <v>74</v>
      </c>
      <c r="I369" s="1" t="s">
        <v>3881</v>
      </c>
      <c r="J369" s="1" t="s">
        <v>3882</v>
      </c>
      <c r="K369" s="1" t="s">
        <v>74</v>
      </c>
      <c r="L369" s="1" t="s">
        <v>74</v>
      </c>
      <c r="M369" s="1" t="s">
        <v>74</v>
      </c>
      <c r="N369" s="1" t="s">
        <v>74</v>
      </c>
      <c r="O369" s="1" t="s">
        <v>74</v>
      </c>
      <c r="P369" s="1" t="s">
        <v>74</v>
      </c>
      <c r="Q369" s="1" t="s">
        <v>74</v>
      </c>
      <c r="R369" s="1" t="s">
        <v>74</v>
      </c>
      <c r="S369" s="1" t="s">
        <v>74</v>
      </c>
      <c r="T369" s="1" t="s">
        <v>74</v>
      </c>
      <c r="U369" s="1" t="s">
        <v>74</v>
      </c>
      <c r="V369" s="1" t="s">
        <v>3883</v>
      </c>
      <c r="W369" s="1" t="s">
        <v>74</v>
      </c>
      <c r="X369" s="1" t="s">
        <v>74</v>
      </c>
      <c r="Y369" s="1" t="s">
        <v>74</v>
      </c>
      <c r="Z369" s="1" t="s">
        <v>74</v>
      </c>
      <c r="AA369" s="1" t="s">
        <v>3884</v>
      </c>
      <c r="AB369" s="1" t="s">
        <v>3885</v>
      </c>
      <c r="AC369" s="1" t="s">
        <v>74</v>
      </c>
      <c r="AD369" s="1" t="s">
        <v>74</v>
      </c>
      <c r="AE369" s="1" t="s">
        <v>74</v>
      </c>
      <c r="AF369" s="1" t="s">
        <v>74</v>
      </c>
      <c r="AG369" s="1" t="s">
        <v>74</v>
      </c>
      <c r="AH369" s="1" t="s">
        <v>74</v>
      </c>
      <c r="AI369" s="1" t="s">
        <v>74</v>
      </c>
      <c r="AJ369" s="1" t="s">
        <v>74</v>
      </c>
      <c r="AK369" s="1" t="s">
        <v>74</v>
      </c>
      <c r="AL369" s="1" t="s">
        <v>74</v>
      </c>
      <c r="AM369" s="1" t="s">
        <v>74</v>
      </c>
      <c r="AN369" s="1" t="s">
        <v>74</v>
      </c>
      <c r="AO369" s="1" t="s">
        <v>3886</v>
      </c>
      <c r="AP369" s="1" t="s">
        <v>74</v>
      </c>
      <c r="AQ369" s="1" t="s">
        <v>74</v>
      </c>
      <c r="AR369" s="1" t="s">
        <v>74</v>
      </c>
      <c r="AS369" s="1" t="s">
        <v>74</v>
      </c>
      <c r="AT369" s="1" t="s">
        <v>164</v>
      </c>
      <c r="AU369" s="1">
        <v>2023.0</v>
      </c>
      <c r="AV369" s="1">
        <v>12.0</v>
      </c>
      <c r="AW369" s="1">
        <v>13.0</v>
      </c>
      <c r="AX369" s="1" t="s">
        <v>74</v>
      </c>
      <c r="AY369" s="1" t="s">
        <v>74</v>
      </c>
      <c r="AZ369" s="1" t="s">
        <v>74</v>
      </c>
      <c r="BA369" s="1" t="s">
        <v>74</v>
      </c>
      <c r="BB369" s="1" t="s">
        <v>74</v>
      </c>
      <c r="BC369" s="1" t="s">
        <v>74</v>
      </c>
      <c r="BD369" s="1">
        <v>2791.0</v>
      </c>
      <c r="BE369" s="1" t="s">
        <v>3887</v>
      </c>
      <c r="BF369" s="2" t="str">
        <f>HYPERLINK("http://dx.doi.org/10.3390/electronics12132791","http://dx.doi.org/10.3390/electronics12132791")</f>
        <v>http://dx.doi.org/10.3390/electronics12132791</v>
      </c>
      <c r="BG369" s="1" t="s">
        <v>74</v>
      </c>
      <c r="BH369" s="1" t="s">
        <v>74</v>
      </c>
      <c r="BI369" s="1" t="s">
        <v>74</v>
      </c>
      <c r="BJ369" s="1" t="s">
        <v>74</v>
      </c>
      <c r="BK369" s="1" t="s">
        <v>74</v>
      </c>
      <c r="BL369" s="1" t="s">
        <v>74</v>
      </c>
      <c r="BM369" s="1" t="s">
        <v>74</v>
      </c>
      <c r="BN369" s="1" t="s">
        <v>74</v>
      </c>
      <c r="BO369" s="1" t="s">
        <v>74</v>
      </c>
      <c r="BP369" s="1" t="s">
        <v>74</v>
      </c>
      <c r="BQ369" s="1" t="s">
        <v>74</v>
      </c>
      <c r="BR369" s="1" t="s">
        <v>74</v>
      </c>
      <c r="BS369" s="1" t="s">
        <v>3888</v>
      </c>
      <c r="BT369" s="1" t="str">
        <f>HYPERLINK("https%3A%2F%2Fwww.webofscience.com%2Fwos%2Fwoscc%2Ffull-record%2FWOS:001031195200001","View Full Record in Web of Science")</f>
        <v>View Full Record in Web of Science</v>
      </c>
    </row>
    <row r="370" ht="12.75" customHeight="1">
      <c r="A370" s="1" t="s">
        <v>72</v>
      </c>
      <c r="B370" s="1" t="s">
        <v>3889</v>
      </c>
      <c r="C370" s="1" t="s">
        <v>74</v>
      </c>
      <c r="D370" s="1" t="s">
        <v>74</v>
      </c>
      <c r="E370" s="1" t="s">
        <v>74</v>
      </c>
      <c r="F370" s="1" t="s">
        <v>3890</v>
      </c>
      <c r="G370" s="1" t="s">
        <v>74</v>
      </c>
      <c r="H370" s="1" t="s">
        <v>74</v>
      </c>
      <c r="I370" s="1" t="s">
        <v>3891</v>
      </c>
      <c r="J370" s="1" t="s">
        <v>3892</v>
      </c>
      <c r="K370" s="1" t="s">
        <v>74</v>
      </c>
      <c r="L370" s="1" t="s">
        <v>74</v>
      </c>
      <c r="M370" s="1" t="s">
        <v>74</v>
      </c>
      <c r="N370" s="1" t="s">
        <v>74</v>
      </c>
      <c r="O370" s="1" t="s">
        <v>74</v>
      </c>
      <c r="P370" s="1" t="s">
        <v>74</v>
      </c>
      <c r="Q370" s="1" t="s">
        <v>74</v>
      </c>
      <c r="R370" s="1" t="s">
        <v>74</v>
      </c>
      <c r="S370" s="1" t="s">
        <v>74</v>
      </c>
      <c r="T370" s="1" t="s">
        <v>74</v>
      </c>
      <c r="U370" s="1" t="s">
        <v>74</v>
      </c>
      <c r="V370" s="1" t="s">
        <v>3893</v>
      </c>
      <c r="W370" s="1" t="s">
        <v>74</v>
      </c>
      <c r="X370" s="1" t="s">
        <v>74</v>
      </c>
      <c r="Y370" s="1" t="s">
        <v>74</v>
      </c>
      <c r="Z370" s="1" t="s">
        <v>74</v>
      </c>
      <c r="AA370" s="1" t="s">
        <v>3894</v>
      </c>
      <c r="AB370" s="1" t="s">
        <v>3895</v>
      </c>
      <c r="AC370" s="1" t="s">
        <v>74</v>
      </c>
      <c r="AD370" s="1" t="s">
        <v>74</v>
      </c>
      <c r="AE370" s="1" t="s">
        <v>74</v>
      </c>
      <c r="AF370" s="1" t="s">
        <v>74</v>
      </c>
      <c r="AG370" s="1" t="s">
        <v>74</v>
      </c>
      <c r="AH370" s="1" t="s">
        <v>74</v>
      </c>
      <c r="AI370" s="1" t="s">
        <v>74</v>
      </c>
      <c r="AJ370" s="1" t="s">
        <v>74</v>
      </c>
      <c r="AK370" s="1" t="s">
        <v>74</v>
      </c>
      <c r="AL370" s="1" t="s">
        <v>74</v>
      </c>
      <c r="AM370" s="1" t="s">
        <v>74</v>
      </c>
      <c r="AN370" s="1" t="s">
        <v>74</v>
      </c>
      <c r="AO370" s="1" t="s">
        <v>74</v>
      </c>
      <c r="AP370" s="1" t="s">
        <v>3896</v>
      </c>
      <c r="AQ370" s="1" t="s">
        <v>74</v>
      </c>
      <c r="AR370" s="1" t="s">
        <v>74</v>
      </c>
      <c r="AS370" s="1" t="s">
        <v>74</v>
      </c>
      <c r="AT370" s="1" t="s">
        <v>2222</v>
      </c>
      <c r="AU370" s="1">
        <v>2022.0</v>
      </c>
      <c r="AV370" s="1">
        <v>12.0</v>
      </c>
      <c r="AW370" s="1">
        <v>3.0</v>
      </c>
      <c r="AX370" s="1" t="s">
        <v>74</v>
      </c>
      <c r="AY370" s="1" t="s">
        <v>74</v>
      </c>
      <c r="AZ370" s="1" t="s">
        <v>74</v>
      </c>
      <c r="BA370" s="1" t="s">
        <v>74</v>
      </c>
      <c r="BB370" s="1" t="s">
        <v>74</v>
      </c>
      <c r="BC370" s="1" t="s">
        <v>74</v>
      </c>
      <c r="BD370" s="1">
        <v>35044.0</v>
      </c>
      <c r="BE370" s="1" t="s">
        <v>3897</v>
      </c>
      <c r="BF370" s="2" t="str">
        <f>HYPERLINK("http://dx.doi.org/10.1063/9.0000312","http://dx.doi.org/10.1063/9.0000312")</f>
        <v>http://dx.doi.org/10.1063/9.0000312</v>
      </c>
      <c r="BG370" s="1" t="s">
        <v>74</v>
      </c>
      <c r="BH370" s="1" t="s">
        <v>74</v>
      </c>
      <c r="BI370" s="1" t="s">
        <v>74</v>
      </c>
      <c r="BJ370" s="1" t="s">
        <v>74</v>
      </c>
      <c r="BK370" s="1" t="s">
        <v>74</v>
      </c>
      <c r="BL370" s="1" t="s">
        <v>74</v>
      </c>
      <c r="BM370" s="1" t="s">
        <v>74</v>
      </c>
      <c r="BN370" s="1" t="s">
        <v>74</v>
      </c>
      <c r="BO370" s="1" t="s">
        <v>74</v>
      </c>
      <c r="BP370" s="1" t="s">
        <v>74</v>
      </c>
      <c r="BQ370" s="1" t="s">
        <v>74</v>
      </c>
      <c r="BR370" s="1" t="s">
        <v>74</v>
      </c>
      <c r="BS370" s="1" t="s">
        <v>3898</v>
      </c>
      <c r="BT370" s="1" t="str">
        <f>HYPERLINK("https%3A%2F%2Fwww.webofscience.com%2Fwos%2Fwoscc%2Ffull-record%2FWOS:000780210300006","View Full Record in Web of Science")</f>
        <v>View Full Record in Web of Science</v>
      </c>
    </row>
    <row r="371" ht="12.75" customHeight="1">
      <c r="A371" s="1" t="s">
        <v>72</v>
      </c>
      <c r="B371" s="1" t="s">
        <v>3899</v>
      </c>
      <c r="C371" s="1" t="s">
        <v>74</v>
      </c>
      <c r="D371" s="1" t="s">
        <v>74</v>
      </c>
      <c r="E371" s="1" t="s">
        <v>74</v>
      </c>
      <c r="F371" s="1" t="s">
        <v>3900</v>
      </c>
      <c r="G371" s="1" t="s">
        <v>74</v>
      </c>
      <c r="H371" s="1" t="s">
        <v>74</v>
      </c>
      <c r="I371" s="1" t="s">
        <v>3901</v>
      </c>
      <c r="J371" s="1" t="s">
        <v>3902</v>
      </c>
      <c r="K371" s="1" t="s">
        <v>74</v>
      </c>
      <c r="L371" s="1" t="s">
        <v>74</v>
      </c>
      <c r="M371" s="1" t="s">
        <v>74</v>
      </c>
      <c r="N371" s="1" t="s">
        <v>74</v>
      </c>
      <c r="O371" s="1" t="s">
        <v>74</v>
      </c>
      <c r="P371" s="1" t="s">
        <v>74</v>
      </c>
      <c r="Q371" s="1" t="s">
        <v>74</v>
      </c>
      <c r="R371" s="1" t="s">
        <v>74</v>
      </c>
      <c r="S371" s="1" t="s">
        <v>74</v>
      </c>
      <c r="T371" s="1" t="s">
        <v>74</v>
      </c>
      <c r="U371" s="1" t="s">
        <v>74</v>
      </c>
      <c r="V371" s="1" t="s">
        <v>3903</v>
      </c>
      <c r="W371" s="1" t="s">
        <v>74</v>
      </c>
      <c r="X371" s="1" t="s">
        <v>74</v>
      </c>
      <c r="Y371" s="1" t="s">
        <v>74</v>
      </c>
      <c r="Z371" s="1" t="s">
        <v>74</v>
      </c>
      <c r="AA371" s="1" t="s">
        <v>3904</v>
      </c>
      <c r="AB371" s="1" t="s">
        <v>3905</v>
      </c>
      <c r="AC371" s="1" t="s">
        <v>74</v>
      </c>
      <c r="AD371" s="1" t="s">
        <v>74</v>
      </c>
      <c r="AE371" s="1" t="s">
        <v>74</v>
      </c>
      <c r="AF371" s="1" t="s">
        <v>74</v>
      </c>
      <c r="AG371" s="1" t="s">
        <v>74</v>
      </c>
      <c r="AH371" s="1" t="s">
        <v>74</v>
      </c>
      <c r="AI371" s="1" t="s">
        <v>74</v>
      </c>
      <c r="AJ371" s="1" t="s">
        <v>74</v>
      </c>
      <c r="AK371" s="1" t="s">
        <v>74</v>
      </c>
      <c r="AL371" s="1" t="s">
        <v>74</v>
      </c>
      <c r="AM371" s="1" t="s">
        <v>74</v>
      </c>
      <c r="AN371" s="1" t="s">
        <v>74</v>
      </c>
      <c r="AO371" s="1" t="s">
        <v>3906</v>
      </c>
      <c r="AP371" s="1" t="s">
        <v>3907</v>
      </c>
      <c r="AQ371" s="1" t="s">
        <v>74</v>
      </c>
      <c r="AR371" s="1" t="s">
        <v>74</v>
      </c>
      <c r="AS371" s="1" t="s">
        <v>74</v>
      </c>
      <c r="AT371" s="1" t="s">
        <v>74</v>
      </c>
      <c r="AU371" s="1">
        <v>2022.0</v>
      </c>
      <c r="AV371" s="1">
        <v>32.0</v>
      </c>
      <c r="AW371" s="1">
        <v>3.0</v>
      </c>
      <c r="AX371" s="1" t="s">
        <v>74</v>
      </c>
      <c r="AY371" s="1" t="s">
        <v>74</v>
      </c>
      <c r="AZ371" s="1" t="s">
        <v>74</v>
      </c>
      <c r="BA371" s="1" t="s">
        <v>74</v>
      </c>
      <c r="BB371" s="1" t="s">
        <v>74</v>
      </c>
      <c r="BC371" s="1" t="s">
        <v>74</v>
      </c>
      <c r="BD371" s="1">
        <v>10511.0</v>
      </c>
      <c r="BE371" s="1" t="s">
        <v>3908</v>
      </c>
      <c r="BF371" s="2" t="str">
        <f>HYPERLINK("http://dx.doi.org/10.4081/ejtm.2022.10511","http://dx.doi.org/10.4081/ejtm.2022.10511")</f>
        <v>http://dx.doi.org/10.4081/ejtm.2022.10511</v>
      </c>
      <c r="BG371" s="1" t="s">
        <v>74</v>
      </c>
      <c r="BH371" s="1" t="s">
        <v>74</v>
      </c>
      <c r="BI371" s="1" t="s">
        <v>74</v>
      </c>
      <c r="BJ371" s="1" t="s">
        <v>74</v>
      </c>
      <c r="BK371" s="1" t="s">
        <v>74</v>
      </c>
      <c r="BL371" s="1" t="s">
        <v>74</v>
      </c>
      <c r="BM371" s="1" t="s">
        <v>74</v>
      </c>
      <c r="BN371" s="1">
        <v>3.603635E7</v>
      </c>
      <c r="BO371" s="1" t="s">
        <v>74</v>
      </c>
      <c r="BP371" s="1" t="s">
        <v>74</v>
      </c>
      <c r="BQ371" s="1" t="s">
        <v>74</v>
      </c>
      <c r="BR371" s="1" t="s">
        <v>74</v>
      </c>
      <c r="BS371" s="1" t="s">
        <v>3909</v>
      </c>
      <c r="BT371" s="1" t="str">
        <f>HYPERLINK("https%3A%2F%2Fwww.webofscience.com%2Fwos%2Fwoscc%2Ffull-record%2FWOS:000883251000018","View Full Record in Web of Science")</f>
        <v>View Full Record in Web of Science</v>
      </c>
    </row>
    <row r="372" ht="12.75" customHeight="1">
      <c r="A372" s="1" t="s">
        <v>72</v>
      </c>
      <c r="B372" s="1" t="s">
        <v>3910</v>
      </c>
      <c r="C372" s="1" t="s">
        <v>74</v>
      </c>
      <c r="D372" s="1" t="s">
        <v>74</v>
      </c>
      <c r="E372" s="1" t="s">
        <v>74</v>
      </c>
      <c r="F372" s="1" t="s">
        <v>3911</v>
      </c>
      <c r="G372" s="1" t="s">
        <v>74</v>
      </c>
      <c r="H372" s="1" t="s">
        <v>74</v>
      </c>
      <c r="I372" s="1" t="s">
        <v>3912</v>
      </c>
      <c r="J372" s="1" t="s">
        <v>2835</v>
      </c>
      <c r="K372" s="1" t="s">
        <v>74</v>
      </c>
      <c r="L372" s="1" t="s">
        <v>74</v>
      </c>
      <c r="M372" s="1" t="s">
        <v>74</v>
      </c>
      <c r="N372" s="1" t="s">
        <v>74</v>
      </c>
      <c r="O372" s="1" t="s">
        <v>74</v>
      </c>
      <c r="P372" s="1" t="s">
        <v>74</v>
      </c>
      <c r="Q372" s="1" t="s">
        <v>74</v>
      </c>
      <c r="R372" s="1" t="s">
        <v>74</v>
      </c>
      <c r="S372" s="1" t="s">
        <v>74</v>
      </c>
      <c r="T372" s="1" t="s">
        <v>74</v>
      </c>
      <c r="U372" s="1" t="s">
        <v>74</v>
      </c>
      <c r="V372" s="1" t="s">
        <v>3913</v>
      </c>
      <c r="W372" s="1" t="s">
        <v>74</v>
      </c>
      <c r="X372" s="1" t="s">
        <v>74</v>
      </c>
      <c r="Y372" s="1" t="s">
        <v>74</v>
      </c>
      <c r="Z372" s="1" t="s">
        <v>74</v>
      </c>
      <c r="AA372" s="1" t="s">
        <v>3914</v>
      </c>
      <c r="AB372" s="1" t="s">
        <v>3915</v>
      </c>
      <c r="AC372" s="1" t="s">
        <v>74</v>
      </c>
      <c r="AD372" s="1" t="s">
        <v>74</v>
      </c>
      <c r="AE372" s="1" t="s">
        <v>74</v>
      </c>
      <c r="AF372" s="1" t="s">
        <v>74</v>
      </c>
      <c r="AG372" s="1" t="s">
        <v>74</v>
      </c>
      <c r="AH372" s="1" t="s">
        <v>74</v>
      </c>
      <c r="AI372" s="1" t="s">
        <v>74</v>
      </c>
      <c r="AJ372" s="1" t="s">
        <v>74</v>
      </c>
      <c r="AK372" s="1" t="s">
        <v>74</v>
      </c>
      <c r="AL372" s="1" t="s">
        <v>74</v>
      </c>
      <c r="AM372" s="1" t="s">
        <v>74</v>
      </c>
      <c r="AN372" s="1" t="s">
        <v>74</v>
      </c>
      <c r="AO372" s="1" t="s">
        <v>2839</v>
      </c>
      <c r="AP372" s="1" t="s">
        <v>2840</v>
      </c>
      <c r="AQ372" s="1" t="s">
        <v>74</v>
      </c>
      <c r="AR372" s="1" t="s">
        <v>74</v>
      </c>
      <c r="AS372" s="1" t="s">
        <v>74</v>
      </c>
      <c r="AT372" s="1" t="s">
        <v>3916</v>
      </c>
      <c r="AU372" s="1">
        <v>2022.0</v>
      </c>
      <c r="AV372" s="1">
        <v>46.0</v>
      </c>
      <c r="AW372" s="1">
        <v>2.0</v>
      </c>
      <c r="AX372" s="1" t="s">
        <v>74</v>
      </c>
      <c r="AY372" s="1" t="s">
        <v>74</v>
      </c>
      <c r="AZ372" s="1" t="s">
        <v>74</v>
      </c>
      <c r="BA372" s="1" t="s">
        <v>74</v>
      </c>
      <c r="BB372" s="1">
        <v>714.0</v>
      </c>
      <c r="BC372" s="1">
        <v>725.0</v>
      </c>
      <c r="BD372" s="1" t="s">
        <v>74</v>
      </c>
      <c r="BE372" s="1" t="s">
        <v>3917</v>
      </c>
      <c r="BF372" s="2" t="str">
        <f>HYPERLINK("http://dx.doi.org/10.1039/d1nj04441a","http://dx.doi.org/10.1039/d1nj04441a")</f>
        <v>http://dx.doi.org/10.1039/d1nj04441a</v>
      </c>
      <c r="BG372" s="1" t="s">
        <v>74</v>
      </c>
      <c r="BH372" s="1" t="s">
        <v>3918</v>
      </c>
      <c r="BI372" s="1" t="s">
        <v>74</v>
      </c>
      <c r="BJ372" s="1" t="s">
        <v>74</v>
      </c>
      <c r="BK372" s="1" t="s">
        <v>74</v>
      </c>
      <c r="BL372" s="1" t="s">
        <v>74</v>
      </c>
      <c r="BM372" s="1" t="s">
        <v>74</v>
      </c>
      <c r="BN372" s="1" t="s">
        <v>74</v>
      </c>
      <c r="BO372" s="1" t="s">
        <v>74</v>
      </c>
      <c r="BP372" s="1" t="s">
        <v>74</v>
      </c>
      <c r="BQ372" s="1" t="s">
        <v>74</v>
      </c>
      <c r="BR372" s="1" t="s">
        <v>74</v>
      </c>
      <c r="BS372" s="1" t="s">
        <v>3919</v>
      </c>
      <c r="BT372" s="1" t="str">
        <f>HYPERLINK("https%3A%2F%2Fwww.webofscience.com%2Fwos%2Fwoscc%2Ffull-record%2FWOS:000729561400001","View Full Record in Web of Science")</f>
        <v>View Full Record in Web of Science</v>
      </c>
    </row>
    <row r="373" ht="12.75" customHeight="1">
      <c r="A373" s="1" t="s">
        <v>72</v>
      </c>
      <c r="B373" s="1" t="s">
        <v>3920</v>
      </c>
      <c r="C373" s="1" t="s">
        <v>74</v>
      </c>
      <c r="D373" s="1" t="s">
        <v>74</v>
      </c>
      <c r="E373" s="1" t="s">
        <v>74</v>
      </c>
      <c r="F373" s="1" t="s">
        <v>3921</v>
      </c>
      <c r="G373" s="1" t="s">
        <v>74</v>
      </c>
      <c r="H373" s="1" t="s">
        <v>74</v>
      </c>
      <c r="I373" s="1" t="s">
        <v>3922</v>
      </c>
      <c r="J373" s="1" t="s">
        <v>3533</v>
      </c>
      <c r="K373" s="1" t="s">
        <v>74</v>
      </c>
      <c r="L373" s="1" t="s">
        <v>74</v>
      </c>
      <c r="M373" s="1" t="s">
        <v>74</v>
      </c>
      <c r="N373" s="1" t="s">
        <v>74</v>
      </c>
      <c r="O373" s="1" t="s">
        <v>74</v>
      </c>
      <c r="P373" s="1" t="s">
        <v>74</v>
      </c>
      <c r="Q373" s="1" t="s">
        <v>74</v>
      </c>
      <c r="R373" s="1" t="s">
        <v>74</v>
      </c>
      <c r="S373" s="1" t="s">
        <v>74</v>
      </c>
      <c r="T373" s="1" t="s">
        <v>74</v>
      </c>
      <c r="U373" s="1" t="s">
        <v>74</v>
      </c>
      <c r="V373" s="1" t="s">
        <v>3923</v>
      </c>
      <c r="W373" s="1" t="s">
        <v>74</v>
      </c>
      <c r="X373" s="1" t="s">
        <v>74</v>
      </c>
      <c r="Y373" s="1" t="s">
        <v>74</v>
      </c>
      <c r="Z373" s="1" t="s">
        <v>74</v>
      </c>
      <c r="AA373" s="1" t="s">
        <v>3924</v>
      </c>
      <c r="AB373" s="1" t="s">
        <v>3925</v>
      </c>
      <c r="AC373" s="1" t="s">
        <v>74</v>
      </c>
      <c r="AD373" s="1" t="s">
        <v>74</v>
      </c>
      <c r="AE373" s="1" t="s">
        <v>74</v>
      </c>
      <c r="AF373" s="1" t="s">
        <v>74</v>
      </c>
      <c r="AG373" s="1" t="s">
        <v>74</v>
      </c>
      <c r="AH373" s="1" t="s">
        <v>74</v>
      </c>
      <c r="AI373" s="1" t="s">
        <v>74</v>
      </c>
      <c r="AJ373" s="1" t="s">
        <v>74</v>
      </c>
      <c r="AK373" s="1" t="s">
        <v>74</v>
      </c>
      <c r="AL373" s="1" t="s">
        <v>74</v>
      </c>
      <c r="AM373" s="1" t="s">
        <v>74</v>
      </c>
      <c r="AN373" s="1" t="s">
        <v>74</v>
      </c>
      <c r="AO373" s="1" t="s">
        <v>3537</v>
      </c>
      <c r="AP373" s="1" t="s">
        <v>3538</v>
      </c>
      <c r="AQ373" s="1" t="s">
        <v>74</v>
      </c>
      <c r="AR373" s="1" t="s">
        <v>74</v>
      </c>
      <c r="AS373" s="1" t="s">
        <v>74</v>
      </c>
      <c r="AT373" s="1" t="s">
        <v>3926</v>
      </c>
      <c r="AU373" s="1">
        <v>2021.0</v>
      </c>
      <c r="AV373" s="1">
        <v>800.0</v>
      </c>
      <c r="AW373" s="1" t="s">
        <v>74</v>
      </c>
      <c r="AX373" s="1" t="s">
        <v>74</v>
      </c>
      <c r="AY373" s="1" t="s">
        <v>74</v>
      </c>
      <c r="AZ373" s="1" t="s">
        <v>74</v>
      </c>
      <c r="BA373" s="1" t="s">
        <v>74</v>
      </c>
      <c r="BB373" s="1" t="s">
        <v>74</v>
      </c>
      <c r="BC373" s="1" t="s">
        <v>74</v>
      </c>
      <c r="BD373" s="1">
        <v>149653.0</v>
      </c>
      <c r="BE373" s="1" t="s">
        <v>3927</v>
      </c>
      <c r="BF373" s="2" t="str">
        <f>HYPERLINK("http://dx.doi.org/10.1016/j.scitotenv.2021.149653","http://dx.doi.org/10.1016/j.scitotenv.2021.149653")</f>
        <v>http://dx.doi.org/10.1016/j.scitotenv.2021.149653</v>
      </c>
      <c r="BG373" s="1" t="s">
        <v>74</v>
      </c>
      <c r="BH373" s="1" t="s">
        <v>3928</v>
      </c>
      <c r="BI373" s="1" t="s">
        <v>74</v>
      </c>
      <c r="BJ373" s="1" t="s">
        <v>74</v>
      </c>
      <c r="BK373" s="1" t="s">
        <v>74</v>
      </c>
      <c r="BL373" s="1" t="s">
        <v>74</v>
      </c>
      <c r="BM373" s="1" t="s">
        <v>74</v>
      </c>
      <c r="BN373" s="1">
        <v>3.442635E7</v>
      </c>
      <c r="BO373" s="1" t="s">
        <v>74</v>
      </c>
      <c r="BP373" s="1" t="s">
        <v>74</v>
      </c>
      <c r="BQ373" s="1" t="s">
        <v>74</v>
      </c>
      <c r="BR373" s="1" t="s">
        <v>74</v>
      </c>
      <c r="BS373" s="1" t="s">
        <v>3929</v>
      </c>
      <c r="BT373" s="1" t="str">
        <f>HYPERLINK("https%3A%2F%2Fwww.webofscience.com%2Fwos%2Fwoscc%2Ffull-record%2FWOS:000701672200003","View Full Record in Web of Science")</f>
        <v>View Full Record in Web of Science</v>
      </c>
    </row>
    <row r="374" ht="12.75" customHeight="1">
      <c r="A374" s="1" t="s">
        <v>72</v>
      </c>
      <c r="B374" s="1" t="s">
        <v>3930</v>
      </c>
      <c r="C374" s="1" t="s">
        <v>74</v>
      </c>
      <c r="D374" s="1" t="s">
        <v>74</v>
      </c>
      <c r="E374" s="1" t="s">
        <v>74</v>
      </c>
      <c r="F374" s="1" t="s">
        <v>3931</v>
      </c>
      <c r="G374" s="1" t="s">
        <v>74</v>
      </c>
      <c r="H374" s="1" t="s">
        <v>74</v>
      </c>
      <c r="I374" s="1" t="s">
        <v>3932</v>
      </c>
      <c r="J374" s="1" t="s">
        <v>3933</v>
      </c>
      <c r="K374" s="1" t="s">
        <v>74</v>
      </c>
      <c r="L374" s="1" t="s">
        <v>74</v>
      </c>
      <c r="M374" s="1" t="s">
        <v>74</v>
      </c>
      <c r="N374" s="1" t="s">
        <v>74</v>
      </c>
      <c r="O374" s="1" t="s">
        <v>74</v>
      </c>
      <c r="P374" s="1" t="s">
        <v>74</v>
      </c>
      <c r="Q374" s="1" t="s">
        <v>74</v>
      </c>
      <c r="R374" s="1" t="s">
        <v>74</v>
      </c>
      <c r="S374" s="1" t="s">
        <v>74</v>
      </c>
      <c r="T374" s="1" t="s">
        <v>74</v>
      </c>
      <c r="U374" s="1" t="s">
        <v>74</v>
      </c>
      <c r="V374" s="1" t="s">
        <v>3934</v>
      </c>
      <c r="W374" s="1" t="s">
        <v>74</v>
      </c>
      <c r="X374" s="1" t="s">
        <v>74</v>
      </c>
      <c r="Y374" s="1" t="s">
        <v>74</v>
      </c>
      <c r="Z374" s="1" t="s">
        <v>74</v>
      </c>
      <c r="AA374" s="1" t="s">
        <v>3935</v>
      </c>
      <c r="AB374" s="1" t="s">
        <v>3936</v>
      </c>
      <c r="AC374" s="1" t="s">
        <v>74</v>
      </c>
      <c r="AD374" s="1" t="s">
        <v>74</v>
      </c>
      <c r="AE374" s="1" t="s">
        <v>74</v>
      </c>
      <c r="AF374" s="1" t="s">
        <v>74</v>
      </c>
      <c r="AG374" s="1" t="s">
        <v>74</v>
      </c>
      <c r="AH374" s="1" t="s">
        <v>74</v>
      </c>
      <c r="AI374" s="1" t="s">
        <v>74</v>
      </c>
      <c r="AJ374" s="1" t="s">
        <v>74</v>
      </c>
      <c r="AK374" s="1" t="s">
        <v>74</v>
      </c>
      <c r="AL374" s="1" t="s">
        <v>74</v>
      </c>
      <c r="AM374" s="1" t="s">
        <v>74</v>
      </c>
      <c r="AN374" s="1" t="s">
        <v>74</v>
      </c>
      <c r="AO374" s="1" t="s">
        <v>3937</v>
      </c>
      <c r="AP374" s="1" t="s">
        <v>3938</v>
      </c>
      <c r="AQ374" s="1" t="s">
        <v>74</v>
      </c>
      <c r="AR374" s="1" t="s">
        <v>74</v>
      </c>
      <c r="AS374" s="1" t="s">
        <v>74</v>
      </c>
      <c r="AT374" s="1" t="s">
        <v>3939</v>
      </c>
      <c r="AU374" s="1">
        <v>2021.0</v>
      </c>
      <c r="AV374" s="1">
        <v>23.0</v>
      </c>
      <c r="AW374" s="1">
        <v>24.0</v>
      </c>
      <c r="AX374" s="1" t="s">
        <v>74</v>
      </c>
      <c r="AY374" s="1" t="s">
        <v>74</v>
      </c>
      <c r="AZ374" s="1" t="s">
        <v>74</v>
      </c>
      <c r="BA374" s="1" t="s">
        <v>74</v>
      </c>
      <c r="BB374" s="1">
        <v>13574.0</v>
      </c>
      <c r="BC374" s="1">
        <v>13582.0</v>
      </c>
      <c r="BD374" s="1" t="s">
        <v>74</v>
      </c>
      <c r="BE374" s="1" t="s">
        <v>3940</v>
      </c>
      <c r="BF374" s="2" t="str">
        <f>HYPERLINK("http://dx.doi.org/10.1039/d1cp01441b","http://dx.doi.org/10.1039/d1cp01441b")</f>
        <v>http://dx.doi.org/10.1039/d1cp01441b</v>
      </c>
      <c r="BG374" s="1" t="s">
        <v>74</v>
      </c>
      <c r="BH374" s="1" t="s">
        <v>2056</v>
      </c>
      <c r="BI374" s="1" t="s">
        <v>74</v>
      </c>
      <c r="BJ374" s="1" t="s">
        <v>74</v>
      </c>
      <c r="BK374" s="1" t="s">
        <v>74</v>
      </c>
      <c r="BL374" s="1" t="s">
        <v>74</v>
      </c>
      <c r="BM374" s="1" t="s">
        <v>74</v>
      </c>
      <c r="BN374" s="1">
        <v>3.410933E7</v>
      </c>
      <c r="BO374" s="1" t="s">
        <v>74</v>
      </c>
      <c r="BP374" s="1" t="s">
        <v>74</v>
      </c>
      <c r="BQ374" s="1" t="s">
        <v>74</v>
      </c>
      <c r="BR374" s="1" t="s">
        <v>74</v>
      </c>
      <c r="BS374" s="1" t="s">
        <v>3941</v>
      </c>
      <c r="BT374" s="1" t="str">
        <f>HYPERLINK("https%3A%2F%2Fwww.webofscience.com%2Fwos%2Fwoscc%2Ffull-record%2FWOS:000659473700001","View Full Record in Web of Science")</f>
        <v>View Full Record in Web of Science</v>
      </c>
    </row>
    <row r="375" ht="12.75" customHeight="1">
      <c r="A375" s="1" t="s">
        <v>72</v>
      </c>
      <c r="B375" s="1" t="s">
        <v>3942</v>
      </c>
      <c r="C375" s="1" t="s">
        <v>74</v>
      </c>
      <c r="D375" s="1" t="s">
        <v>74</v>
      </c>
      <c r="E375" s="1" t="s">
        <v>74</v>
      </c>
      <c r="F375" s="1" t="s">
        <v>3943</v>
      </c>
      <c r="G375" s="1" t="s">
        <v>74</v>
      </c>
      <c r="H375" s="1" t="s">
        <v>74</v>
      </c>
      <c r="I375" s="1" t="s">
        <v>3944</v>
      </c>
      <c r="J375" s="1" t="s">
        <v>3945</v>
      </c>
      <c r="K375" s="1" t="s">
        <v>74</v>
      </c>
      <c r="L375" s="1" t="s">
        <v>74</v>
      </c>
      <c r="M375" s="1" t="s">
        <v>74</v>
      </c>
      <c r="N375" s="1" t="s">
        <v>74</v>
      </c>
      <c r="O375" s="1" t="s">
        <v>74</v>
      </c>
      <c r="P375" s="1" t="s">
        <v>74</v>
      </c>
      <c r="Q375" s="1" t="s">
        <v>74</v>
      </c>
      <c r="R375" s="1" t="s">
        <v>74</v>
      </c>
      <c r="S375" s="1" t="s">
        <v>74</v>
      </c>
      <c r="T375" s="1" t="s">
        <v>74</v>
      </c>
      <c r="U375" s="1" t="s">
        <v>74</v>
      </c>
      <c r="V375" s="1" t="s">
        <v>3946</v>
      </c>
      <c r="W375" s="1" t="s">
        <v>74</v>
      </c>
      <c r="X375" s="1" t="s">
        <v>74</v>
      </c>
      <c r="Y375" s="1" t="s">
        <v>74</v>
      </c>
      <c r="Z375" s="1" t="s">
        <v>74</v>
      </c>
      <c r="AA375" s="1" t="s">
        <v>3947</v>
      </c>
      <c r="AB375" s="1" t="s">
        <v>3948</v>
      </c>
      <c r="AC375" s="1" t="s">
        <v>74</v>
      </c>
      <c r="AD375" s="1" t="s">
        <v>74</v>
      </c>
      <c r="AE375" s="1" t="s">
        <v>74</v>
      </c>
      <c r="AF375" s="1" t="s">
        <v>74</v>
      </c>
      <c r="AG375" s="1" t="s">
        <v>74</v>
      </c>
      <c r="AH375" s="1" t="s">
        <v>74</v>
      </c>
      <c r="AI375" s="1" t="s">
        <v>74</v>
      </c>
      <c r="AJ375" s="1" t="s">
        <v>74</v>
      </c>
      <c r="AK375" s="1" t="s">
        <v>74</v>
      </c>
      <c r="AL375" s="1" t="s">
        <v>74</v>
      </c>
      <c r="AM375" s="1" t="s">
        <v>74</v>
      </c>
      <c r="AN375" s="1" t="s">
        <v>74</v>
      </c>
      <c r="AO375" s="1" t="s">
        <v>3949</v>
      </c>
      <c r="AP375" s="1" t="s">
        <v>3950</v>
      </c>
      <c r="AQ375" s="1" t="s">
        <v>74</v>
      </c>
      <c r="AR375" s="1" t="s">
        <v>74</v>
      </c>
      <c r="AS375" s="1" t="s">
        <v>74</v>
      </c>
      <c r="AT375" s="1" t="s">
        <v>235</v>
      </c>
      <c r="AU375" s="1">
        <v>2021.0</v>
      </c>
      <c r="AV375" s="1">
        <v>13.0</v>
      </c>
      <c r="AW375" s="1">
        <v>4.0</v>
      </c>
      <c r="AX375" s="1" t="s">
        <v>74</v>
      </c>
      <c r="AY375" s="1" t="s">
        <v>74</v>
      </c>
      <c r="AZ375" s="1" t="s">
        <v>74</v>
      </c>
      <c r="BA375" s="1" t="s">
        <v>74</v>
      </c>
      <c r="BB375" s="1" t="s">
        <v>74</v>
      </c>
      <c r="BC375" s="1" t="s">
        <v>74</v>
      </c>
      <c r="BD375" s="1">
        <v>1.6878140211010656E16</v>
      </c>
      <c r="BE375" s="1" t="s">
        <v>3951</v>
      </c>
      <c r="BF375" s="2" t="str">
        <f>HYPERLINK("http://dx.doi.org/10.1177/16878140211010657","http://dx.doi.org/10.1177/16878140211010657")</f>
        <v>http://dx.doi.org/10.1177/16878140211010657</v>
      </c>
      <c r="BG375" s="1" t="s">
        <v>74</v>
      </c>
      <c r="BH375" s="1" t="s">
        <v>74</v>
      </c>
      <c r="BI375" s="1" t="s">
        <v>74</v>
      </c>
      <c r="BJ375" s="1" t="s">
        <v>74</v>
      </c>
      <c r="BK375" s="1" t="s">
        <v>74</v>
      </c>
      <c r="BL375" s="1" t="s">
        <v>74</v>
      </c>
      <c r="BM375" s="1" t="s">
        <v>74</v>
      </c>
      <c r="BN375" s="1" t="s">
        <v>74</v>
      </c>
      <c r="BO375" s="1" t="s">
        <v>74</v>
      </c>
      <c r="BP375" s="1" t="s">
        <v>74</v>
      </c>
      <c r="BQ375" s="1" t="s">
        <v>74</v>
      </c>
      <c r="BR375" s="1" t="s">
        <v>74</v>
      </c>
      <c r="BS375" s="1" t="s">
        <v>3952</v>
      </c>
      <c r="BT375" s="1" t="str">
        <f>HYPERLINK("https%3A%2F%2Fwww.webofscience.com%2Fwos%2Fwoscc%2Ffull-record%2FWOS:000698107700001","View Full Record in Web of Science")</f>
        <v>View Full Record in Web of Science</v>
      </c>
    </row>
    <row r="376" ht="12.75" customHeight="1">
      <c r="A376" s="1" t="s">
        <v>72</v>
      </c>
      <c r="B376" s="1" t="s">
        <v>3953</v>
      </c>
      <c r="C376" s="1" t="s">
        <v>74</v>
      </c>
      <c r="D376" s="1" t="s">
        <v>74</v>
      </c>
      <c r="E376" s="1" t="s">
        <v>74</v>
      </c>
      <c r="F376" s="1" t="s">
        <v>3954</v>
      </c>
      <c r="G376" s="1" t="s">
        <v>74</v>
      </c>
      <c r="H376" s="1" t="s">
        <v>74</v>
      </c>
      <c r="I376" s="1" t="s">
        <v>3955</v>
      </c>
      <c r="J376" s="1" t="s">
        <v>3956</v>
      </c>
      <c r="K376" s="1" t="s">
        <v>74</v>
      </c>
      <c r="L376" s="1" t="s">
        <v>74</v>
      </c>
      <c r="M376" s="1" t="s">
        <v>74</v>
      </c>
      <c r="N376" s="1" t="s">
        <v>74</v>
      </c>
      <c r="O376" s="1" t="s">
        <v>74</v>
      </c>
      <c r="P376" s="1" t="s">
        <v>74</v>
      </c>
      <c r="Q376" s="1" t="s">
        <v>74</v>
      </c>
      <c r="R376" s="1" t="s">
        <v>74</v>
      </c>
      <c r="S376" s="1" t="s">
        <v>74</v>
      </c>
      <c r="T376" s="1" t="s">
        <v>74</v>
      </c>
      <c r="U376" s="1" t="s">
        <v>74</v>
      </c>
      <c r="V376" s="1" t="s">
        <v>3957</v>
      </c>
      <c r="W376" s="1" t="s">
        <v>74</v>
      </c>
      <c r="X376" s="1" t="s">
        <v>74</v>
      </c>
      <c r="Y376" s="1" t="s">
        <v>74</v>
      </c>
      <c r="Z376" s="1" t="s">
        <v>74</v>
      </c>
      <c r="AA376" s="1" t="s">
        <v>3958</v>
      </c>
      <c r="AB376" s="1" t="s">
        <v>3959</v>
      </c>
      <c r="AC376" s="1" t="s">
        <v>74</v>
      </c>
      <c r="AD376" s="1" t="s">
        <v>74</v>
      </c>
      <c r="AE376" s="1" t="s">
        <v>74</v>
      </c>
      <c r="AF376" s="1" t="s">
        <v>74</v>
      </c>
      <c r="AG376" s="1" t="s">
        <v>74</v>
      </c>
      <c r="AH376" s="1" t="s">
        <v>74</v>
      </c>
      <c r="AI376" s="1" t="s">
        <v>74</v>
      </c>
      <c r="AJ376" s="1" t="s">
        <v>74</v>
      </c>
      <c r="AK376" s="1" t="s">
        <v>74</v>
      </c>
      <c r="AL376" s="1" t="s">
        <v>74</v>
      </c>
      <c r="AM376" s="1" t="s">
        <v>74</v>
      </c>
      <c r="AN376" s="1" t="s">
        <v>74</v>
      </c>
      <c r="AO376" s="1" t="s">
        <v>3960</v>
      </c>
      <c r="AP376" s="1" t="s">
        <v>3961</v>
      </c>
      <c r="AQ376" s="1" t="s">
        <v>74</v>
      </c>
      <c r="AR376" s="1" t="s">
        <v>74</v>
      </c>
      <c r="AS376" s="1" t="s">
        <v>74</v>
      </c>
      <c r="AT376" s="1" t="s">
        <v>1841</v>
      </c>
      <c r="AU376" s="1">
        <v>2021.0</v>
      </c>
      <c r="AV376" s="1">
        <v>290.0</v>
      </c>
      <c r="AW376" s="1" t="s">
        <v>74</v>
      </c>
      <c r="AX376" s="1" t="s">
        <v>74</v>
      </c>
      <c r="AY376" s="1" t="s">
        <v>74</v>
      </c>
      <c r="AZ376" s="1" t="s">
        <v>74</v>
      </c>
      <c r="BA376" s="1" t="s">
        <v>74</v>
      </c>
      <c r="BB376" s="1" t="s">
        <v>74</v>
      </c>
      <c r="BC376" s="1" t="s">
        <v>74</v>
      </c>
      <c r="BD376" s="1">
        <v>129473.0</v>
      </c>
      <c r="BE376" s="1" t="s">
        <v>3962</v>
      </c>
      <c r="BF376" s="2" t="str">
        <f>HYPERLINK("http://dx.doi.org/10.1016/j.matlet.2021.129473","http://dx.doi.org/10.1016/j.matlet.2021.129473")</f>
        <v>http://dx.doi.org/10.1016/j.matlet.2021.129473</v>
      </c>
      <c r="BG376" s="1" t="s">
        <v>74</v>
      </c>
      <c r="BH376" s="1" t="s">
        <v>3963</v>
      </c>
      <c r="BI376" s="1" t="s">
        <v>74</v>
      </c>
      <c r="BJ376" s="1" t="s">
        <v>74</v>
      </c>
      <c r="BK376" s="1" t="s">
        <v>74</v>
      </c>
      <c r="BL376" s="1" t="s">
        <v>74</v>
      </c>
      <c r="BM376" s="1" t="s">
        <v>74</v>
      </c>
      <c r="BN376" s="1" t="s">
        <v>74</v>
      </c>
      <c r="BO376" s="1" t="s">
        <v>74</v>
      </c>
      <c r="BP376" s="1" t="s">
        <v>74</v>
      </c>
      <c r="BQ376" s="1" t="s">
        <v>74</v>
      </c>
      <c r="BR376" s="1" t="s">
        <v>74</v>
      </c>
      <c r="BS376" s="1" t="s">
        <v>3964</v>
      </c>
      <c r="BT376" s="1" t="str">
        <f>HYPERLINK("https%3A%2F%2Fwww.webofscience.com%2Fwos%2Fwoscc%2Ffull-record%2FWOS:000632869200023","View Full Record in Web of Science")</f>
        <v>View Full Record in Web of Science</v>
      </c>
    </row>
    <row r="377" ht="12.75" customHeight="1">
      <c r="A377" s="1" t="s">
        <v>72</v>
      </c>
      <c r="B377" s="1" t="s">
        <v>3965</v>
      </c>
      <c r="C377" s="1" t="s">
        <v>74</v>
      </c>
      <c r="D377" s="1" t="s">
        <v>74</v>
      </c>
      <c r="E377" s="1" t="s">
        <v>74</v>
      </c>
      <c r="F377" s="1" t="s">
        <v>3966</v>
      </c>
      <c r="G377" s="1" t="s">
        <v>74</v>
      </c>
      <c r="H377" s="1" t="s">
        <v>74</v>
      </c>
      <c r="I377" s="1" t="s">
        <v>3967</v>
      </c>
      <c r="J377" s="1" t="s">
        <v>354</v>
      </c>
      <c r="K377" s="1" t="s">
        <v>74</v>
      </c>
      <c r="L377" s="1" t="s">
        <v>74</v>
      </c>
      <c r="M377" s="1" t="s">
        <v>74</v>
      </c>
      <c r="N377" s="1" t="s">
        <v>74</v>
      </c>
      <c r="O377" s="1" t="s">
        <v>74</v>
      </c>
      <c r="P377" s="1" t="s">
        <v>74</v>
      </c>
      <c r="Q377" s="1" t="s">
        <v>74</v>
      </c>
      <c r="R377" s="1" t="s">
        <v>74</v>
      </c>
      <c r="S377" s="1" t="s">
        <v>74</v>
      </c>
      <c r="T377" s="1" t="s">
        <v>74</v>
      </c>
      <c r="U377" s="1" t="s">
        <v>74</v>
      </c>
      <c r="V377" s="1" t="s">
        <v>3968</v>
      </c>
      <c r="W377" s="1" t="s">
        <v>74</v>
      </c>
      <c r="X377" s="1" t="s">
        <v>74</v>
      </c>
      <c r="Y377" s="1" t="s">
        <v>74</v>
      </c>
      <c r="Z377" s="1" t="s">
        <v>74</v>
      </c>
      <c r="AA377" s="1" t="s">
        <v>3969</v>
      </c>
      <c r="AB377" s="1" t="s">
        <v>3970</v>
      </c>
      <c r="AC377" s="1" t="s">
        <v>74</v>
      </c>
      <c r="AD377" s="1" t="s">
        <v>74</v>
      </c>
      <c r="AE377" s="1" t="s">
        <v>74</v>
      </c>
      <c r="AF377" s="1" t="s">
        <v>74</v>
      </c>
      <c r="AG377" s="1" t="s">
        <v>74</v>
      </c>
      <c r="AH377" s="1" t="s">
        <v>74</v>
      </c>
      <c r="AI377" s="1" t="s">
        <v>74</v>
      </c>
      <c r="AJ377" s="1" t="s">
        <v>74</v>
      </c>
      <c r="AK377" s="1" t="s">
        <v>74</v>
      </c>
      <c r="AL377" s="1" t="s">
        <v>74</v>
      </c>
      <c r="AM377" s="1" t="s">
        <v>74</v>
      </c>
      <c r="AN377" s="1" t="s">
        <v>74</v>
      </c>
      <c r="AO377" s="1" t="s">
        <v>358</v>
      </c>
      <c r="AP377" s="1" t="s">
        <v>359</v>
      </c>
      <c r="AQ377" s="1" t="s">
        <v>74</v>
      </c>
      <c r="AR377" s="1" t="s">
        <v>74</v>
      </c>
      <c r="AS377" s="1" t="s">
        <v>74</v>
      </c>
      <c r="AT377" s="1" t="s">
        <v>3971</v>
      </c>
      <c r="AU377" s="1">
        <v>2021.0</v>
      </c>
      <c r="AV377" s="1">
        <v>372.0</v>
      </c>
      <c r="AW377" s="1" t="s">
        <v>74</v>
      </c>
      <c r="AX377" s="1" t="s">
        <v>74</v>
      </c>
      <c r="AY377" s="1" t="s">
        <v>74</v>
      </c>
      <c r="AZ377" s="1" t="s">
        <v>74</v>
      </c>
      <c r="BA377" s="1" t="s">
        <v>74</v>
      </c>
      <c r="BB377" s="1" t="s">
        <v>74</v>
      </c>
      <c r="BC377" s="1" t="s">
        <v>74</v>
      </c>
      <c r="BD377" s="1">
        <v>137859.0</v>
      </c>
      <c r="BE377" s="1" t="s">
        <v>3972</v>
      </c>
      <c r="BF377" s="2" t="str">
        <f>HYPERLINK("http://dx.doi.org/10.1016/j.electacta.2021.137859","http://dx.doi.org/10.1016/j.electacta.2021.137859")</f>
        <v>http://dx.doi.org/10.1016/j.electacta.2021.137859</v>
      </c>
      <c r="BG377" s="1" t="s">
        <v>74</v>
      </c>
      <c r="BH377" s="1" t="s">
        <v>3963</v>
      </c>
      <c r="BI377" s="1" t="s">
        <v>74</v>
      </c>
      <c r="BJ377" s="1" t="s">
        <v>74</v>
      </c>
      <c r="BK377" s="1" t="s">
        <v>74</v>
      </c>
      <c r="BL377" s="1" t="s">
        <v>74</v>
      </c>
      <c r="BM377" s="1" t="s">
        <v>74</v>
      </c>
      <c r="BN377" s="1" t="s">
        <v>74</v>
      </c>
      <c r="BO377" s="1" t="s">
        <v>74</v>
      </c>
      <c r="BP377" s="1" t="s">
        <v>74</v>
      </c>
      <c r="BQ377" s="1" t="s">
        <v>74</v>
      </c>
      <c r="BR377" s="1" t="s">
        <v>74</v>
      </c>
      <c r="BS377" s="1" t="s">
        <v>3973</v>
      </c>
      <c r="BT377" s="1" t="str">
        <f>HYPERLINK("https%3A%2F%2Fwww.webofscience.com%2Fwos%2Fwoscc%2Ffull-record%2FWOS:000619727200004","View Full Record in Web of Science")</f>
        <v>View Full Record in Web of Science</v>
      </c>
    </row>
    <row r="378" ht="12.75" customHeight="1">
      <c r="A378" s="1" t="s">
        <v>72</v>
      </c>
      <c r="B378" s="1" t="s">
        <v>3974</v>
      </c>
      <c r="C378" s="1" t="s">
        <v>74</v>
      </c>
      <c r="D378" s="1" t="s">
        <v>74</v>
      </c>
      <c r="E378" s="1" t="s">
        <v>74</v>
      </c>
      <c r="F378" s="1" t="s">
        <v>3975</v>
      </c>
      <c r="G378" s="1" t="s">
        <v>74</v>
      </c>
      <c r="H378" s="1" t="s">
        <v>74</v>
      </c>
      <c r="I378" s="1" t="s">
        <v>3976</v>
      </c>
      <c r="J378" s="1" t="s">
        <v>2103</v>
      </c>
      <c r="K378" s="1" t="s">
        <v>74</v>
      </c>
      <c r="L378" s="1" t="s">
        <v>74</v>
      </c>
      <c r="M378" s="1" t="s">
        <v>74</v>
      </c>
      <c r="N378" s="1" t="s">
        <v>74</v>
      </c>
      <c r="O378" s="1" t="s">
        <v>74</v>
      </c>
      <c r="P378" s="1" t="s">
        <v>74</v>
      </c>
      <c r="Q378" s="1" t="s">
        <v>74</v>
      </c>
      <c r="R378" s="1" t="s">
        <v>74</v>
      </c>
      <c r="S378" s="1" t="s">
        <v>74</v>
      </c>
      <c r="T378" s="1" t="s">
        <v>74</v>
      </c>
      <c r="U378" s="1" t="s">
        <v>74</v>
      </c>
      <c r="V378" s="1" t="s">
        <v>3977</v>
      </c>
      <c r="W378" s="1" t="s">
        <v>74</v>
      </c>
      <c r="X378" s="1" t="s">
        <v>74</v>
      </c>
      <c r="Y378" s="1" t="s">
        <v>74</v>
      </c>
      <c r="Z378" s="1" t="s">
        <v>74</v>
      </c>
      <c r="AA378" s="1" t="s">
        <v>3978</v>
      </c>
      <c r="AB378" s="1" t="s">
        <v>3979</v>
      </c>
      <c r="AC378" s="1" t="s">
        <v>74</v>
      </c>
      <c r="AD378" s="1" t="s">
        <v>74</v>
      </c>
      <c r="AE378" s="1" t="s">
        <v>74</v>
      </c>
      <c r="AF378" s="1" t="s">
        <v>74</v>
      </c>
      <c r="AG378" s="1" t="s">
        <v>74</v>
      </c>
      <c r="AH378" s="1" t="s">
        <v>74</v>
      </c>
      <c r="AI378" s="1" t="s">
        <v>74</v>
      </c>
      <c r="AJ378" s="1" t="s">
        <v>74</v>
      </c>
      <c r="AK378" s="1" t="s">
        <v>74</v>
      </c>
      <c r="AL378" s="1" t="s">
        <v>74</v>
      </c>
      <c r="AM378" s="1" t="s">
        <v>74</v>
      </c>
      <c r="AN378" s="1" t="s">
        <v>74</v>
      </c>
      <c r="AO378" s="1" t="s">
        <v>2107</v>
      </c>
      <c r="AP378" s="1" t="s">
        <v>74</v>
      </c>
      <c r="AQ378" s="1" t="s">
        <v>74</v>
      </c>
      <c r="AR378" s="1" t="s">
        <v>74</v>
      </c>
      <c r="AS378" s="1" t="s">
        <v>74</v>
      </c>
      <c r="AT378" s="1" t="s">
        <v>3980</v>
      </c>
      <c r="AU378" s="1">
        <v>2020.0</v>
      </c>
      <c r="AV378" s="1">
        <v>11.0</v>
      </c>
      <c r="AW378" s="1" t="s">
        <v>74</v>
      </c>
      <c r="AX378" s="1" t="s">
        <v>74</v>
      </c>
      <c r="AY378" s="1" t="s">
        <v>74</v>
      </c>
      <c r="AZ378" s="1" t="s">
        <v>74</v>
      </c>
      <c r="BA378" s="1" t="s">
        <v>74</v>
      </c>
      <c r="BB378" s="1" t="s">
        <v>74</v>
      </c>
      <c r="BC378" s="1" t="s">
        <v>74</v>
      </c>
      <c r="BD378" s="1">
        <v>594174.0</v>
      </c>
      <c r="BE378" s="1" t="s">
        <v>3981</v>
      </c>
      <c r="BF378" s="2" t="str">
        <f>HYPERLINK("http://dx.doi.org/10.3389/fphar.2020.594174","http://dx.doi.org/10.3389/fphar.2020.594174")</f>
        <v>http://dx.doi.org/10.3389/fphar.2020.594174</v>
      </c>
      <c r="BG378" s="1" t="s">
        <v>74</v>
      </c>
      <c r="BH378" s="1" t="s">
        <v>74</v>
      </c>
      <c r="BI378" s="1" t="s">
        <v>74</v>
      </c>
      <c r="BJ378" s="1" t="s">
        <v>74</v>
      </c>
      <c r="BK378" s="1" t="s">
        <v>74</v>
      </c>
      <c r="BL378" s="1" t="s">
        <v>74</v>
      </c>
      <c r="BM378" s="1" t="s">
        <v>74</v>
      </c>
      <c r="BN378" s="1">
        <v>3.3343365E7</v>
      </c>
      <c r="BO378" s="1" t="s">
        <v>74</v>
      </c>
      <c r="BP378" s="1" t="s">
        <v>74</v>
      </c>
      <c r="BQ378" s="1" t="s">
        <v>74</v>
      </c>
      <c r="BR378" s="1" t="s">
        <v>74</v>
      </c>
      <c r="BS378" s="1" t="s">
        <v>3982</v>
      </c>
      <c r="BT378" s="1" t="str">
        <f>HYPERLINK("https%3A%2F%2Fwww.webofscience.com%2Fwos%2Fwoscc%2Ffull-record%2FWOS:000599577400001","View Full Record in Web of Science")</f>
        <v>View Full Record in Web of Science</v>
      </c>
    </row>
    <row r="379" ht="12.75" customHeight="1">
      <c r="A379" s="1" t="s">
        <v>72</v>
      </c>
      <c r="B379" s="1" t="s">
        <v>3983</v>
      </c>
      <c r="C379" s="1" t="s">
        <v>74</v>
      </c>
      <c r="D379" s="1" t="s">
        <v>74</v>
      </c>
      <c r="E379" s="1" t="s">
        <v>74</v>
      </c>
      <c r="F379" s="1" t="s">
        <v>3984</v>
      </c>
      <c r="G379" s="1" t="s">
        <v>74</v>
      </c>
      <c r="H379" s="1" t="s">
        <v>74</v>
      </c>
      <c r="I379" s="1" t="s">
        <v>3985</v>
      </c>
      <c r="J379" s="1" t="s">
        <v>3986</v>
      </c>
      <c r="K379" s="1" t="s">
        <v>74</v>
      </c>
      <c r="L379" s="1" t="s">
        <v>74</v>
      </c>
      <c r="M379" s="1" t="s">
        <v>74</v>
      </c>
      <c r="N379" s="1" t="s">
        <v>74</v>
      </c>
      <c r="O379" s="1" t="s">
        <v>74</v>
      </c>
      <c r="P379" s="1" t="s">
        <v>74</v>
      </c>
      <c r="Q379" s="1" t="s">
        <v>74</v>
      </c>
      <c r="R379" s="1" t="s">
        <v>74</v>
      </c>
      <c r="S379" s="1" t="s">
        <v>74</v>
      </c>
      <c r="T379" s="1" t="s">
        <v>74</v>
      </c>
      <c r="U379" s="1" t="s">
        <v>74</v>
      </c>
      <c r="V379" s="1" t="s">
        <v>3987</v>
      </c>
      <c r="W379" s="1" t="s">
        <v>74</v>
      </c>
      <c r="X379" s="1" t="s">
        <v>74</v>
      </c>
      <c r="Y379" s="1" t="s">
        <v>74</v>
      </c>
      <c r="Z379" s="1" t="s">
        <v>74</v>
      </c>
      <c r="AA379" s="1" t="s">
        <v>3988</v>
      </c>
      <c r="AB379" s="1" t="s">
        <v>3989</v>
      </c>
      <c r="AC379" s="1" t="s">
        <v>74</v>
      </c>
      <c r="AD379" s="1" t="s">
        <v>74</v>
      </c>
      <c r="AE379" s="1" t="s">
        <v>74</v>
      </c>
      <c r="AF379" s="1" t="s">
        <v>74</v>
      </c>
      <c r="AG379" s="1" t="s">
        <v>74</v>
      </c>
      <c r="AH379" s="1" t="s">
        <v>74</v>
      </c>
      <c r="AI379" s="1" t="s">
        <v>74</v>
      </c>
      <c r="AJ379" s="1" t="s">
        <v>74</v>
      </c>
      <c r="AK379" s="1" t="s">
        <v>74</v>
      </c>
      <c r="AL379" s="1" t="s">
        <v>74</v>
      </c>
      <c r="AM379" s="1" t="s">
        <v>74</v>
      </c>
      <c r="AN379" s="1" t="s">
        <v>74</v>
      </c>
      <c r="AO379" s="1" t="s">
        <v>74</v>
      </c>
      <c r="AP379" s="1" t="s">
        <v>3990</v>
      </c>
      <c r="AQ379" s="1" t="s">
        <v>74</v>
      </c>
      <c r="AR379" s="1" t="s">
        <v>74</v>
      </c>
      <c r="AS379" s="1" t="s">
        <v>74</v>
      </c>
      <c r="AT379" s="1" t="s">
        <v>201</v>
      </c>
      <c r="AU379" s="1">
        <v>2020.0</v>
      </c>
      <c r="AV379" s="1">
        <v>11.0</v>
      </c>
      <c r="AW379" s="1">
        <v>10.0</v>
      </c>
      <c r="AX379" s="1" t="s">
        <v>74</v>
      </c>
      <c r="AY379" s="1" t="s">
        <v>74</v>
      </c>
      <c r="AZ379" s="1" t="s">
        <v>74</v>
      </c>
      <c r="BA379" s="1" t="s">
        <v>74</v>
      </c>
      <c r="BB379" s="1" t="s">
        <v>74</v>
      </c>
      <c r="BC379" s="1" t="s">
        <v>74</v>
      </c>
      <c r="BD379" s="1">
        <v>1227.0</v>
      </c>
      <c r="BE379" s="1" t="s">
        <v>3991</v>
      </c>
      <c r="BF379" s="2" t="str">
        <f>HYPERLINK("http://dx.doi.org/10.3390/genes11101227","http://dx.doi.org/10.3390/genes11101227")</f>
        <v>http://dx.doi.org/10.3390/genes11101227</v>
      </c>
      <c r="BG379" s="1" t="s">
        <v>74</v>
      </c>
      <c r="BH379" s="1" t="s">
        <v>74</v>
      </c>
      <c r="BI379" s="1" t="s">
        <v>74</v>
      </c>
      <c r="BJ379" s="1" t="s">
        <v>74</v>
      </c>
      <c r="BK379" s="1" t="s">
        <v>74</v>
      </c>
      <c r="BL379" s="1" t="s">
        <v>74</v>
      </c>
      <c r="BM379" s="1" t="s">
        <v>74</v>
      </c>
      <c r="BN379" s="1">
        <v>3.3092062E7</v>
      </c>
      <c r="BO379" s="1" t="s">
        <v>74</v>
      </c>
      <c r="BP379" s="1" t="s">
        <v>74</v>
      </c>
      <c r="BQ379" s="1" t="s">
        <v>74</v>
      </c>
      <c r="BR379" s="1" t="s">
        <v>74</v>
      </c>
      <c r="BS379" s="1" t="s">
        <v>3992</v>
      </c>
      <c r="BT379" s="1" t="str">
        <f>HYPERLINK("https%3A%2F%2Fwww.webofscience.com%2Fwos%2Fwoscc%2Ffull-record%2FWOS:000586843700001","View Full Record in Web of Science")</f>
        <v>View Full Record in Web of Science</v>
      </c>
    </row>
    <row r="380" ht="12.75" customHeight="1">
      <c r="A380" s="1" t="s">
        <v>72</v>
      </c>
      <c r="B380" s="1" t="s">
        <v>3993</v>
      </c>
      <c r="C380" s="1" t="s">
        <v>74</v>
      </c>
      <c r="D380" s="1" t="s">
        <v>74</v>
      </c>
      <c r="E380" s="1" t="s">
        <v>74</v>
      </c>
      <c r="F380" s="1" t="s">
        <v>3994</v>
      </c>
      <c r="G380" s="1" t="s">
        <v>74</v>
      </c>
      <c r="H380" s="1" t="s">
        <v>74</v>
      </c>
      <c r="I380" s="1" t="s">
        <v>3995</v>
      </c>
      <c r="J380" s="1" t="s">
        <v>2186</v>
      </c>
      <c r="K380" s="1" t="s">
        <v>74</v>
      </c>
      <c r="L380" s="1" t="s">
        <v>74</v>
      </c>
      <c r="M380" s="1" t="s">
        <v>74</v>
      </c>
      <c r="N380" s="1" t="s">
        <v>74</v>
      </c>
      <c r="O380" s="1" t="s">
        <v>74</v>
      </c>
      <c r="P380" s="1" t="s">
        <v>74</v>
      </c>
      <c r="Q380" s="1" t="s">
        <v>74</v>
      </c>
      <c r="R380" s="1" t="s">
        <v>74</v>
      </c>
      <c r="S380" s="1" t="s">
        <v>74</v>
      </c>
      <c r="T380" s="1" t="s">
        <v>74</v>
      </c>
      <c r="U380" s="1" t="s">
        <v>74</v>
      </c>
      <c r="V380" s="1" t="s">
        <v>3996</v>
      </c>
      <c r="W380" s="1" t="s">
        <v>74</v>
      </c>
      <c r="X380" s="1" t="s">
        <v>74</v>
      </c>
      <c r="Y380" s="1" t="s">
        <v>74</v>
      </c>
      <c r="Z380" s="1" t="s">
        <v>74</v>
      </c>
      <c r="AA380" s="1" t="s">
        <v>3997</v>
      </c>
      <c r="AB380" s="1" t="s">
        <v>3998</v>
      </c>
      <c r="AC380" s="1" t="s">
        <v>74</v>
      </c>
      <c r="AD380" s="1" t="s">
        <v>74</v>
      </c>
      <c r="AE380" s="1" t="s">
        <v>74</v>
      </c>
      <c r="AF380" s="1" t="s">
        <v>74</v>
      </c>
      <c r="AG380" s="1" t="s">
        <v>74</v>
      </c>
      <c r="AH380" s="1" t="s">
        <v>74</v>
      </c>
      <c r="AI380" s="1" t="s">
        <v>74</v>
      </c>
      <c r="AJ380" s="1" t="s">
        <v>74</v>
      </c>
      <c r="AK380" s="1" t="s">
        <v>74</v>
      </c>
      <c r="AL380" s="1" t="s">
        <v>74</v>
      </c>
      <c r="AM380" s="1" t="s">
        <v>74</v>
      </c>
      <c r="AN380" s="1" t="s">
        <v>74</v>
      </c>
      <c r="AO380" s="1" t="s">
        <v>2260</v>
      </c>
      <c r="AP380" s="1" t="s">
        <v>2261</v>
      </c>
      <c r="AQ380" s="1" t="s">
        <v>74</v>
      </c>
      <c r="AR380" s="1" t="s">
        <v>74</v>
      </c>
      <c r="AS380" s="1" t="s">
        <v>74</v>
      </c>
      <c r="AT380" s="1" t="s">
        <v>3999</v>
      </c>
      <c r="AU380" s="1">
        <v>2020.0</v>
      </c>
      <c r="AV380" s="1">
        <v>102.0</v>
      </c>
      <c r="AW380" s="1">
        <v>3.0</v>
      </c>
      <c r="AX380" s="1" t="s">
        <v>74</v>
      </c>
      <c r="AY380" s="1" t="s">
        <v>74</v>
      </c>
      <c r="AZ380" s="1" t="s">
        <v>74</v>
      </c>
      <c r="BA380" s="1" t="s">
        <v>74</v>
      </c>
      <c r="BB380" s="1" t="s">
        <v>74</v>
      </c>
      <c r="BC380" s="1" t="s">
        <v>74</v>
      </c>
      <c r="BD380" s="1">
        <v>36015.0</v>
      </c>
      <c r="BE380" s="1" t="s">
        <v>4000</v>
      </c>
      <c r="BF380" s="2" t="str">
        <f>HYPERLINK("http://dx.doi.org/10.1103/PhysRevD.102.036015","http://dx.doi.org/10.1103/PhysRevD.102.036015")</f>
        <v>http://dx.doi.org/10.1103/PhysRevD.102.036015</v>
      </c>
      <c r="BG380" s="1" t="s">
        <v>74</v>
      </c>
      <c r="BH380" s="1" t="s">
        <v>74</v>
      </c>
      <c r="BI380" s="1" t="s">
        <v>74</v>
      </c>
      <c r="BJ380" s="1" t="s">
        <v>74</v>
      </c>
      <c r="BK380" s="1" t="s">
        <v>74</v>
      </c>
      <c r="BL380" s="1" t="s">
        <v>74</v>
      </c>
      <c r="BM380" s="1" t="s">
        <v>74</v>
      </c>
      <c r="BN380" s="1" t="s">
        <v>74</v>
      </c>
      <c r="BO380" s="1" t="s">
        <v>74</v>
      </c>
      <c r="BP380" s="1" t="s">
        <v>74</v>
      </c>
      <c r="BQ380" s="1" t="s">
        <v>74</v>
      </c>
      <c r="BR380" s="1" t="s">
        <v>74</v>
      </c>
      <c r="BS380" s="1" t="s">
        <v>4001</v>
      </c>
      <c r="BT380" s="1" t="str">
        <f>HYPERLINK("https%3A%2F%2Fwww.webofscience.com%2Fwos%2Fwoscc%2Ffull-record%2FWOS:000559925900005","View Full Record in Web of Science")</f>
        <v>View Full Record in Web of Science</v>
      </c>
    </row>
    <row r="381" ht="12.75" customHeight="1">
      <c r="A381" s="1" t="s">
        <v>72</v>
      </c>
      <c r="B381" s="1" t="s">
        <v>4002</v>
      </c>
      <c r="C381" s="1" t="s">
        <v>74</v>
      </c>
      <c r="D381" s="1" t="s">
        <v>74</v>
      </c>
      <c r="E381" s="1" t="s">
        <v>74</v>
      </c>
      <c r="F381" s="1" t="s">
        <v>4003</v>
      </c>
      <c r="G381" s="1" t="s">
        <v>74</v>
      </c>
      <c r="H381" s="1" t="s">
        <v>74</v>
      </c>
      <c r="I381" s="1" t="s">
        <v>4004</v>
      </c>
      <c r="J381" s="1" t="s">
        <v>4005</v>
      </c>
      <c r="K381" s="1" t="s">
        <v>74</v>
      </c>
      <c r="L381" s="1" t="s">
        <v>74</v>
      </c>
      <c r="M381" s="1" t="s">
        <v>74</v>
      </c>
      <c r="N381" s="1" t="s">
        <v>74</v>
      </c>
      <c r="O381" s="1" t="s">
        <v>74</v>
      </c>
      <c r="P381" s="1" t="s">
        <v>74</v>
      </c>
      <c r="Q381" s="1" t="s">
        <v>74</v>
      </c>
      <c r="R381" s="1" t="s">
        <v>74</v>
      </c>
      <c r="S381" s="1" t="s">
        <v>74</v>
      </c>
      <c r="T381" s="1" t="s">
        <v>74</v>
      </c>
      <c r="U381" s="1" t="s">
        <v>74</v>
      </c>
      <c r="V381" s="1" t="s">
        <v>4006</v>
      </c>
      <c r="W381" s="1" t="s">
        <v>74</v>
      </c>
      <c r="X381" s="1" t="s">
        <v>74</v>
      </c>
      <c r="Y381" s="1" t="s">
        <v>74</v>
      </c>
      <c r="Z381" s="1" t="s">
        <v>74</v>
      </c>
      <c r="AA381" s="1" t="s">
        <v>4007</v>
      </c>
      <c r="AB381" s="1" t="s">
        <v>4008</v>
      </c>
      <c r="AC381" s="1" t="s">
        <v>74</v>
      </c>
      <c r="AD381" s="1" t="s">
        <v>74</v>
      </c>
      <c r="AE381" s="1" t="s">
        <v>74</v>
      </c>
      <c r="AF381" s="1" t="s">
        <v>74</v>
      </c>
      <c r="AG381" s="1" t="s">
        <v>74</v>
      </c>
      <c r="AH381" s="1" t="s">
        <v>74</v>
      </c>
      <c r="AI381" s="1" t="s">
        <v>74</v>
      </c>
      <c r="AJ381" s="1" t="s">
        <v>74</v>
      </c>
      <c r="AK381" s="1" t="s">
        <v>74</v>
      </c>
      <c r="AL381" s="1" t="s">
        <v>74</v>
      </c>
      <c r="AM381" s="1" t="s">
        <v>74</v>
      </c>
      <c r="AN381" s="1" t="s">
        <v>74</v>
      </c>
      <c r="AO381" s="1" t="s">
        <v>4009</v>
      </c>
      <c r="AP381" s="1" t="s">
        <v>4010</v>
      </c>
      <c r="AQ381" s="1" t="s">
        <v>74</v>
      </c>
      <c r="AR381" s="1" t="s">
        <v>74</v>
      </c>
      <c r="AS381" s="1" t="s">
        <v>74</v>
      </c>
      <c r="AT381" s="1" t="s">
        <v>235</v>
      </c>
      <c r="AU381" s="1">
        <v>2020.0</v>
      </c>
      <c r="AV381" s="1">
        <v>150.0</v>
      </c>
      <c r="AW381" s="1" t="s">
        <v>74</v>
      </c>
      <c r="AX381" s="1" t="s">
        <v>74</v>
      </c>
      <c r="AY381" s="1" t="s">
        <v>74</v>
      </c>
      <c r="AZ381" s="1" t="s">
        <v>74</v>
      </c>
      <c r="BA381" s="1" t="s">
        <v>74</v>
      </c>
      <c r="BB381" s="1" t="s">
        <v>74</v>
      </c>
      <c r="BC381" s="1" t="s">
        <v>74</v>
      </c>
      <c r="BD381" s="1">
        <v>106122.0</v>
      </c>
      <c r="BE381" s="1" t="s">
        <v>4011</v>
      </c>
      <c r="BF381" s="2" t="str">
        <f>HYPERLINK("http://dx.doi.org/10.1016/j.ijthermalsci.2019.106122","http://dx.doi.org/10.1016/j.ijthermalsci.2019.106122")</f>
        <v>http://dx.doi.org/10.1016/j.ijthermalsci.2019.106122</v>
      </c>
      <c r="BG381" s="1" t="s">
        <v>74</v>
      </c>
      <c r="BH381" s="1" t="s">
        <v>74</v>
      </c>
      <c r="BI381" s="1" t="s">
        <v>74</v>
      </c>
      <c r="BJ381" s="1" t="s">
        <v>74</v>
      </c>
      <c r="BK381" s="1" t="s">
        <v>74</v>
      </c>
      <c r="BL381" s="1" t="s">
        <v>74</v>
      </c>
      <c r="BM381" s="1" t="s">
        <v>74</v>
      </c>
      <c r="BN381" s="1" t="s">
        <v>74</v>
      </c>
      <c r="BO381" s="1" t="s">
        <v>74</v>
      </c>
      <c r="BP381" s="1" t="s">
        <v>74</v>
      </c>
      <c r="BQ381" s="1" t="s">
        <v>74</v>
      </c>
      <c r="BR381" s="1" t="s">
        <v>74</v>
      </c>
      <c r="BS381" s="1" t="s">
        <v>4012</v>
      </c>
      <c r="BT381" s="1" t="str">
        <f>HYPERLINK("https%3A%2F%2Fwww.webofscience.com%2Fwos%2Fwoscc%2Ffull-record%2FWOS:000510853600013","View Full Record in Web of Science")</f>
        <v>View Full Record in Web of Science</v>
      </c>
    </row>
    <row r="382" ht="12.75" customHeight="1">
      <c r="A382" s="1" t="s">
        <v>72</v>
      </c>
      <c r="B382" s="1" t="s">
        <v>4013</v>
      </c>
      <c r="C382" s="1" t="s">
        <v>74</v>
      </c>
      <c r="D382" s="1" t="s">
        <v>74</v>
      </c>
      <c r="E382" s="1" t="s">
        <v>74</v>
      </c>
      <c r="F382" s="1" t="s">
        <v>4014</v>
      </c>
      <c r="G382" s="1" t="s">
        <v>74</v>
      </c>
      <c r="H382" s="1" t="s">
        <v>74</v>
      </c>
      <c r="I382" s="1" t="s">
        <v>4015</v>
      </c>
      <c r="J382" s="1" t="s">
        <v>405</v>
      </c>
      <c r="K382" s="1" t="s">
        <v>74</v>
      </c>
      <c r="L382" s="1" t="s">
        <v>74</v>
      </c>
      <c r="M382" s="1" t="s">
        <v>74</v>
      </c>
      <c r="N382" s="1" t="s">
        <v>74</v>
      </c>
      <c r="O382" s="1" t="s">
        <v>74</v>
      </c>
      <c r="P382" s="1" t="s">
        <v>74</v>
      </c>
      <c r="Q382" s="1" t="s">
        <v>74</v>
      </c>
      <c r="R382" s="1" t="s">
        <v>74</v>
      </c>
      <c r="S382" s="1" t="s">
        <v>74</v>
      </c>
      <c r="T382" s="1" t="s">
        <v>74</v>
      </c>
      <c r="U382" s="1" t="s">
        <v>74</v>
      </c>
      <c r="V382" s="1" t="s">
        <v>4016</v>
      </c>
      <c r="W382" s="1" t="s">
        <v>74</v>
      </c>
      <c r="X382" s="1" t="s">
        <v>74</v>
      </c>
      <c r="Y382" s="1" t="s">
        <v>74</v>
      </c>
      <c r="Z382" s="1" t="s">
        <v>74</v>
      </c>
      <c r="AA382" s="1" t="s">
        <v>4017</v>
      </c>
      <c r="AB382" s="1" t="s">
        <v>4018</v>
      </c>
      <c r="AC382" s="1" t="s">
        <v>74</v>
      </c>
      <c r="AD382" s="1" t="s">
        <v>74</v>
      </c>
      <c r="AE382" s="1" t="s">
        <v>74</v>
      </c>
      <c r="AF382" s="1" t="s">
        <v>74</v>
      </c>
      <c r="AG382" s="1" t="s">
        <v>74</v>
      </c>
      <c r="AH382" s="1" t="s">
        <v>74</v>
      </c>
      <c r="AI382" s="1" t="s">
        <v>74</v>
      </c>
      <c r="AJ382" s="1" t="s">
        <v>74</v>
      </c>
      <c r="AK382" s="1" t="s">
        <v>74</v>
      </c>
      <c r="AL382" s="1" t="s">
        <v>74</v>
      </c>
      <c r="AM382" s="1" t="s">
        <v>74</v>
      </c>
      <c r="AN382" s="1" t="s">
        <v>74</v>
      </c>
      <c r="AO382" s="1" t="s">
        <v>409</v>
      </c>
      <c r="AP382" s="1" t="s">
        <v>410</v>
      </c>
      <c r="AQ382" s="1" t="s">
        <v>74</v>
      </c>
      <c r="AR382" s="1" t="s">
        <v>74</v>
      </c>
      <c r="AS382" s="1" t="s">
        <v>74</v>
      </c>
      <c r="AT382" s="1" t="s">
        <v>243</v>
      </c>
      <c r="AU382" s="1">
        <v>2020.0</v>
      </c>
      <c r="AV382" s="1">
        <v>741.0</v>
      </c>
      <c r="AW382" s="1" t="s">
        <v>74</v>
      </c>
      <c r="AX382" s="1" t="s">
        <v>74</v>
      </c>
      <c r="AY382" s="1" t="s">
        <v>74</v>
      </c>
      <c r="AZ382" s="1" t="s">
        <v>74</v>
      </c>
      <c r="BA382" s="1" t="s">
        <v>74</v>
      </c>
      <c r="BB382" s="1" t="s">
        <v>74</v>
      </c>
      <c r="BC382" s="1" t="s">
        <v>74</v>
      </c>
      <c r="BD382" s="1">
        <v>137097.0</v>
      </c>
      <c r="BE382" s="1" t="s">
        <v>4019</v>
      </c>
      <c r="BF382" s="2" t="str">
        <f>HYPERLINK("http://dx.doi.org/10.1016/j.cplett.2020.137097","http://dx.doi.org/10.1016/j.cplett.2020.137097")</f>
        <v>http://dx.doi.org/10.1016/j.cplett.2020.137097</v>
      </c>
      <c r="BG382" s="1" t="s">
        <v>74</v>
      </c>
      <c r="BH382" s="1" t="s">
        <v>74</v>
      </c>
      <c r="BI382" s="1" t="s">
        <v>74</v>
      </c>
      <c r="BJ382" s="1" t="s">
        <v>74</v>
      </c>
      <c r="BK382" s="1" t="s">
        <v>74</v>
      </c>
      <c r="BL382" s="1" t="s">
        <v>74</v>
      </c>
      <c r="BM382" s="1" t="s">
        <v>74</v>
      </c>
      <c r="BN382" s="1" t="s">
        <v>74</v>
      </c>
      <c r="BO382" s="1" t="s">
        <v>74</v>
      </c>
      <c r="BP382" s="1" t="s">
        <v>74</v>
      </c>
      <c r="BQ382" s="1" t="s">
        <v>74</v>
      </c>
      <c r="BR382" s="1" t="s">
        <v>74</v>
      </c>
      <c r="BS382" s="1" t="s">
        <v>4020</v>
      </c>
      <c r="BT382" s="1" t="str">
        <f>HYPERLINK("https%3A%2F%2Fwww.webofscience.com%2Fwos%2Fwoscc%2Ffull-record%2FWOS:000512281100029","View Full Record in Web of Science")</f>
        <v>View Full Record in Web of Science</v>
      </c>
    </row>
    <row r="383" ht="12.75" customHeight="1">
      <c r="A383" s="1" t="s">
        <v>72</v>
      </c>
      <c r="B383" s="1" t="s">
        <v>4021</v>
      </c>
      <c r="C383" s="1" t="s">
        <v>74</v>
      </c>
      <c r="D383" s="1" t="s">
        <v>74</v>
      </c>
      <c r="E383" s="1" t="s">
        <v>74</v>
      </c>
      <c r="F383" s="1" t="s">
        <v>4022</v>
      </c>
      <c r="G383" s="1" t="s">
        <v>74</v>
      </c>
      <c r="H383" s="1" t="s">
        <v>74</v>
      </c>
      <c r="I383" s="1" t="s">
        <v>4023</v>
      </c>
      <c r="J383" s="1" t="s">
        <v>2835</v>
      </c>
      <c r="K383" s="1" t="s">
        <v>74</v>
      </c>
      <c r="L383" s="1" t="s">
        <v>74</v>
      </c>
      <c r="M383" s="1" t="s">
        <v>74</v>
      </c>
      <c r="N383" s="1" t="s">
        <v>74</v>
      </c>
      <c r="O383" s="1" t="s">
        <v>74</v>
      </c>
      <c r="P383" s="1" t="s">
        <v>74</v>
      </c>
      <c r="Q383" s="1" t="s">
        <v>74</v>
      </c>
      <c r="R383" s="1" t="s">
        <v>74</v>
      </c>
      <c r="S383" s="1" t="s">
        <v>74</v>
      </c>
      <c r="T383" s="1" t="s">
        <v>74</v>
      </c>
      <c r="U383" s="1" t="s">
        <v>74</v>
      </c>
      <c r="V383" s="1" t="s">
        <v>4024</v>
      </c>
      <c r="W383" s="1" t="s">
        <v>74</v>
      </c>
      <c r="X383" s="1" t="s">
        <v>74</v>
      </c>
      <c r="Y383" s="1" t="s">
        <v>74</v>
      </c>
      <c r="Z383" s="1" t="s">
        <v>74</v>
      </c>
      <c r="AA383" s="1" t="s">
        <v>4025</v>
      </c>
      <c r="AB383" s="1" t="s">
        <v>4026</v>
      </c>
      <c r="AC383" s="1" t="s">
        <v>74</v>
      </c>
      <c r="AD383" s="1" t="s">
        <v>74</v>
      </c>
      <c r="AE383" s="1" t="s">
        <v>74</v>
      </c>
      <c r="AF383" s="1" t="s">
        <v>74</v>
      </c>
      <c r="AG383" s="1" t="s">
        <v>74</v>
      </c>
      <c r="AH383" s="1" t="s">
        <v>74</v>
      </c>
      <c r="AI383" s="1" t="s">
        <v>74</v>
      </c>
      <c r="AJ383" s="1" t="s">
        <v>74</v>
      </c>
      <c r="AK383" s="1" t="s">
        <v>74</v>
      </c>
      <c r="AL383" s="1" t="s">
        <v>74</v>
      </c>
      <c r="AM383" s="1" t="s">
        <v>74</v>
      </c>
      <c r="AN383" s="1" t="s">
        <v>74</v>
      </c>
      <c r="AO383" s="1" t="s">
        <v>2839</v>
      </c>
      <c r="AP383" s="1" t="s">
        <v>2840</v>
      </c>
      <c r="AQ383" s="1" t="s">
        <v>74</v>
      </c>
      <c r="AR383" s="1" t="s">
        <v>74</v>
      </c>
      <c r="AS383" s="1" t="s">
        <v>74</v>
      </c>
      <c r="AT383" s="1" t="s">
        <v>4027</v>
      </c>
      <c r="AU383" s="1">
        <v>2019.0</v>
      </c>
      <c r="AV383" s="1">
        <v>43.0</v>
      </c>
      <c r="AW383" s="1">
        <v>45.0</v>
      </c>
      <c r="AX383" s="1" t="s">
        <v>74</v>
      </c>
      <c r="AY383" s="1" t="s">
        <v>74</v>
      </c>
      <c r="AZ383" s="1" t="s">
        <v>74</v>
      </c>
      <c r="BA383" s="1" t="s">
        <v>74</v>
      </c>
      <c r="BB383" s="1">
        <v>17538.0</v>
      </c>
      <c r="BC383" s="1">
        <v>17547.0</v>
      </c>
      <c r="BD383" s="1" t="s">
        <v>74</v>
      </c>
      <c r="BE383" s="1" t="s">
        <v>4028</v>
      </c>
      <c r="BF383" s="2" t="str">
        <f>HYPERLINK("http://dx.doi.org/10.1039/c9nj02549a","http://dx.doi.org/10.1039/c9nj02549a")</f>
        <v>http://dx.doi.org/10.1039/c9nj02549a</v>
      </c>
      <c r="BG383" s="1" t="s">
        <v>74</v>
      </c>
      <c r="BH383" s="1" t="s">
        <v>74</v>
      </c>
      <c r="BI383" s="1" t="s">
        <v>74</v>
      </c>
      <c r="BJ383" s="1" t="s">
        <v>74</v>
      </c>
      <c r="BK383" s="1" t="s">
        <v>74</v>
      </c>
      <c r="BL383" s="1" t="s">
        <v>74</v>
      </c>
      <c r="BM383" s="1" t="s">
        <v>74</v>
      </c>
      <c r="BN383" s="1" t="s">
        <v>74</v>
      </c>
      <c r="BO383" s="1" t="s">
        <v>74</v>
      </c>
      <c r="BP383" s="1" t="s">
        <v>74</v>
      </c>
      <c r="BQ383" s="1" t="s">
        <v>74</v>
      </c>
      <c r="BR383" s="1" t="s">
        <v>74</v>
      </c>
      <c r="BS383" s="1" t="s">
        <v>4029</v>
      </c>
      <c r="BT383" s="1" t="str">
        <f>HYPERLINK("https%3A%2F%2Fwww.webofscience.com%2Fwos%2Fwoscc%2Ffull-record%2FWOS:000503050500002","View Full Record in Web of Science")</f>
        <v>View Full Record in Web of Science</v>
      </c>
    </row>
    <row r="384" ht="12.75" customHeight="1">
      <c r="A384" s="1" t="s">
        <v>72</v>
      </c>
      <c r="B384" s="1" t="s">
        <v>4030</v>
      </c>
      <c r="C384" s="1" t="s">
        <v>74</v>
      </c>
      <c r="D384" s="1" t="s">
        <v>74</v>
      </c>
      <c r="E384" s="1" t="s">
        <v>74</v>
      </c>
      <c r="F384" s="1" t="s">
        <v>4031</v>
      </c>
      <c r="G384" s="1" t="s">
        <v>74</v>
      </c>
      <c r="H384" s="1" t="s">
        <v>74</v>
      </c>
      <c r="I384" s="1" t="s">
        <v>4032</v>
      </c>
      <c r="J384" s="1" t="s">
        <v>4033</v>
      </c>
      <c r="K384" s="1" t="s">
        <v>74</v>
      </c>
      <c r="L384" s="1" t="s">
        <v>74</v>
      </c>
      <c r="M384" s="1" t="s">
        <v>74</v>
      </c>
      <c r="N384" s="1" t="s">
        <v>74</v>
      </c>
      <c r="O384" s="1" t="s">
        <v>74</v>
      </c>
      <c r="P384" s="1" t="s">
        <v>74</v>
      </c>
      <c r="Q384" s="1" t="s">
        <v>74</v>
      </c>
      <c r="R384" s="1" t="s">
        <v>74</v>
      </c>
      <c r="S384" s="1" t="s">
        <v>74</v>
      </c>
      <c r="T384" s="1" t="s">
        <v>74</v>
      </c>
      <c r="U384" s="1" t="s">
        <v>74</v>
      </c>
      <c r="V384" s="1" t="s">
        <v>4034</v>
      </c>
      <c r="W384" s="1" t="s">
        <v>74</v>
      </c>
      <c r="X384" s="1" t="s">
        <v>74</v>
      </c>
      <c r="Y384" s="1" t="s">
        <v>74</v>
      </c>
      <c r="Z384" s="1" t="s">
        <v>74</v>
      </c>
      <c r="AA384" s="1" t="s">
        <v>4035</v>
      </c>
      <c r="AB384" s="1" t="s">
        <v>4036</v>
      </c>
      <c r="AC384" s="1" t="s">
        <v>74</v>
      </c>
      <c r="AD384" s="1" t="s">
        <v>74</v>
      </c>
      <c r="AE384" s="1" t="s">
        <v>74</v>
      </c>
      <c r="AF384" s="1" t="s">
        <v>74</v>
      </c>
      <c r="AG384" s="1" t="s">
        <v>74</v>
      </c>
      <c r="AH384" s="1" t="s">
        <v>74</v>
      </c>
      <c r="AI384" s="1" t="s">
        <v>74</v>
      </c>
      <c r="AJ384" s="1" t="s">
        <v>74</v>
      </c>
      <c r="AK384" s="1" t="s">
        <v>74</v>
      </c>
      <c r="AL384" s="1" t="s">
        <v>74</v>
      </c>
      <c r="AM384" s="1" t="s">
        <v>74</v>
      </c>
      <c r="AN384" s="1" t="s">
        <v>74</v>
      </c>
      <c r="AO384" s="1" t="s">
        <v>4037</v>
      </c>
      <c r="AP384" s="1" t="s">
        <v>4038</v>
      </c>
      <c r="AQ384" s="1" t="s">
        <v>74</v>
      </c>
      <c r="AR384" s="1" t="s">
        <v>74</v>
      </c>
      <c r="AS384" s="1" t="s">
        <v>74</v>
      </c>
      <c r="AT384" s="1" t="s">
        <v>318</v>
      </c>
      <c r="AU384" s="1">
        <v>2020.0</v>
      </c>
      <c r="AV384" s="1">
        <v>21.0</v>
      </c>
      <c r="AW384" s="1">
        <v>2.0</v>
      </c>
      <c r="AX384" s="1" t="s">
        <v>74</v>
      </c>
      <c r="AY384" s="1" t="s">
        <v>74</v>
      </c>
      <c r="AZ384" s="1" t="s">
        <v>74</v>
      </c>
      <c r="BA384" s="1" t="s">
        <v>74</v>
      </c>
      <c r="BB384" s="1">
        <v>377.0</v>
      </c>
      <c r="BC384" s="1">
        <v>403.0</v>
      </c>
      <c r="BD384" s="1" t="s">
        <v>74</v>
      </c>
      <c r="BE384" s="1" t="s">
        <v>4039</v>
      </c>
      <c r="BF384" s="2" t="str">
        <f>HYPERLINK("http://dx.doi.org/10.1007/s00023-019-00865-5","http://dx.doi.org/10.1007/s00023-019-00865-5")</f>
        <v>http://dx.doi.org/10.1007/s00023-019-00865-5</v>
      </c>
      <c r="BG384" s="1" t="s">
        <v>74</v>
      </c>
      <c r="BH384" s="1" t="s">
        <v>4040</v>
      </c>
      <c r="BI384" s="1" t="s">
        <v>74</v>
      </c>
      <c r="BJ384" s="1" t="s">
        <v>74</v>
      </c>
      <c r="BK384" s="1" t="s">
        <v>74</v>
      </c>
      <c r="BL384" s="1" t="s">
        <v>74</v>
      </c>
      <c r="BM384" s="1" t="s">
        <v>74</v>
      </c>
      <c r="BN384" s="1" t="s">
        <v>74</v>
      </c>
      <c r="BO384" s="1" t="s">
        <v>74</v>
      </c>
      <c r="BP384" s="1" t="s">
        <v>74</v>
      </c>
      <c r="BQ384" s="1" t="s">
        <v>74</v>
      </c>
      <c r="BR384" s="1" t="s">
        <v>74</v>
      </c>
      <c r="BS384" s="1" t="s">
        <v>4041</v>
      </c>
      <c r="BT384" s="1" t="str">
        <f>HYPERLINK("https%3A%2F%2Fwww.webofscience.com%2Fwos%2Fwoscc%2Ffull-record%2FWOS:000495018900001","View Full Record in Web of Science")</f>
        <v>View Full Record in Web of Science</v>
      </c>
    </row>
    <row r="385" ht="12.75" customHeight="1">
      <c r="A385" s="1" t="s">
        <v>72</v>
      </c>
      <c r="B385" s="1" t="s">
        <v>4042</v>
      </c>
      <c r="C385" s="1" t="s">
        <v>74</v>
      </c>
      <c r="D385" s="1" t="s">
        <v>74</v>
      </c>
      <c r="E385" s="1" t="s">
        <v>74</v>
      </c>
      <c r="F385" s="1" t="s">
        <v>4043</v>
      </c>
      <c r="G385" s="1" t="s">
        <v>74</v>
      </c>
      <c r="H385" s="1" t="s">
        <v>74</v>
      </c>
      <c r="I385" s="1" t="s">
        <v>4044</v>
      </c>
      <c r="J385" s="1" t="s">
        <v>3418</v>
      </c>
      <c r="K385" s="1" t="s">
        <v>74</v>
      </c>
      <c r="L385" s="1" t="s">
        <v>74</v>
      </c>
      <c r="M385" s="1" t="s">
        <v>74</v>
      </c>
      <c r="N385" s="1" t="s">
        <v>74</v>
      </c>
      <c r="O385" s="1" t="s">
        <v>74</v>
      </c>
      <c r="P385" s="1" t="s">
        <v>74</v>
      </c>
      <c r="Q385" s="1" t="s">
        <v>74</v>
      </c>
      <c r="R385" s="1" t="s">
        <v>74</v>
      </c>
      <c r="S385" s="1" t="s">
        <v>74</v>
      </c>
      <c r="T385" s="1" t="s">
        <v>74</v>
      </c>
      <c r="U385" s="1" t="s">
        <v>74</v>
      </c>
      <c r="V385" s="1" t="s">
        <v>4045</v>
      </c>
      <c r="W385" s="1" t="s">
        <v>74</v>
      </c>
      <c r="X385" s="1" t="s">
        <v>74</v>
      </c>
      <c r="Y385" s="1" t="s">
        <v>74</v>
      </c>
      <c r="Z385" s="1" t="s">
        <v>74</v>
      </c>
      <c r="AA385" s="1" t="s">
        <v>74</v>
      </c>
      <c r="AB385" s="1" t="s">
        <v>74</v>
      </c>
      <c r="AC385" s="1" t="s">
        <v>74</v>
      </c>
      <c r="AD385" s="1" t="s">
        <v>74</v>
      </c>
      <c r="AE385" s="1" t="s">
        <v>74</v>
      </c>
      <c r="AF385" s="1" t="s">
        <v>74</v>
      </c>
      <c r="AG385" s="1" t="s">
        <v>74</v>
      </c>
      <c r="AH385" s="1" t="s">
        <v>74</v>
      </c>
      <c r="AI385" s="1" t="s">
        <v>74</v>
      </c>
      <c r="AJ385" s="1" t="s">
        <v>74</v>
      </c>
      <c r="AK385" s="1" t="s">
        <v>74</v>
      </c>
      <c r="AL385" s="1" t="s">
        <v>74</v>
      </c>
      <c r="AM385" s="1" t="s">
        <v>74</v>
      </c>
      <c r="AN385" s="1" t="s">
        <v>74</v>
      </c>
      <c r="AO385" s="1" t="s">
        <v>3422</v>
      </c>
      <c r="AP385" s="1" t="s">
        <v>3423</v>
      </c>
      <c r="AQ385" s="1" t="s">
        <v>74</v>
      </c>
      <c r="AR385" s="1" t="s">
        <v>74</v>
      </c>
      <c r="AS385" s="1" t="s">
        <v>74</v>
      </c>
      <c r="AT385" s="1" t="s">
        <v>1727</v>
      </c>
      <c r="AU385" s="1">
        <v>2018.0</v>
      </c>
      <c r="AV385" s="1">
        <v>146.0</v>
      </c>
      <c r="AW385" s="1">
        <v>9.0</v>
      </c>
      <c r="AX385" s="1" t="s">
        <v>74</v>
      </c>
      <c r="AY385" s="1" t="s">
        <v>74</v>
      </c>
      <c r="AZ385" s="1" t="s">
        <v>74</v>
      </c>
      <c r="BA385" s="1" t="s">
        <v>74</v>
      </c>
      <c r="BB385" s="1">
        <v>3895.0</v>
      </c>
      <c r="BC385" s="1">
        <v>3906.0</v>
      </c>
      <c r="BD385" s="1" t="s">
        <v>74</v>
      </c>
      <c r="BE385" s="1" t="s">
        <v>4046</v>
      </c>
      <c r="BF385" s="2" t="str">
        <f>HYPERLINK("http://dx.doi.org/10.1090/proc/14089","http://dx.doi.org/10.1090/proc/14089")</f>
        <v>http://dx.doi.org/10.1090/proc/14089</v>
      </c>
      <c r="BG385" s="1" t="s">
        <v>74</v>
      </c>
      <c r="BH385" s="1" t="s">
        <v>74</v>
      </c>
      <c r="BI385" s="1" t="s">
        <v>74</v>
      </c>
      <c r="BJ385" s="1" t="s">
        <v>74</v>
      </c>
      <c r="BK385" s="1" t="s">
        <v>74</v>
      </c>
      <c r="BL385" s="1" t="s">
        <v>74</v>
      </c>
      <c r="BM385" s="1" t="s">
        <v>74</v>
      </c>
      <c r="BN385" s="1" t="s">
        <v>74</v>
      </c>
      <c r="BO385" s="1" t="s">
        <v>74</v>
      </c>
      <c r="BP385" s="1" t="s">
        <v>74</v>
      </c>
      <c r="BQ385" s="1" t="s">
        <v>74</v>
      </c>
      <c r="BR385" s="1" t="s">
        <v>74</v>
      </c>
      <c r="BS385" s="1" t="s">
        <v>4047</v>
      </c>
      <c r="BT385" s="1" t="str">
        <f>HYPERLINK("https%3A%2F%2Fwww.webofscience.com%2Fwos%2Fwoscc%2Ffull-record%2FWOS:000438582900023","View Full Record in Web of Science")</f>
        <v>View Full Record in Web of Science</v>
      </c>
    </row>
    <row r="386" ht="12.75" customHeight="1">
      <c r="A386" s="1" t="s">
        <v>72</v>
      </c>
      <c r="B386" s="1" t="s">
        <v>4048</v>
      </c>
      <c r="C386" s="1" t="s">
        <v>74</v>
      </c>
      <c r="D386" s="1" t="s">
        <v>74</v>
      </c>
      <c r="E386" s="1" t="s">
        <v>74</v>
      </c>
      <c r="F386" s="1" t="s">
        <v>4049</v>
      </c>
      <c r="G386" s="1" t="s">
        <v>74</v>
      </c>
      <c r="H386" s="1" t="s">
        <v>74</v>
      </c>
      <c r="I386" s="1" t="s">
        <v>4050</v>
      </c>
      <c r="J386" s="1" t="s">
        <v>4051</v>
      </c>
      <c r="K386" s="1" t="s">
        <v>74</v>
      </c>
      <c r="L386" s="1" t="s">
        <v>74</v>
      </c>
      <c r="M386" s="1" t="s">
        <v>74</v>
      </c>
      <c r="N386" s="1" t="s">
        <v>74</v>
      </c>
      <c r="O386" s="1" t="s">
        <v>74</v>
      </c>
      <c r="P386" s="1" t="s">
        <v>74</v>
      </c>
      <c r="Q386" s="1" t="s">
        <v>74</v>
      </c>
      <c r="R386" s="1" t="s">
        <v>74</v>
      </c>
      <c r="S386" s="1" t="s">
        <v>74</v>
      </c>
      <c r="T386" s="1" t="s">
        <v>74</v>
      </c>
      <c r="U386" s="1" t="s">
        <v>74</v>
      </c>
      <c r="V386" s="1" t="s">
        <v>4052</v>
      </c>
      <c r="W386" s="1" t="s">
        <v>74</v>
      </c>
      <c r="X386" s="1" t="s">
        <v>74</v>
      </c>
      <c r="Y386" s="1" t="s">
        <v>74</v>
      </c>
      <c r="Z386" s="1" t="s">
        <v>74</v>
      </c>
      <c r="AA386" s="1" t="s">
        <v>4053</v>
      </c>
      <c r="AB386" s="1" t="s">
        <v>4054</v>
      </c>
      <c r="AC386" s="1" t="s">
        <v>74</v>
      </c>
      <c r="AD386" s="1" t="s">
        <v>74</v>
      </c>
      <c r="AE386" s="1" t="s">
        <v>74</v>
      </c>
      <c r="AF386" s="1" t="s">
        <v>74</v>
      </c>
      <c r="AG386" s="1" t="s">
        <v>74</v>
      </c>
      <c r="AH386" s="1" t="s">
        <v>74</v>
      </c>
      <c r="AI386" s="1" t="s">
        <v>74</v>
      </c>
      <c r="AJ386" s="1" t="s">
        <v>74</v>
      </c>
      <c r="AK386" s="1" t="s">
        <v>74</v>
      </c>
      <c r="AL386" s="1" t="s">
        <v>74</v>
      </c>
      <c r="AM386" s="1" t="s">
        <v>74</v>
      </c>
      <c r="AN386" s="1" t="s">
        <v>74</v>
      </c>
      <c r="AO386" s="1" t="s">
        <v>4055</v>
      </c>
      <c r="AP386" s="1" t="s">
        <v>4056</v>
      </c>
      <c r="AQ386" s="1" t="s">
        <v>74</v>
      </c>
      <c r="AR386" s="1" t="s">
        <v>74</v>
      </c>
      <c r="AS386" s="1" t="s">
        <v>74</v>
      </c>
      <c r="AT386" s="1" t="s">
        <v>74</v>
      </c>
      <c r="AU386" s="1">
        <v>2018.0</v>
      </c>
      <c r="AV386" s="1" t="s">
        <v>74</v>
      </c>
      <c r="AW386" s="1" t="s">
        <v>74</v>
      </c>
      <c r="AX386" s="1" t="s">
        <v>74</v>
      </c>
      <c r="AY386" s="1" t="s">
        <v>74</v>
      </c>
      <c r="AZ386" s="1" t="s">
        <v>74</v>
      </c>
      <c r="BA386" s="1" t="s">
        <v>74</v>
      </c>
      <c r="BB386" s="1" t="s">
        <v>74</v>
      </c>
      <c r="BC386" s="1" t="s">
        <v>74</v>
      </c>
      <c r="BD386" s="1">
        <v>1452683.0</v>
      </c>
      <c r="BE386" s="1" t="s">
        <v>4057</v>
      </c>
      <c r="BF386" s="2" t="str">
        <f>HYPERLINK("http://dx.doi.org/10.1155/2018/1452683","http://dx.doi.org/10.1155/2018/1452683")</f>
        <v>http://dx.doi.org/10.1155/2018/1452683</v>
      </c>
      <c r="BG386" s="1" t="s">
        <v>74</v>
      </c>
      <c r="BH386" s="1" t="s">
        <v>74</v>
      </c>
      <c r="BI386" s="1" t="s">
        <v>74</v>
      </c>
      <c r="BJ386" s="1" t="s">
        <v>74</v>
      </c>
      <c r="BK386" s="1" t="s">
        <v>74</v>
      </c>
      <c r="BL386" s="1" t="s">
        <v>74</v>
      </c>
      <c r="BM386" s="1" t="s">
        <v>74</v>
      </c>
      <c r="BN386" s="1" t="s">
        <v>74</v>
      </c>
      <c r="BO386" s="1" t="s">
        <v>74</v>
      </c>
      <c r="BP386" s="1" t="s">
        <v>74</v>
      </c>
      <c r="BQ386" s="1" t="s">
        <v>74</v>
      </c>
      <c r="BR386" s="1" t="s">
        <v>74</v>
      </c>
      <c r="BS386" s="1" t="s">
        <v>4058</v>
      </c>
      <c r="BT386" s="1" t="str">
        <f>HYPERLINK("https%3A%2F%2Fwww.webofscience.com%2Fwos%2Fwoscc%2Ffull-record%2FWOS:000445537900001","View Full Record in Web of Science")</f>
        <v>View Full Record in Web of Science</v>
      </c>
    </row>
    <row r="387" ht="12.75" customHeight="1">
      <c r="A387" s="1" t="s">
        <v>72</v>
      </c>
      <c r="B387" s="1" t="s">
        <v>4059</v>
      </c>
      <c r="C387" s="1" t="s">
        <v>74</v>
      </c>
      <c r="D387" s="1" t="s">
        <v>74</v>
      </c>
      <c r="E387" s="1" t="s">
        <v>74</v>
      </c>
      <c r="F387" s="1" t="s">
        <v>4060</v>
      </c>
      <c r="G387" s="1" t="s">
        <v>74</v>
      </c>
      <c r="H387" s="1" t="s">
        <v>74</v>
      </c>
      <c r="I387" s="1" t="s">
        <v>4061</v>
      </c>
      <c r="J387" s="1" t="s">
        <v>4062</v>
      </c>
      <c r="K387" s="1" t="s">
        <v>74</v>
      </c>
      <c r="L387" s="1" t="s">
        <v>74</v>
      </c>
      <c r="M387" s="1" t="s">
        <v>74</v>
      </c>
      <c r="N387" s="1" t="s">
        <v>74</v>
      </c>
      <c r="O387" s="1" t="s">
        <v>74</v>
      </c>
      <c r="P387" s="1" t="s">
        <v>74</v>
      </c>
      <c r="Q387" s="1" t="s">
        <v>74</v>
      </c>
      <c r="R387" s="1" t="s">
        <v>74</v>
      </c>
      <c r="S387" s="1" t="s">
        <v>74</v>
      </c>
      <c r="T387" s="1" t="s">
        <v>74</v>
      </c>
      <c r="U387" s="1" t="s">
        <v>74</v>
      </c>
      <c r="V387" s="1" t="s">
        <v>4063</v>
      </c>
      <c r="W387" s="1" t="s">
        <v>74</v>
      </c>
      <c r="X387" s="1" t="s">
        <v>74</v>
      </c>
      <c r="Y387" s="1" t="s">
        <v>74</v>
      </c>
      <c r="Z387" s="1" t="s">
        <v>74</v>
      </c>
      <c r="AA387" s="1" t="s">
        <v>4064</v>
      </c>
      <c r="AB387" s="1" t="s">
        <v>4065</v>
      </c>
      <c r="AC387" s="1" t="s">
        <v>74</v>
      </c>
      <c r="AD387" s="1" t="s">
        <v>74</v>
      </c>
      <c r="AE387" s="1" t="s">
        <v>74</v>
      </c>
      <c r="AF387" s="1" t="s">
        <v>74</v>
      </c>
      <c r="AG387" s="1" t="s">
        <v>74</v>
      </c>
      <c r="AH387" s="1" t="s">
        <v>74</v>
      </c>
      <c r="AI387" s="1" t="s">
        <v>74</v>
      </c>
      <c r="AJ387" s="1" t="s">
        <v>74</v>
      </c>
      <c r="AK387" s="1" t="s">
        <v>74</v>
      </c>
      <c r="AL387" s="1" t="s">
        <v>74</v>
      </c>
      <c r="AM387" s="1" t="s">
        <v>74</v>
      </c>
      <c r="AN387" s="1" t="s">
        <v>74</v>
      </c>
      <c r="AO387" s="1" t="s">
        <v>4066</v>
      </c>
      <c r="AP387" s="1" t="s">
        <v>74</v>
      </c>
      <c r="AQ387" s="1" t="s">
        <v>74</v>
      </c>
      <c r="AR387" s="1" t="s">
        <v>74</v>
      </c>
      <c r="AS387" s="1" t="s">
        <v>74</v>
      </c>
      <c r="AT387" s="1" t="s">
        <v>164</v>
      </c>
      <c r="AU387" s="1">
        <v>2017.0</v>
      </c>
      <c r="AV387" s="1">
        <v>7.0</v>
      </c>
      <c r="AW387" s="1">
        <v>7.0</v>
      </c>
      <c r="AX387" s="1" t="s">
        <v>74</v>
      </c>
      <c r="AY387" s="1" t="s">
        <v>74</v>
      </c>
      <c r="AZ387" s="1" t="s">
        <v>74</v>
      </c>
      <c r="BA387" s="1" t="s">
        <v>74</v>
      </c>
      <c r="BB387" s="1" t="s">
        <v>74</v>
      </c>
      <c r="BC387" s="1" t="s">
        <v>74</v>
      </c>
      <c r="BD387" s="1" t="s">
        <v>4067</v>
      </c>
      <c r="BE387" s="1" t="s">
        <v>4068</v>
      </c>
      <c r="BF387" s="2" t="str">
        <f>HYPERLINK("http://dx.doi.org/10.1136/bmjopen-2016-011249","http://dx.doi.org/10.1136/bmjopen-2016-011249")</f>
        <v>http://dx.doi.org/10.1136/bmjopen-2016-011249</v>
      </c>
      <c r="BG387" s="1" t="s">
        <v>74</v>
      </c>
      <c r="BH387" s="1" t="s">
        <v>74</v>
      </c>
      <c r="BI387" s="1" t="s">
        <v>74</v>
      </c>
      <c r="BJ387" s="1" t="s">
        <v>74</v>
      </c>
      <c r="BK387" s="1" t="s">
        <v>74</v>
      </c>
      <c r="BL387" s="1" t="s">
        <v>74</v>
      </c>
      <c r="BM387" s="1" t="s">
        <v>74</v>
      </c>
      <c r="BN387" s="1">
        <v>2.8729304E7</v>
      </c>
      <c r="BO387" s="1" t="s">
        <v>74</v>
      </c>
      <c r="BP387" s="1" t="s">
        <v>74</v>
      </c>
      <c r="BQ387" s="1" t="s">
        <v>74</v>
      </c>
      <c r="BR387" s="1" t="s">
        <v>74</v>
      </c>
      <c r="BS387" s="1" t="s">
        <v>4069</v>
      </c>
      <c r="BT387" s="1" t="str">
        <f>HYPERLINK("https%3A%2F%2Fwww.webofscience.com%2Fwos%2Fwoscc%2Ffull-record%2FWOS:000410203700001","View Full Record in Web of Science")</f>
        <v>View Full Record in Web of Science</v>
      </c>
    </row>
    <row r="388" ht="12.75" customHeight="1">
      <c r="A388" s="1" t="s">
        <v>72</v>
      </c>
      <c r="B388" s="1" t="s">
        <v>4070</v>
      </c>
      <c r="C388" s="1" t="s">
        <v>74</v>
      </c>
      <c r="D388" s="1" t="s">
        <v>74</v>
      </c>
      <c r="E388" s="1" t="s">
        <v>74</v>
      </c>
      <c r="F388" s="1" t="s">
        <v>4071</v>
      </c>
      <c r="G388" s="1" t="s">
        <v>74</v>
      </c>
      <c r="H388" s="1" t="s">
        <v>74</v>
      </c>
      <c r="I388" s="1" t="s">
        <v>4072</v>
      </c>
      <c r="J388" s="1" t="s">
        <v>4073</v>
      </c>
      <c r="K388" s="1" t="s">
        <v>74</v>
      </c>
      <c r="L388" s="1" t="s">
        <v>74</v>
      </c>
      <c r="M388" s="1" t="s">
        <v>74</v>
      </c>
      <c r="N388" s="1" t="s">
        <v>74</v>
      </c>
      <c r="O388" s="1" t="s">
        <v>74</v>
      </c>
      <c r="P388" s="1" t="s">
        <v>74</v>
      </c>
      <c r="Q388" s="1" t="s">
        <v>74</v>
      </c>
      <c r="R388" s="1" t="s">
        <v>74</v>
      </c>
      <c r="S388" s="1" t="s">
        <v>74</v>
      </c>
      <c r="T388" s="1" t="s">
        <v>74</v>
      </c>
      <c r="U388" s="1" t="s">
        <v>74</v>
      </c>
      <c r="V388" s="1" t="s">
        <v>4074</v>
      </c>
      <c r="W388" s="1" t="s">
        <v>74</v>
      </c>
      <c r="X388" s="1" t="s">
        <v>74</v>
      </c>
      <c r="Y388" s="1" t="s">
        <v>74</v>
      </c>
      <c r="Z388" s="1" t="s">
        <v>74</v>
      </c>
      <c r="AA388" s="1" t="s">
        <v>4075</v>
      </c>
      <c r="AB388" s="1" t="s">
        <v>4076</v>
      </c>
      <c r="AC388" s="1" t="s">
        <v>74</v>
      </c>
      <c r="AD388" s="1" t="s">
        <v>74</v>
      </c>
      <c r="AE388" s="1" t="s">
        <v>74</v>
      </c>
      <c r="AF388" s="1" t="s">
        <v>74</v>
      </c>
      <c r="AG388" s="1" t="s">
        <v>74</v>
      </c>
      <c r="AH388" s="1" t="s">
        <v>74</v>
      </c>
      <c r="AI388" s="1" t="s">
        <v>74</v>
      </c>
      <c r="AJ388" s="1" t="s">
        <v>74</v>
      </c>
      <c r="AK388" s="1" t="s">
        <v>74</v>
      </c>
      <c r="AL388" s="1" t="s">
        <v>74</v>
      </c>
      <c r="AM388" s="1" t="s">
        <v>74</v>
      </c>
      <c r="AN388" s="1" t="s">
        <v>74</v>
      </c>
      <c r="AO388" s="1" t="s">
        <v>4077</v>
      </c>
      <c r="AP388" s="1" t="s">
        <v>4078</v>
      </c>
      <c r="AQ388" s="1" t="s">
        <v>74</v>
      </c>
      <c r="AR388" s="1" t="s">
        <v>74</v>
      </c>
      <c r="AS388" s="1" t="s">
        <v>74</v>
      </c>
      <c r="AT388" s="1" t="s">
        <v>235</v>
      </c>
      <c r="AU388" s="1">
        <v>2016.0</v>
      </c>
      <c r="AV388" s="1">
        <v>22.0</v>
      </c>
      <c r="AW388" s="1">
        <v>2.0</v>
      </c>
      <c r="AX388" s="1" t="s">
        <v>74</v>
      </c>
      <c r="AY388" s="1" t="s">
        <v>74</v>
      </c>
      <c r="AZ388" s="1" t="s">
        <v>74</v>
      </c>
      <c r="BA388" s="1" t="s">
        <v>74</v>
      </c>
      <c r="BB388" s="1">
        <v>567.0</v>
      </c>
      <c r="BC388" s="1">
        <v>580.0</v>
      </c>
      <c r="BD388" s="1" t="s">
        <v>74</v>
      </c>
      <c r="BE388" s="1" t="s">
        <v>4079</v>
      </c>
      <c r="BF388" s="2" t="str">
        <f>HYPERLINK("http://dx.doi.org/10.1007/s11948-015-9661-1","http://dx.doi.org/10.1007/s11948-015-9661-1")</f>
        <v>http://dx.doi.org/10.1007/s11948-015-9661-1</v>
      </c>
      <c r="BG388" s="1" t="s">
        <v>74</v>
      </c>
      <c r="BH388" s="1" t="s">
        <v>74</v>
      </c>
      <c r="BI388" s="1" t="s">
        <v>74</v>
      </c>
      <c r="BJ388" s="1" t="s">
        <v>74</v>
      </c>
      <c r="BK388" s="1" t="s">
        <v>74</v>
      </c>
      <c r="BL388" s="1" t="s">
        <v>74</v>
      </c>
      <c r="BM388" s="1" t="s">
        <v>74</v>
      </c>
      <c r="BN388" s="1">
        <v>2.6026967E7</v>
      </c>
      <c r="BO388" s="1" t="s">
        <v>74</v>
      </c>
      <c r="BP388" s="1" t="s">
        <v>74</v>
      </c>
      <c r="BQ388" s="1" t="s">
        <v>74</v>
      </c>
      <c r="BR388" s="1" t="s">
        <v>74</v>
      </c>
      <c r="BS388" s="1" t="s">
        <v>4080</v>
      </c>
      <c r="BT388" s="1" t="str">
        <f>HYPERLINK("https%3A%2F%2Fwww.webofscience.com%2Fwos%2Fwoscc%2Ffull-record%2FWOS:000373378100014","View Full Record in Web of Science")</f>
        <v>View Full Record in Web of Science</v>
      </c>
    </row>
    <row r="389" ht="12.75" customHeight="1">
      <c r="A389" s="1" t="s">
        <v>72</v>
      </c>
      <c r="B389" s="1" t="s">
        <v>4081</v>
      </c>
      <c r="C389" s="1" t="s">
        <v>74</v>
      </c>
      <c r="D389" s="1" t="s">
        <v>74</v>
      </c>
      <c r="E389" s="1" t="s">
        <v>74</v>
      </c>
      <c r="F389" s="1" t="s">
        <v>4082</v>
      </c>
      <c r="G389" s="1" t="s">
        <v>74</v>
      </c>
      <c r="H389" s="1" t="s">
        <v>74</v>
      </c>
      <c r="I389" s="1" t="s">
        <v>4083</v>
      </c>
      <c r="J389" s="1" t="s">
        <v>4084</v>
      </c>
      <c r="K389" s="1" t="s">
        <v>74</v>
      </c>
      <c r="L389" s="1" t="s">
        <v>74</v>
      </c>
      <c r="M389" s="1" t="s">
        <v>74</v>
      </c>
      <c r="N389" s="1" t="s">
        <v>74</v>
      </c>
      <c r="O389" s="1" t="s">
        <v>74</v>
      </c>
      <c r="P389" s="1" t="s">
        <v>74</v>
      </c>
      <c r="Q389" s="1" t="s">
        <v>74</v>
      </c>
      <c r="R389" s="1" t="s">
        <v>74</v>
      </c>
      <c r="S389" s="1" t="s">
        <v>74</v>
      </c>
      <c r="T389" s="1" t="s">
        <v>74</v>
      </c>
      <c r="U389" s="1" t="s">
        <v>74</v>
      </c>
      <c r="V389" s="1" t="s">
        <v>4085</v>
      </c>
      <c r="W389" s="1" t="s">
        <v>74</v>
      </c>
      <c r="X389" s="1" t="s">
        <v>74</v>
      </c>
      <c r="Y389" s="1" t="s">
        <v>74</v>
      </c>
      <c r="Z389" s="1" t="s">
        <v>74</v>
      </c>
      <c r="AA389" s="1" t="s">
        <v>4086</v>
      </c>
      <c r="AB389" s="1" t="s">
        <v>802</v>
      </c>
      <c r="AC389" s="1" t="s">
        <v>74</v>
      </c>
      <c r="AD389" s="1" t="s">
        <v>74</v>
      </c>
      <c r="AE389" s="1" t="s">
        <v>74</v>
      </c>
      <c r="AF389" s="1" t="s">
        <v>74</v>
      </c>
      <c r="AG389" s="1" t="s">
        <v>74</v>
      </c>
      <c r="AH389" s="1" t="s">
        <v>74</v>
      </c>
      <c r="AI389" s="1" t="s">
        <v>74</v>
      </c>
      <c r="AJ389" s="1" t="s">
        <v>74</v>
      </c>
      <c r="AK389" s="1" t="s">
        <v>74</v>
      </c>
      <c r="AL389" s="1" t="s">
        <v>74</v>
      </c>
      <c r="AM389" s="1" t="s">
        <v>74</v>
      </c>
      <c r="AN389" s="1" t="s">
        <v>74</v>
      </c>
      <c r="AO389" s="1" t="s">
        <v>4087</v>
      </c>
      <c r="AP389" s="1" t="s">
        <v>4088</v>
      </c>
      <c r="AQ389" s="1" t="s">
        <v>74</v>
      </c>
      <c r="AR389" s="1" t="s">
        <v>74</v>
      </c>
      <c r="AS389" s="1" t="s">
        <v>74</v>
      </c>
      <c r="AT389" s="1" t="s">
        <v>235</v>
      </c>
      <c r="AU389" s="1">
        <v>2016.0</v>
      </c>
      <c r="AV389" s="1">
        <v>16.0</v>
      </c>
      <c r="AW389" s="1">
        <v>1.0</v>
      </c>
      <c r="AX389" s="1" t="s">
        <v>74</v>
      </c>
      <c r="AY389" s="1" t="s">
        <v>74</v>
      </c>
      <c r="AZ389" s="1" t="s">
        <v>74</v>
      </c>
      <c r="BA389" s="1" t="s">
        <v>74</v>
      </c>
      <c r="BB389" s="1">
        <v>276.0</v>
      </c>
      <c r="BC389" s="1">
        <v>289.0</v>
      </c>
      <c r="BD389" s="1" t="s">
        <v>74</v>
      </c>
      <c r="BE389" s="1" t="s">
        <v>4089</v>
      </c>
      <c r="BF389" s="2" t="str">
        <f>HYPERLINK("http://dx.doi.org/10.1080/24748668.2016.11868886","http://dx.doi.org/10.1080/24748668.2016.11868886")</f>
        <v>http://dx.doi.org/10.1080/24748668.2016.11868886</v>
      </c>
      <c r="BG389" s="1" t="s">
        <v>74</v>
      </c>
      <c r="BH389" s="1" t="s">
        <v>74</v>
      </c>
      <c r="BI389" s="1" t="s">
        <v>74</v>
      </c>
      <c r="BJ389" s="1" t="s">
        <v>74</v>
      </c>
      <c r="BK389" s="1" t="s">
        <v>74</v>
      </c>
      <c r="BL389" s="1" t="s">
        <v>74</v>
      </c>
      <c r="BM389" s="1" t="s">
        <v>74</v>
      </c>
      <c r="BN389" s="1" t="s">
        <v>74</v>
      </c>
      <c r="BO389" s="1" t="s">
        <v>74</v>
      </c>
      <c r="BP389" s="1" t="s">
        <v>74</v>
      </c>
      <c r="BQ389" s="1" t="s">
        <v>74</v>
      </c>
      <c r="BR389" s="1" t="s">
        <v>74</v>
      </c>
      <c r="BS389" s="1" t="s">
        <v>4090</v>
      </c>
      <c r="BT389" s="1" t="str">
        <f>HYPERLINK("https%3A%2F%2Fwww.webofscience.com%2Fwos%2Fwoscc%2Ffull-record%2FWOS:000374982300022","View Full Record in Web of Science")</f>
        <v>View Full Record in Web of Science</v>
      </c>
    </row>
    <row r="390" ht="12.75" customHeight="1">
      <c r="A390" s="1" t="s">
        <v>72</v>
      </c>
      <c r="B390" s="1" t="s">
        <v>4091</v>
      </c>
      <c r="C390" s="1" t="s">
        <v>74</v>
      </c>
      <c r="D390" s="1" t="s">
        <v>74</v>
      </c>
      <c r="E390" s="1" t="s">
        <v>74</v>
      </c>
      <c r="F390" s="1" t="s">
        <v>4092</v>
      </c>
      <c r="G390" s="1" t="s">
        <v>74</v>
      </c>
      <c r="H390" s="1" t="s">
        <v>74</v>
      </c>
      <c r="I390" s="1" t="s">
        <v>4093</v>
      </c>
      <c r="J390" s="1" t="s">
        <v>302</v>
      </c>
      <c r="K390" s="1" t="s">
        <v>74</v>
      </c>
      <c r="L390" s="1" t="s">
        <v>74</v>
      </c>
      <c r="M390" s="1" t="s">
        <v>74</v>
      </c>
      <c r="N390" s="1" t="s">
        <v>74</v>
      </c>
      <c r="O390" s="1" t="s">
        <v>74</v>
      </c>
      <c r="P390" s="1" t="s">
        <v>74</v>
      </c>
      <c r="Q390" s="1" t="s">
        <v>74</v>
      </c>
      <c r="R390" s="1" t="s">
        <v>74</v>
      </c>
      <c r="S390" s="1" t="s">
        <v>74</v>
      </c>
      <c r="T390" s="1" t="s">
        <v>74</v>
      </c>
      <c r="U390" s="1" t="s">
        <v>74</v>
      </c>
      <c r="V390" s="1" t="s">
        <v>4094</v>
      </c>
      <c r="W390" s="1" t="s">
        <v>74</v>
      </c>
      <c r="X390" s="1" t="s">
        <v>74</v>
      </c>
      <c r="Y390" s="1" t="s">
        <v>74</v>
      </c>
      <c r="Z390" s="1" t="s">
        <v>74</v>
      </c>
      <c r="AA390" s="1" t="s">
        <v>4095</v>
      </c>
      <c r="AB390" s="1" t="s">
        <v>4096</v>
      </c>
      <c r="AC390" s="1" t="s">
        <v>74</v>
      </c>
      <c r="AD390" s="1" t="s">
        <v>74</v>
      </c>
      <c r="AE390" s="1" t="s">
        <v>74</v>
      </c>
      <c r="AF390" s="1" t="s">
        <v>74</v>
      </c>
      <c r="AG390" s="1" t="s">
        <v>74</v>
      </c>
      <c r="AH390" s="1" t="s">
        <v>74</v>
      </c>
      <c r="AI390" s="1" t="s">
        <v>74</v>
      </c>
      <c r="AJ390" s="1" t="s">
        <v>74</v>
      </c>
      <c r="AK390" s="1" t="s">
        <v>74</v>
      </c>
      <c r="AL390" s="1" t="s">
        <v>74</v>
      </c>
      <c r="AM390" s="1" t="s">
        <v>74</v>
      </c>
      <c r="AN390" s="1" t="s">
        <v>74</v>
      </c>
      <c r="AO390" s="1" t="s">
        <v>305</v>
      </c>
      <c r="AP390" s="1" t="s">
        <v>306</v>
      </c>
      <c r="AQ390" s="1" t="s">
        <v>74</v>
      </c>
      <c r="AR390" s="1" t="s">
        <v>74</v>
      </c>
      <c r="AS390" s="1" t="s">
        <v>74</v>
      </c>
      <c r="AT390" s="1" t="s">
        <v>939</v>
      </c>
      <c r="AU390" s="1">
        <v>2015.0</v>
      </c>
      <c r="AV390" s="1">
        <v>143.0</v>
      </c>
      <c r="AW390" s="1">
        <v>6.0</v>
      </c>
      <c r="AX390" s="1" t="s">
        <v>74</v>
      </c>
      <c r="AY390" s="1" t="s">
        <v>74</v>
      </c>
      <c r="AZ390" s="1" t="s">
        <v>74</v>
      </c>
      <c r="BA390" s="1" t="s">
        <v>74</v>
      </c>
      <c r="BB390" s="1">
        <v>716.0</v>
      </c>
      <c r="BC390" s="1">
        <v>723.0</v>
      </c>
      <c r="BD390" s="1" t="s">
        <v>74</v>
      </c>
      <c r="BE390" s="1" t="s">
        <v>4097</v>
      </c>
      <c r="BF390" s="2" t="str">
        <f>HYPERLINK("http://dx.doi.org/10.4067/S0034-98872015000600004","http://dx.doi.org/10.4067/S0034-98872015000600004")</f>
        <v>http://dx.doi.org/10.4067/S0034-98872015000600004</v>
      </c>
      <c r="BG390" s="1" t="s">
        <v>74</v>
      </c>
      <c r="BH390" s="1" t="s">
        <v>74</v>
      </c>
      <c r="BI390" s="1" t="s">
        <v>74</v>
      </c>
      <c r="BJ390" s="1" t="s">
        <v>74</v>
      </c>
      <c r="BK390" s="1" t="s">
        <v>74</v>
      </c>
      <c r="BL390" s="1" t="s">
        <v>74</v>
      </c>
      <c r="BM390" s="1" t="s">
        <v>74</v>
      </c>
      <c r="BN390" s="1">
        <v>2.6230554E7</v>
      </c>
      <c r="BO390" s="1" t="s">
        <v>74</v>
      </c>
      <c r="BP390" s="1" t="s">
        <v>74</v>
      </c>
      <c r="BQ390" s="1" t="s">
        <v>74</v>
      </c>
      <c r="BR390" s="1" t="s">
        <v>74</v>
      </c>
      <c r="BS390" s="1" t="s">
        <v>4098</v>
      </c>
      <c r="BT390" s="1" t="str">
        <f>HYPERLINK("https%3A%2F%2Fwww.webofscience.com%2Fwos%2Fwoscc%2Ffull-record%2FWOS:000358558700004","View Full Record in Web of Science")</f>
        <v>View Full Record in Web of Science</v>
      </c>
    </row>
    <row r="391" ht="12.75" customHeight="1">
      <c r="A391" s="1" t="s">
        <v>72</v>
      </c>
      <c r="B391" s="1" t="s">
        <v>4099</v>
      </c>
      <c r="C391" s="1" t="s">
        <v>74</v>
      </c>
      <c r="D391" s="1" t="s">
        <v>74</v>
      </c>
      <c r="E391" s="1" t="s">
        <v>74</v>
      </c>
      <c r="F391" s="1" t="s">
        <v>4100</v>
      </c>
      <c r="G391" s="1" t="s">
        <v>74</v>
      </c>
      <c r="H391" s="1" t="s">
        <v>74</v>
      </c>
      <c r="I391" s="1" t="s">
        <v>4101</v>
      </c>
      <c r="J391" s="1" t="s">
        <v>4102</v>
      </c>
      <c r="K391" s="1" t="s">
        <v>74</v>
      </c>
      <c r="L391" s="1" t="s">
        <v>74</v>
      </c>
      <c r="M391" s="1" t="s">
        <v>74</v>
      </c>
      <c r="N391" s="1" t="s">
        <v>74</v>
      </c>
      <c r="O391" s="1" t="s">
        <v>74</v>
      </c>
      <c r="P391" s="1" t="s">
        <v>74</v>
      </c>
      <c r="Q391" s="1" t="s">
        <v>74</v>
      </c>
      <c r="R391" s="1" t="s">
        <v>74</v>
      </c>
      <c r="S391" s="1" t="s">
        <v>74</v>
      </c>
      <c r="T391" s="1" t="s">
        <v>74</v>
      </c>
      <c r="U391" s="1" t="s">
        <v>74</v>
      </c>
      <c r="V391" s="1" t="s">
        <v>4103</v>
      </c>
      <c r="W391" s="1" t="s">
        <v>74</v>
      </c>
      <c r="X391" s="1" t="s">
        <v>74</v>
      </c>
      <c r="Y391" s="1" t="s">
        <v>74</v>
      </c>
      <c r="Z391" s="1" t="s">
        <v>74</v>
      </c>
      <c r="AA391" s="1" t="s">
        <v>4104</v>
      </c>
      <c r="AB391" s="1" t="s">
        <v>4105</v>
      </c>
      <c r="AC391" s="1" t="s">
        <v>74</v>
      </c>
      <c r="AD391" s="1" t="s">
        <v>74</v>
      </c>
      <c r="AE391" s="1" t="s">
        <v>74</v>
      </c>
      <c r="AF391" s="1" t="s">
        <v>74</v>
      </c>
      <c r="AG391" s="1" t="s">
        <v>74</v>
      </c>
      <c r="AH391" s="1" t="s">
        <v>74</v>
      </c>
      <c r="AI391" s="1" t="s">
        <v>74</v>
      </c>
      <c r="AJ391" s="1" t="s">
        <v>74</v>
      </c>
      <c r="AK391" s="1" t="s">
        <v>74</v>
      </c>
      <c r="AL391" s="1" t="s">
        <v>74</v>
      </c>
      <c r="AM391" s="1" t="s">
        <v>74</v>
      </c>
      <c r="AN391" s="1" t="s">
        <v>74</v>
      </c>
      <c r="AO391" s="1" t="s">
        <v>4106</v>
      </c>
      <c r="AP391" s="1" t="s">
        <v>4107</v>
      </c>
      <c r="AQ391" s="1" t="s">
        <v>74</v>
      </c>
      <c r="AR391" s="1" t="s">
        <v>74</v>
      </c>
      <c r="AS391" s="1" t="s">
        <v>74</v>
      </c>
      <c r="AT391" s="1" t="s">
        <v>3971</v>
      </c>
      <c r="AU391" s="1">
        <v>2014.0</v>
      </c>
      <c r="AV391" s="1">
        <v>87.0</v>
      </c>
      <c r="AW391" s="1">
        <v>3.0</v>
      </c>
      <c r="AX391" s="1" t="s">
        <v>74</v>
      </c>
      <c r="AY391" s="1" t="s">
        <v>74</v>
      </c>
      <c r="AZ391" s="1" t="s">
        <v>74</v>
      </c>
      <c r="BA391" s="1" t="s">
        <v>74</v>
      </c>
      <c r="BB391" s="1" t="s">
        <v>74</v>
      </c>
      <c r="BC391" s="1" t="s">
        <v>74</v>
      </c>
      <c r="BD391" s="1">
        <v>61.0</v>
      </c>
      <c r="BE391" s="1" t="s">
        <v>4108</v>
      </c>
      <c r="BF391" s="2" t="str">
        <f>HYPERLINK("http://dx.doi.org/10.1140/epjb/e2014-40712-6","http://dx.doi.org/10.1140/epjb/e2014-40712-6")</f>
        <v>http://dx.doi.org/10.1140/epjb/e2014-40712-6</v>
      </c>
      <c r="BG391" s="1" t="s">
        <v>74</v>
      </c>
      <c r="BH391" s="1" t="s">
        <v>74</v>
      </c>
      <c r="BI391" s="1" t="s">
        <v>74</v>
      </c>
      <c r="BJ391" s="1" t="s">
        <v>74</v>
      </c>
      <c r="BK391" s="1" t="s">
        <v>74</v>
      </c>
      <c r="BL391" s="1" t="s">
        <v>74</v>
      </c>
      <c r="BM391" s="1" t="s">
        <v>74</v>
      </c>
      <c r="BN391" s="1" t="s">
        <v>74</v>
      </c>
      <c r="BO391" s="1" t="s">
        <v>74</v>
      </c>
      <c r="BP391" s="1" t="s">
        <v>74</v>
      </c>
      <c r="BQ391" s="1" t="s">
        <v>74</v>
      </c>
      <c r="BR391" s="1" t="s">
        <v>74</v>
      </c>
      <c r="BS391" s="1" t="s">
        <v>4109</v>
      </c>
      <c r="BT391" s="1" t="str">
        <f>HYPERLINK("https%3A%2F%2Fwww.webofscience.com%2Fwos%2Fwoscc%2Ffull-record%2FWOS:000332697900004","View Full Record in Web of Science")</f>
        <v>View Full Record in Web of Science</v>
      </c>
    </row>
    <row r="392" ht="12.75" customHeight="1">
      <c r="A392" s="1" t="s">
        <v>72</v>
      </c>
      <c r="B392" s="1" t="s">
        <v>4110</v>
      </c>
      <c r="C392" s="1" t="s">
        <v>74</v>
      </c>
      <c r="D392" s="1" t="s">
        <v>74</v>
      </c>
      <c r="E392" s="1" t="s">
        <v>74</v>
      </c>
      <c r="F392" s="1" t="s">
        <v>4111</v>
      </c>
      <c r="G392" s="1" t="s">
        <v>74</v>
      </c>
      <c r="H392" s="1" t="s">
        <v>74</v>
      </c>
      <c r="I392" s="1" t="s">
        <v>4112</v>
      </c>
      <c r="J392" s="1" t="s">
        <v>4113</v>
      </c>
      <c r="K392" s="1" t="s">
        <v>74</v>
      </c>
      <c r="L392" s="1" t="s">
        <v>74</v>
      </c>
      <c r="M392" s="1" t="s">
        <v>74</v>
      </c>
      <c r="N392" s="1" t="s">
        <v>74</v>
      </c>
      <c r="O392" s="1" t="s">
        <v>74</v>
      </c>
      <c r="P392" s="1" t="s">
        <v>74</v>
      </c>
      <c r="Q392" s="1" t="s">
        <v>74</v>
      </c>
      <c r="R392" s="1" t="s">
        <v>74</v>
      </c>
      <c r="S392" s="1" t="s">
        <v>74</v>
      </c>
      <c r="T392" s="1" t="s">
        <v>74</v>
      </c>
      <c r="U392" s="1" t="s">
        <v>74</v>
      </c>
      <c r="V392" s="1" t="s">
        <v>4114</v>
      </c>
      <c r="W392" s="1" t="s">
        <v>74</v>
      </c>
      <c r="X392" s="1" t="s">
        <v>74</v>
      </c>
      <c r="Y392" s="1" t="s">
        <v>74</v>
      </c>
      <c r="Z392" s="1" t="s">
        <v>74</v>
      </c>
      <c r="AA392" s="1" t="s">
        <v>4115</v>
      </c>
      <c r="AB392" s="1" t="s">
        <v>4116</v>
      </c>
      <c r="AC392" s="1" t="s">
        <v>74</v>
      </c>
      <c r="AD392" s="1" t="s">
        <v>74</v>
      </c>
      <c r="AE392" s="1" t="s">
        <v>74</v>
      </c>
      <c r="AF392" s="1" t="s">
        <v>74</v>
      </c>
      <c r="AG392" s="1" t="s">
        <v>74</v>
      </c>
      <c r="AH392" s="1" t="s">
        <v>74</v>
      </c>
      <c r="AI392" s="1" t="s">
        <v>74</v>
      </c>
      <c r="AJ392" s="1" t="s">
        <v>74</v>
      </c>
      <c r="AK392" s="1" t="s">
        <v>74</v>
      </c>
      <c r="AL392" s="1" t="s">
        <v>74</v>
      </c>
      <c r="AM392" s="1" t="s">
        <v>74</v>
      </c>
      <c r="AN392" s="1" t="s">
        <v>74</v>
      </c>
      <c r="AO392" s="1" t="s">
        <v>4117</v>
      </c>
      <c r="AP392" s="1" t="s">
        <v>4118</v>
      </c>
      <c r="AQ392" s="1" t="s">
        <v>74</v>
      </c>
      <c r="AR392" s="1" t="s">
        <v>74</v>
      </c>
      <c r="AS392" s="1" t="s">
        <v>74</v>
      </c>
      <c r="AT392" s="1" t="s">
        <v>164</v>
      </c>
      <c r="AU392" s="1">
        <v>2013.0</v>
      </c>
      <c r="AV392" s="1">
        <v>19.0</v>
      </c>
      <c r="AW392" s="1">
        <v>7.0</v>
      </c>
      <c r="AX392" s="1" t="s">
        <v>74</v>
      </c>
      <c r="AY392" s="1" t="s">
        <v>74</v>
      </c>
      <c r="AZ392" s="1" t="s">
        <v>74</v>
      </c>
      <c r="BA392" s="1" t="s">
        <v>74</v>
      </c>
      <c r="BB392" s="1">
        <v>2835.0</v>
      </c>
      <c r="BC392" s="1">
        <v>2844.0</v>
      </c>
      <c r="BD392" s="1" t="s">
        <v>74</v>
      </c>
      <c r="BE392" s="1" t="s">
        <v>4119</v>
      </c>
      <c r="BF392" s="2" t="str">
        <f>HYPERLINK("http://dx.doi.org/10.1007/s00894-012-1696-5","http://dx.doi.org/10.1007/s00894-012-1696-5")</f>
        <v>http://dx.doi.org/10.1007/s00894-012-1696-5</v>
      </c>
      <c r="BG392" s="1" t="s">
        <v>74</v>
      </c>
      <c r="BH392" s="1" t="s">
        <v>74</v>
      </c>
      <c r="BI392" s="1" t="s">
        <v>74</v>
      </c>
      <c r="BJ392" s="1" t="s">
        <v>74</v>
      </c>
      <c r="BK392" s="1" t="s">
        <v>74</v>
      </c>
      <c r="BL392" s="1" t="s">
        <v>74</v>
      </c>
      <c r="BM392" s="1" t="s">
        <v>74</v>
      </c>
      <c r="BN392" s="1">
        <v>2.3224799E7</v>
      </c>
      <c r="BO392" s="1" t="s">
        <v>74</v>
      </c>
      <c r="BP392" s="1" t="s">
        <v>74</v>
      </c>
      <c r="BQ392" s="1" t="s">
        <v>74</v>
      </c>
      <c r="BR392" s="1" t="s">
        <v>74</v>
      </c>
      <c r="BS392" s="1" t="s">
        <v>4120</v>
      </c>
      <c r="BT392" s="1" t="str">
        <f>HYPERLINK("https%3A%2F%2Fwww.webofscience.com%2Fwos%2Fwoscc%2Ffull-record%2FWOS:000320954600018","View Full Record in Web of Science")</f>
        <v>View Full Record in Web of Science</v>
      </c>
    </row>
    <row r="393" ht="12.75" customHeight="1">
      <c r="A393" s="1" t="s">
        <v>72</v>
      </c>
      <c r="B393" s="1" t="s">
        <v>4121</v>
      </c>
      <c r="C393" s="1" t="s">
        <v>74</v>
      </c>
      <c r="D393" s="1" t="s">
        <v>74</v>
      </c>
      <c r="E393" s="1" t="s">
        <v>74</v>
      </c>
      <c r="F393" s="1" t="s">
        <v>4122</v>
      </c>
      <c r="G393" s="1" t="s">
        <v>74</v>
      </c>
      <c r="H393" s="1" t="s">
        <v>74</v>
      </c>
      <c r="I393" s="1" t="s">
        <v>4123</v>
      </c>
      <c r="J393" s="1" t="s">
        <v>4124</v>
      </c>
      <c r="K393" s="1" t="s">
        <v>74</v>
      </c>
      <c r="L393" s="1" t="s">
        <v>74</v>
      </c>
      <c r="M393" s="1" t="s">
        <v>74</v>
      </c>
      <c r="N393" s="1" t="s">
        <v>74</v>
      </c>
      <c r="O393" s="1" t="s">
        <v>74</v>
      </c>
      <c r="P393" s="1" t="s">
        <v>74</v>
      </c>
      <c r="Q393" s="1" t="s">
        <v>74</v>
      </c>
      <c r="R393" s="1" t="s">
        <v>74</v>
      </c>
      <c r="S393" s="1" t="s">
        <v>74</v>
      </c>
      <c r="T393" s="1" t="s">
        <v>74</v>
      </c>
      <c r="U393" s="1" t="s">
        <v>74</v>
      </c>
      <c r="V393" s="1" t="s">
        <v>4125</v>
      </c>
      <c r="W393" s="1" t="s">
        <v>74</v>
      </c>
      <c r="X393" s="1" t="s">
        <v>74</v>
      </c>
      <c r="Y393" s="1" t="s">
        <v>74</v>
      </c>
      <c r="Z393" s="1" t="s">
        <v>74</v>
      </c>
      <c r="AA393" s="1" t="s">
        <v>4126</v>
      </c>
      <c r="AB393" s="1" t="s">
        <v>4127</v>
      </c>
      <c r="AC393" s="1" t="s">
        <v>74</v>
      </c>
      <c r="AD393" s="1" t="s">
        <v>74</v>
      </c>
      <c r="AE393" s="1" t="s">
        <v>74</v>
      </c>
      <c r="AF393" s="1" t="s">
        <v>74</v>
      </c>
      <c r="AG393" s="1" t="s">
        <v>74</v>
      </c>
      <c r="AH393" s="1" t="s">
        <v>74</v>
      </c>
      <c r="AI393" s="1" t="s">
        <v>74</v>
      </c>
      <c r="AJ393" s="1" t="s">
        <v>74</v>
      </c>
      <c r="AK393" s="1" t="s">
        <v>74</v>
      </c>
      <c r="AL393" s="1" t="s">
        <v>74</v>
      </c>
      <c r="AM393" s="1" t="s">
        <v>74</v>
      </c>
      <c r="AN393" s="1" t="s">
        <v>74</v>
      </c>
      <c r="AO393" s="1" t="s">
        <v>4128</v>
      </c>
      <c r="AP393" s="1" t="s">
        <v>74</v>
      </c>
      <c r="AQ393" s="1" t="s">
        <v>74</v>
      </c>
      <c r="AR393" s="1" t="s">
        <v>74</v>
      </c>
      <c r="AS393" s="1" t="s">
        <v>74</v>
      </c>
      <c r="AT393" s="1" t="s">
        <v>201</v>
      </c>
      <c r="AU393" s="1">
        <v>2012.0</v>
      </c>
      <c r="AV393" s="1">
        <v>7.0</v>
      </c>
      <c r="AW393" s="1">
        <v>10.0</v>
      </c>
      <c r="AX393" s="1" t="s">
        <v>74</v>
      </c>
      <c r="AY393" s="1" t="s">
        <v>74</v>
      </c>
      <c r="AZ393" s="1" t="s">
        <v>74</v>
      </c>
      <c r="BA393" s="1" t="s">
        <v>74</v>
      </c>
      <c r="BB393" s="1">
        <v>9738.0</v>
      </c>
      <c r="BC393" s="1">
        <v>9747.0</v>
      </c>
      <c r="BD393" s="1" t="s">
        <v>74</v>
      </c>
      <c r="BE393" s="1" t="s">
        <v>74</v>
      </c>
      <c r="BF393" s="1" t="s">
        <v>74</v>
      </c>
      <c r="BG393" s="1" t="s">
        <v>74</v>
      </c>
      <c r="BH393" s="1" t="s">
        <v>74</v>
      </c>
      <c r="BI393" s="1" t="s">
        <v>74</v>
      </c>
      <c r="BJ393" s="1" t="s">
        <v>74</v>
      </c>
      <c r="BK393" s="1" t="s">
        <v>74</v>
      </c>
      <c r="BL393" s="1" t="s">
        <v>74</v>
      </c>
      <c r="BM393" s="1" t="s">
        <v>74</v>
      </c>
      <c r="BN393" s="1" t="s">
        <v>74</v>
      </c>
      <c r="BO393" s="1" t="s">
        <v>74</v>
      </c>
      <c r="BP393" s="1" t="s">
        <v>74</v>
      </c>
      <c r="BQ393" s="1" t="s">
        <v>74</v>
      </c>
      <c r="BR393" s="1" t="s">
        <v>74</v>
      </c>
      <c r="BS393" s="1" t="s">
        <v>4129</v>
      </c>
      <c r="BT393" s="1" t="str">
        <f>HYPERLINK("https%3A%2F%2Fwww.webofscience.com%2Fwos%2Fwoscc%2Ffull-record%2FWOS:000312933600056","View Full Record in Web of Science")</f>
        <v>View Full Record in Web of Science</v>
      </c>
    </row>
    <row r="394" ht="12.75" customHeight="1">
      <c r="A394" s="1" t="s">
        <v>72</v>
      </c>
      <c r="B394" s="1" t="s">
        <v>4130</v>
      </c>
      <c r="C394" s="1" t="s">
        <v>74</v>
      </c>
      <c r="D394" s="1" t="s">
        <v>74</v>
      </c>
      <c r="E394" s="1" t="s">
        <v>74</v>
      </c>
      <c r="F394" s="1" t="s">
        <v>4131</v>
      </c>
      <c r="G394" s="1" t="s">
        <v>74</v>
      </c>
      <c r="H394" s="1" t="s">
        <v>74</v>
      </c>
      <c r="I394" s="1" t="s">
        <v>4132</v>
      </c>
      <c r="J394" s="1" t="s">
        <v>4133</v>
      </c>
      <c r="K394" s="1" t="s">
        <v>74</v>
      </c>
      <c r="L394" s="1" t="s">
        <v>74</v>
      </c>
      <c r="M394" s="1" t="s">
        <v>74</v>
      </c>
      <c r="N394" s="1" t="s">
        <v>74</v>
      </c>
      <c r="O394" s="1" t="s">
        <v>74</v>
      </c>
      <c r="P394" s="1" t="s">
        <v>74</v>
      </c>
      <c r="Q394" s="1" t="s">
        <v>74</v>
      </c>
      <c r="R394" s="1" t="s">
        <v>74</v>
      </c>
      <c r="S394" s="1" t="s">
        <v>74</v>
      </c>
      <c r="T394" s="1" t="s">
        <v>74</v>
      </c>
      <c r="U394" s="1" t="s">
        <v>74</v>
      </c>
      <c r="V394" s="1" t="s">
        <v>4134</v>
      </c>
      <c r="W394" s="1" t="s">
        <v>74</v>
      </c>
      <c r="X394" s="1" t="s">
        <v>74</v>
      </c>
      <c r="Y394" s="1" t="s">
        <v>74</v>
      </c>
      <c r="Z394" s="1" t="s">
        <v>74</v>
      </c>
      <c r="AA394" s="1" t="s">
        <v>4135</v>
      </c>
      <c r="AB394" s="1" t="s">
        <v>4136</v>
      </c>
      <c r="AC394" s="1" t="s">
        <v>74</v>
      </c>
      <c r="AD394" s="1" t="s">
        <v>74</v>
      </c>
      <c r="AE394" s="1" t="s">
        <v>74</v>
      </c>
      <c r="AF394" s="1" t="s">
        <v>74</v>
      </c>
      <c r="AG394" s="1" t="s">
        <v>74</v>
      </c>
      <c r="AH394" s="1" t="s">
        <v>74</v>
      </c>
      <c r="AI394" s="1" t="s">
        <v>74</v>
      </c>
      <c r="AJ394" s="1" t="s">
        <v>74</v>
      </c>
      <c r="AK394" s="1" t="s">
        <v>74</v>
      </c>
      <c r="AL394" s="1" t="s">
        <v>74</v>
      </c>
      <c r="AM394" s="1" t="s">
        <v>74</v>
      </c>
      <c r="AN394" s="1" t="s">
        <v>74</v>
      </c>
      <c r="AO394" s="1" t="s">
        <v>4137</v>
      </c>
      <c r="AP394" s="1" t="s">
        <v>4138</v>
      </c>
      <c r="AQ394" s="1" t="s">
        <v>74</v>
      </c>
      <c r="AR394" s="1" t="s">
        <v>74</v>
      </c>
      <c r="AS394" s="1" t="s">
        <v>74</v>
      </c>
      <c r="AT394" s="1" t="s">
        <v>4139</v>
      </c>
      <c r="AU394" s="1">
        <v>2011.0</v>
      </c>
      <c r="AV394" s="1">
        <v>405.0</v>
      </c>
      <c r="AW394" s="1">
        <v>1.0</v>
      </c>
      <c r="AX394" s="1" t="s">
        <v>74</v>
      </c>
      <c r="AY394" s="1" t="s">
        <v>74</v>
      </c>
      <c r="AZ394" s="1" t="s">
        <v>74</v>
      </c>
      <c r="BA394" s="1" t="s">
        <v>74</v>
      </c>
      <c r="BB394" s="1">
        <v>134.0</v>
      </c>
      <c r="BC394" s="1">
        <v>139.0</v>
      </c>
      <c r="BD394" s="1" t="s">
        <v>74</v>
      </c>
      <c r="BE394" s="1" t="s">
        <v>4140</v>
      </c>
      <c r="BF394" s="2" t="str">
        <f>HYPERLINK("http://dx.doi.org/10.1016/j.bbrc.2011.01.013","http://dx.doi.org/10.1016/j.bbrc.2011.01.013")</f>
        <v>http://dx.doi.org/10.1016/j.bbrc.2011.01.013</v>
      </c>
      <c r="BG394" s="1" t="s">
        <v>74</v>
      </c>
      <c r="BH394" s="1" t="s">
        <v>74</v>
      </c>
      <c r="BI394" s="1" t="s">
        <v>74</v>
      </c>
      <c r="BJ394" s="1" t="s">
        <v>74</v>
      </c>
      <c r="BK394" s="1" t="s">
        <v>74</v>
      </c>
      <c r="BL394" s="1" t="s">
        <v>74</v>
      </c>
      <c r="BM394" s="1" t="s">
        <v>74</v>
      </c>
      <c r="BN394" s="1">
        <v>2.1219871E7</v>
      </c>
      <c r="BO394" s="1" t="s">
        <v>74</v>
      </c>
      <c r="BP394" s="1" t="s">
        <v>74</v>
      </c>
      <c r="BQ394" s="1" t="s">
        <v>74</v>
      </c>
      <c r="BR394" s="1" t="s">
        <v>74</v>
      </c>
      <c r="BS394" s="1" t="s">
        <v>4141</v>
      </c>
      <c r="BT394" s="1" t="str">
        <f>HYPERLINK("https%3A%2F%2Fwww.webofscience.com%2Fwos%2Fwoscc%2Ffull-record%2FWOS:000287336800025","View Full Record in Web of Science")</f>
        <v>View Full Record in Web of Science</v>
      </c>
    </row>
    <row r="395" ht="12.75" customHeight="1">
      <c r="A395" s="1" t="s">
        <v>86</v>
      </c>
      <c r="B395" s="1" t="s">
        <v>4142</v>
      </c>
      <c r="C395" s="1" t="s">
        <v>74</v>
      </c>
      <c r="D395" s="1" t="s">
        <v>74</v>
      </c>
      <c r="E395" s="1" t="s">
        <v>248</v>
      </c>
      <c r="F395" s="1" t="s">
        <v>4143</v>
      </c>
      <c r="G395" s="1" t="s">
        <v>74</v>
      </c>
      <c r="H395" s="1" t="s">
        <v>74</v>
      </c>
      <c r="I395" s="1" t="s">
        <v>4144</v>
      </c>
      <c r="J395" s="1" t="s">
        <v>4145</v>
      </c>
      <c r="K395" s="1" t="s">
        <v>4146</v>
      </c>
      <c r="L395" s="1" t="s">
        <v>74</v>
      </c>
      <c r="M395" s="1" t="s">
        <v>74</v>
      </c>
      <c r="N395" s="1" t="s">
        <v>74</v>
      </c>
      <c r="O395" s="1" t="s">
        <v>4147</v>
      </c>
      <c r="P395" s="1" t="s">
        <v>4148</v>
      </c>
      <c r="Q395" s="1" t="s">
        <v>4149</v>
      </c>
      <c r="R395" s="1" t="s">
        <v>4150</v>
      </c>
      <c r="S395" s="1" t="s">
        <v>74</v>
      </c>
      <c r="T395" s="1" t="s">
        <v>74</v>
      </c>
      <c r="U395" s="1" t="s">
        <v>74</v>
      </c>
      <c r="V395" s="1" t="s">
        <v>4151</v>
      </c>
      <c r="W395" s="1" t="s">
        <v>74</v>
      </c>
      <c r="X395" s="1" t="s">
        <v>74</v>
      </c>
      <c r="Y395" s="1" t="s">
        <v>74</v>
      </c>
      <c r="Z395" s="1" t="s">
        <v>74</v>
      </c>
      <c r="AA395" s="1" t="s">
        <v>4152</v>
      </c>
      <c r="AB395" s="1" t="s">
        <v>4153</v>
      </c>
      <c r="AC395" s="1" t="s">
        <v>74</v>
      </c>
      <c r="AD395" s="1" t="s">
        <v>74</v>
      </c>
      <c r="AE395" s="1" t="s">
        <v>74</v>
      </c>
      <c r="AF395" s="1" t="s">
        <v>74</v>
      </c>
      <c r="AG395" s="1" t="s">
        <v>74</v>
      </c>
      <c r="AH395" s="1" t="s">
        <v>74</v>
      </c>
      <c r="AI395" s="1" t="s">
        <v>74</v>
      </c>
      <c r="AJ395" s="1" t="s">
        <v>74</v>
      </c>
      <c r="AK395" s="1" t="s">
        <v>74</v>
      </c>
      <c r="AL395" s="1" t="s">
        <v>74</v>
      </c>
      <c r="AM395" s="1" t="s">
        <v>74</v>
      </c>
      <c r="AN395" s="1" t="s">
        <v>74</v>
      </c>
      <c r="AO395" s="1" t="s">
        <v>4154</v>
      </c>
      <c r="AP395" s="1" t="s">
        <v>74</v>
      </c>
      <c r="AQ395" s="1" t="s">
        <v>4155</v>
      </c>
      <c r="AR395" s="1" t="s">
        <v>74</v>
      </c>
      <c r="AS395" s="1" t="s">
        <v>74</v>
      </c>
      <c r="AT395" s="1" t="s">
        <v>74</v>
      </c>
      <c r="AU395" s="1">
        <v>2011.0</v>
      </c>
      <c r="AV395" s="1" t="s">
        <v>74</v>
      </c>
      <c r="AW395" s="1" t="s">
        <v>74</v>
      </c>
      <c r="AX395" s="1" t="s">
        <v>74</v>
      </c>
      <c r="AY395" s="1" t="s">
        <v>74</v>
      </c>
      <c r="AZ395" s="1" t="s">
        <v>74</v>
      </c>
      <c r="BA395" s="1" t="s">
        <v>74</v>
      </c>
      <c r="BB395" s="1" t="s">
        <v>74</v>
      </c>
      <c r="BC395" s="1" t="s">
        <v>74</v>
      </c>
      <c r="BD395" s="1" t="s">
        <v>74</v>
      </c>
      <c r="BE395" s="1" t="s">
        <v>74</v>
      </c>
      <c r="BF395" s="1" t="s">
        <v>74</v>
      </c>
      <c r="BG395" s="1" t="s">
        <v>74</v>
      </c>
      <c r="BH395" s="1" t="s">
        <v>74</v>
      </c>
      <c r="BI395" s="1" t="s">
        <v>74</v>
      </c>
      <c r="BJ395" s="1" t="s">
        <v>74</v>
      </c>
      <c r="BK395" s="1" t="s">
        <v>74</v>
      </c>
      <c r="BL395" s="1" t="s">
        <v>74</v>
      </c>
      <c r="BM395" s="1" t="s">
        <v>74</v>
      </c>
      <c r="BN395" s="1" t="s">
        <v>74</v>
      </c>
      <c r="BO395" s="1" t="s">
        <v>74</v>
      </c>
      <c r="BP395" s="1" t="s">
        <v>74</v>
      </c>
      <c r="BQ395" s="1" t="s">
        <v>74</v>
      </c>
      <c r="BR395" s="1" t="s">
        <v>74</v>
      </c>
      <c r="BS395" s="1" t="s">
        <v>4156</v>
      </c>
      <c r="BT395" s="1" t="str">
        <f>HYPERLINK("https%3A%2F%2Fwww.webofscience.com%2Fwos%2Fwoscc%2Ffull-record%2FWOS:000308003503043","View Full Record in Web of Science")</f>
        <v>View Full Record in Web of Science</v>
      </c>
    </row>
    <row r="396" ht="12.75" customHeight="1">
      <c r="A396" s="1" t="s">
        <v>72</v>
      </c>
      <c r="B396" s="1" t="s">
        <v>4157</v>
      </c>
      <c r="C396" s="1" t="s">
        <v>74</v>
      </c>
      <c r="D396" s="1" t="s">
        <v>74</v>
      </c>
      <c r="E396" s="1" t="s">
        <v>74</v>
      </c>
      <c r="F396" s="1" t="s">
        <v>4158</v>
      </c>
      <c r="G396" s="1" t="s">
        <v>74</v>
      </c>
      <c r="H396" s="1" t="s">
        <v>74</v>
      </c>
      <c r="I396" s="1" t="s">
        <v>4159</v>
      </c>
      <c r="J396" s="1" t="s">
        <v>4160</v>
      </c>
      <c r="K396" s="1" t="s">
        <v>74</v>
      </c>
      <c r="L396" s="1" t="s">
        <v>74</v>
      </c>
      <c r="M396" s="1" t="s">
        <v>74</v>
      </c>
      <c r="N396" s="1" t="s">
        <v>74</v>
      </c>
      <c r="O396" s="1" t="s">
        <v>74</v>
      </c>
      <c r="P396" s="1" t="s">
        <v>74</v>
      </c>
      <c r="Q396" s="1" t="s">
        <v>74</v>
      </c>
      <c r="R396" s="1" t="s">
        <v>74</v>
      </c>
      <c r="S396" s="1" t="s">
        <v>74</v>
      </c>
      <c r="T396" s="1" t="s">
        <v>74</v>
      </c>
      <c r="U396" s="1" t="s">
        <v>74</v>
      </c>
      <c r="V396" s="1" t="s">
        <v>4161</v>
      </c>
      <c r="W396" s="1" t="s">
        <v>74</v>
      </c>
      <c r="X396" s="1" t="s">
        <v>74</v>
      </c>
      <c r="Y396" s="1" t="s">
        <v>74</v>
      </c>
      <c r="Z396" s="1" t="s">
        <v>74</v>
      </c>
      <c r="AA396" s="1" t="s">
        <v>74</v>
      </c>
      <c r="AB396" s="1" t="s">
        <v>4162</v>
      </c>
      <c r="AC396" s="1" t="s">
        <v>74</v>
      </c>
      <c r="AD396" s="1" t="s">
        <v>74</v>
      </c>
      <c r="AE396" s="1" t="s">
        <v>74</v>
      </c>
      <c r="AF396" s="1" t="s">
        <v>74</v>
      </c>
      <c r="AG396" s="1" t="s">
        <v>74</v>
      </c>
      <c r="AH396" s="1" t="s">
        <v>74</v>
      </c>
      <c r="AI396" s="1" t="s">
        <v>74</v>
      </c>
      <c r="AJ396" s="1" t="s">
        <v>74</v>
      </c>
      <c r="AK396" s="1" t="s">
        <v>74</v>
      </c>
      <c r="AL396" s="1" t="s">
        <v>74</v>
      </c>
      <c r="AM396" s="1" t="s">
        <v>74</v>
      </c>
      <c r="AN396" s="1" t="s">
        <v>74</v>
      </c>
      <c r="AO396" s="1" t="s">
        <v>4163</v>
      </c>
      <c r="AP396" s="1" t="s">
        <v>4164</v>
      </c>
      <c r="AQ396" s="1" t="s">
        <v>74</v>
      </c>
      <c r="AR396" s="1" t="s">
        <v>74</v>
      </c>
      <c r="AS396" s="1" t="s">
        <v>74</v>
      </c>
      <c r="AT396" s="1" t="s">
        <v>1018</v>
      </c>
      <c r="AU396" s="1">
        <v>2010.0</v>
      </c>
      <c r="AV396" s="1">
        <v>23.0</v>
      </c>
      <c r="AW396" s="1">
        <v>4.0</v>
      </c>
      <c r="AX396" s="1" t="s">
        <v>74</v>
      </c>
      <c r="AY396" s="1" t="s">
        <v>74</v>
      </c>
      <c r="AZ396" s="1" t="s">
        <v>74</v>
      </c>
      <c r="BA396" s="1" t="s">
        <v>74</v>
      </c>
      <c r="BB396" s="1">
        <v>623.0</v>
      </c>
      <c r="BC396" s="1">
        <v>632.0</v>
      </c>
      <c r="BD396" s="1" t="s">
        <v>74</v>
      </c>
      <c r="BE396" s="1" t="s">
        <v>4165</v>
      </c>
      <c r="BF396" s="2" t="str">
        <f>HYPERLINK("http://dx.doi.org/10.1007/s10534-010-9316-2","http://dx.doi.org/10.1007/s10534-010-9316-2")</f>
        <v>http://dx.doi.org/10.1007/s10534-010-9316-2</v>
      </c>
      <c r="BG396" s="1" t="s">
        <v>74</v>
      </c>
      <c r="BH396" s="1" t="s">
        <v>74</v>
      </c>
      <c r="BI396" s="1" t="s">
        <v>74</v>
      </c>
      <c r="BJ396" s="1" t="s">
        <v>74</v>
      </c>
      <c r="BK396" s="1" t="s">
        <v>74</v>
      </c>
      <c r="BL396" s="1" t="s">
        <v>74</v>
      </c>
      <c r="BM396" s="1" t="s">
        <v>74</v>
      </c>
      <c r="BN396" s="1">
        <v>2.0213267E7</v>
      </c>
      <c r="BO396" s="1" t="s">
        <v>74</v>
      </c>
      <c r="BP396" s="1" t="s">
        <v>74</v>
      </c>
      <c r="BQ396" s="1" t="s">
        <v>74</v>
      </c>
      <c r="BR396" s="1" t="s">
        <v>74</v>
      </c>
      <c r="BS396" s="1" t="s">
        <v>4166</v>
      </c>
      <c r="BT396" s="1" t="str">
        <f>HYPERLINK("https%3A%2F%2Fwww.webofscience.com%2Fwos%2Fwoscc%2Ffull-record%2FWOS:000280063700004","View Full Record in Web of Science")</f>
        <v>View Full Record in Web of Science</v>
      </c>
    </row>
    <row r="397" ht="12.75" customHeight="1">
      <c r="A397" s="1" t="s">
        <v>72</v>
      </c>
      <c r="B397" s="1" t="s">
        <v>4167</v>
      </c>
      <c r="C397" s="1" t="s">
        <v>74</v>
      </c>
      <c r="D397" s="1" t="s">
        <v>74</v>
      </c>
      <c r="E397" s="1" t="s">
        <v>74</v>
      </c>
      <c r="F397" s="1" t="s">
        <v>4168</v>
      </c>
      <c r="G397" s="1" t="s">
        <v>74</v>
      </c>
      <c r="H397" s="1" t="s">
        <v>74</v>
      </c>
      <c r="I397" s="1" t="s">
        <v>4169</v>
      </c>
      <c r="J397" s="1" t="s">
        <v>4170</v>
      </c>
      <c r="K397" s="1" t="s">
        <v>74</v>
      </c>
      <c r="L397" s="1" t="s">
        <v>74</v>
      </c>
      <c r="M397" s="1" t="s">
        <v>74</v>
      </c>
      <c r="N397" s="1" t="s">
        <v>74</v>
      </c>
      <c r="O397" s="1" t="s">
        <v>74</v>
      </c>
      <c r="P397" s="1" t="s">
        <v>74</v>
      </c>
      <c r="Q397" s="1" t="s">
        <v>74</v>
      </c>
      <c r="R397" s="1" t="s">
        <v>74</v>
      </c>
      <c r="S397" s="1" t="s">
        <v>74</v>
      </c>
      <c r="T397" s="1" t="s">
        <v>74</v>
      </c>
      <c r="U397" s="1" t="s">
        <v>74</v>
      </c>
      <c r="V397" s="1" t="s">
        <v>4171</v>
      </c>
      <c r="W397" s="1" t="s">
        <v>74</v>
      </c>
      <c r="X397" s="1" t="s">
        <v>74</v>
      </c>
      <c r="Y397" s="1" t="s">
        <v>74</v>
      </c>
      <c r="Z397" s="1" t="s">
        <v>74</v>
      </c>
      <c r="AA397" s="1" t="s">
        <v>4172</v>
      </c>
      <c r="AB397" s="1" t="s">
        <v>4173</v>
      </c>
      <c r="AC397" s="1" t="s">
        <v>74</v>
      </c>
      <c r="AD397" s="1" t="s">
        <v>74</v>
      </c>
      <c r="AE397" s="1" t="s">
        <v>74</v>
      </c>
      <c r="AF397" s="1" t="s">
        <v>74</v>
      </c>
      <c r="AG397" s="1" t="s">
        <v>74</v>
      </c>
      <c r="AH397" s="1" t="s">
        <v>74</v>
      </c>
      <c r="AI397" s="1" t="s">
        <v>74</v>
      </c>
      <c r="AJ397" s="1" t="s">
        <v>74</v>
      </c>
      <c r="AK397" s="1" t="s">
        <v>74</v>
      </c>
      <c r="AL397" s="1" t="s">
        <v>74</v>
      </c>
      <c r="AM397" s="1" t="s">
        <v>74</v>
      </c>
      <c r="AN397" s="1" t="s">
        <v>74</v>
      </c>
      <c r="AO397" s="1" t="s">
        <v>4174</v>
      </c>
      <c r="AP397" s="1" t="s">
        <v>4175</v>
      </c>
      <c r="AQ397" s="1" t="s">
        <v>74</v>
      </c>
      <c r="AR397" s="1" t="s">
        <v>74</v>
      </c>
      <c r="AS397" s="1" t="s">
        <v>74</v>
      </c>
      <c r="AT397" s="1" t="s">
        <v>74</v>
      </c>
      <c r="AU397" s="1">
        <v>2010.0</v>
      </c>
      <c r="AV397" s="1">
        <v>9.0</v>
      </c>
      <c r="AW397" s="1">
        <v>6.0</v>
      </c>
      <c r="AX397" s="1" t="s">
        <v>74</v>
      </c>
      <c r="AY397" s="1" t="s">
        <v>74</v>
      </c>
      <c r="AZ397" s="1" t="s">
        <v>74</v>
      </c>
      <c r="BA397" s="1" t="s">
        <v>74</v>
      </c>
      <c r="BB397" s="1">
        <v>861.0</v>
      </c>
      <c r="BC397" s="1">
        <v>869.0</v>
      </c>
      <c r="BD397" s="1" t="s">
        <v>74</v>
      </c>
      <c r="BE397" s="1" t="s">
        <v>4176</v>
      </c>
      <c r="BF397" s="2" t="str">
        <f>HYPERLINK("http://dx.doi.org/10.1039/c0pp00079e","http://dx.doi.org/10.1039/c0pp00079e")</f>
        <v>http://dx.doi.org/10.1039/c0pp00079e</v>
      </c>
      <c r="BG397" s="1" t="s">
        <v>74</v>
      </c>
      <c r="BH397" s="1" t="s">
        <v>74</v>
      </c>
      <c r="BI397" s="1" t="s">
        <v>74</v>
      </c>
      <c r="BJ397" s="1" t="s">
        <v>74</v>
      </c>
      <c r="BK397" s="1" t="s">
        <v>74</v>
      </c>
      <c r="BL397" s="1" t="s">
        <v>74</v>
      </c>
      <c r="BM397" s="1" t="s">
        <v>74</v>
      </c>
      <c r="BN397" s="1">
        <v>2.0527064E7</v>
      </c>
      <c r="BO397" s="1" t="s">
        <v>74</v>
      </c>
      <c r="BP397" s="1" t="s">
        <v>74</v>
      </c>
      <c r="BQ397" s="1" t="s">
        <v>74</v>
      </c>
      <c r="BR397" s="1" t="s">
        <v>74</v>
      </c>
      <c r="BS397" s="1" t="s">
        <v>4177</v>
      </c>
      <c r="BT397" s="1" t="str">
        <f>HYPERLINK("https%3A%2F%2Fwww.webofscience.com%2Fwos%2Fwoscc%2Ffull-record%2FWOS:000278276000014","View Full Record in Web of Science")</f>
        <v>View Full Record in Web of Science</v>
      </c>
    </row>
    <row r="398" ht="12.75" customHeight="1">
      <c r="A398" s="1" t="s">
        <v>72</v>
      </c>
      <c r="B398" s="1" t="s">
        <v>4178</v>
      </c>
      <c r="C398" s="1" t="s">
        <v>74</v>
      </c>
      <c r="D398" s="1" t="s">
        <v>74</v>
      </c>
      <c r="E398" s="1" t="s">
        <v>74</v>
      </c>
      <c r="F398" s="1" t="s">
        <v>4179</v>
      </c>
      <c r="G398" s="1" t="s">
        <v>74</v>
      </c>
      <c r="H398" s="1" t="s">
        <v>74</v>
      </c>
      <c r="I398" s="1" t="s">
        <v>4180</v>
      </c>
      <c r="J398" s="1" t="s">
        <v>4181</v>
      </c>
      <c r="K398" s="1" t="s">
        <v>74</v>
      </c>
      <c r="L398" s="1" t="s">
        <v>74</v>
      </c>
      <c r="M398" s="1" t="s">
        <v>74</v>
      </c>
      <c r="N398" s="1" t="s">
        <v>74</v>
      </c>
      <c r="O398" s="1" t="s">
        <v>74</v>
      </c>
      <c r="P398" s="1" t="s">
        <v>74</v>
      </c>
      <c r="Q398" s="1" t="s">
        <v>74</v>
      </c>
      <c r="R398" s="1" t="s">
        <v>74</v>
      </c>
      <c r="S398" s="1" t="s">
        <v>74</v>
      </c>
      <c r="T398" s="1" t="s">
        <v>74</v>
      </c>
      <c r="U398" s="1" t="s">
        <v>74</v>
      </c>
      <c r="V398" s="1" t="s">
        <v>4182</v>
      </c>
      <c r="W398" s="1" t="s">
        <v>74</v>
      </c>
      <c r="X398" s="1" t="s">
        <v>74</v>
      </c>
      <c r="Y398" s="1" t="s">
        <v>74</v>
      </c>
      <c r="Z398" s="1" t="s">
        <v>74</v>
      </c>
      <c r="AA398" s="1" t="s">
        <v>4183</v>
      </c>
      <c r="AB398" s="1" t="s">
        <v>4184</v>
      </c>
      <c r="AC398" s="1" t="s">
        <v>74</v>
      </c>
      <c r="AD398" s="1" t="s">
        <v>74</v>
      </c>
      <c r="AE398" s="1" t="s">
        <v>74</v>
      </c>
      <c r="AF398" s="1" t="s">
        <v>74</v>
      </c>
      <c r="AG398" s="1" t="s">
        <v>74</v>
      </c>
      <c r="AH398" s="1" t="s">
        <v>74</v>
      </c>
      <c r="AI398" s="1" t="s">
        <v>74</v>
      </c>
      <c r="AJ398" s="1" t="s">
        <v>74</v>
      </c>
      <c r="AK398" s="1" t="s">
        <v>74</v>
      </c>
      <c r="AL398" s="1" t="s">
        <v>74</v>
      </c>
      <c r="AM398" s="1" t="s">
        <v>74</v>
      </c>
      <c r="AN398" s="1" t="s">
        <v>74</v>
      </c>
      <c r="AO398" s="1" t="s">
        <v>4185</v>
      </c>
      <c r="AP398" s="1" t="s">
        <v>74</v>
      </c>
      <c r="AQ398" s="1" t="s">
        <v>74</v>
      </c>
      <c r="AR398" s="1" t="s">
        <v>74</v>
      </c>
      <c r="AS398" s="1" t="s">
        <v>74</v>
      </c>
      <c r="AT398" s="1" t="s">
        <v>2281</v>
      </c>
      <c r="AU398" s="1">
        <v>2009.0</v>
      </c>
      <c r="AV398" s="1">
        <v>12.0</v>
      </c>
      <c r="AW398" s="1">
        <v>2.0</v>
      </c>
      <c r="AX398" s="1" t="s">
        <v>74</v>
      </c>
      <c r="AY398" s="1" t="s">
        <v>74</v>
      </c>
      <c r="AZ398" s="1" t="s">
        <v>74</v>
      </c>
      <c r="BA398" s="1" t="s">
        <v>74</v>
      </c>
      <c r="BB398" s="1" t="s">
        <v>74</v>
      </c>
      <c r="BC398" s="1" t="s">
        <v>74</v>
      </c>
      <c r="BD398" s="1">
        <v>10.0</v>
      </c>
      <c r="BE398" s="1" t="s">
        <v>4186</v>
      </c>
      <c r="BF398" s="2" t="str">
        <f>HYPERLINK("http://dx.doi.org/10.2225/vol12-issue2-fulltext-10","http://dx.doi.org/10.2225/vol12-issue2-fulltext-10")</f>
        <v>http://dx.doi.org/10.2225/vol12-issue2-fulltext-10</v>
      </c>
      <c r="BG398" s="1" t="s">
        <v>74</v>
      </c>
      <c r="BH398" s="1" t="s">
        <v>74</v>
      </c>
      <c r="BI398" s="1" t="s">
        <v>74</v>
      </c>
      <c r="BJ398" s="1" t="s">
        <v>74</v>
      </c>
      <c r="BK398" s="1" t="s">
        <v>74</v>
      </c>
      <c r="BL398" s="1" t="s">
        <v>74</v>
      </c>
      <c r="BM398" s="1" t="s">
        <v>74</v>
      </c>
      <c r="BN398" s="1" t="s">
        <v>74</v>
      </c>
      <c r="BO398" s="1" t="s">
        <v>74</v>
      </c>
      <c r="BP398" s="1" t="s">
        <v>74</v>
      </c>
      <c r="BQ398" s="1" t="s">
        <v>74</v>
      </c>
      <c r="BR398" s="1" t="s">
        <v>74</v>
      </c>
      <c r="BS398" s="1" t="s">
        <v>4187</v>
      </c>
      <c r="BT398" s="1" t="str">
        <f>HYPERLINK("https%3A%2F%2Fwww.webofscience.com%2Fwos%2Fwoscc%2Ffull-record%2FWOS:000269297600010","View Full Record in Web of Science")</f>
        <v>View Full Record in Web of Science</v>
      </c>
    </row>
    <row r="399" ht="12.75" customHeight="1">
      <c r="A399" s="1" t="s">
        <v>72</v>
      </c>
      <c r="B399" s="1" t="s">
        <v>4188</v>
      </c>
      <c r="C399" s="1" t="s">
        <v>74</v>
      </c>
      <c r="D399" s="1" t="s">
        <v>74</v>
      </c>
      <c r="E399" s="1" t="s">
        <v>74</v>
      </c>
      <c r="F399" s="1" t="s">
        <v>4189</v>
      </c>
      <c r="G399" s="1" t="s">
        <v>74</v>
      </c>
      <c r="H399" s="1" t="s">
        <v>74</v>
      </c>
      <c r="I399" s="1" t="s">
        <v>4190</v>
      </c>
      <c r="J399" s="1" t="s">
        <v>4191</v>
      </c>
      <c r="K399" s="1" t="s">
        <v>74</v>
      </c>
      <c r="L399" s="1" t="s">
        <v>74</v>
      </c>
      <c r="M399" s="1" t="s">
        <v>74</v>
      </c>
      <c r="N399" s="1" t="s">
        <v>74</v>
      </c>
      <c r="O399" s="1" t="s">
        <v>74</v>
      </c>
      <c r="P399" s="1" t="s">
        <v>74</v>
      </c>
      <c r="Q399" s="1" t="s">
        <v>74</v>
      </c>
      <c r="R399" s="1" t="s">
        <v>74</v>
      </c>
      <c r="S399" s="1" t="s">
        <v>74</v>
      </c>
      <c r="T399" s="1" t="s">
        <v>74</v>
      </c>
      <c r="U399" s="1" t="s">
        <v>74</v>
      </c>
      <c r="V399" s="1" t="s">
        <v>74</v>
      </c>
      <c r="W399" s="1" t="s">
        <v>74</v>
      </c>
      <c r="X399" s="1" t="s">
        <v>74</v>
      </c>
      <c r="Y399" s="1" t="s">
        <v>74</v>
      </c>
      <c r="Z399" s="1" t="s">
        <v>74</v>
      </c>
      <c r="AA399" s="1" t="s">
        <v>4192</v>
      </c>
      <c r="AB399" s="1" t="s">
        <v>74</v>
      </c>
      <c r="AC399" s="1" t="s">
        <v>74</v>
      </c>
      <c r="AD399" s="1" t="s">
        <v>74</v>
      </c>
      <c r="AE399" s="1" t="s">
        <v>74</v>
      </c>
      <c r="AF399" s="1" t="s">
        <v>74</v>
      </c>
      <c r="AG399" s="1" t="s">
        <v>74</v>
      </c>
      <c r="AH399" s="1" t="s">
        <v>74</v>
      </c>
      <c r="AI399" s="1" t="s">
        <v>74</v>
      </c>
      <c r="AJ399" s="1" t="s">
        <v>74</v>
      </c>
      <c r="AK399" s="1" t="s">
        <v>74</v>
      </c>
      <c r="AL399" s="1" t="s">
        <v>74</v>
      </c>
      <c r="AM399" s="1" t="s">
        <v>74</v>
      </c>
      <c r="AN399" s="1" t="s">
        <v>74</v>
      </c>
      <c r="AO399" s="1" t="s">
        <v>4193</v>
      </c>
      <c r="AP399" s="1" t="s">
        <v>4194</v>
      </c>
      <c r="AQ399" s="1" t="s">
        <v>74</v>
      </c>
      <c r="AR399" s="1" t="s">
        <v>74</v>
      </c>
      <c r="AS399" s="1" t="s">
        <v>74</v>
      </c>
      <c r="AT399" s="1" t="s">
        <v>74</v>
      </c>
      <c r="AU399" s="1">
        <v>2008.0</v>
      </c>
      <c r="AV399" s="1" t="s">
        <v>74</v>
      </c>
      <c r="AW399" s="1">
        <v>47.0</v>
      </c>
      <c r="AX399" s="1" t="s">
        <v>74</v>
      </c>
      <c r="AY399" s="1" t="s">
        <v>74</v>
      </c>
      <c r="AZ399" s="1" t="s">
        <v>74</v>
      </c>
      <c r="BA399" s="1" t="s">
        <v>74</v>
      </c>
      <c r="BB399" s="1">
        <v>375.0</v>
      </c>
      <c r="BC399" s="1">
        <v>378.0</v>
      </c>
      <c r="BD399" s="1" t="s">
        <v>74</v>
      </c>
      <c r="BE399" s="1" t="s">
        <v>74</v>
      </c>
      <c r="BF399" s="1" t="s">
        <v>74</v>
      </c>
      <c r="BG399" s="1" t="s">
        <v>74</v>
      </c>
      <c r="BH399" s="1" t="s">
        <v>74</v>
      </c>
      <c r="BI399" s="1" t="s">
        <v>74</v>
      </c>
      <c r="BJ399" s="1" t="s">
        <v>74</v>
      </c>
      <c r="BK399" s="1" t="s">
        <v>74</v>
      </c>
      <c r="BL399" s="1" t="s">
        <v>74</v>
      </c>
      <c r="BM399" s="1" t="s">
        <v>74</v>
      </c>
      <c r="BN399" s="1" t="s">
        <v>74</v>
      </c>
      <c r="BO399" s="1" t="s">
        <v>74</v>
      </c>
      <c r="BP399" s="1" t="s">
        <v>74</v>
      </c>
      <c r="BQ399" s="1" t="s">
        <v>74</v>
      </c>
      <c r="BR399" s="1" t="s">
        <v>74</v>
      </c>
      <c r="BS399" s="1" t="s">
        <v>4195</v>
      </c>
      <c r="BT399" s="1" t="str">
        <f>HYPERLINK("https%3A%2F%2Fwww.webofscience.com%2Fwos%2Fwoscc%2Ffull-record%2FWOS:000260760000020","View Full Record in Web of Science")</f>
        <v>View Full Record in Web of Science</v>
      </c>
    </row>
    <row r="400" ht="12.75" customHeight="1">
      <c r="A400" s="1" t="s">
        <v>72</v>
      </c>
      <c r="B400" s="1" t="s">
        <v>4196</v>
      </c>
      <c r="C400" s="1" t="s">
        <v>74</v>
      </c>
      <c r="D400" s="1" t="s">
        <v>74</v>
      </c>
      <c r="E400" s="1" t="s">
        <v>74</v>
      </c>
      <c r="F400" s="1" t="s">
        <v>4196</v>
      </c>
      <c r="G400" s="1" t="s">
        <v>74</v>
      </c>
      <c r="H400" s="1" t="s">
        <v>74</v>
      </c>
      <c r="I400" s="1" t="s">
        <v>4197</v>
      </c>
      <c r="J400" s="1" t="s">
        <v>4198</v>
      </c>
      <c r="K400" s="1" t="s">
        <v>74</v>
      </c>
      <c r="L400" s="1" t="s">
        <v>74</v>
      </c>
      <c r="M400" s="1" t="s">
        <v>74</v>
      </c>
      <c r="N400" s="1" t="s">
        <v>74</v>
      </c>
      <c r="O400" s="1" t="s">
        <v>4199</v>
      </c>
      <c r="P400" s="1" t="s">
        <v>4200</v>
      </c>
      <c r="Q400" s="1" t="s">
        <v>4201</v>
      </c>
      <c r="R400" s="1" t="s">
        <v>4202</v>
      </c>
      <c r="S400" s="1" t="s">
        <v>74</v>
      </c>
      <c r="T400" s="1" t="s">
        <v>74</v>
      </c>
      <c r="U400" s="1" t="s">
        <v>74</v>
      </c>
      <c r="V400" s="1" t="s">
        <v>4203</v>
      </c>
      <c r="W400" s="1" t="s">
        <v>74</v>
      </c>
      <c r="X400" s="1" t="s">
        <v>74</v>
      </c>
      <c r="Y400" s="1" t="s">
        <v>74</v>
      </c>
      <c r="Z400" s="1" t="s">
        <v>74</v>
      </c>
      <c r="AA400" s="1" t="s">
        <v>2662</v>
      </c>
      <c r="AB400" s="1" t="s">
        <v>2663</v>
      </c>
      <c r="AC400" s="1" t="s">
        <v>74</v>
      </c>
      <c r="AD400" s="1" t="s">
        <v>74</v>
      </c>
      <c r="AE400" s="1" t="s">
        <v>74</v>
      </c>
      <c r="AF400" s="1" t="s">
        <v>74</v>
      </c>
      <c r="AG400" s="1" t="s">
        <v>74</v>
      </c>
      <c r="AH400" s="1" t="s">
        <v>74</v>
      </c>
      <c r="AI400" s="1" t="s">
        <v>74</v>
      </c>
      <c r="AJ400" s="1" t="s">
        <v>74</v>
      </c>
      <c r="AK400" s="1" t="s">
        <v>74</v>
      </c>
      <c r="AL400" s="1" t="s">
        <v>74</v>
      </c>
      <c r="AM400" s="1" t="s">
        <v>74</v>
      </c>
      <c r="AN400" s="1" t="s">
        <v>74</v>
      </c>
      <c r="AO400" s="1" t="s">
        <v>670</v>
      </c>
      <c r="AP400" s="1" t="s">
        <v>74</v>
      </c>
      <c r="AQ400" s="1" t="s">
        <v>74</v>
      </c>
      <c r="AR400" s="1" t="s">
        <v>74</v>
      </c>
      <c r="AS400" s="1" t="s">
        <v>74</v>
      </c>
      <c r="AT400" s="1" t="s">
        <v>1018</v>
      </c>
      <c r="AU400" s="1">
        <v>2001.0</v>
      </c>
      <c r="AV400" s="1">
        <v>302.0</v>
      </c>
      <c r="AW400" s="1" t="s">
        <v>74</v>
      </c>
      <c r="AX400" s="1" t="s">
        <v>74</v>
      </c>
      <c r="AY400" s="1" t="s">
        <v>74</v>
      </c>
      <c r="AZ400" s="1" t="s">
        <v>74</v>
      </c>
      <c r="BA400" s="1" t="s">
        <v>74</v>
      </c>
      <c r="BB400" s="1">
        <v>77.0</v>
      </c>
      <c r="BC400" s="1">
        <v>83.0</v>
      </c>
      <c r="BD400" s="1" t="s">
        <v>74</v>
      </c>
      <c r="BE400" s="1" t="s">
        <v>4204</v>
      </c>
      <c r="BF400" s="2" t="str">
        <f>HYPERLINK("http://dx.doi.org/10.1016/S0921-4526(01)00409-4","http://dx.doi.org/10.1016/S0921-4526(01)00409-4")</f>
        <v>http://dx.doi.org/10.1016/S0921-4526(01)00409-4</v>
      </c>
      <c r="BG400" s="1" t="s">
        <v>74</v>
      </c>
      <c r="BH400" s="1" t="s">
        <v>74</v>
      </c>
      <c r="BI400" s="1" t="s">
        <v>74</v>
      </c>
      <c r="BJ400" s="1" t="s">
        <v>74</v>
      </c>
      <c r="BK400" s="1" t="s">
        <v>74</v>
      </c>
      <c r="BL400" s="1" t="s">
        <v>74</v>
      </c>
      <c r="BM400" s="1" t="s">
        <v>74</v>
      </c>
      <c r="BN400" s="1" t="s">
        <v>74</v>
      </c>
      <c r="BO400" s="1" t="s">
        <v>74</v>
      </c>
      <c r="BP400" s="1" t="s">
        <v>74</v>
      </c>
      <c r="BQ400" s="1" t="s">
        <v>74</v>
      </c>
      <c r="BR400" s="1" t="s">
        <v>74</v>
      </c>
      <c r="BS400" s="1" t="s">
        <v>4205</v>
      </c>
      <c r="BT400" s="1" t="str">
        <f>HYPERLINK("https%3A%2F%2Fwww.webofscience.com%2Fwos%2Fwoscc%2Ffull-record%2FWOS:000169549300013","View Full Record in Web of Science")</f>
        <v>View Full Record in Web of Science</v>
      </c>
    </row>
    <row r="401" ht="12.75" customHeight="1">
      <c r="A401" s="1" t="s">
        <v>72</v>
      </c>
      <c r="B401" s="1" t="s">
        <v>4206</v>
      </c>
      <c r="C401" s="1" t="s">
        <v>74</v>
      </c>
      <c r="D401" s="1" t="s">
        <v>74</v>
      </c>
      <c r="E401" s="1" t="s">
        <v>74</v>
      </c>
      <c r="F401" s="1" t="s">
        <v>4206</v>
      </c>
      <c r="G401" s="1" t="s">
        <v>74</v>
      </c>
      <c r="H401" s="1" t="s">
        <v>74</v>
      </c>
      <c r="I401" s="1" t="s">
        <v>4207</v>
      </c>
      <c r="J401" s="1" t="s">
        <v>3218</v>
      </c>
      <c r="K401" s="1" t="s">
        <v>74</v>
      </c>
      <c r="L401" s="1" t="s">
        <v>74</v>
      </c>
      <c r="M401" s="1" t="s">
        <v>74</v>
      </c>
      <c r="N401" s="1" t="s">
        <v>74</v>
      </c>
      <c r="O401" s="1" t="s">
        <v>74</v>
      </c>
      <c r="P401" s="1" t="s">
        <v>74</v>
      </c>
      <c r="Q401" s="1" t="s">
        <v>74</v>
      </c>
      <c r="R401" s="1" t="s">
        <v>74</v>
      </c>
      <c r="S401" s="1" t="s">
        <v>74</v>
      </c>
      <c r="T401" s="1" t="s">
        <v>74</v>
      </c>
      <c r="U401" s="1" t="s">
        <v>74</v>
      </c>
      <c r="V401" s="1" t="s">
        <v>4208</v>
      </c>
      <c r="W401" s="1" t="s">
        <v>74</v>
      </c>
      <c r="X401" s="1" t="s">
        <v>74</v>
      </c>
      <c r="Y401" s="1" t="s">
        <v>74</v>
      </c>
      <c r="Z401" s="1" t="s">
        <v>74</v>
      </c>
      <c r="AA401" s="1" t="s">
        <v>4209</v>
      </c>
      <c r="AB401" s="1" t="s">
        <v>2663</v>
      </c>
      <c r="AC401" s="1" t="s">
        <v>74</v>
      </c>
      <c r="AD401" s="1" t="s">
        <v>74</v>
      </c>
      <c r="AE401" s="1" t="s">
        <v>74</v>
      </c>
      <c r="AF401" s="1" t="s">
        <v>74</v>
      </c>
      <c r="AG401" s="1" t="s">
        <v>74</v>
      </c>
      <c r="AH401" s="1" t="s">
        <v>74</v>
      </c>
      <c r="AI401" s="1" t="s">
        <v>74</v>
      </c>
      <c r="AJ401" s="1" t="s">
        <v>74</v>
      </c>
      <c r="AK401" s="1" t="s">
        <v>74</v>
      </c>
      <c r="AL401" s="1" t="s">
        <v>74</v>
      </c>
      <c r="AM401" s="1" t="s">
        <v>74</v>
      </c>
      <c r="AN401" s="1" t="s">
        <v>74</v>
      </c>
      <c r="AO401" s="1" t="s">
        <v>4210</v>
      </c>
      <c r="AP401" s="1" t="s">
        <v>4211</v>
      </c>
      <c r="AQ401" s="1" t="s">
        <v>74</v>
      </c>
      <c r="AR401" s="1" t="s">
        <v>74</v>
      </c>
      <c r="AS401" s="1" t="s">
        <v>74</v>
      </c>
      <c r="AT401" s="1" t="s">
        <v>672</v>
      </c>
      <c r="AU401" s="1">
        <v>2000.0</v>
      </c>
      <c r="AV401" s="1">
        <v>62.0</v>
      </c>
      <c r="AW401" s="1">
        <v>11.0</v>
      </c>
      <c r="AX401" s="1" t="s">
        <v>74</v>
      </c>
      <c r="AY401" s="1" t="s">
        <v>74</v>
      </c>
      <c r="AZ401" s="1" t="s">
        <v>74</v>
      </c>
      <c r="BA401" s="1" t="s">
        <v>74</v>
      </c>
      <c r="BB401" s="1">
        <v>6963.0</v>
      </c>
      <c r="BC401" s="1">
        <v>6966.0</v>
      </c>
      <c r="BD401" s="1" t="s">
        <v>74</v>
      </c>
      <c r="BE401" s="1" t="s">
        <v>4212</v>
      </c>
      <c r="BF401" s="2" t="str">
        <f>HYPERLINK("http://dx.doi.org/10.1103/PhysRevB.62.6963","http://dx.doi.org/10.1103/PhysRevB.62.6963")</f>
        <v>http://dx.doi.org/10.1103/PhysRevB.62.6963</v>
      </c>
      <c r="BG401" s="1" t="s">
        <v>74</v>
      </c>
      <c r="BH401" s="1" t="s">
        <v>74</v>
      </c>
      <c r="BI401" s="1" t="s">
        <v>74</v>
      </c>
      <c r="BJ401" s="1" t="s">
        <v>74</v>
      </c>
      <c r="BK401" s="1" t="s">
        <v>74</v>
      </c>
      <c r="BL401" s="1" t="s">
        <v>74</v>
      </c>
      <c r="BM401" s="1" t="s">
        <v>74</v>
      </c>
      <c r="BN401" s="1" t="s">
        <v>74</v>
      </c>
      <c r="BO401" s="1" t="s">
        <v>74</v>
      </c>
      <c r="BP401" s="1" t="s">
        <v>74</v>
      </c>
      <c r="BQ401" s="1" t="s">
        <v>74</v>
      </c>
      <c r="BR401" s="1" t="s">
        <v>74</v>
      </c>
      <c r="BS401" s="1" t="s">
        <v>4213</v>
      </c>
      <c r="BT401" s="1" t="str">
        <f>HYPERLINK("https%3A%2F%2Fwww.webofscience.com%2Fwos%2Fwoscc%2Ffull-record%2FWOS:000089413500031","View Full Record in Web of Science")</f>
        <v>View Full Record in Web of Science</v>
      </c>
    </row>
    <row r="402" ht="12.75" customHeight="1">
      <c r="A402" s="1" t="s">
        <v>72</v>
      </c>
      <c r="B402" s="1" t="s">
        <v>4214</v>
      </c>
      <c r="C402" s="1" t="s">
        <v>74</v>
      </c>
      <c r="D402" s="1" t="s">
        <v>74</v>
      </c>
      <c r="E402" s="1" t="s">
        <v>74</v>
      </c>
      <c r="F402" s="1" t="s">
        <v>4214</v>
      </c>
      <c r="G402" s="1" t="s">
        <v>74</v>
      </c>
      <c r="H402" s="1" t="s">
        <v>74</v>
      </c>
      <c r="I402" s="1" t="s">
        <v>4215</v>
      </c>
      <c r="J402" s="1" t="s">
        <v>1326</v>
      </c>
      <c r="K402" s="1" t="s">
        <v>74</v>
      </c>
      <c r="L402" s="1" t="s">
        <v>74</v>
      </c>
      <c r="M402" s="1" t="s">
        <v>74</v>
      </c>
      <c r="N402" s="1" t="s">
        <v>74</v>
      </c>
      <c r="O402" s="1" t="s">
        <v>74</v>
      </c>
      <c r="P402" s="1" t="s">
        <v>74</v>
      </c>
      <c r="Q402" s="1" t="s">
        <v>74</v>
      </c>
      <c r="R402" s="1" t="s">
        <v>74</v>
      </c>
      <c r="S402" s="1" t="s">
        <v>74</v>
      </c>
      <c r="T402" s="1" t="s">
        <v>74</v>
      </c>
      <c r="U402" s="1" t="s">
        <v>74</v>
      </c>
      <c r="V402" s="1" t="s">
        <v>74</v>
      </c>
      <c r="W402" s="1" t="s">
        <v>74</v>
      </c>
      <c r="X402" s="1" t="s">
        <v>74</v>
      </c>
      <c r="Y402" s="1" t="s">
        <v>74</v>
      </c>
      <c r="Z402" s="1" t="s">
        <v>74</v>
      </c>
      <c r="AA402" s="1" t="s">
        <v>4216</v>
      </c>
      <c r="AB402" s="1" t="s">
        <v>4217</v>
      </c>
      <c r="AC402" s="1" t="s">
        <v>74</v>
      </c>
      <c r="AD402" s="1" t="s">
        <v>74</v>
      </c>
      <c r="AE402" s="1" t="s">
        <v>74</v>
      </c>
      <c r="AF402" s="1" t="s">
        <v>74</v>
      </c>
      <c r="AG402" s="1" t="s">
        <v>74</v>
      </c>
      <c r="AH402" s="1" t="s">
        <v>74</v>
      </c>
      <c r="AI402" s="1" t="s">
        <v>74</v>
      </c>
      <c r="AJ402" s="1" t="s">
        <v>74</v>
      </c>
      <c r="AK402" s="1" t="s">
        <v>74</v>
      </c>
      <c r="AL402" s="1" t="s">
        <v>74</v>
      </c>
      <c r="AM402" s="1" t="s">
        <v>74</v>
      </c>
      <c r="AN402" s="1" t="s">
        <v>74</v>
      </c>
      <c r="AO402" s="1" t="s">
        <v>2280</v>
      </c>
      <c r="AP402" s="1" t="s">
        <v>74</v>
      </c>
      <c r="AQ402" s="1" t="s">
        <v>74</v>
      </c>
      <c r="AR402" s="1" t="s">
        <v>74</v>
      </c>
      <c r="AS402" s="1" t="s">
        <v>74</v>
      </c>
      <c r="AT402" s="1" t="s">
        <v>2530</v>
      </c>
      <c r="AU402" s="1">
        <v>1992.0</v>
      </c>
      <c r="AV402" s="1">
        <v>328.0</v>
      </c>
      <c r="AW402" s="1" t="s">
        <v>527</v>
      </c>
      <c r="AX402" s="1" t="s">
        <v>74</v>
      </c>
      <c r="AY402" s="1" t="s">
        <v>74</v>
      </c>
      <c r="AZ402" s="1" t="s">
        <v>74</v>
      </c>
      <c r="BA402" s="1" t="s">
        <v>74</v>
      </c>
      <c r="BB402" s="1">
        <v>349.0</v>
      </c>
      <c r="BC402" s="1">
        <v>354.0</v>
      </c>
      <c r="BD402" s="1" t="s">
        <v>74</v>
      </c>
      <c r="BE402" s="1" t="s">
        <v>4218</v>
      </c>
      <c r="BF402" s="2" t="str">
        <f>HYPERLINK("http://dx.doi.org/10.1016/0022-0728(92)80193-8","http://dx.doi.org/10.1016/0022-0728(92)80193-8")</f>
        <v>http://dx.doi.org/10.1016/0022-0728(92)80193-8</v>
      </c>
      <c r="BG402" s="1" t="s">
        <v>74</v>
      </c>
      <c r="BH402" s="1" t="s">
        <v>74</v>
      </c>
      <c r="BI402" s="1" t="s">
        <v>74</v>
      </c>
      <c r="BJ402" s="1" t="s">
        <v>74</v>
      </c>
      <c r="BK402" s="1" t="s">
        <v>74</v>
      </c>
      <c r="BL402" s="1" t="s">
        <v>74</v>
      </c>
      <c r="BM402" s="1" t="s">
        <v>74</v>
      </c>
      <c r="BN402" s="1" t="s">
        <v>74</v>
      </c>
      <c r="BO402" s="1" t="s">
        <v>74</v>
      </c>
      <c r="BP402" s="1" t="s">
        <v>74</v>
      </c>
      <c r="BQ402" s="1" t="s">
        <v>74</v>
      </c>
      <c r="BR402" s="1" t="s">
        <v>74</v>
      </c>
      <c r="BS402" s="1" t="s">
        <v>4219</v>
      </c>
      <c r="BT402" s="1" t="str">
        <f>HYPERLINK("https%3A%2F%2Fwww.webofscience.com%2Fwos%2Fwoscc%2Ffull-record%2FWOS:A1992JG93100029","View Full Record in Web of Science")</f>
        <v>View Full Record in Web of Science</v>
      </c>
    </row>
    <row r="403" ht="12.75" customHeight="1">
      <c r="A403" s="1" t="s">
        <v>72</v>
      </c>
      <c r="B403" s="1" t="s">
        <v>4220</v>
      </c>
      <c r="C403" s="1" t="s">
        <v>74</v>
      </c>
      <c r="D403" s="1" t="s">
        <v>74</v>
      </c>
      <c r="E403" s="1" t="s">
        <v>74</v>
      </c>
      <c r="F403" s="1" t="s">
        <v>4221</v>
      </c>
      <c r="G403" s="1" t="s">
        <v>74</v>
      </c>
      <c r="H403" s="1" t="s">
        <v>74</v>
      </c>
      <c r="I403" s="1" t="s">
        <v>4222</v>
      </c>
      <c r="J403" s="1" t="s">
        <v>4223</v>
      </c>
      <c r="K403" s="1" t="s">
        <v>74</v>
      </c>
      <c r="L403" s="1" t="s">
        <v>74</v>
      </c>
      <c r="M403" s="1" t="s">
        <v>74</v>
      </c>
      <c r="N403" s="1" t="s">
        <v>74</v>
      </c>
      <c r="O403" s="1" t="s">
        <v>74</v>
      </c>
      <c r="P403" s="1" t="s">
        <v>74</v>
      </c>
      <c r="Q403" s="1" t="s">
        <v>74</v>
      </c>
      <c r="R403" s="1" t="s">
        <v>74</v>
      </c>
      <c r="S403" s="1" t="s">
        <v>74</v>
      </c>
      <c r="T403" s="1" t="s">
        <v>74</v>
      </c>
      <c r="U403" s="1" t="s">
        <v>74</v>
      </c>
      <c r="V403" s="1" t="s">
        <v>4224</v>
      </c>
      <c r="W403" s="1" t="s">
        <v>74</v>
      </c>
      <c r="X403" s="1" t="s">
        <v>74</v>
      </c>
      <c r="Y403" s="1" t="s">
        <v>74</v>
      </c>
      <c r="Z403" s="1" t="s">
        <v>74</v>
      </c>
      <c r="AA403" s="1" t="s">
        <v>4225</v>
      </c>
      <c r="AB403" s="1" t="s">
        <v>4226</v>
      </c>
      <c r="AC403" s="1" t="s">
        <v>74</v>
      </c>
      <c r="AD403" s="1" t="s">
        <v>74</v>
      </c>
      <c r="AE403" s="1" t="s">
        <v>74</v>
      </c>
      <c r="AF403" s="1" t="s">
        <v>74</v>
      </c>
      <c r="AG403" s="1" t="s">
        <v>74</v>
      </c>
      <c r="AH403" s="1" t="s">
        <v>74</v>
      </c>
      <c r="AI403" s="1" t="s">
        <v>74</v>
      </c>
      <c r="AJ403" s="1" t="s">
        <v>74</v>
      </c>
      <c r="AK403" s="1" t="s">
        <v>74</v>
      </c>
      <c r="AL403" s="1" t="s">
        <v>74</v>
      </c>
      <c r="AM403" s="1" t="s">
        <v>74</v>
      </c>
      <c r="AN403" s="1" t="s">
        <v>74</v>
      </c>
      <c r="AO403" s="1" t="s">
        <v>4227</v>
      </c>
      <c r="AP403" s="1" t="s">
        <v>4228</v>
      </c>
      <c r="AQ403" s="1" t="s">
        <v>74</v>
      </c>
      <c r="AR403" s="1" t="s">
        <v>74</v>
      </c>
      <c r="AS403" s="1" t="s">
        <v>74</v>
      </c>
      <c r="AT403" s="1" t="s">
        <v>295</v>
      </c>
      <c r="AU403" s="1">
        <v>2025.0</v>
      </c>
      <c r="AV403" s="1">
        <v>104.0</v>
      </c>
      <c r="AW403" s="1" t="s">
        <v>74</v>
      </c>
      <c r="AX403" s="1" t="s">
        <v>74</v>
      </c>
      <c r="AY403" s="1" t="s">
        <v>74</v>
      </c>
      <c r="AZ403" s="1" t="s">
        <v>74</v>
      </c>
      <c r="BA403" s="1" t="s">
        <v>74</v>
      </c>
      <c r="BB403" s="1">
        <v>313.0</v>
      </c>
      <c r="BC403" s="1">
        <v>323.0</v>
      </c>
      <c r="BD403" s="1" t="s">
        <v>74</v>
      </c>
      <c r="BE403" s="1" t="s">
        <v>4229</v>
      </c>
      <c r="BF403" s="2" t="str">
        <f>HYPERLINK("http://dx.doi.org/10.1016/j.ijhydene.2024.06.184","http://dx.doi.org/10.1016/j.ijhydene.2024.06.184")</f>
        <v>http://dx.doi.org/10.1016/j.ijhydene.2024.06.184</v>
      </c>
      <c r="BG403" s="1" t="s">
        <v>74</v>
      </c>
      <c r="BH403" s="1" t="s">
        <v>4230</v>
      </c>
      <c r="BI403" s="1" t="s">
        <v>74</v>
      </c>
      <c r="BJ403" s="1" t="s">
        <v>74</v>
      </c>
      <c r="BK403" s="1" t="s">
        <v>74</v>
      </c>
      <c r="BL403" s="1" t="s">
        <v>74</v>
      </c>
      <c r="BM403" s="1" t="s">
        <v>74</v>
      </c>
      <c r="BN403" s="1" t="s">
        <v>74</v>
      </c>
      <c r="BO403" s="1" t="s">
        <v>74</v>
      </c>
      <c r="BP403" s="1" t="s">
        <v>74</v>
      </c>
      <c r="BQ403" s="1" t="s">
        <v>74</v>
      </c>
      <c r="BR403" s="1" t="s">
        <v>74</v>
      </c>
      <c r="BS403" s="1" t="s">
        <v>4231</v>
      </c>
      <c r="BT403" s="1" t="str">
        <f>HYPERLINK("https%3A%2F%2Fwww.webofscience.com%2Fwos%2Fwoscc%2Ffull-record%2FWOS:001422147500001","View Full Record in Web of Science")</f>
        <v>View Full Record in Web of Science</v>
      </c>
    </row>
    <row r="404" ht="12.75" customHeight="1">
      <c r="A404" s="1" t="s">
        <v>72</v>
      </c>
      <c r="B404" s="1" t="s">
        <v>4232</v>
      </c>
      <c r="C404" s="1" t="s">
        <v>74</v>
      </c>
      <c r="D404" s="1" t="s">
        <v>74</v>
      </c>
      <c r="E404" s="1" t="s">
        <v>74</v>
      </c>
      <c r="F404" s="1" t="s">
        <v>4233</v>
      </c>
      <c r="G404" s="1" t="s">
        <v>74</v>
      </c>
      <c r="H404" s="1" t="s">
        <v>74</v>
      </c>
      <c r="I404" s="1" t="s">
        <v>4234</v>
      </c>
      <c r="J404" s="1" t="s">
        <v>2763</v>
      </c>
      <c r="K404" s="1" t="s">
        <v>74</v>
      </c>
      <c r="L404" s="1" t="s">
        <v>74</v>
      </c>
      <c r="M404" s="1" t="s">
        <v>74</v>
      </c>
      <c r="N404" s="1" t="s">
        <v>74</v>
      </c>
      <c r="O404" s="1" t="s">
        <v>74</v>
      </c>
      <c r="P404" s="1" t="s">
        <v>74</v>
      </c>
      <c r="Q404" s="1" t="s">
        <v>74</v>
      </c>
      <c r="R404" s="1" t="s">
        <v>74</v>
      </c>
      <c r="S404" s="1" t="s">
        <v>74</v>
      </c>
      <c r="T404" s="1" t="s">
        <v>74</v>
      </c>
      <c r="U404" s="1" t="s">
        <v>74</v>
      </c>
      <c r="V404" s="1" t="s">
        <v>4235</v>
      </c>
      <c r="W404" s="1" t="s">
        <v>74</v>
      </c>
      <c r="X404" s="1" t="s">
        <v>74</v>
      </c>
      <c r="Y404" s="1" t="s">
        <v>74</v>
      </c>
      <c r="Z404" s="1" t="s">
        <v>74</v>
      </c>
      <c r="AA404" s="1" t="s">
        <v>4236</v>
      </c>
      <c r="AB404" s="1" t="s">
        <v>74</v>
      </c>
      <c r="AC404" s="1" t="s">
        <v>74</v>
      </c>
      <c r="AD404" s="1" t="s">
        <v>74</v>
      </c>
      <c r="AE404" s="1" t="s">
        <v>74</v>
      </c>
      <c r="AF404" s="1" t="s">
        <v>74</v>
      </c>
      <c r="AG404" s="1" t="s">
        <v>74</v>
      </c>
      <c r="AH404" s="1" t="s">
        <v>74</v>
      </c>
      <c r="AI404" s="1" t="s">
        <v>74</v>
      </c>
      <c r="AJ404" s="1" t="s">
        <v>74</v>
      </c>
      <c r="AK404" s="1" t="s">
        <v>74</v>
      </c>
      <c r="AL404" s="1" t="s">
        <v>74</v>
      </c>
      <c r="AM404" s="1" t="s">
        <v>74</v>
      </c>
      <c r="AN404" s="1" t="s">
        <v>74</v>
      </c>
      <c r="AO404" s="1" t="s">
        <v>2767</v>
      </c>
      <c r="AP404" s="1" t="s">
        <v>2768</v>
      </c>
      <c r="AQ404" s="1" t="s">
        <v>74</v>
      </c>
      <c r="AR404" s="1" t="s">
        <v>74</v>
      </c>
      <c r="AS404" s="1" t="s">
        <v>74</v>
      </c>
      <c r="AT404" s="1" t="s">
        <v>3122</v>
      </c>
      <c r="AU404" s="1">
        <v>2025.0</v>
      </c>
      <c r="AV404" s="1">
        <v>362.0</v>
      </c>
      <c r="AW404" s="1" t="s">
        <v>74</v>
      </c>
      <c r="AX404" s="1">
        <v>2.0</v>
      </c>
      <c r="AY404" s="1" t="s">
        <v>74</v>
      </c>
      <c r="AZ404" s="1" t="s">
        <v>74</v>
      </c>
      <c r="BA404" s="1" t="s">
        <v>74</v>
      </c>
      <c r="BB404" s="1" t="s">
        <v>74</v>
      </c>
      <c r="BC404" s="1" t="s">
        <v>74</v>
      </c>
      <c r="BD404" s="1">
        <v>131828.0</v>
      </c>
      <c r="BE404" s="1" t="s">
        <v>4237</v>
      </c>
      <c r="BF404" s="2" t="str">
        <f>HYPERLINK("http://dx.doi.org/10.1016/j.seppur.2025.131828","http://dx.doi.org/10.1016/j.seppur.2025.131828")</f>
        <v>http://dx.doi.org/10.1016/j.seppur.2025.131828</v>
      </c>
      <c r="BG404" s="1" t="s">
        <v>74</v>
      </c>
      <c r="BH404" s="1" t="s">
        <v>1372</v>
      </c>
      <c r="BI404" s="1" t="s">
        <v>74</v>
      </c>
      <c r="BJ404" s="1" t="s">
        <v>74</v>
      </c>
      <c r="BK404" s="1" t="s">
        <v>74</v>
      </c>
      <c r="BL404" s="1" t="s">
        <v>74</v>
      </c>
      <c r="BM404" s="1" t="s">
        <v>74</v>
      </c>
      <c r="BN404" s="1" t="s">
        <v>74</v>
      </c>
      <c r="BO404" s="1" t="s">
        <v>74</v>
      </c>
      <c r="BP404" s="1" t="s">
        <v>74</v>
      </c>
      <c r="BQ404" s="1" t="s">
        <v>74</v>
      </c>
      <c r="BR404" s="1" t="s">
        <v>74</v>
      </c>
      <c r="BS404" s="1" t="s">
        <v>4238</v>
      </c>
      <c r="BT404" s="1" t="str">
        <f>HYPERLINK("https%3A%2F%2Fwww.webofscience.com%2Fwos%2Fwoscc%2Ffull-record%2FWOS:001421457900001","View Full Record in Web of Science")</f>
        <v>View Full Record in Web of Science</v>
      </c>
    </row>
    <row r="405" ht="12.75" customHeight="1">
      <c r="A405" s="1" t="s">
        <v>72</v>
      </c>
      <c r="B405" s="1" t="s">
        <v>4239</v>
      </c>
      <c r="C405" s="1" t="s">
        <v>74</v>
      </c>
      <c r="D405" s="1" t="s">
        <v>74</v>
      </c>
      <c r="E405" s="1" t="s">
        <v>74</v>
      </c>
      <c r="F405" s="1" t="s">
        <v>4240</v>
      </c>
      <c r="G405" s="1" t="s">
        <v>74</v>
      </c>
      <c r="H405" s="1" t="s">
        <v>74</v>
      </c>
      <c r="I405" s="1" t="s">
        <v>4241</v>
      </c>
      <c r="J405" s="1" t="s">
        <v>1925</v>
      </c>
      <c r="K405" s="1" t="s">
        <v>74</v>
      </c>
      <c r="L405" s="1" t="s">
        <v>74</v>
      </c>
      <c r="M405" s="1" t="s">
        <v>74</v>
      </c>
      <c r="N405" s="1" t="s">
        <v>74</v>
      </c>
      <c r="O405" s="1" t="s">
        <v>74</v>
      </c>
      <c r="P405" s="1" t="s">
        <v>74</v>
      </c>
      <c r="Q405" s="1" t="s">
        <v>74</v>
      </c>
      <c r="R405" s="1" t="s">
        <v>74</v>
      </c>
      <c r="S405" s="1" t="s">
        <v>74</v>
      </c>
      <c r="T405" s="1" t="s">
        <v>74</v>
      </c>
      <c r="U405" s="1" t="s">
        <v>74</v>
      </c>
      <c r="V405" s="1" t="s">
        <v>4242</v>
      </c>
      <c r="W405" s="1" t="s">
        <v>74</v>
      </c>
      <c r="X405" s="1" t="s">
        <v>74</v>
      </c>
      <c r="Y405" s="1" t="s">
        <v>74</v>
      </c>
      <c r="Z405" s="1" t="s">
        <v>74</v>
      </c>
      <c r="AA405" s="1" t="s">
        <v>4243</v>
      </c>
      <c r="AB405" s="1" t="s">
        <v>4244</v>
      </c>
      <c r="AC405" s="1" t="s">
        <v>74</v>
      </c>
      <c r="AD405" s="1" t="s">
        <v>74</v>
      </c>
      <c r="AE405" s="1" t="s">
        <v>74</v>
      </c>
      <c r="AF405" s="1" t="s">
        <v>74</v>
      </c>
      <c r="AG405" s="1" t="s">
        <v>74</v>
      </c>
      <c r="AH405" s="1" t="s">
        <v>74</v>
      </c>
      <c r="AI405" s="1" t="s">
        <v>74</v>
      </c>
      <c r="AJ405" s="1" t="s">
        <v>74</v>
      </c>
      <c r="AK405" s="1" t="s">
        <v>74</v>
      </c>
      <c r="AL405" s="1" t="s">
        <v>74</v>
      </c>
      <c r="AM405" s="1" t="s">
        <v>74</v>
      </c>
      <c r="AN405" s="1" t="s">
        <v>74</v>
      </c>
      <c r="AO405" s="1" t="s">
        <v>1929</v>
      </c>
      <c r="AP405" s="1" t="s">
        <v>1930</v>
      </c>
      <c r="AQ405" s="1" t="s">
        <v>74</v>
      </c>
      <c r="AR405" s="1" t="s">
        <v>74</v>
      </c>
      <c r="AS405" s="1" t="s">
        <v>74</v>
      </c>
      <c r="AT405" s="1" t="s">
        <v>318</v>
      </c>
      <c r="AU405" s="1">
        <v>2025.0</v>
      </c>
      <c r="AV405" s="1">
        <v>22.0</v>
      </c>
      <c r="AW405" s="1">
        <v>2.0</v>
      </c>
      <c r="AX405" s="1" t="s">
        <v>74</v>
      </c>
      <c r="AY405" s="1" t="s">
        <v>74</v>
      </c>
      <c r="AZ405" s="1" t="s">
        <v>74</v>
      </c>
      <c r="BA405" s="1" t="s">
        <v>74</v>
      </c>
      <c r="BB405" s="1" t="s">
        <v>74</v>
      </c>
      <c r="BC405" s="1" t="s">
        <v>74</v>
      </c>
      <c r="BD405" s="1" t="s">
        <v>74</v>
      </c>
      <c r="BE405" s="1" t="s">
        <v>4245</v>
      </c>
      <c r="BF405" s="2" t="str">
        <f>HYPERLINK("http://dx.doi.org/10.1002/cbdv.202401445","http://dx.doi.org/10.1002/cbdv.202401445")</f>
        <v>http://dx.doi.org/10.1002/cbdv.202401445</v>
      </c>
      <c r="BG405" s="1" t="s">
        <v>74</v>
      </c>
      <c r="BH405" s="1" t="s">
        <v>3846</v>
      </c>
      <c r="BI405" s="1" t="s">
        <v>74</v>
      </c>
      <c r="BJ405" s="1" t="s">
        <v>74</v>
      </c>
      <c r="BK405" s="1" t="s">
        <v>74</v>
      </c>
      <c r="BL405" s="1" t="s">
        <v>74</v>
      </c>
      <c r="BM405" s="1" t="s">
        <v>74</v>
      </c>
      <c r="BN405" s="1">
        <v>3.9325994E7</v>
      </c>
      <c r="BO405" s="1" t="s">
        <v>74</v>
      </c>
      <c r="BP405" s="1" t="s">
        <v>74</v>
      </c>
      <c r="BQ405" s="1" t="s">
        <v>74</v>
      </c>
      <c r="BR405" s="1" t="s">
        <v>74</v>
      </c>
      <c r="BS405" s="1" t="s">
        <v>4246</v>
      </c>
      <c r="BT405" s="1" t="str">
        <f>HYPERLINK("https%3A%2F%2Fwww.webofscience.com%2Fwos%2Fwoscc%2Ffull-record%2FWOS:001357426700001","View Full Record in Web of Science")</f>
        <v>View Full Record in Web of Science</v>
      </c>
    </row>
    <row r="406" ht="12.75" customHeight="1">
      <c r="A406" s="1" t="s">
        <v>72</v>
      </c>
      <c r="B406" s="1" t="s">
        <v>4247</v>
      </c>
      <c r="C406" s="1" t="s">
        <v>74</v>
      </c>
      <c r="D406" s="1" t="s">
        <v>74</v>
      </c>
      <c r="E406" s="1" t="s">
        <v>74</v>
      </c>
      <c r="F406" s="1" t="s">
        <v>4248</v>
      </c>
      <c r="G406" s="1" t="s">
        <v>74</v>
      </c>
      <c r="H406" s="1" t="s">
        <v>74</v>
      </c>
      <c r="I406" s="1" t="s">
        <v>4249</v>
      </c>
      <c r="J406" s="1" t="s">
        <v>4250</v>
      </c>
      <c r="K406" s="1" t="s">
        <v>74</v>
      </c>
      <c r="L406" s="1" t="s">
        <v>74</v>
      </c>
      <c r="M406" s="1" t="s">
        <v>74</v>
      </c>
      <c r="N406" s="1" t="s">
        <v>74</v>
      </c>
      <c r="O406" s="1" t="s">
        <v>74</v>
      </c>
      <c r="P406" s="1" t="s">
        <v>74</v>
      </c>
      <c r="Q406" s="1" t="s">
        <v>74</v>
      </c>
      <c r="R406" s="1" t="s">
        <v>74</v>
      </c>
      <c r="S406" s="1" t="s">
        <v>74</v>
      </c>
      <c r="T406" s="1" t="s">
        <v>74</v>
      </c>
      <c r="U406" s="1" t="s">
        <v>74</v>
      </c>
      <c r="V406" s="1" t="s">
        <v>4251</v>
      </c>
      <c r="W406" s="1" t="s">
        <v>74</v>
      </c>
      <c r="X406" s="1" t="s">
        <v>74</v>
      </c>
      <c r="Y406" s="1" t="s">
        <v>74</v>
      </c>
      <c r="Z406" s="1" t="s">
        <v>74</v>
      </c>
      <c r="AA406" s="1" t="s">
        <v>4252</v>
      </c>
      <c r="AB406" s="1" t="s">
        <v>4253</v>
      </c>
      <c r="AC406" s="1" t="s">
        <v>74</v>
      </c>
      <c r="AD406" s="1" t="s">
        <v>74</v>
      </c>
      <c r="AE406" s="1" t="s">
        <v>74</v>
      </c>
      <c r="AF406" s="1" t="s">
        <v>74</v>
      </c>
      <c r="AG406" s="1" t="s">
        <v>74</v>
      </c>
      <c r="AH406" s="1" t="s">
        <v>74</v>
      </c>
      <c r="AI406" s="1" t="s">
        <v>74</v>
      </c>
      <c r="AJ406" s="1" t="s">
        <v>74</v>
      </c>
      <c r="AK406" s="1" t="s">
        <v>74</v>
      </c>
      <c r="AL406" s="1" t="s">
        <v>74</v>
      </c>
      <c r="AM406" s="1" t="s">
        <v>74</v>
      </c>
      <c r="AN406" s="1" t="s">
        <v>74</v>
      </c>
      <c r="AO406" s="1" t="s">
        <v>4254</v>
      </c>
      <c r="AP406" s="1" t="s">
        <v>4255</v>
      </c>
      <c r="AQ406" s="1" t="s">
        <v>74</v>
      </c>
      <c r="AR406" s="1" t="s">
        <v>74</v>
      </c>
      <c r="AS406" s="1" t="s">
        <v>74</v>
      </c>
      <c r="AT406" s="1" t="s">
        <v>235</v>
      </c>
      <c r="AU406" s="1">
        <v>2024.0</v>
      </c>
      <c r="AV406" s="1">
        <v>39.0</v>
      </c>
      <c r="AW406" s="1">
        <v>4.0</v>
      </c>
      <c r="AX406" s="1" t="s">
        <v>74</v>
      </c>
      <c r="AY406" s="1" t="s">
        <v>74</v>
      </c>
      <c r="AZ406" s="1" t="s">
        <v>74</v>
      </c>
      <c r="BA406" s="1" t="s">
        <v>74</v>
      </c>
      <c r="BB406" s="1">
        <v>4612.0</v>
      </c>
      <c r="BC406" s="1">
        <v>4623.0</v>
      </c>
      <c r="BD406" s="1" t="s">
        <v>74</v>
      </c>
      <c r="BE406" s="1" t="s">
        <v>4256</v>
      </c>
      <c r="BF406" s="2" t="str">
        <f>HYPERLINK("http://dx.doi.org/10.1109/TPEL.2024.3352021","http://dx.doi.org/10.1109/TPEL.2024.3352021")</f>
        <v>http://dx.doi.org/10.1109/TPEL.2024.3352021</v>
      </c>
      <c r="BG406" s="1" t="s">
        <v>74</v>
      </c>
      <c r="BH406" s="1" t="s">
        <v>74</v>
      </c>
      <c r="BI406" s="1" t="s">
        <v>74</v>
      </c>
      <c r="BJ406" s="1" t="s">
        <v>74</v>
      </c>
      <c r="BK406" s="1" t="s">
        <v>74</v>
      </c>
      <c r="BL406" s="1" t="s">
        <v>74</v>
      </c>
      <c r="BM406" s="1" t="s">
        <v>74</v>
      </c>
      <c r="BN406" s="1" t="s">
        <v>74</v>
      </c>
      <c r="BO406" s="1" t="s">
        <v>74</v>
      </c>
      <c r="BP406" s="1" t="s">
        <v>74</v>
      </c>
      <c r="BQ406" s="1" t="s">
        <v>74</v>
      </c>
      <c r="BR406" s="1" t="s">
        <v>74</v>
      </c>
      <c r="BS406" s="1" t="s">
        <v>4257</v>
      </c>
      <c r="BT406" s="1" t="str">
        <f>HYPERLINK("https%3A%2F%2Fwww.webofscience.com%2Fwos%2Fwoscc%2Ffull-record%2FWOS:001164705900007","View Full Record in Web of Science")</f>
        <v>View Full Record in Web of Science</v>
      </c>
    </row>
    <row r="407" ht="12.75" customHeight="1">
      <c r="A407" s="1" t="s">
        <v>72</v>
      </c>
      <c r="B407" s="1" t="s">
        <v>4258</v>
      </c>
      <c r="C407" s="1" t="s">
        <v>74</v>
      </c>
      <c r="D407" s="1" t="s">
        <v>74</v>
      </c>
      <c r="E407" s="1" t="s">
        <v>74</v>
      </c>
      <c r="F407" s="1" t="s">
        <v>4259</v>
      </c>
      <c r="G407" s="1" t="s">
        <v>74</v>
      </c>
      <c r="H407" s="1" t="s">
        <v>74</v>
      </c>
      <c r="I407" s="1" t="s">
        <v>4260</v>
      </c>
      <c r="J407" s="1" t="s">
        <v>4261</v>
      </c>
      <c r="K407" s="1" t="s">
        <v>74</v>
      </c>
      <c r="L407" s="1" t="s">
        <v>74</v>
      </c>
      <c r="M407" s="1" t="s">
        <v>74</v>
      </c>
      <c r="N407" s="1" t="s">
        <v>74</v>
      </c>
      <c r="O407" s="1" t="s">
        <v>74</v>
      </c>
      <c r="P407" s="1" t="s">
        <v>74</v>
      </c>
      <c r="Q407" s="1" t="s">
        <v>74</v>
      </c>
      <c r="R407" s="1" t="s">
        <v>74</v>
      </c>
      <c r="S407" s="1" t="s">
        <v>74</v>
      </c>
      <c r="T407" s="1" t="s">
        <v>74</v>
      </c>
      <c r="U407" s="1" t="s">
        <v>74</v>
      </c>
      <c r="V407" s="1" t="s">
        <v>4262</v>
      </c>
      <c r="W407" s="1" t="s">
        <v>74</v>
      </c>
      <c r="X407" s="1" t="s">
        <v>74</v>
      </c>
      <c r="Y407" s="1" t="s">
        <v>74</v>
      </c>
      <c r="Z407" s="1" t="s">
        <v>74</v>
      </c>
      <c r="AA407" s="1" t="s">
        <v>4263</v>
      </c>
      <c r="AB407" s="1" t="s">
        <v>4264</v>
      </c>
      <c r="AC407" s="1" t="s">
        <v>74</v>
      </c>
      <c r="AD407" s="1" t="s">
        <v>74</v>
      </c>
      <c r="AE407" s="1" t="s">
        <v>74</v>
      </c>
      <c r="AF407" s="1" t="s">
        <v>74</v>
      </c>
      <c r="AG407" s="1" t="s">
        <v>74</v>
      </c>
      <c r="AH407" s="1" t="s">
        <v>74</v>
      </c>
      <c r="AI407" s="1" t="s">
        <v>74</v>
      </c>
      <c r="AJ407" s="1" t="s">
        <v>74</v>
      </c>
      <c r="AK407" s="1" t="s">
        <v>74</v>
      </c>
      <c r="AL407" s="1" t="s">
        <v>74</v>
      </c>
      <c r="AM407" s="1" t="s">
        <v>74</v>
      </c>
      <c r="AN407" s="1" t="s">
        <v>74</v>
      </c>
      <c r="AO407" s="1" t="s">
        <v>4265</v>
      </c>
      <c r="AP407" s="1" t="s">
        <v>4266</v>
      </c>
      <c r="AQ407" s="1" t="s">
        <v>74</v>
      </c>
      <c r="AR407" s="1" t="s">
        <v>74</v>
      </c>
      <c r="AS407" s="1" t="s">
        <v>74</v>
      </c>
      <c r="AT407" s="1" t="s">
        <v>74</v>
      </c>
      <c r="AU407" s="1">
        <v>2023.0</v>
      </c>
      <c r="AV407" s="1">
        <v>57.0</v>
      </c>
      <c r="AW407" s="1" t="s">
        <v>74</v>
      </c>
      <c r="AX407" s="1" t="s">
        <v>74</v>
      </c>
      <c r="AY407" s="1" t="s">
        <v>74</v>
      </c>
      <c r="AZ407" s="1" t="s">
        <v>1416</v>
      </c>
      <c r="BA407" s="1" t="s">
        <v>74</v>
      </c>
      <c r="BB407" s="1" t="s">
        <v>74</v>
      </c>
      <c r="BC407" s="1" t="s">
        <v>74</v>
      </c>
      <c r="BD407" s="1" t="s">
        <v>4267</v>
      </c>
      <c r="BE407" s="1" t="s">
        <v>4268</v>
      </c>
      <c r="BF407" s="2" t="str">
        <f>HYPERLINK("http://dx.doi.org/10.1590/1980-220X-REEUSP-2023-0031en","http://dx.doi.org/10.1590/1980-220X-REEUSP-2023-0031en")</f>
        <v>http://dx.doi.org/10.1590/1980-220X-REEUSP-2023-0031en</v>
      </c>
      <c r="BG407" s="1" t="s">
        <v>74</v>
      </c>
      <c r="BH407" s="1" t="s">
        <v>74</v>
      </c>
      <c r="BI407" s="1" t="s">
        <v>74</v>
      </c>
      <c r="BJ407" s="1" t="s">
        <v>74</v>
      </c>
      <c r="BK407" s="1" t="s">
        <v>74</v>
      </c>
      <c r="BL407" s="1" t="s">
        <v>74</v>
      </c>
      <c r="BM407" s="1" t="s">
        <v>74</v>
      </c>
      <c r="BN407" s="1">
        <v>3.7552833E7</v>
      </c>
      <c r="BO407" s="1" t="s">
        <v>74</v>
      </c>
      <c r="BP407" s="1" t="s">
        <v>74</v>
      </c>
      <c r="BQ407" s="1" t="s">
        <v>74</v>
      </c>
      <c r="BR407" s="1" t="s">
        <v>74</v>
      </c>
      <c r="BS407" s="1" t="s">
        <v>4269</v>
      </c>
      <c r="BT407" s="1" t="str">
        <f>HYPERLINK("https%3A%2F%2Fwww.webofscience.com%2Fwos%2Fwoscc%2Ffull-record%2FWOS:001048709000001","View Full Record in Web of Science")</f>
        <v>View Full Record in Web of Science</v>
      </c>
    </row>
    <row r="408" ht="12.75" customHeight="1">
      <c r="A408" s="1" t="s">
        <v>72</v>
      </c>
      <c r="B408" s="1" t="s">
        <v>4270</v>
      </c>
      <c r="C408" s="1" t="s">
        <v>74</v>
      </c>
      <c r="D408" s="1" t="s">
        <v>74</v>
      </c>
      <c r="E408" s="1" t="s">
        <v>74</v>
      </c>
      <c r="F408" s="1" t="s">
        <v>4271</v>
      </c>
      <c r="G408" s="1" t="s">
        <v>74</v>
      </c>
      <c r="H408" s="1" t="s">
        <v>74</v>
      </c>
      <c r="I408" s="1" t="s">
        <v>4272</v>
      </c>
      <c r="J408" s="1" t="s">
        <v>4273</v>
      </c>
      <c r="K408" s="1" t="s">
        <v>74</v>
      </c>
      <c r="L408" s="1" t="s">
        <v>74</v>
      </c>
      <c r="M408" s="1" t="s">
        <v>74</v>
      </c>
      <c r="N408" s="1" t="s">
        <v>74</v>
      </c>
      <c r="O408" s="1" t="s">
        <v>74</v>
      </c>
      <c r="P408" s="1" t="s">
        <v>74</v>
      </c>
      <c r="Q408" s="1" t="s">
        <v>74</v>
      </c>
      <c r="R408" s="1" t="s">
        <v>74</v>
      </c>
      <c r="S408" s="1" t="s">
        <v>74</v>
      </c>
      <c r="T408" s="1" t="s">
        <v>74</v>
      </c>
      <c r="U408" s="1" t="s">
        <v>74</v>
      </c>
      <c r="V408" s="1" t="s">
        <v>4274</v>
      </c>
      <c r="W408" s="1" t="s">
        <v>74</v>
      </c>
      <c r="X408" s="1" t="s">
        <v>74</v>
      </c>
      <c r="Y408" s="1" t="s">
        <v>74</v>
      </c>
      <c r="Z408" s="1" t="s">
        <v>74</v>
      </c>
      <c r="AA408" s="1" t="s">
        <v>4275</v>
      </c>
      <c r="AB408" s="1" t="s">
        <v>74</v>
      </c>
      <c r="AC408" s="1" t="s">
        <v>74</v>
      </c>
      <c r="AD408" s="1" t="s">
        <v>74</v>
      </c>
      <c r="AE408" s="1" t="s">
        <v>74</v>
      </c>
      <c r="AF408" s="1" t="s">
        <v>74</v>
      </c>
      <c r="AG408" s="1" t="s">
        <v>74</v>
      </c>
      <c r="AH408" s="1" t="s">
        <v>74</v>
      </c>
      <c r="AI408" s="1" t="s">
        <v>74</v>
      </c>
      <c r="AJ408" s="1" t="s">
        <v>74</v>
      </c>
      <c r="AK408" s="1" t="s">
        <v>74</v>
      </c>
      <c r="AL408" s="1" t="s">
        <v>74</v>
      </c>
      <c r="AM408" s="1" t="s">
        <v>74</v>
      </c>
      <c r="AN408" s="1" t="s">
        <v>74</v>
      </c>
      <c r="AO408" s="1" t="s">
        <v>4276</v>
      </c>
      <c r="AP408" s="1" t="s">
        <v>74</v>
      </c>
      <c r="AQ408" s="1" t="s">
        <v>74</v>
      </c>
      <c r="AR408" s="1" t="s">
        <v>74</v>
      </c>
      <c r="AS408" s="1" t="s">
        <v>74</v>
      </c>
      <c r="AT408" s="1" t="s">
        <v>307</v>
      </c>
      <c r="AU408" s="1">
        <v>2022.0</v>
      </c>
      <c r="AV408" s="1">
        <v>18.0</v>
      </c>
      <c r="AW408" s="1">
        <v>1.0</v>
      </c>
      <c r="AX408" s="1" t="s">
        <v>74</v>
      </c>
      <c r="AY408" s="1" t="s">
        <v>74</v>
      </c>
      <c r="AZ408" s="1" t="s">
        <v>74</v>
      </c>
      <c r="BA408" s="1" t="s">
        <v>74</v>
      </c>
      <c r="BB408" s="1">
        <v>23.0</v>
      </c>
      <c r="BC408" s="1">
        <v>25.0</v>
      </c>
      <c r="BD408" s="1" t="s">
        <v>74</v>
      </c>
      <c r="BE408" s="1" t="s">
        <v>74</v>
      </c>
      <c r="BF408" s="1" t="s">
        <v>74</v>
      </c>
      <c r="BG408" s="1" t="s">
        <v>74</v>
      </c>
      <c r="BH408" s="1" t="s">
        <v>74</v>
      </c>
      <c r="BI408" s="1" t="s">
        <v>74</v>
      </c>
      <c r="BJ408" s="1" t="s">
        <v>74</v>
      </c>
      <c r="BK408" s="1" t="s">
        <v>74</v>
      </c>
      <c r="BL408" s="1" t="s">
        <v>74</v>
      </c>
      <c r="BM408" s="1" t="s">
        <v>74</v>
      </c>
      <c r="BN408" s="1" t="s">
        <v>74</v>
      </c>
      <c r="BO408" s="1" t="s">
        <v>74</v>
      </c>
      <c r="BP408" s="1" t="s">
        <v>74</v>
      </c>
      <c r="BQ408" s="1" t="s">
        <v>74</v>
      </c>
      <c r="BR408" s="1" t="s">
        <v>74</v>
      </c>
      <c r="BS408" s="1" t="s">
        <v>4277</v>
      </c>
      <c r="BT408" s="1" t="str">
        <f>HYPERLINK("https%3A%2F%2Fwww.webofscience.com%2Fwos%2Fwoscc%2Ffull-record%2FWOS:000999630700007","View Full Record in Web of Science")</f>
        <v>View Full Record in Web of Science</v>
      </c>
    </row>
    <row r="409" ht="12.75" customHeight="1">
      <c r="A409" s="1" t="s">
        <v>72</v>
      </c>
      <c r="B409" s="1" t="s">
        <v>4278</v>
      </c>
      <c r="C409" s="1" t="s">
        <v>74</v>
      </c>
      <c r="D409" s="1" t="s">
        <v>74</v>
      </c>
      <c r="E409" s="1" t="s">
        <v>74</v>
      </c>
      <c r="F409" s="1" t="s">
        <v>4279</v>
      </c>
      <c r="G409" s="1" t="s">
        <v>74</v>
      </c>
      <c r="H409" s="1" t="s">
        <v>74</v>
      </c>
      <c r="I409" s="1" t="s">
        <v>4280</v>
      </c>
      <c r="J409" s="1" t="s">
        <v>1034</v>
      </c>
      <c r="K409" s="1" t="s">
        <v>74</v>
      </c>
      <c r="L409" s="1" t="s">
        <v>74</v>
      </c>
      <c r="M409" s="1" t="s">
        <v>74</v>
      </c>
      <c r="N409" s="1" t="s">
        <v>74</v>
      </c>
      <c r="O409" s="1" t="s">
        <v>74</v>
      </c>
      <c r="P409" s="1" t="s">
        <v>74</v>
      </c>
      <c r="Q409" s="1" t="s">
        <v>74</v>
      </c>
      <c r="R409" s="1" t="s">
        <v>74</v>
      </c>
      <c r="S409" s="1" t="s">
        <v>74</v>
      </c>
      <c r="T409" s="1" t="s">
        <v>74</v>
      </c>
      <c r="U409" s="1" t="s">
        <v>74</v>
      </c>
      <c r="V409" s="1" t="s">
        <v>4281</v>
      </c>
      <c r="W409" s="1" t="s">
        <v>74</v>
      </c>
      <c r="X409" s="1" t="s">
        <v>74</v>
      </c>
      <c r="Y409" s="1" t="s">
        <v>74</v>
      </c>
      <c r="Z409" s="1" t="s">
        <v>74</v>
      </c>
      <c r="AA409" s="1" t="s">
        <v>4282</v>
      </c>
      <c r="AB409" s="1" t="s">
        <v>4283</v>
      </c>
      <c r="AC409" s="1" t="s">
        <v>74</v>
      </c>
      <c r="AD409" s="1" t="s">
        <v>74</v>
      </c>
      <c r="AE409" s="1" t="s">
        <v>74</v>
      </c>
      <c r="AF409" s="1" t="s">
        <v>74</v>
      </c>
      <c r="AG409" s="1" t="s">
        <v>74</v>
      </c>
      <c r="AH409" s="1" t="s">
        <v>74</v>
      </c>
      <c r="AI409" s="1" t="s">
        <v>74</v>
      </c>
      <c r="AJ409" s="1" t="s">
        <v>74</v>
      </c>
      <c r="AK409" s="1" t="s">
        <v>74</v>
      </c>
      <c r="AL409" s="1" t="s">
        <v>74</v>
      </c>
      <c r="AM409" s="1" t="s">
        <v>74</v>
      </c>
      <c r="AN409" s="1" t="s">
        <v>74</v>
      </c>
      <c r="AO409" s="1" t="s">
        <v>74</v>
      </c>
      <c r="AP409" s="1" t="s">
        <v>1038</v>
      </c>
      <c r="AQ409" s="1" t="s">
        <v>74</v>
      </c>
      <c r="AR409" s="1" t="s">
        <v>74</v>
      </c>
      <c r="AS409" s="1" t="s">
        <v>74</v>
      </c>
      <c r="AT409" s="1" t="s">
        <v>307</v>
      </c>
      <c r="AU409" s="1">
        <v>2022.0</v>
      </c>
      <c r="AV409" s="1">
        <v>19.0</v>
      </c>
      <c r="AW409" s="1">
        <v>23.0</v>
      </c>
      <c r="AX409" s="1" t="s">
        <v>74</v>
      </c>
      <c r="AY409" s="1" t="s">
        <v>74</v>
      </c>
      <c r="AZ409" s="1" t="s">
        <v>74</v>
      </c>
      <c r="BA409" s="1" t="s">
        <v>74</v>
      </c>
      <c r="BB409" s="1" t="s">
        <v>74</v>
      </c>
      <c r="BC409" s="1" t="s">
        <v>74</v>
      </c>
      <c r="BD409" s="1">
        <v>15451.0</v>
      </c>
      <c r="BE409" s="1" t="s">
        <v>4284</v>
      </c>
      <c r="BF409" s="2" t="str">
        <f>HYPERLINK("http://dx.doi.org/10.3390/ijerph192315451","http://dx.doi.org/10.3390/ijerph192315451")</f>
        <v>http://dx.doi.org/10.3390/ijerph192315451</v>
      </c>
      <c r="BG409" s="1" t="s">
        <v>74</v>
      </c>
      <c r="BH409" s="1" t="s">
        <v>74</v>
      </c>
      <c r="BI409" s="1" t="s">
        <v>74</v>
      </c>
      <c r="BJ409" s="1" t="s">
        <v>74</v>
      </c>
      <c r="BK409" s="1" t="s">
        <v>74</v>
      </c>
      <c r="BL409" s="1" t="s">
        <v>74</v>
      </c>
      <c r="BM409" s="1" t="s">
        <v>74</v>
      </c>
      <c r="BN409" s="1">
        <v>3.6497523E7</v>
      </c>
      <c r="BO409" s="1" t="s">
        <v>74</v>
      </c>
      <c r="BP409" s="1" t="s">
        <v>74</v>
      </c>
      <c r="BQ409" s="1" t="s">
        <v>74</v>
      </c>
      <c r="BR409" s="1" t="s">
        <v>74</v>
      </c>
      <c r="BS409" s="1" t="s">
        <v>4285</v>
      </c>
      <c r="BT409" s="1" t="str">
        <f>HYPERLINK("https%3A%2F%2Fwww.webofscience.com%2Fwos%2Fwoscc%2Ffull-record%2FWOS:000896308300001","View Full Record in Web of Science")</f>
        <v>View Full Record in Web of Science</v>
      </c>
    </row>
    <row r="410" ht="12.75" customHeight="1">
      <c r="A410" s="1" t="s">
        <v>72</v>
      </c>
      <c r="B410" s="1" t="s">
        <v>4286</v>
      </c>
      <c r="C410" s="1" t="s">
        <v>74</v>
      </c>
      <c r="D410" s="1" t="s">
        <v>74</v>
      </c>
      <c r="E410" s="1" t="s">
        <v>74</v>
      </c>
      <c r="F410" s="1" t="s">
        <v>4287</v>
      </c>
      <c r="G410" s="1" t="s">
        <v>74</v>
      </c>
      <c r="H410" s="1" t="s">
        <v>74</v>
      </c>
      <c r="I410" s="1" t="s">
        <v>4288</v>
      </c>
      <c r="J410" s="1" t="s">
        <v>4289</v>
      </c>
      <c r="K410" s="1" t="s">
        <v>74</v>
      </c>
      <c r="L410" s="1" t="s">
        <v>74</v>
      </c>
      <c r="M410" s="1" t="s">
        <v>74</v>
      </c>
      <c r="N410" s="1" t="s">
        <v>74</v>
      </c>
      <c r="O410" s="1" t="s">
        <v>74</v>
      </c>
      <c r="P410" s="1" t="s">
        <v>74</v>
      </c>
      <c r="Q410" s="1" t="s">
        <v>74</v>
      </c>
      <c r="R410" s="1" t="s">
        <v>74</v>
      </c>
      <c r="S410" s="1" t="s">
        <v>74</v>
      </c>
      <c r="T410" s="1" t="s">
        <v>74</v>
      </c>
      <c r="U410" s="1" t="s">
        <v>74</v>
      </c>
      <c r="V410" s="1" t="s">
        <v>74</v>
      </c>
      <c r="W410" s="1" t="s">
        <v>74</v>
      </c>
      <c r="X410" s="1" t="s">
        <v>74</v>
      </c>
      <c r="Y410" s="1" t="s">
        <v>74</v>
      </c>
      <c r="Z410" s="1" t="s">
        <v>74</v>
      </c>
      <c r="AA410" s="1" t="s">
        <v>4290</v>
      </c>
      <c r="AB410" s="1" t="s">
        <v>4291</v>
      </c>
      <c r="AC410" s="1" t="s">
        <v>74</v>
      </c>
      <c r="AD410" s="1" t="s">
        <v>74</v>
      </c>
      <c r="AE410" s="1" t="s">
        <v>74</v>
      </c>
      <c r="AF410" s="1" t="s">
        <v>74</v>
      </c>
      <c r="AG410" s="1" t="s">
        <v>74</v>
      </c>
      <c r="AH410" s="1" t="s">
        <v>74</v>
      </c>
      <c r="AI410" s="1" t="s">
        <v>74</v>
      </c>
      <c r="AJ410" s="1" t="s">
        <v>74</v>
      </c>
      <c r="AK410" s="1" t="s">
        <v>74</v>
      </c>
      <c r="AL410" s="1" t="s">
        <v>74</v>
      </c>
      <c r="AM410" s="1" t="s">
        <v>74</v>
      </c>
      <c r="AN410" s="1" t="s">
        <v>74</v>
      </c>
      <c r="AO410" s="1" t="s">
        <v>4292</v>
      </c>
      <c r="AP410" s="1" t="s">
        <v>4293</v>
      </c>
      <c r="AQ410" s="1" t="s">
        <v>74</v>
      </c>
      <c r="AR410" s="1" t="s">
        <v>74</v>
      </c>
      <c r="AS410" s="1" t="s">
        <v>74</v>
      </c>
      <c r="AT410" s="1" t="s">
        <v>1841</v>
      </c>
      <c r="AU410" s="1">
        <v>2022.0</v>
      </c>
      <c r="AV410" s="1">
        <v>169.0</v>
      </c>
      <c r="AW410" s="1">
        <v>5.0</v>
      </c>
      <c r="AX410" s="1" t="s">
        <v>74</v>
      </c>
      <c r="AY410" s="1" t="s">
        <v>74</v>
      </c>
      <c r="AZ410" s="1" t="s">
        <v>74</v>
      </c>
      <c r="BA410" s="1" t="s">
        <v>74</v>
      </c>
      <c r="BB410" s="1" t="s">
        <v>74</v>
      </c>
      <c r="BC410" s="1" t="s">
        <v>74</v>
      </c>
      <c r="BD410" s="1">
        <v>59001.0</v>
      </c>
      <c r="BE410" s="1" t="s">
        <v>4294</v>
      </c>
      <c r="BF410" s="2" t="str">
        <f>HYPERLINK("http://dx.doi.org/10.1149/1945-7111/ac6c59","http://dx.doi.org/10.1149/1945-7111/ac6c59")</f>
        <v>http://dx.doi.org/10.1149/1945-7111/ac6c59</v>
      </c>
      <c r="BG410" s="1" t="s">
        <v>74</v>
      </c>
      <c r="BH410" s="1" t="s">
        <v>74</v>
      </c>
      <c r="BI410" s="1" t="s">
        <v>74</v>
      </c>
      <c r="BJ410" s="1" t="s">
        <v>74</v>
      </c>
      <c r="BK410" s="1" t="s">
        <v>74</v>
      </c>
      <c r="BL410" s="1" t="s">
        <v>74</v>
      </c>
      <c r="BM410" s="1" t="s">
        <v>74</v>
      </c>
      <c r="BN410" s="1" t="s">
        <v>74</v>
      </c>
      <c r="BO410" s="1" t="s">
        <v>74</v>
      </c>
      <c r="BP410" s="1" t="s">
        <v>74</v>
      </c>
      <c r="BQ410" s="1" t="s">
        <v>74</v>
      </c>
      <c r="BR410" s="1" t="s">
        <v>74</v>
      </c>
      <c r="BS410" s="1" t="s">
        <v>4295</v>
      </c>
      <c r="BT410" s="1" t="str">
        <f>HYPERLINK("https%3A%2F%2Fwww.webofscience.com%2Fwos%2Fwoscc%2Ffull-record%2FWOS:000796208000001","View Full Record in Web of Science")</f>
        <v>View Full Record in Web of Science</v>
      </c>
    </row>
    <row r="411" ht="12.75" customHeight="1">
      <c r="A411" s="1" t="s">
        <v>72</v>
      </c>
      <c r="B411" s="1" t="s">
        <v>4296</v>
      </c>
      <c r="C411" s="1" t="s">
        <v>74</v>
      </c>
      <c r="D411" s="1" t="s">
        <v>74</v>
      </c>
      <c r="E411" s="1" t="s">
        <v>74</v>
      </c>
      <c r="F411" s="1" t="s">
        <v>4297</v>
      </c>
      <c r="G411" s="1" t="s">
        <v>74</v>
      </c>
      <c r="H411" s="1" t="s">
        <v>74</v>
      </c>
      <c r="I411" s="1" t="s">
        <v>4298</v>
      </c>
      <c r="J411" s="1" t="s">
        <v>4299</v>
      </c>
      <c r="K411" s="1" t="s">
        <v>74</v>
      </c>
      <c r="L411" s="1" t="s">
        <v>74</v>
      </c>
      <c r="M411" s="1" t="s">
        <v>74</v>
      </c>
      <c r="N411" s="1" t="s">
        <v>74</v>
      </c>
      <c r="O411" s="1" t="s">
        <v>74</v>
      </c>
      <c r="P411" s="1" t="s">
        <v>74</v>
      </c>
      <c r="Q411" s="1" t="s">
        <v>74</v>
      </c>
      <c r="R411" s="1" t="s">
        <v>74</v>
      </c>
      <c r="S411" s="1" t="s">
        <v>74</v>
      </c>
      <c r="T411" s="1" t="s">
        <v>74</v>
      </c>
      <c r="U411" s="1" t="s">
        <v>74</v>
      </c>
      <c r="V411" s="1" t="s">
        <v>4300</v>
      </c>
      <c r="W411" s="1" t="s">
        <v>74</v>
      </c>
      <c r="X411" s="1" t="s">
        <v>74</v>
      </c>
      <c r="Y411" s="1" t="s">
        <v>74</v>
      </c>
      <c r="Z411" s="1" t="s">
        <v>74</v>
      </c>
      <c r="AA411" s="1" t="s">
        <v>4301</v>
      </c>
      <c r="AB411" s="1" t="s">
        <v>4302</v>
      </c>
      <c r="AC411" s="1" t="s">
        <v>74</v>
      </c>
      <c r="AD411" s="1" t="s">
        <v>74</v>
      </c>
      <c r="AE411" s="1" t="s">
        <v>74</v>
      </c>
      <c r="AF411" s="1" t="s">
        <v>74</v>
      </c>
      <c r="AG411" s="1" t="s">
        <v>74</v>
      </c>
      <c r="AH411" s="1" t="s">
        <v>74</v>
      </c>
      <c r="AI411" s="1" t="s">
        <v>74</v>
      </c>
      <c r="AJ411" s="1" t="s">
        <v>74</v>
      </c>
      <c r="AK411" s="1" t="s">
        <v>74</v>
      </c>
      <c r="AL411" s="1" t="s">
        <v>74</v>
      </c>
      <c r="AM411" s="1" t="s">
        <v>74</v>
      </c>
      <c r="AN411" s="1" t="s">
        <v>74</v>
      </c>
      <c r="AO411" s="1" t="s">
        <v>74</v>
      </c>
      <c r="AP411" s="1" t="s">
        <v>4303</v>
      </c>
      <c r="AQ411" s="1" t="s">
        <v>74</v>
      </c>
      <c r="AR411" s="1" t="s">
        <v>74</v>
      </c>
      <c r="AS411" s="1" t="s">
        <v>74</v>
      </c>
      <c r="AT411" s="1" t="s">
        <v>939</v>
      </c>
      <c r="AU411" s="1">
        <v>2021.0</v>
      </c>
      <c r="AV411" s="1">
        <v>21.0</v>
      </c>
      <c r="AW411" s="1">
        <v>12.0</v>
      </c>
      <c r="AX411" s="1" t="s">
        <v>74</v>
      </c>
      <c r="AY411" s="1" t="s">
        <v>74</v>
      </c>
      <c r="AZ411" s="1" t="s">
        <v>74</v>
      </c>
      <c r="BA411" s="1" t="s">
        <v>74</v>
      </c>
      <c r="BB411" s="1" t="s">
        <v>74</v>
      </c>
      <c r="BC411" s="1" t="s">
        <v>74</v>
      </c>
      <c r="BD411" s="1">
        <v>4079.0</v>
      </c>
      <c r="BE411" s="1" t="s">
        <v>4304</v>
      </c>
      <c r="BF411" s="2" t="str">
        <f>HYPERLINK("http://dx.doi.org/10.3390/s21124079","http://dx.doi.org/10.3390/s21124079")</f>
        <v>http://dx.doi.org/10.3390/s21124079</v>
      </c>
      <c r="BG411" s="1" t="s">
        <v>74</v>
      </c>
      <c r="BH411" s="1" t="s">
        <v>74</v>
      </c>
      <c r="BI411" s="1" t="s">
        <v>74</v>
      </c>
      <c r="BJ411" s="1" t="s">
        <v>74</v>
      </c>
      <c r="BK411" s="1" t="s">
        <v>74</v>
      </c>
      <c r="BL411" s="1" t="s">
        <v>74</v>
      </c>
      <c r="BM411" s="1" t="s">
        <v>74</v>
      </c>
      <c r="BN411" s="1">
        <v>3.41993E7</v>
      </c>
      <c r="BO411" s="1" t="s">
        <v>74</v>
      </c>
      <c r="BP411" s="1" t="s">
        <v>74</v>
      </c>
      <c r="BQ411" s="1" t="s">
        <v>74</v>
      </c>
      <c r="BR411" s="1" t="s">
        <v>74</v>
      </c>
      <c r="BS411" s="1" t="s">
        <v>4305</v>
      </c>
      <c r="BT411" s="1" t="str">
        <f>HYPERLINK("https%3A%2F%2Fwww.webofscience.com%2Fwos%2Fwoscc%2Ffull-record%2FWOS:000666381100001","View Full Record in Web of Science")</f>
        <v>View Full Record in Web of Science</v>
      </c>
    </row>
    <row r="412" ht="12.75" customHeight="1">
      <c r="A412" s="1" t="s">
        <v>72</v>
      </c>
      <c r="B412" s="1" t="s">
        <v>4306</v>
      </c>
      <c r="C412" s="1" t="s">
        <v>74</v>
      </c>
      <c r="D412" s="1" t="s">
        <v>74</v>
      </c>
      <c r="E412" s="1" t="s">
        <v>74</v>
      </c>
      <c r="F412" s="1" t="s">
        <v>4307</v>
      </c>
      <c r="G412" s="1" t="s">
        <v>74</v>
      </c>
      <c r="H412" s="1" t="s">
        <v>74</v>
      </c>
      <c r="I412" s="1" t="s">
        <v>4308</v>
      </c>
      <c r="J412" s="1" t="s">
        <v>4309</v>
      </c>
      <c r="K412" s="1" t="s">
        <v>74</v>
      </c>
      <c r="L412" s="1" t="s">
        <v>74</v>
      </c>
      <c r="M412" s="1" t="s">
        <v>74</v>
      </c>
      <c r="N412" s="1" t="s">
        <v>74</v>
      </c>
      <c r="O412" s="1" t="s">
        <v>74</v>
      </c>
      <c r="P412" s="1" t="s">
        <v>74</v>
      </c>
      <c r="Q412" s="1" t="s">
        <v>74</v>
      </c>
      <c r="R412" s="1" t="s">
        <v>74</v>
      </c>
      <c r="S412" s="1" t="s">
        <v>74</v>
      </c>
      <c r="T412" s="1" t="s">
        <v>74</v>
      </c>
      <c r="U412" s="1" t="s">
        <v>74</v>
      </c>
      <c r="V412" s="1" t="s">
        <v>4310</v>
      </c>
      <c r="W412" s="1" t="s">
        <v>74</v>
      </c>
      <c r="X412" s="1" t="s">
        <v>74</v>
      </c>
      <c r="Y412" s="1" t="s">
        <v>74</v>
      </c>
      <c r="Z412" s="1" t="s">
        <v>74</v>
      </c>
      <c r="AA412" s="1" t="s">
        <v>4311</v>
      </c>
      <c r="AB412" s="1" t="s">
        <v>4312</v>
      </c>
      <c r="AC412" s="1" t="s">
        <v>74</v>
      </c>
      <c r="AD412" s="1" t="s">
        <v>74</v>
      </c>
      <c r="AE412" s="1" t="s">
        <v>74</v>
      </c>
      <c r="AF412" s="1" t="s">
        <v>74</v>
      </c>
      <c r="AG412" s="1" t="s">
        <v>74</v>
      </c>
      <c r="AH412" s="1" t="s">
        <v>74</v>
      </c>
      <c r="AI412" s="1" t="s">
        <v>74</v>
      </c>
      <c r="AJ412" s="1" t="s">
        <v>74</v>
      </c>
      <c r="AK412" s="1" t="s">
        <v>74</v>
      </c>
      <c r="AL412" s="1" t="s">
        <v>74</v>
      </c>
      <c r="AM412" s="1" t="s">
        <v>74</v>
      </c>
      <c r="AN412" s="1" t="s">
        <v>74</v>
      </c>
      <c r="AO412" s="1" t="s">
        <v>4313</v>
      </c>
      <c r="AP412" s="1" t="s">
        <v>4314</v>
      </c>
      <c r="AQ412" s="1" t="s">
        <v>74</v>
      </c>
      <c r="AR412" s="1" t="s">
        <v>74</v>
      </c>
      <c r="AS412" s="1" t="s">
        <v>74</v>
      </c>
      <c r="AT412" s="1" t="s">
        <v>1213</v>
      </c>
      <c r="AU412" s="1">
        <v>2021.0</v>
      </c>
      <c r="AV412" s="1">
        <v>31.0</v>
      </c>
      <c r="AW412" s="1">
        <v>3.0</v>
      </c>
      <c r="AX412" s="1" t="s">
        <v>74</v>
      </c>
      <c r="AY412" s="1" t="s">
        <v>74</v>
      </c>
      <c r="AZ412" s="1" t="s">
        <v>74</v>
      </c>
      <c r="BA412" s="1" t="s">
        <v>74</v>
      </c>
      <c r="BB412" s="1" t="s">
        <v>74</v>
      </c>
      <c r="BC412" s="1" t="s">
        <v>74</v>
      </c>
      <c r="BD412" s="1">
        <v>33103.0</v>
      </c>
      <c r="BE412" s="1" t="s">
        <v>4315</v>
      </c>
      <c r="BF412" s="2" t="str">
        <f>HYPERLINK("http://dx.doi.org/10.1063/5.0022946","http://dx.doi.org/10.1063/5.0022946")</f>
        <v>http://dx.doi.org/10.1063/5.0022946</v>
      </c>
      <c r="BG412" s="1" t="s">
        <v>74</v>
      </c>
      <c r="BH412" s="1" t="s">
        <v>74</v>
      </c>
      <c r="BI412" s="1" t="s">
        <v>74</v>
      </c>
      <c r="BJ412" s="1" t="s">
        <v>74</v>
      </c>
      <c r="BK412" s="1" t="s">
        <v>74</v>
      </c>
      <c r="BL412" s="1" t="s">
        <v>74</v>
      </c>
      <c r="BM412" s="1" t="s">
        <v>74</v>
      </c>
      <c r="BN412" s="1">
        <v>3.3810746E7</v>
      </c>
      <c r="BO412" s="1" t="s">
        <v>74</v>
      </c>
      <c r="BP412" s="1" t="s">
        <v>74</v>
      </c>
      <c r="BQ412" s="1" t="s">
        <v>74</v>
      </c>
      <c r="BR412" s="1" t="s">
        <v>74</v>
      </c>
      <c r="BS412" s="1" t="s">
        <v>4316</v>
      </c>
      <c r="BT412" s="1" t="str">
        <f>HYPERLINK("https%3A%2F%2Fwww.webofscience.com%2Fwos%2Fwoscc%2Ffull-record%2FWOS:000630444300003","View Full Record in Web of Science")</f>
        <v>View Full Record in Web of Science</v>
      </c>
    </row>
    <row r="413" ht="12.75" customHeight="1">
      <c r="A413" s="1" t="s">
        <v>72</v>
      </c>
      <c r="B413" s="1" t="s">
        <v>4317</v>
      </c>
      <c r="C413" s="1" t="s">
        <v>74</v>
      </c>
      <c r="D413" s="1" t="s">
        <v>74</v>
      </c>
      <c r="E413" s="1" t="s">
        <v>74</v>
      </c>
      <c r="F413" s="1" t="s">
        <v>4318</v>
      </c>
      <c r="G413" s="1" t="s">
        <v>74</v>
      </c>
      <c r="H413" s="1" t="s">
        <v>74</v>
      </c>
      <c r="I413" s="1" t="s">
        <v>4319</v>
      </c>
      <c r="J413" s="1" t="s">
        <v>4320</v>
      </c>
      <c r="K413" s="1" t="s">
        <v>74</v>
      </c>
      <c r="L413" s="1" t="s">
        <v>74</v>
      </c>
      <c r="M413" s="1" t="s">
        <v>74</v>
      </c>
      <c r="N413" s="1" t="s">
        <v>74</v>
      </c>
      <c r="O413" s="1" t="s">
        <v>74</v>
      </c>
      <c r="P413" s="1" t="s">
        <v>74</v>
      </c>
      <c r="Q413" s="1" t="s">
        <v>74</v>
      </c>
      <c r="R413" s="1" t="s">
        <v>74</v>
      </c>
      <c r="S413" s="1" t="s">
        <v>74</v>
      </c>
      <c r="T413" s="1" t="s">
        <v>74</v>
      </c>
      <c r="U413" s="1" t="s">
        <v>74</v>
      </c>
      <c r="V413" s="1" t="s">
        <v>4321</v>
      </c>
      <c r="W413" s="1" t="s">
        <v>74</v>
      </c>
      <c r="X413" s="1" t="s">
        <v>74</v>
      </c>
      <c r="Y413" s="1" t="s">
        <v>74</v>
      </c>
      <c r="Z413" s="1" t="s">
        <v>74</v>
      </c>
      <c r="AA413" s="1" t="s">
        <v>4322</v>
      </c>
      <c r="AB413" s="1" t="s">
        <v>4323</v>
      </c>
      <c r="AC413" s="1" t="s">
        <v>74</v>
      </c>
      <c r="AD413" s="1" t="s">
        <v>74</v>
      </c>
      <c r="AE413" s="1" t="s">
        <v>74</v>
      </c>
      <c r="AF413" s="1" t="s">
        <v>74</v>
      </c>
      <c r="AG413" s="1" t="s">
        <v>74</v>
      </c>
      <c r="AH413" s="1" t="s">
        <v>74</v>
      </c>
      <c r="AI413" s="1" t="s">
        <v>74</v>
      </c>
      <c r="AJ413" s="1" t="s">
        <v>74</v>
      </c>
      <c r="AK413" s="1" t="s">
        <v>74</v>
      </c>
      <c r="AL413" s="1" t="s">
        <v>74</v>
      </c>
      <c r="AM413" s="1" t="s">
        <v>74</v>
      </c>
      <c r="AN413" s="1" t="s">
        <v>74</v>
      </c>
      <c r="AO413" s="1" t="s">
        <v>4324</v>
      </c>
      <c r="AP413" s="1" t="s">
        <v>74</v>
      </c>
      <c r="AQ413" s="1" t="s">
        <v>74</v>
      </c>
      <c r="AR413" s="1" t="s">
        <v>74</v>
      </c>
      <c r="AS413" s="1" t="s">
        <v>74</v>
      </c>
      <c r="AT413" s="1" t="s">
        <v>74</v>
      </c>
      <c r="AU413" s="1">
        <v>2021.0</v>
      </c>
      <c r="AV413" s="1">
        <v>16.0</v>
      </c>
      <c r="AW413" s="1">
        <v>1.0</v>
      </c>
      <c r="AX413" s="1" t="s">
        <v>74</v>
      </c>
      <c r="AY413" s="1" t="s">
        <v>74</v>
      </c>
      <c r="AZ413" s="1" t="s">
        <v>74</v>
      </c>
      <c r="BA413" s="1" t="s">
        <v>74</v>
      </c>
      <c r="BB413" s="1">
        <v>97.0</v>
      </c>
      <c r="BC413" s="1">
        <v>111.0</v>
      </c>
      <c r="BD413" s="1" t="s">
        <v>74</v>
      </c>
      <c r="BE413" s="1" t="s">
        <v>4325</v>
      </c>
      <c r="BF413" s="2" t="str">
        <f>HYPERLINK("http://dx.doi.org/10.14198/jhse.2021.161.09","http://dx.doi.org/10.14198/jhse.2021.161.09")</f>
        <v>http://dx.doi.org/10.14198/jhse.2021.161.09</v>
      </c>
      <c r="BG413" s="1" t="s">
        <v>74</v>
      </c>
      <c r="BH413" s="1" t="s">
        <v>74</v>
      </c>
      <c r="BI413" s="1" t="s">
        <v>74</v>
      </c>
      <c r="BJ413" s="1" t="s">
        <v>74</v>
      </c>
      <c r="BK413" s="1" t="s">
        <v>74</v>
      </c>
      <c r="BL413" s="1" t="s">
        <v>74</v>
      </c>
      <c r="BM413" s="1" t="s">
        <v>74</v>
      </c>
      <c r="BN413" s="1" t="s">
        <v>74</v>
      </c>
      <c r="BO413" s="1" t="s">
        <v>74</v>
      </c>
      <c r="BP413" s="1" t="s">
        <v>74</v>
      </c>
      <c r="BQ413" s="1" t="s">
        <v>74</v>
      </c>
      <c r="BR413" s="1" t="s">
        <v>74</v>
      </c>
      <c r="BS413" s="1" t="s">
        <v>4326</v>
      </c>
      <c r="BT413" s="1" t="str">
        <f>HYPERLINK("https%3A%2F%2Fwww.webofscience.com%2Fwos%2Fwoscc%2Ffull-record%2FWOS:000615855400009","View Full Record in Web of Science")</f>
        <v>View Full Record in Web of Science</v>
      </c>
    </row>
    <row r="414" ht="12.75" customHeight="1">
      <c r="A414" s="1" t="s">
        <v>72</v>
      </c>
      <c r="B414" s="1" t="s">
        <v>4327</v>
      </c>
      <c r="C414" s="1" t="s">
        <v>74</v>
      </c>
      <c r="D414" s="1" t="s">
        <v>74</v>
      </c>
      <c r="E414" s="1" t="s">
        <v>74</v>
      </c>
      <c r="F414" s="1" t="s">
        <v>4328</v>
      </c>
      <c r="G414" s="1" t="s">
        <v>74</v>
      </c>
      <c r="H414" s="1" t="s">
        <v>74</v>
      </c>
      <c r="I414" s="1" t="s">
        <v>4329</v>
      </c>
      <c r="J414" s="1" t="s">
        <v>4330</v>
      </c>
      <c r="K414" s="1" t="s">
        <v>74</v>
      </c>
      <c r="L414" s="1" t="s">
        <v>74</v>
      </c>
      <c r="M414" s="1" t="s">
        <v>74</v>
      </c>
      <c r="N414" s="1" t="s">
        <v>74</v>
      </c>
      <c r="O414" s="1" t="s">
        <v>74</v>
      </c>
      <c r="P414" s="1" t="s">
        <v>74</v>
      </c>
      <c r="Q414" s="1" t="s">
        <v>74</v>
      </c>
      <c r="R414" s="1" t="s">
        <v>74</v>
      </c>
      <c r="S414" s="1" t="s">
        <v>74</v>
      </c>
      <c r="T414" s="1" t="s">
        <v>74</v>
      </c>
      <c r="U414" s="1" t="s">
        <v>74</v>
      </c>
      <c r="V414" s="1" t="s">
        <v>4331</v>
      </c>
      <c r="W414" s="1" t="s">
        <v>74</v>
      </c>
      <c r="X414" s="1" t="s">
        <v>74</v>
      </c>
      <c r="Y414" s="1" t="s">
        <v>74</v>
      </c>
      <c r="Z414" s="1" t="s">
        <v>74</v>
      </c>
      <c r="AA414" s="1" t="s">
        <v>4332</v>
      </c>
      <c r="AB414" s="1" t="s">
        <v>4333</v>
      </c>
      <c r="AC414" s="1" t="s">
        <v>74</v>
      </c>
      <c r="AD414" s="1" t="s">
        <v>74</v>
      </c>
      <c r="AE414" s="1" t="s">
        <v>74</v>
      </c>
      <c r="AF414" s="1" t="s">
        <v>74</v>
      </c>
      <c r="AG414" s="1" t="s">
        <v>74</v>
      </c>
      <c r="AH414" s="1" t="s">
        <v>74</v>
      </c>
      <c r="AI414" s="1" t="s">
        <v>74</v>
      </c>
      <c r="AJ414" s="1" t="s">
        <v>74</v>
      </c>
      <c r="AK414" s="1" t="s">
        <v>74</v>
      </c>
      <c r="AL414" s="1" t="s">
        <v>74</v>
      </c>
      <c r="AM414" s="1" t="s">
        <v>74</v>
      </c>
      <c r="AN414" s="1" t="s">
        <v>74</v>
      </c>
      <c r="AO414" s="1" t="s">
        <v>4334</v>
      </c>
      <c r="AP414" s="1" t="s">
        <v>4335</v>
      </c>
      <c r="AQ414" s="1" t="s">
        <v>74</v>
      </c>
      <c r="AR414" s="1" t="s">
        <v>74</v>
      </c>
      <c r="AS414" s="1" t="s">
        <v>74</v>
      </c>
      <c r="AT414" s="1" t="s">
        <v>201</v>
      </c>
      <c r="AU414" s="1">
        <v>2020.0</v>
      </c>
      <c r="AV414" s="1">
        <v>75.0</v>
      </c>
      <c r="AW414" s="1">
        <v>1.0</v>
      </c>
      <c r="AX414" s="1" t="s">
        <v>74</v>
      </c>
      <c r="AY414" s="1" t="s">
        <v>74</v>
      </c>
      <c r="AZ414" s="1" t="s">
        <v>74</v>
      </c>
      <c r="BA414" s="1" t="s">
        <v>74</v>
      </c>
      <c r="BB414" s="1">
        <v>247.0</v>
      </c>
      <c r="BC414" s="1">
        <v>255.0</v>
      </c>
      <c r="BD414" s="1" t="s">
        <v>74</v>
      </c>
      <c r="BE414" s="1" t="s">
        <v>4336</v>
      </c>
      <c r="BF414" s="2" t="str">
        <f>HYPERLINK("http://dx.doi.org/10.2478/hukin-2020-0053","http://dx.doi.org/10.2478/hukin-2020-0053")</f>
        <v>http://dx.doi.org/10.2478/hukin-2020-0053</v>
      </c>
      <c r="BG414" s="1" t="s">
        <v>74</v>
      </c>
      <c r="BH414" s="1" t="s">
        <v>74</v>
      </c>
      <c r="BI414" s="1" t="s">
        <v>74</v>
      </c>
      <c r="BJ414" s="1" t="s">
        <v>74</v>
      </c>
      <c r="BK414" s="1" t="s">
        <v>74</v>
      </c>
      <c r="BL414" s="1" t="s">
        <v>74</v>
      </c>
      <c r="BM414" s="1" t="s">
        <v>74</v>
      </c>
      <c r="BN414" s="1">
        <v>3.3312311E7</v>
      </c>
      <c r="BO414" s="1" t="s">
        <v>74</v>
      </c>
      <c r="BP414" s="1" t="s">
        <v>74</v>
      </c>
      <c r="BQ414" s="1" t="s">
        <v>74</v>
      </c>
      <c r="BR414" s="1" t="s">
        <v>74</v>
      </c>
      <c r="BS414" s="1" t="s">
        <v>4337</v>
      </c>
      <c r="BT414" s="1" t="str">
        <f>HYPERLINK("https%3A%2F%2Fwww.webofscience.com%2Fwos%2Fwoscc%2Ffull-record%2FWOS:000590449400021","View Full Record in Web of Science")</f>
        <v>View Full Record in Web of Science</v>
      </c>
    </row>
    <row r="415" ht="12.75" customHeight="1">
      <c r="A415" s="1" t="s">
        <v>72</v>
      </c>
      <c r="B415" s="1" t="s">
        <v>4338</v>
      </c>
      <c r="C415" s="1" t="s">
        <v>74</v>
      </c>
      <c r="D415" s="1" t="s">
        <v>74</v>
      </c>
      <c r="E415" s="1" t="s">
        <v>74</v>
      </c>
      <c r="F415" s="1" t="s">
        <v>4339</v>
      </c>
      <c r="G415" s="1" t="s">
        <v>74</v>
      </c>
      <c r="H415" s="1" t="s">
        <v>74</v>
      </c>
      <c r="I415" s="1" t="s">
        <v>4340</v>
      </c>
      <c r="J415" s="1" t="s">
        <v>4341</v>
      </c>
      <c r="K415" s="1" t="s">
        <v>74</v>
      </c>
      <c r="L415" s="1" t="s">
        <v>74</v>
      </c>
      <c r="M415" s="1" t="s">
        <v>74</v>
      </c>
      <c r="N415" s="1" t="s">
        <v>74</v>
      </c>
      <c r="O415" s="1" t="s">
        <v>74</v>
      </c>
      <c r="P415" s="1" t="s">
        <v>74</v>
      </c>
      <c r="Q415" s="1" t="s">
        <v>74</v>
      </c>
      <c r="R415" s="1" t="s">
        <v>74</v>
      </c>
      <c r="S415" s="1" t="s">
        <v>74</v>
      </c>
      <c r="T415" s="1" t="s">
        <v>74</v>
      </c>
      <c r="U415" s="1" t="s">
        <v>74</v>
      </c>
      <c r="V415" s="1" t="s">
        <v>4342</v>
      </c>
      <c r="W415" s="1" t="s">
        <v>74</v>
      </c>
      <c r="X415" s="1" t="s">
        <v>74</v>
      </c>
      <c r="Y415" s="1" t="s">
        <v>74</v>
      </c>
      <c r="Z415" s="1" t="s">
        <v>74</v>
      </c>
      <c r="AA415" s="1" t="s">
        <v>4343</v>
      </c>
      <c r="AB415" s="1" t="s">
        <v>4344</v>
      </c>
      <c r="AC415" s="1" t="s">
        <v>74</v>
      </c>
      <c r="AD415" s="1" t="s">
        <v>74</v>
      </c>
      <c r="AE415" s="1" t="s">
        <v>74</v>
      </c>
      <c r="AF415" s="1" t="s">
        <v>74</v>
      </c>
      <c r="AG415" s="1" t="s">
        <v>74</v>
      </c>
      <c r="AH415" s="1" t="s">
        <v>74</v>
      </c>
      <c r="AI415" s="1" t="s">
        <v>74</v>
      </c>
      <c r="AJ415" s="1" t="s">
        <v>74</v>
      </c>
      <c r="AK415" s="1" t="s">
        <v>74</v>
      </c>
      <c r="AL415" s="1" t="s">
        <v>74</v>
      </c>
      <c r="AM415" s="1" t="s">
        <v>74</v>
      </c>
      <c r="AN415" s="1" t="s">
        <v>74</v>
      </c>
      <c r="AO415" s="1" t="s">
        <v>4345</v>
      </c>
      <c r="AP415" s="1" t="s">
        <v>4346</v>
      </c>
      <c r="AQ415" s="1" t="s">
        <v>74</v>
      </c>
      <c r="AR415" s="1" t="s">
        <v>74</v>
      </c>
      <c r="AS415" s="1" t="s">
        <v>74</v>
      </c>
      <c r="AT415" s="1" t="s">
        <v>201</v>
      </c>
      <c r="AU415" s="1">
        <v>2020.0</v>
      </c>
      <c r="AV415" s="1">
        <v>49.0</v>
      </c>
      <c r="AW415" s="1">
        <v>10.0</v>
      </c>
      <c r="AX415" s="1" t="s">
        <v>74</v>
      </c>
      <c r="AY415" s="1" t="s">
        <v>74</v>
      </c>
      <c r="AZ415" s="1" t="s">
        <v>74</v>
      </c>
      <c r="BA415" s="1" t="s">
        <v>74</v>
      </c>
      <c r="BB415" s="1">
        <v>1658.0</v>
      </c>
      <c r="BC415" s="1">
        <v>1675.0</v>
      </c>
      <c r="BD415" s="1" t="s">
        <v>74</v>
      </c>
      <c r="BE415" s="1" t="s">
        <v>4347</v>
      </c>
      <c r="BF415" s="2" t="str">
        <f>HYPERLINK("http://dx.doi.org/10.1007/s13280-019-01315-6","http://dx.doi.org/10.1007/s13280-019-01315-6")</f>
        <v>http://dx.doi.org/10.1007/s13280-019-01315-6</v>
      </c>
      <c r="BG415" s="1" t="s">
        <v>74</v>
      </c>
      <c r="BH415" s="1" t="s">
        <v>4348</v>
      </c>
      <c r="BI415" s="1" t="s">
        <v>74</v>
      </c>
      <c r="BJ415" s="1" t="s">
        <v>74</v>
      </c>
      <c r="BK415" s="1" t="s">
        <v>74</v>
      </c>
      <c r="BL415" s="1" t="s">
        <v>74</v>
      </c>
      <c r="BM415" s="1" t="s">
        <v>74</v>
      </c>
      <c r="BN415" s="1">
        <v>3.2060791E7</v>
      </c>
      <c r="BO415" s="1" t="s">
        <v>74</v>
      </c>
      <c r="BP415" s="1" t="s">
        <v>74</v>
      </c>
      <c r="BQ415" s="1" t="s">
        <v>74</v>
      </c>
      <c r="BR415" s="1" t="s">
        <v>74</v>
      </c>
      <c r="BS415" s="1" t="s">
        <v>4349</v>
      </c>
      <c r="BT415" s="1" t="str">
        <f>HYPERLINK("https%3A%2F%2Fwww.webofscience.com%2Fwos%2Fwoscc%2Ffull-record%2FWOS:000516143700001","View Full Record in Web of Science")</f>
        <v>View Full Record in Web of Science</v>
      </c>
    </row>
    <row r="416" ht="12.75" customHeight="1">
      <c r="A416" s="1" t="s">
        <v>72</v>
      </c>
      <c r="B416" s="1" t="s">
        <v>4350</v>
      </c>
      <c r="C416" s="1" t="s">
        <v>74</v>
      </c>
      <c r="D416" s="1" t="s">
        <v>74</v>
      </c>
      <c r="E416" s="1" t="s">
        <v>74</v>
      </c>
      <c r="F416" s="1" t="s">
        <v>4351</v>
      </c>
      <c r="G416" s="1" t="s">
        <v>74</v>
      </c>
      <c r="H416" s="1" t="s">
        <v>74</v>
      </c>
      <c r="I416" s="1" t="s">
        <v>4352</v>
      </c>
      <c r="J416" s="1" t="s">
        <v>4353</v>
      </c>
      <c r="K416" s="1" t="s">
        <v>74</v>
      </c>
      <c r="L416" s="1" t="s">
        <v>74</v>
      </c>
      <c r="M416" s="1" t="s">
        <v>74</v>
      </c>
      <c r="N416" s="1" t="s">
        <v>74</v>
      </c>
      <c r="O416" s="1" t="s">
        <v>74</v>
      </c>
      <c r="P416" s="1" t="s">
        <v>74</v>
      </c>
      <c r="Q416" s="1" t="s">
        <v>74</v>
      </c>
      <c r="R416" s="1" t="s">
        <v>74</v>
      </c>
      <c r="S416" s="1" t="s">
        <v>74</v>
      </c>
      <c r="T416" s="1" t="s">
        <v>74</v>
      </c>
      <c r="U416" s="1" t="s">
        <v>74</v>
      </c>
      <c r="V416" s="1" t="s">
        <v>4354</v>
      </c>
      <c r="W416" s="1" t="s">
        <v>74</v>
      </c>
      <c r="X416" s="1" t="s">
        <v>74</v>
      </c>
      <c r="Y416" s="1" t="s">
        <v>74</v>
      </c>
      <c r="Z416" s="1" t="s">
        <v>74</v>
      </c>
      <c r="AA416" s="1" t="s">
        <v>4355</v>
      </c>
      <c r="AB416" s="1" t="s">
        <v>4356</v>
      </c>
      <c r="AC416" s="1" t="s">
        <v>74</v>
      </c>
      <c r="AD416" s="1" t="s">
        <v>74</v>
      </c>
      <c r="AE416" s="1" t="s">
        <v>74</v>
      </c>
      <c r="AF416" s="1" t="s">
        <v>74</v>
      </c>
      <c r="AG416" s="1" t="s">
        <v>74</v>
      </c>
      <c r="AH416" s="1" t="s">
        <v>74</v>
      </c>
      <c r="AI416" s="1" t="s">
        <v>74</v>
      </c>
      <c r="AJ416" s="1" t="s">
        <v>74</v>
      </c>
      <c r="AK416" s="1" t="s">
        <v>74</v>
      </c>
      <c r="AL416" s="1" t="s">
        <v>74</v>
      </c>
      <c r="AM416" s="1" t="s">
        <v>74</v>
      </c>
      <c r="AN416" s="1" t="s">
        <v>74</v>
      </c>
      <c r="AO416" s="1" t="s">
        <v>4357</v>
      </c>
      <c r="AP416" s="1" t="s">
        <v>4358</v>
      </c>
      <c r="AQ416" s="1" t="s">
        <v>74</v>
      </c>
      <c r="AR416" s="1" t="s">
        <v>74</v>
      </c>
      <c r="AS416" s="1" t="s">
        <v>74</v>
      </c>
      <c r="AT416" s="1" t="s">
        <v>939</v>
      </c>
      <c r="AU416" s="1">
        <v>2019.0</v>
      </c>
      <c r="AV416" s="1">
        <v>67.0</v>
      </c>
      <c r="AW416" s="1">
        <v>2.0</v>
      </c>
      <c r="AX416" s="1" t="s">
        <v>74</v>
      </c>
      <c r="AY416" s="1" t="s">
        <v>74</v>
      </c>
      <c r="AZ416" s="1" t="s">
        <v>74</v>
      </c>
      <c r="BA416" s="1" t="s">
        <v>74</v>
      </c>
      <c r="BB416" s="1">
        <v>288.0</v>
      </c>
      <c r="BC416" s="1">
        <v>314.0</v>
      </c>
      <c r="BD416" s="1" t="s">
        <v>74</v>
      </c>
      <c r="BE416" s="1" t="s">
        <v>4359</v>
      </c>
      <c r="BF416" s="2" t="str">
        <f>HYPERLINK("http://dx.doi.org/10.1057/s41308-019-00080-6","http://dx.doi.org/10.1057/s41308-019-00080-6")</f>
        <v>http://dx.doi.org/10.1057/s41308-019-00080-6</v>
      </c>
      <c r="BG416" s="1" t="s">
        <v>74</v>
      </c>
      <c r="BH416" s="1" t="s">
        <v>74</v>
      </c>
      <c r="BI416" s="1" t="s">
        <v>74</v>
      </c>
      <c r="BJ416" s="1" t="s">
        <v>74</v>
      </c>
      <c r="BK416" s="1" t="s">
        <v>74</v>
      </c>
      <c r="BL416" s="1" t="s">
        <v>74</v>
      </c>
      <c r="BM416" s="1" t="s">
        <v>74</v>
      </c>
      <c r="BN416" s="1" t="s">
        <v>74</v>
      </c>
      <c r="BO416" s="1" t="s">
        <v>74</v>
      </c>
      <c r="BP416" s="1" t="s">
        <v>74</v>
      </c>
      <c r="BQ416" s="1" t="s">
        <v>74</v>
      </c>
      <c r="BR416" s="1" t="s">
        <v>74</v>
      </c>
      <c r="BS416" s="1" t="s">
        <v>4360</v>
      </c>
      <c r="BT416" s="1" t="str">
        <f>HYPERLINK("https%3A%2F%2Fwww.webofscience.com%2Fwos%2Fwoscc%2Ffull-record%2FWOS:000468501200002","View Full Record in Web of Science")</f>
        <v>View Full Record in Web of Science</v>
      </c>
    </row>
    <row r="417" ht="12.75" customHeight="1">
      <c r="A417" s="1" t="s">
        <v>72</v>
      </c>
      <c r="B417" s="1" t="s">
        <v>4361</v>
      </c>
      <c r="C417" s="1" t="s">
        <v>74</v>
      </c>
      <c r="D417" s="1" t="s">
        <v>74</v>
      </c>
      <c r="E417" s="1" t="s">
        <v>74</v>
      </c>
      <c r="F417" s="1" t="s">
        <v>4362</v>
      </c>
      <c r="G417" s="1" t="s">
        <v>74</v>
      </c>
      <c r="H417" s="1" t="s">
        <v>74</v>
      </c>
      <c r="I417" s="1" t="s">
        <v>4363</v>
      </c>
      <c r="J417" s="1" t="s">
        <v>4364</v>
      </c>
      <c r="K417" s="1" t="s">
        <v>74</v>
      </c>
      <c r="L417" s="1" t="s">
        <v>74</v>
      </c>
      <c r="M417" s="1" t="s">
        <v>74</v>
      </c>
      <c r="N417" s="1" t="s">
        <v>74</v>
      </c>
      <c r="O417" s="1" t="s">
        <v>74</v>
      </c>
      <c r="P417" s="1" t="s">
        <v>74</v>
      </c>
      <c r="Q417" s="1" t="s">
        <v>74</v>
      </c>
      <c r="R417" s="1" t="s">
        <v>74</v>
      </c>
      <c r="S417" s="1" t="s">
        <v>74</v>
      </c>
      <c r="T417" s="1" t="s">
        <v>74</v>
      </c>
      <c r="U417" s="1" t="s">
        <v>74</v>
      </c>
      <c r="V417" s="1" t="s">
        <v>4365</v>
      </c>
      <c r="W417" s="1" t="s">
        <v>74</v>
      </c>
      <c r="X417" s="1" t="s">
        <v>74</v>
      </c>
      <c r="Y417" s="1" t="s">
        <v>74</v>
      </c>
      <c r="Z417" s="1" t="s">
        <v>74</v>
      </c>
      <c r="AA417" s="1" t="s">
        <v>4366</v>
      </c>
      <c r="AB417" s="1" t="s">
        <v>4367</v>
      </c>
      <c r="AC417" s="1" t="s">
        <v>74</v>
      </c>
      <c r="AD417" s="1" t="s">
        <v>74</v>
      </c>
      <c r="AE417" s="1" t="s">
        <v>74</v>
      </c>
      <c r="AF417" s="1" t="s">
        <v>74</v>
      </c>
      <c r="AG417" s="1" t="s">
        <v>74</v>
      </c>
      <c r="AH417" s="1" t="s">
        <v>74</v>
      </c>
      <c r="AI417" s="1" t="s">
        <v>74</v>
      </c>
      <c r="AJ417" s="1" t="s">
        <v>74</v>
      </c>
      <c r="AK417" s="1" t="s">
        <v>74</v>
      </c>
      <c r="AL417" s="1" t="s">
        <v>74</v>
      </c>
      <c r="AM417" s="1" t="s">
        <v>74</v>
      </c>
      <c r="AN417" s="1" t="s">
        <v>74</v>
      </c>
      <c r="AO417" s="1" t="s">
        <v>4368</v>
      </c>
      <c r="AP417" s="1" t="s">
        <v>4369</v>
      </c>
      <c r="AQ417" s="1" t="s">
        <v>74</v>
      </c>
      <c r="AR417" s="1" t="s">
        <v>74</v>
      </c>
      <c r="AS417" s="1" t="s">
        <v>74</v>
      </c>
      <c r="AT417" s="1" t="s">
        <v>1841</v>
      </c>
      <c r="AU417" s="1">
        <v>2019.0</v>
      </c>
      <c r="AV417" s="1">
        <v>562.0</v>
      </c>
      <c r="AW417" s="1" t="s">
        <v>74</v>
      </c>
      <c r="AX417" s="1" t="s">
        <v>74</v>
      </c>
      <c r="AY417" s="1" t="s">
        <v>74</v>
      </c>
      <c r="AZ417" s="1" t="s">
        <v>74</v>
      </c>
      <c r="BA417" s="1" t="s">
        <v>74</v>
      </c>
      <c r="BB417" s="1">
        <v>86.0</v>
      </c>
      <c r="BC417" s="1">
        <v>95.0</v>
      </c>
      <c r="BD417" s="1" t="s">
        <v>74</v>
      </c>
      <c r="BE417" s="1" t="s">
        <v>4370</v>
      </c>
      <c r="BF417" s="2" t="str">
        <f>HYPERLINK("http://dx.doi.org/10.1016/j.ijpharm.2019.03.029","http://dx.doi.org/10.1016/j.ijpharm.2019.03.029")</f>
        <v>http://dx.doi.org/10.1016/j.ijpharm.2019.03.029</v>
      </c>
      <c r="BG417" s="1" t="s">
        <v>74</v>
      </c>
      <c r="BH417" s="1" t="s">
        <v>74</v>
      </c>
      <c r="BI417" s="1" t="s">
        <v>74</v>
      </c>
      <c r="BJ417" s="1" t="s">
        <v>74</v>
      </c>
      <c r="BK417" s="1" t="s">
        <v>74</v>
      </c>
      <c r="BL417" s="1" t="s">
        <v>74</v>
      </c>
      <c r="BM417" s="1" t="s">
        <v>74</v>
      </c>
      <c r="BN417" s="1">
        <v>3.0885651E7</v>
      </c>
      <c r="BO417" s="1" t="s">
        <v>74</v>
      </c>
      <c r="BP417" s="1" t="s">
        <v>74</v>
      </c>
      <c r="BQ417" s="1" t="s">
        <v>74</v>
      </c>
      <c r="BR417" s="1" t="s">
        <v>74</v>
      </c>
      <c r="BS417" s="1" t="s">
        <v>4371</v>
      </c>
      <c r="BT417" s="1" t="str">
        <f>HYPERLINK("https%3A%2F%2Fwww.webofscience.com%2Fwos%2Fwoscc%2Ffull-record%2FWOS:000463865000009","View Full Record in Web of Science")</f>
        <v>View Full Record in Web of Science</v>
      </c>
    </row>
    <row r="418" ht="12.75" customHeight="1">
      <c r="A418" s="1" t="s">
        <v>72</v>
      </c>
      <c r="B418" s="1" t="s">
        <v>4372</v>
      </c>
      <c r="C418" s="1" t="s">
        <v>74</v>
      </c>
      <c r="D418" s="1" t="s">
        <v>74</v>
      </c>
      <c r="E418" s="1" t="s">
        <v>74</v>
      </c>
      <c r="F418" s="1" t="s">
        <v>4373</v>
      </c>
      <c r="G418" s="1" t="s">
        <v>74</v>
      </c>
      <c r="H418" s="1" t="s">
        <v>74</v>
      </c>
      <c r="I418" s="1" t="s">
        <v>4374</v>
      </c>
      <c r="J418" s="1" t="s">
        <v>4124</v>
      </c>
      <c r="K418" s="1" t="s">
        <v>74</v>
      </c>
      <c r="L418" s="1" t="s">
        <v>74</v>
      </c>
      <c r="M418" s="1" t="s">
        <v>74</v>
      </c>
      <c r="N418" s="1" t="s">
        <v>74</v>
      </c>
      <c r="O418" s="1" t="s">
        <v>74</v>
      </c>
      <c r="P418" s="1" t="s">
        <v>74</v>
      </c>
      <c r="Q418" s="1" t="s">
        <v>74</v>
      </c>
      <c r="R418" s="1" t="s">
        <v>74</v>
      </c>
      <c r="S418" s="1" t="s">
        <v>74</v>
      </c>
      <c r="T418" s="1" t="s">
        <v>74</v>
      </c>
      <c r="U418" s="1" t="s">
        <v>74</v>
      </c>
      <c r="V418" s="1" t="s">
        <v>4375</v>
      </c>
      <c r="W418" s="1" t="s">
        <v>74</v>
      </c>
      <c r="X418" s="1" t="s">
        <v>74</v>
      </c>
      <c r="Y418" s="1" t="s">
        <v>74</v>
      </c>
      <c r="Z418" s="1" t="s">
        <v>74</v>
      </c>
      <c r="AA418" s="1" t="s">
        <v>4376</v>
      </c>
      <c r="AB418" s="1" t="s">
        <v>4377</v>
      </c>
      <c r="AC418" s="1" t="s">
        <v>74</v>
      </c>
      <c r="AD418" s="1" t="s">
        <v>74</v>
      </c>
      <c r="AE418" s="1" t="s">
        <v>74</v>
      </c>
      <c r="AF418" s="1" t="s">
        <v>74</v>
      </c>
      <c r="AG418" s="1" t="s">
        <v>74</v>
      </c>
      <c r="AH418" s="1" t="s">
        <v>74</v>
      </c>
      <c r="AI418" s="1" t="s">
        <v>74</v>
      </c>
      <c r="AJ418" s="1" t="s">
        <v>74</v>
      </c>
      <c r="AK418" s="1" t="s">
        <v>74</v>
      </c>
      <c r="AL418" s="1" t="s">
        <v>74</v>
      </c>
      <c r="AM418" s="1" t="s">
        <v>74</v>
      </c>
      <c r="AN418" s="1" t="s">
        <v>74</v>
      </c>
      <c r="AO418" s="1" t="s">
        <v>4128</v>
      </c>
      <c r="AP418" s="1" t="s">
        <v>74</v>
      </c>
      <c r="AQ418" s="1" t="s">
        <v>74</v>
      </c>
      <c r="AR418" s="1" t="s">
        <v>74</v>
      </c>
      <c r="AS418" s="1" t="s">
        <v>74</v>
      </c>
      <c r="AT418" s="1" t="s">
        <v>318</v>
      </c>
      <c r="AU418" s="1">
        <v>2019.0</v>
      </c>
      <c r="AV418" s="1">
        <v>14.0</v>
      </c>
      <c r="AW418" s="1">
        <v>2.0</v>
      </c>
      <c r="AX418" s="1" t="s">
        <v>74</v>
      </c>
      <c r="AY418" s="1" t="s">
        <v>74</v>
      </c>
      <c r="AZ418" s="1" t="s">
        <v>74</v>
      </c>
      <c r="BA418" s="1" t="s">
        <v>74</v>
      </c>
      <c r="BB418" s="1">
        <v>1940.0</v>
      </c>
      <c r="BC418" s="1">
        <v>1953.0</v>
      </c>
      <c r="BD418" s="1" t="s">
        <v>74</v>
      </c>
      <c r="BE418" s="1" t="s">
        <v>4378</v>
      </c>
      <c r="BF418" s="2" t="str">
        <f>HYPERLINK("http://dx.doi.org/10.20964/2019.02.07","http://dx.doi.org/10.20964/2019.02.07")</f>
        <v>http://dx.doi.org/10.20964/2019.02.07</v>
      </c>
      <c r="BG418" s="1" t="s">
        <v>74</v>
      </c>
      <c r="BH418" s="1" t="s">
        <v>74</v>
      </c>
      <c r="BI418" s="1" t="s">
        <v>74</v>
      </c>
      <c r="BJ418" s="1" t="s">
        <v>74</v>
      </c>
      <c r="BK418" s="1" t="s">
        <v>74</v>
      </c>
      <c r="BL418" s="1" t="s">
        <v>74</v>
      </c>
      <c r="BM418" s="1" t="s">
        <v>74</v>
      </c>
      <c r="BN418" s="1" t="s">
        <v>74</v>
      </c>
      <c r="BO418" s="1" t="s">
        <v>74</v>
      </c>
      <c r="BP418" s="1" t="s">
        <v>74</v>
      </c>
      <c r="BQ418" s="1" t="s">
        <v>74</v>
      </c>
      <c r="BR418" s="1" t="s">
        <v>74</v>
      </c>
      <c r="BS418" s="1" t="s">
        <v>4379</v>
      </c>
      <c r="BT418" s="1" t="str">
        <f>HYPERLINK("https%3A%2F%2Fwww.webofscience.com%2Fwos%2Fwoscc%2Ffull-record%2FWOS:000460756500067","View Full Record in Web of Science")</f>
        <v>View Full Record in Web of Science</v>
      </c>
    </row>
    <row r="419" ht="12.75" customHeight="1">
      <c r="A419" s="1" t="s">
        <v>72</v>
      </c>
      <c r="B419" s="1" t="s">
        <v>4380</v>
      </c>
      <c r="C419" s="1" t="s">
        <v>74</v>
      </c>
      <c r="D419" s="1" t="s">
        <v>74</v>
      </c>
      <c r="E419" s="1" t="s">
        <v>74</v>
      </c>
      <c r="F419" s="1" t="s">
        <v>4381</v>
      </c>
      <c r="G419" s="1" t="s">
        <v>74</v>
      </c>
      <c r="H419" s="1" t="s">
        <v>74</v>
      </c>
      <c r="I419" s="1" t="s">
        <v>4382</v>
      </c>
      <c r="J419" s="1" t="s">
        <v>4383</v>
      </c>
      <c r="K419" s="1" t="s">
        <v>74</v>
      </c>
      <c r="L419" s="1" t="s">
        <v>74</v>
      </c>
      <c r="M419" s="1" t="s">
        <v>74</v>
      </c>
      <c r="N419" s="1" t="s">
        <v>74</v>
      </c>
      <c r="O419" s="1" t="s">
        <v>74</v>
      </c>
      <c r="P419" s="1" t="s">
        <v>74</v>
      </c>
      <c r="Q419" s="1" t="s">
        <v>74</v>
      </c>
      <c r="R419" s="1" t="s">
        <v>74</v>
      </c>
      <c r="S419" s="1" t="s">
        <v>74</v>
      </c>
      <c r="T419" s="1" t="s">
        <v>74</v>
      </c>
      <c r="U419" s="1" t="s">
        <v>74</v>
      </c>
      <c r="V419" s="1" t="s">
        <v>4384</v>
      </c>
      <c r="W419" s="1" t="s">
        <v>74</v>
      </c>
      <c r="X419" s="1" t="s">
        <v>74</v>
      </c>
      <c r="Y419" s="1" t="s">
        <v>74</v>
      </c>
      <c r="Z419" s="1" t="s">
        <v>74</v>
      </c>
      <c r="AA419" s="1" t="s">
        <v>4385</v>
      </c>
      <c r="AB419" s="1" t="s">
        <v>4386</v>
      </c>
      <c r="AC419" s="1" t="s">
        <v>74</v>
      </c>
      <c r="AD419" s="1" t="s">
        <v>74</v>
      </c>
      <c r="AE419" s="1" t="s">
        <v>74</v>
      </c>
      <c r="AF419" s="1" t="s">
        <v>74</v>
      </c>
      <c r="AG419" s="1" t="s">
        <v>74</v>
      </c>
      <c r="AH419" s="1" t="s">
        <v>74</v>
      </c>
      <c r="AI419" s="1" t="s">
        <v>74</v>
      </c>
      <c r="AJ419" s="1" t="s">
        <v>74</v>
      </c>
      <c r="AK419" s="1" t="s">
        <v>74</v>
      </c>
      <c r="AL419" s="1" t="s">
        <v>74</v>
      </c>
      <c r="AM419" s="1" t="s">
        <v>74</v>
      </c>
      <c r="AN419" s="1" t="s">
        <v>74</v>
      </c>
      <c r="AO419" s="1" t="s">
        <v>4387</v>
      </c>
      <c r="AP419" s="1" t="s">
        <v>4388</v>
      </c>
      <c r="AQ419" s="1" t="s">
        <v>74</v>
      </c>
      <c r="AR419" s="1" t="s">
        <v>74</v>
      </c>
      <c r="AS419" s="1" t="s">
        <v>74</v>
      </c>
      <c r="AT419" s="1" t="s">
        <v>153</v>
      </c>
      <c r="AU419" s="1">
        <v>2018.0</v>
      </c>
      <c r="AV419" s="1">
        <v>554.0</v>
      </c>
      <c r="AW419" s="1" t="s">
        <v>74</v>
      </c>
      <c r="AX419" s="1" t="s">
        <v>74</v>
      </c>
      <c r="AY419" s="1" t="s">
        <v>74</v>
      </c>
      <c r="AZ419" s="1" t="s">
        <v>74</v>
      </c>
      <c r="BA419" s="1" t="s">
        <v>74</v>
      </c>
      <c r="BB419" s="1">
        <v>140.0</v>
      </c>
      <c r="BC419" s="1">
        <v>155.0</v>
      </c>
      <c r="BD419" s="1" t="s">
        <v>74</v>
      </c>
      <c r="BE419" s="1" t="s">
        <v>4389</v>
      </c>
      <c r="BF419" s="2" t="str">
        <f>HYPERLINK("http://dx.doi.org/10.1016/j.memsci.2018.02.064","http://dx.doi.org/10.1016/j.memsci.2018.02.064")</f>
        <v>http://dx.doi.org/10.1016/j.memsci.2018.02.064</v>
      </c>
      <c r="BG419" s="1" t="s">
        <v>74</v>
      </c>
      <c r="BH419" s="1" t="s">
        <v>74</v>
      </c>
      <c r="BI419" s="1" t="s">
        <v>74</v>
      </c>
      <c r="BJ419" s="1" t="s">
        <v>74</v>
      </c>
      <c r="BK419" s="1" t="s">
        <v>74</v>
      </c>
      <c r="BL419" s="1" t="s">
        <v>74</v>
      </c>
      <c r="BM419" s="1" t="s">
        <v>74</v>
      </c>
      <c r="BN419" s="1" t="s">
        <v>74</v>
      </c>
      <c r="BO419" s="1" t="s">
        <v>74</v>
      </c>
      <c r="BP419" s="1" t="s">
        <v>74</v>
      </c>
      <c r="BQ419" s="1" t="s">
        <v>74</v>
      </c>
      <c r="BR419" s="1" t="s">
        <v>74</v>
      </c>
      <c r="BS419" s="1" t="s">
        <v>4390</v>
      </c>
      <c r="BT419" s="1" t="str">
        <f>HYPERLINK("https%3A%2F%2Fwww.webofscience.com%2Fwos%2Fwoscc%2Ffull-record%2FWOS:000429188200016","View Full Record in Web of Science")</f>
        <v>View Full Record in Web of Science</v>
      </c>
    </row>
    <row r="420" ht="12.75" customHeight="1">
      <c r="A420" s="1" t="s">
        <v>72</v>
      </c>
      <c r="B420" s="1" t="s">
        <v>4391</v>
      </c>
      <c r="C420" s="1" t="s">
        <v>74</v>
      </c>
      <c r="D420" s="1" t="s">
        <v>74</v>
      </c>
      <c r="E420" s="1" t="s">
        <v>74</v>
      </c>
      <c r="F420" s="1" t="s">
        <v>4392</v>
      </c>
      <c r="G420" s="1" t="s">
        <v>74</v>
      </c>
      <c r="H420" s="1" t="s">
        <v>74</v>
      </c>
      <c r="I420" s="1" t="s">
        <v>4393</v>
      </c>
      <c r="J420" s="1" t="s">
        <v>2012</v>
      </c>
      <c r="K420" s="1" t="s">
        <v>74</v>
      </c>
      <c r="L420" s="1" t="s">
        <v>74</v>
      </c>
      <c r="M420" s="1" t="s">
        <v>74</v>
      </c>
      <c r="N420" s="1" t="s">
        <v>74</v>
      </c>
      <c r="O420" s="1" t="s">
        <v>74</v>
      </c>
      <c r="P420" s="1" t="s">
        <v>74</v>
      </c>
      <c r="Q420" s="1" t="s">
        <v>74</v>
      </c>
      <c r="R420" s="1" t="s">
        <v>74</v>
      </c>
      <c r="S420" s="1" t="s">
        <v>74</v>
      </c>
      <c r="T420" s="1" t="s">
        <v>74</v>
      </c>
      <c r="U420" s="1" t="s">
        <v>74</v>
      </c>
      <c r="V420" s="1" t="s">
        <v>4394</v>
      </c>
      <c r="W420" s="1" t="s">
        <v>74</v>
      </c>
      <c r="X420" s="1" t="s">
        <v>74</v>
      </c>
      <c r="Y420" s="1" t="s">
        <v>74</v>
      </c>
      <c r="Z420" s="1" t="s">
        <v>74</v>
      </c>
      <c r="AA420" s="1" t="s">
        <v>4395</v>
      </c>
      <c r="AB420" s="1" t="s">
        <v>4396</v>
      </c>
      <c r="AC420" s="1" t="s">
        <v>74</v>
      </c>
      <c r="AD420" s="1" t="s">
        <v>74</v>
      </c>
      <c r="AE420" s="1" t="s">
        <v>74</v>
      </c>
      <c r="AF420" s="1" t="s">
        <v>74</v>
      </c>
      <c r="AG420" s="1" t="s">
        <v>74</v>
      </c>
      <c r="AH420" s="1" t="s">
        <v>74</v>
      </c>
      <c r="AI420" s="1" t="s">
        <v>74</v>
      </c>
      <c r="AJ420" s="1" t="s">
        <v>74</v>
      </c>
      <c r="AK420" s="1" t="s">
        <v>74</v>
      </c>
      <c r="AL420" s="1" t="s">
        <v>74</v>
      </c>
      <c r="AM420" s="1" t="s">
        <v>74</v>
      </c>
      <c r="AN420" s="1" t="s">
        <v>74</v>
      </c>
      <c r="AO420" s="1" t="s">
        <v>2015</v>
      </c>
      <c r="AP420" s="1" t="s">
        <v>74</v>
      </c>
      <c r="AQ420" s="1" t="s">
        <v>74</v>
      </c>
      <c r="AR420" s="1" t="s">
        <v>74</v>
      </c>
      <c r="AS420" s="1" t="s">
        <v>74</v>
      </c>
      <c r="AT420" s="1" t="s">
        <v>74</v>
      </c>
      <c r="AU420" s="1">
        <v>2018.0</v>
      </c>
      <c r="AV420" s="1">
        <v>8.0</v>
      </c>
      <c r="AW420" s="1">
        <v>8.0</v>
      </c>
      <c r="AX420" s="1" t="s">
        <v>74</v>
      </c>
      <c r="AY420" s="1" t="s">
        <v>74</v>
      </c>
      <c r="AZ420" s="1" t="s">
        <v>74</v>
      </c>
      <c r="BA420" s="1" t="s">
        <v>74</v>
      </c>
      <c r="BB420" s="1">
        <v>4172.0</v>
      </c>
      <c r="BC420" s="1">
        <v>4181.0</v>
      </c>
      <c r="BD420" s="1" t="s">
        <v>74</v>
      </c>
      <c r="BE420" s="1" t="s">
        <v>4397</v>
      </c>
      <c r="BF420" s="2" t="str">
        <f>HYPERLINK("http://dx.doi.org/10.1039/c7ra13286g","http://dx.doi.org/10.1039/c7ra13286g")</f>
        <v>http://dx.doi.org/10.1039/c7ra13286g</v>
      </c>
      <c r="BG420" s="1" t="s">
        <v>74</v>
      </c>
      <c r="BH420" s="1" t="s">
        <v>74</v>
      </c>
      <c r="BI420" s="1" t="s">
        <v>74</v>
      </c>
      <c r="BJ420" s="1" t="s">
        <v>74</v>
      </c>
      <c r="BK420" s="1" t="s">
        <v>74</v>
      </c>
      <c r="BL420" s="1" t="s">
        <v>74</v>
      </c>
      <c r="BM420" s="1" t="s">
        <v>74</v>
      </c>
      <c r="BN420" s="1" t="s">
        <v>74</v>
      </c>
      <c r="BO420" s="1" t="s">
        <v>74</v>
      </c>
      <c r="BP420" s="1" t="s">
        <v>74</v>
      </c>
      <c r="BQ420" s="1" t="s">
        <v>74</v>
      </c>
      <c r="BR420" s="1" t="s">
        <v>74</v>
      </c>
      <c r="BS420" s="1" t="s">
        <v>4398</v>
      </c>
      <c r="BT420" s="1" t="str">
        <f>HYPERLINK("https%3A%2F%2Fwww.webofscience.com%2Fwos%2Fwoscc%2Ffull-record%2FWOS:000423406900031","View Full Record in Web of Science")</f>
        <v>View Full Record in Web of Science</v>
      </c>
    </row>
    <row r="421" ht="12.75" customHeight="1">
      <c r="A421" s="1" t="s">
        <v>86</v>
      </c>
      <c r="B421" s="1" t="s">
        <v>4399</v>
      </c>
      <c r="C421" s="1" t="s">
        <v>74</v>
      </c>
      <c r="D421" s="1" t="s">
        <v>4400</v>
      </c>
      <c r="E421" s="1" t="s">
        <v>74</v>
      </c>
      <c r="F421" s="1" t="s">
        <v>4401</v>
      </c>
      <c r="G421" s="1" t="s">
        <v>74</v>
      </c>
      <c r="H421" s="1" t="s">
        <v>74</v>
      </c>
      <c r="I421" s="1" t="s">
        <v>4402</v>
      </c>
      <c r="J421" s="1" t="s">
        <v>4403</v>
      </c>
      <c r="K421" s="1" t="s">
        <v>74</v>
      </c>
      <c r="L421" s="1" t="s">
        <v>74</v>
      </c>
      <c r="M421" s="1" t="s">
        <v>74</v>
      </c>
      <c r="N421" s="1" t="s">
        <v>74</v>
      </c>
      <c r="O421" s="1" t="s">
        <v>4404</v>
      </c>
      <c r="P421" s="1" t="s">
        <v>4405</v>
      </c>
      <c r="Q421" s="1" t="s">
        <v>4406</v>
      </c>
      <c r="R421" s="1" t="s">
        <v>4407</v>
      </c>
      <c r="S421" s="1" t="s">
        <v>74</v>
      </c>
      <c r="T421" s="1" t="s">
        <v>74</v>
      </c>
      <c r="U421" s="1" t="s">
        <v>74</v>
      </c>
      <c r="V421" s="1" t="s">
        <v>4408</v>
      </c>
      <c r="W421" s="1" t="s">
        <v>74</v>
      </c>
      <c r="X421" s="1" t="s">
        <v>74</v>
      </c>
      <c r="Y421" s="1" t="s">
        <v>74</v>
      </c>
      <c r="Z421" s="1" t="s">
        <v>74</v>
      </c>
      <c r="AA421" s="1" t="s">
        <v>4409</v>
      </c>
      <c r="AB421" s="1" t="s">
        <v>4410</v>
      </c>
      <c r="AC421" s="1" t="s">
        <v>74</v>
      </c>
      <c r="AD421" s="1" t="s">
        <v>74</v>
      </c>
      <c r="AE421" s="1" t="s">
        <v>74</v>
      </c>
      <c r="AF421" s="1" t="s">
        <v>74</v>
      </c>
      <c r="AG421" s="1" t="s">
        <v>74</v>
      </c>
      <c r="AH421" s="1" t="s">
        <v>74</v>
      </c>
      <c r="AI421" s="1" t="s">
        <v>74</v>
      </c>
      <c r="AJ421" s="1" t="s">
        <v>74</v>
      </c>
      <c r="AK421" s="1" t="s">
        <v>74</v>
      </c>
      <c r="AL421" s="1" t="s">
        <v>74</v>
      </c>
      <c r="AM421" s="1" t="s">
        <v>74</v>
      </c>
      <c r="AN421" s="1" t="s">
        <v>74</v>
      </c>
      <c r="AO421" s="1" t="s">
        <v>74</v>
      </c>
      <c r="AP421" s="1" t="s">
        <v>74</v>
      </c>
      <c r="AQ421" s="1" t="s">
        <v>4411</v>
      </c>
      <c r="AR421" s="1" t="s">
        <v>74</v>
      </c>
      <c r="AS421" s="1" t="s">
        <v>74</v>
      </c>
      <c r="AT421" s="1" t="s">
        <v>74</v>
      </c>
      <c r="AU421" s="1">
        <v>2018.0</v>
      </c>
      <c r="AV421" s="1" t="s">
        <v>74</v>
      </c>
      <c r="AW421" s="1" t="s">
        <v>74</v>
      </c>
      <c r="AX421" s="1" t="s">
        <v>74</v>
      </c>
      <c r="AY421" s="1" t="s">
        <v>74</v>
      </c>
      <c r="AZ421" s="1" t="s">
        <v>74</v>
      </c>
      <c r="BA421" s="1" t="s">
        <v>74</v>
      </c>
      <c r="BB421" s="1">
        <v>70.0</v>
      </c>
      <c r="BC421" s="1">
        <v>75.0</v>
      </c>
      <c r="BD421" s="1" t="s">
        <v>74</v>
      </c>
      <c r="BE421" s="1" t="s">
        <v>74</v>
      </c>
      <c r="BF421" s="1" t="s">
        <v>74</v>
      </c>
      <c r="BG421" s="1" t="s">
        <v>74</v>
      </c>
      <c r="BH421" s="1" t="s">
        <v>74</v>
      </c>
      <c r="BI421" s="1" t="s">
        <v>74</v>
      </c>
      <c r="BJ421" s="1" t="s">
        <v>74</v>
      </c>
      <c r="BK421" s="1" t="s">
        <v>74</v>
      </c>
      <c r="BL421" s="1" t="s">
        <v>74</v>
      </c>
      <c r="BM421" s="1" t="s">
        <v>74</v>
      </c>
      <c r="BN421" s="1" t="s">
        <v>74</v>
      </c>
      <c r="BO421" s="1" t="s">
        <v>74</v>
      </c>
      <c r="BP421" s="1" t="s">
        <v>74</v>
      </c>
      <c r="BQ421" s="1" t="s">
        <v>74</v>
      </c>
      <c r="BR421" s="1" t="s">
        <v>74</v>
      </c>
      <c r="BS421" s="1" t="s">
        <v>4412</v>
      </c>
      <c r="BT421" s="1" t="str">
        <f>HYPERLINK("https%3A%2F%2Fwww.webofscience.com%2Fwos%2Fwoscc%2Ffull-record%2FWOS:000437157500010","View Full Record in Web of Science")</f>
        <v>View Full Record in Web of Science</v>
      </c>
    </row>
    <row r="422" ht="12.75" customHeight="1">
      <c r="A422" s="1" t="s">
        <v>72</v>
      </c>
      <c r="B422" s="1" t="s">
        <v>4413</v>
      </c>
      <c r="C422" s="1" t="s">
        <v>74</v>
      </c>
      <c r="D422" s="1" t="s">
        <v>74</v>
      </c>
      <c r="E422" s="1" t="s">
        <v>74</v>
      </c>
      <c r="F422" s="1" t="s">
        <v>4414</v>
      </c>
      <c r="G422" s="1" t="s">
        <v>74</v>
      </c>
      <c r="H422" s="1" t="s">
        <v>74</v>
      </c>
      <c r="I422" s="1" t="s">
        <v>4415</v>
      </c>
      <c r="J422" s="1" t="s">
        <v>4416</v>
      </c>
      <c r="K422" s="1" t="s">
        <v>74</v>
      </c>
      <c r="L422" s="1" t="s">
        <v>74</v>
      </c>
      <c r="M422" s="1" t="s">
        <v>74</v>
      </c>
      <c r="N422" s="1" t="s">
        <v>74</v>
      </c>
      <c r="O422" s="1" t="s">
        <v>74</v>
      </c>
      <c r="P422" s="1" t="s">
        <v>74</v>
      </c>
      <c r="Q422" s="1" t="s">
        <v>74</v>
      </c>
      <c r="R422" s="1" t="s">
        <v>74</v>
      </c>
      <c r="S422" s="1" t="s">
        <v>74</v>
      </c>
      <c r="T422" s="1" t="s">
        <v>74</v>
      </c>
      <c r="U422" s="1" t="s">
        <v>74</v>
      </c>
      <c r="V422" s="1" t="s">
        <v>4417</v>
      </c>
      <c r="W422" s="1" t="s">
        <v>74</v>
      </c>
      <c r="X422" s="1" t="s">
        <v>74</v>
      </c>
      <c r="Y422" s="1" t="s">
        <v>74</v>
      </c>
      <c r="Z422" s="1" t="s">
        <v>74</v>
      </c>
      <c r="AA422" s="1" t="s">
        <v>4418</v>
      </c>
      <c r="AB422" s="1" t="s">
        <v>4419</v>
      </c>
      <c r="AC422" s="1" t="s">
        <v>74</v>
      </c>
      <c r="AD422" s="1" t="s">
        <v>74</v>
      </c>
      <c r="AE422" s="1" t="s">
        <v>74</v>
      </c>
      <c r="AF422" s="1" t="s">
        <v>74</v>
      </c>
      <c r="AG422" s="1" t="s">
        <v>74</v>
      </c>
      <c r="AH422" s="1" t="s">
        <v>74</v>
      </c>
      <c r="AI422" s="1" t="s">
        <v>74</v>
      </c>
      <c r="AJ422" s="1" t="s">
        <v>74</v>
      </c>
      <c r="AK422" s="1" t="s">
        <v>74</v>
      </c>
      <c r="AL422" s="1" t="s">
        <v>74</v>
      </c>
      <c r="AM422" s="1" t="s">
        <v>74</v>
      </c>
      <c r="AN422" s="1" t="s">
        <v>74</v>
      </c>
      <c r="AO422" s="1" t="s">
        <v>4420</v>
      </c>
      <c r="AP422" s="1" t="s">
        <v>4421</v>
      </c>
      <c r="AQ422" s="1" t="s">
        <v>74</v>
      </c>
      <c r="AR422" s="1" t="s">
        <v>74</v>
      </c>
      <c r="AS422" s="1" t="s">
        <v>74</v>
      </c>
      <c r="AT422" s="1" t="s">
        <v>74</v>
      </c>
      <c r="AU422" s="1">
        <v>2017.0</v>
      </c>
      <c r="AV422" s="1">
        <v>26.0</v>
      </c>
      <c r="AW422" s="1">
        <v>9.0</v>
      </c>
      <c r="AX422" s="1" t="s">
        <v>74</v>
      </c>
      <c r="AY422" s="1" t="s">
        <v>74</v>
      </c>
      <c r="AZ422" s="1" t="s">
        <v>74</v>
      </c>
      <c r="BA422" s="1" t="s">
        <v>74</v>
      </c>
      <c r="BB422" s="1">
        <v>1007.0</v>
      </c>
      <c r="BC422" s="1">
        <v>1017.0</v>
      </c>
      <c r="BD422" s="1" t="s">
        <v>74</v>
      </c>
      <c r="BE422" s="1" t="s">
        <v>4422</v>
      </c>
      <c r="BF422" s="2" t="str">
        <f>HYPERLINK("http://dx.doi.org/10.1080/13543784.2017.1361926","http://dx.doi.org/10.1080/13543784.2017.1361926")</f>
        <v>http://dx.doi.org/10.1080/13543784.2017.1361926</v>
      </c>
      <c r="BG422" s="1" t="s">
        <v>74</v>
      </c>
      <c r="BH422" s="1" t="s">
        <v>74</v>
      </c>
      <c r="BI422" s="1" t="s">
        <v>74</v>
      </c>
      <c r="BJ422" s="1" t="s">
        <v>74</v>
      </c>
      <c r="BK422" s="1" t="s">
        <v>74</v>
      </c>
      <c r="BL422" s="1" t="s">
        <v>74</v>
      </c>
      <c r="BM422" s="1" t="s">
        <v>74</v>
      </c>
      <c r="BN422" s="1">
        <v>2.8770623E7</v>
      </c>
      <c r="BO422" s="1" t="s">
        <v>74</v>
      </c>
      <c r="BP422" s="1" t="s">
        <v>74</v>
      </c>
      <c r="BQ422" s="1" t="s">
        <v>74</v>
      </c>
      <c r="BR422" s="1" t="s">
        <v>74</v>
      </c>
      <c r="BS422" s="1" t="s">
        <v>4423</v>
      </c>
      <c r="BT422" s="1" t="str">
        <f>HYPERLINK("https%3A%2F%2Fwww.webofscience.com%2Fwos%2Fwoscc%2Ffull-record%2FWOS:000408725900002","View Full Record in Web of Science")</f>
        <v>View Full Record in Web of Science</v>
      </c>
    </row>
    <row r="423" ht="12.75" customHeight="1">
      <c r="A423" s="1" t="s">
        <v>72</v>
      </c>
      <c r="B423" s="1" t="s">
        <v>4424</v>
      </c>
      <c r="C423" s="1" t="s">
        <v>74</v>
      </c>
      <c r="D423" s="1" t="s">
        <v>74</v>
      </c>
      <c r="E423" s="1" t="s">
        <v>74</v>
      </c>
      <c r="F423" s="1" t="s">
        <v>4425</v>
      </c>
      <c r="G423" s="1" t="s">
        <v>74</v>
      </c>
      <c r="H423" s="1" t="s">
        <v>74</v>
      </c>
      <c r="I423" s="1" t="s">
        <v>4426</v>
      </c>
      <c r="J423" s="1" t="s">
        <v>4427</v>
      </c>
      <c r="K423" s="1" t="s">
        <v>74</v>
      </c>
      <c r="L423" s="1" t="s">
        <v>74</v>
      </c>
      <c r="M423" s="1" t="s">
        <v>74</v>
      </c>
      <c r="N423" s="1" t="s">
        <v>74</v>
      </c>
      <c r="O423" s="1" t="s">
        <v>74</v>
      </c>
      <c r="P423" s="1" t="s">
        <v>74</v>
      </c>
      <c r="Q423" s="1" t="s">
        <v>74</v>
      </c>
      <c r="R423" s="1" t="s">
        <v>74</v>
      </c>
      <c r="S423" s="1" t="s">
        <v>74</v>
      </c>
      <c r="T423" s="1" t="s">
        <v>74</v>
      </c>
      <c r="U423" s="1" t="s">
        <v>74</v>
      </c>
      <c r="V423" s="1" t="s">
        <v>4428</v>
      </c>
      <c r="W423" s="1" t="s">
        <v>74</v>
      </c>
      <c r="X423" s="1" t="s">
        <v>74</v>
      </c>
      <c r="Y423" s="1" t="s">
        <v>74</v>
      </c>
      <c r="Z423" s="1" t="s">
        <v>74</v>
      </c>
      <c r="AA423" s="1" t="s">
        <v>74</v>
      </c>
      <c r="AB423" s="1" t="s">
        <v>4429</v>
      </c>
      <c r="AC423" s="1" t="s">
        <v>74</v>
      </c>
      <c r="AD423" s="1" t="s">
        <v>74</v>
      </c>
      <c r="AE423" s="1" t="s">
        <v>74</v>
      </c>
      <c r="AF423" s="1" t="s">
        <v>74</v>
      </c>
      <c r="AG423" s="1" t="s">
        <v>74</v>
      </c>
      <c r="AH423" s="1" t="s">
        <v>74</v>
      </c>
      <c r="AI423" s="1" t="s">
        <v>74</v>
      </c>
      <c r="AJ423" s="1" t="s">
        <v>74</v>
      </c>
      <c r="AK423" s="1" t="s">
        <v>74</v>
      </c>
      <c r="AL423" s="1" t="s">
        <v>74</v>
      </c>
      <c r="AM423" s="1" t="s">
        <v>74</v>
      </c>
      <c r="AN423" s="1" t="s">
        <v>74</v>
      </c>
      <c r="AO423" s="1" t="s">
        <v>4430</v>
      </c>
      <c r="AP423" s="1" t="s">
        <v>4431</v>
      </c>
      <c r="AQ423" s="1" t="s">
        <v>74</v>
      </c>
      <c r="AR423" s="1" t="s">
        <v>74</v>
      </c>
      <c r="AS423" s="1" t="s">
        <v>74</v>
      </c>
      <c r="AT423" s="1" t="s">
        <v>318</v>
      </c>
      <c r="AU423" s="1">
        <v>2016.0</v>
      </c>
      <c r="AV423" s="1">
        <v>59.0</v>
      </c>
      <c r="AW423" s="1" t="s">
        <v>4432</v>
      </c>
      <c r="AX423" s="1" t="s">
        <v>74</v>
      </c>
      <c r="AY423" s="1" t="s">
        <v>74</v>
      </c>
      <c r="AZ423" s="1" t="s">
        <v>74</v>
      </c>
      <c r="BA423" s="1" t="s">
        <v>74</v>
      </c>
      <c r="BB423" s="1">
        <v>252.0</v>
      </c>
      <c r="BC423" s="1">
        <v>258.0</v>
      </c>
      <c r="BD423" s="1" t="s">
        <v>74</v>
      </c>
      <c r="BE423" s="1" t="s">
        <v>4433</v>
      </c>
      <c r="BF423" s="2" t="str">
        <f>HYPERLINK("http://dx.doi.org/10.1007/s11244-015-0441-6","http://dx.doi.org/10.1007/s11244-015-0441-6")</f>
        <v>http://dx.doi.org/10.1007/s11244-015-0441-6</v>
      </c>
      <c r="BG423" s="1" t="s">
        <v>74</v>
      </c>
      <c r="BH423" s="1" t="s">
        <v>74</v>
      </c>
      <c r="BI423" s="1" t="s">
        <v>74</v>
      </c>
      <c r="BJ423" s="1" t="s">
        <v>74</v>
      </c>
      <c r="BK423" s="1" t="s">
        <v>74</v>
      </c>
      <c r="BL423" s="1" t="s">
        <v>74</v>
      </c>
      <c r="BM423" s="1" t="s">
        <v>74</v>
      </c>
      <c r="BN423" s="1" t="s">
        <v>74</v>
      </c>
      <c r="BO423" s="1" t="s">
        <v>74</v>
      </c>
      <c r="BP423" s="1" t="s">
        <v>74</v>
      </c>
      <c r="BQ423" s="1" t="s">
        <v>74</v>
      </c>
      <c r="BR423" s="1" t="s">
        <v>74</v>
      </c>
      <c r="BS423" s="1" t="s">
        <v>4434</v>
      </c>
      <c r="BT423" s="1" t="str">
        <f>HYPERLINK("https%3A%2F%2Fwww.webofscience.com%2Fwos%2Fwoscc%2Ffull-record%2FWOS:000371425500012","View Full Record in Web of Science")</f>
        <v>View Full Record in Web of Science</v>
      </c>
    </row>
    <row r="424" ht="12.75" customHeight="1">
      <c r="A424" s="1" t="s">
        <v>72</v>
      </c>
      <c r="B424" s="1" t="s">
        <v>4435</v>
      </c>
      <c r="C424" s="1" t="s">
        <v>74</v>
      </c>
      <c r="D424" s="1" t="s">
        <v>74</v>
      </c>
      <c r="E424" s="1" t="s">
        <v>74</v>
      </c>
      <c r="F424" s="1" t="s">
        <v>4436</v>
      </c>
      <c r="G424" s="1" t="s">
        <v>74</v>
      </c>
      <c r="H424" s="1" t="s">
        <v>74</v>
      </c>
      <c r="I424" s="1" t="s">
        <v>4437</v>
      </c>
      <c r="J424" s="1" t="s">
        <v>4438</v>
      </c>
      <c r="K424" s="1" t="s">
        <v>74</v>
      </c>
      <c r="L424" s="1" t="s">
        <v>74</v>
      </c>
      <c r="M424" s="1" t="s">
        <v>74</v>
      </c>
      <c r="N424" s="1" t="s">
        <v>74</v>
      </c>
      <c r="O424" s="1" t="s">
        <v>74</v>
      </c>
      <c r="P424" s="1" t="s">
        <v>74</v>
      </c>
      <c r="Q424" s="1" t="s">
        <v>74</v>
      </c>
      <c r="R424" s="1" t="s">
        <v>74</v>
      </c>
      <c r="S424" s="1" t="s">
        <v>74</v>
      </c>
      <c r="T424" s="1" t="s">
        <v>74</v>
      </c>
      <c r="U424" s="1" t="s">
        <v>74</v>
      </c>
      <c r="V424" s="1" t="s">
        <v>4439</v>
      </c>
      <c r="W424" s="1" t="s">
        <v>74</v>
      </c>
      <c r="X424" s="1" t="s">
        <v>74</v>
      </c>
      <c r="Y424" s="1" t="s">
        <v>74</v>
      </c>
      <c r="Z424" s="1" t="s">
        <v>74</v>
      </c>
      <c r="AA424" s="1" t="s">
        <v>4440</v>
      </c>
      <c r="AB424" s="1" t="s">
        <v>4441</v>
      </c>
      <c r="AC424" s="1" t="s">
        <v>74</v>
      </c>
      <c r="AD424" s="1" t="s">
        <v>74</v>
      </c>
      <c r="AE424" s="1" t="s">
        <v>74</v>
      </c>
      <c r="AF424" s="1" t="s">
        <v>74</v>
      </c>
      <c r="AG424" s="1" t="s">
        <v>74</v>
      </c>
      <c r="AH424" s="1" t="s">
        <v>74</v>
      </c>
      <c r="AI424" s="1" t="s">
        <v>74</v>
      </c>
      <c r="AJ424" s="1" t="s">
        <v>74</v>
      </c>
      <c r="AK424" s="1" t="s">
        <v>74</v>
      </c>
      <c r="AL424" s="1" t="s">
        <v>74</v>
      </c>
      <c r="AM424" s="1" t="s">
        <v>74</v>
      </c>
      <c r="AN424" s="1" t="s">
        <v>74</v>
      </c>
      <c r="AO424" s="1" t="s">
        <v>4442</v>
      </c>
      <c r="AP424" s="1" t="s">
        <v>74</v>
      </c>
      <c r="AQ424" s="1" t="s">
        <v>74</v>
      </c>
      <c r="AR424" s="1" t="s">
        <v>74</v>
      </c>
      <c r="AS424" s="1" t="s">
        <v>74</v>
      </c>
      <c r="AT424" s="1" t="s">
        <v>4443</v>
      </c>
      <c r="AU424" s="1">
        <v>2014.0</v>
      </c>
      <c r="AV424" s="1">
        <v>13.0</v>
      </c>
      <c r="AW424" s="1" t="s">
        <v>74</v>
      </c>
      <c r="AX424" s="1" t="s">
        <v>74</v>
      </c>
      <c r="AY424" s="1" t="s">
        <v>74</v>
      </c>
      <c r="AZ424" s="1" t="s">
        <v>74</v>
      </c>
      <c r="BA424" s="1" t="s">
        <v>74</v>
      </c>
      <c r="BB424" s="1" t="s">
        <v>74</v>
      </c>
      <c r="BC424" s="1" t="s">
        <v>74</v>
      </c>
      <c r="BD424" s="1">
        <v>90.0</v>
      </c>
      <c r="BE424" s="1" t="s">
        <v>4444</v>
      </c>
      <c r="BF424" s="2" t="str">
        <f>HYPERLINK("http://dx.doi.org/10.1186/s12934-014-0090-7","http://dx.doi.org/10.1186/s12934-014-0090-7")</f>
        <v>http://dx.doi.org/10.1186/s12934-014-0090-7</v>
      </c>
      <c r="BG424" s="1" t="s">
        <v>74</v>
      </c>
      <c r="BH424" s="1" t="s">
        <v>74</v>
      </c>
      <c r="BI424" s="1" t="s">
        <v>74</v>
      </c>
      <c r="BJ424" s="1" t="s">
        <v>74</v>
      </c>
      <c r="BK424" s="1" t="s">
        <v>74</v>
      </c>
      <c r="BL424" s="1" t="s">
        <v>74</v>
      </c>
      <c r="BM424" s="1" t="s">
        <v>74</v>
      </c>
      <c r="BN424" s="1">
        <v>2.5027643E7</v>
      </c>
      <c r="BO424" s="1" t="s">
        <v>74</v>
      </c>
      <c r="BP424" s="1" t="s">
        <v>74</v>
      </c>
      <c r="BQ424" s="1" t="s">
        <v>74</v>
      </c>
      <c r="BR424" s="1" t="s">
        <v>74</v>
      </c>
      <c r="BS424" s="1" t="s">
        <v>4445</v>
      </c>
      <c r="BT424" s="1" t="str">
        <f>HYPERLINK("https%3A%2F%2Fwww.webofscience.com%2Fwos%2Fwoscc%2Ffull-record%2FWOS:000339676000001","View Full Record in Web of Science")</f>
        <v>View Full Record in Web of Science</v>
      </c>
    </row>
    <row r="425" ht="12.75" customHeight="1">
      <c r="A425" s="1" t="s">
        <v>72</v>
      </c>
      <c r="B425" s="1" t="s">
        <v>4446</v>
      </c>
      <c r="C425" s="1" t="s">
        <v>74</v>
      </c>
      <c r="D425" s="1" t="s">
        <v>74</v>
      </c>
      <c r="E425" s="1" t="s">
        <v>74</v>
      </c>
      <c r="F425" s="1" t="s">
        <v>4447</v>
      </c>
      <c r="G425" s="1" t="s">
        <v>74</v>
      </c>
      <c r="H425" s="1" t="s">
        <v>74</v>
      </c>
      <c r="I425" s="1" t="s">
        <v>4448</v>
      </c>
      <c r="J425" s="1" t="s">
        <v>4449</v>
      </c>
      <c r="K425" s="1" t="s">
        <v>74</v>
      </c>
      <c r="L425" s="1" t="s">
        <v>74</v>
      </c>
      <c r="M425" s="1" t="s">
        <v>74</v>
      </c>
      <c r="N425" s="1" t="s">
        <v>74</v>
      </c>
      <c r="O425" s="1" t="s">
        <v>74</v>
      </c>
      <c r="P425" s="1" t="s">
        <v>74</v>
      </c>
      <c r="Q425" s="1" t="s">
        <v>74</v>
      </c>
      <c r="R425" s="1" t="s">
        <v>74</v>
      </c>
      <c r="S425" s="1" t="s">
        <v>74</v>
      </c>
      <c r="T425" s="1" t="s">
        <v>74</v>
      </c>
      <c r="U425" s="1" t="s">
        <v>74</v>
      </c>
      <c r="V425" s="1" t="s">
        <v>4450</v>
      </c>
      <c r="W425" s="1" t="s">
        <v>74</v>
      </c>
      <c r="X425" s="1" t="s">
        <v>74</v>
      </c>
      <c r="Y425" s="1" t="s">
        <v>74</v>
      </c>
      <c r="Z425" s="1" t="s">
        <v>74</v>
      </c>
      <c r="AA425" s="1" t="s">
        <v>74</v>
      </c>
      <c r="AB425" s="1" t="s">
        <v>4451</v>
      </c>
      <c r="AC425" s="1" t="s">
        <v>74</v>
      </c>
      <c r="AD425" s="1" t="s">
        <v>74</v>
      </c>
      <c r="AE425" s="1" t="s">
        <v>74</v>
      </c>
      <c r="AF425" s="1" t="s">
        <v>74</v>
      </c>
      <c r="AG425" s="1" t="s">
        <v>74</v>
      </c>
      <c r="AH425" s="1" t="s">
        <v>74</v>
      </c>
      <c r="AI425" s="1" t="s">
        <v>74</v>
      </c>
      <c r="AJ425" s="1" t="s">
        <v>74</v>
      </c>
      <c r="AK425" s="1" t="s">
        <v>74</v>
      </c>
      <c r="AL425" s="1" t="s">
        <v>74</v>
      </c>
      <c r="AM425" s="1" t="s">
        <v>74</v>
      </c>
      <c r="AN425" s="1" t="s">
        <v>74</v>
      </c>
      <c r="AO425" s="1" t="s">
        <v>4452</v>
      </c>
      <c r="AP425" s="1" t="s">
        <v>74</v>
      </c>
      <c r="AQ425" s="1" t="s">
        <v>74</v>
      </c>
      <c r="AR425" s="1" t="s">
        <v>74</v>
      </c>
      <c r="AS425" s="1" t="s">
        <v>74</v>
      </c>
      <c r="AT425" s="1" t="s">
        <v>74</v>
      </c>
      <c r="AU425" s="1">
        <v>2010.0</v>
      </c>
      <c r="AV425" s="1">
        <v>7.0</v>
      </c>
      <c r="AW425" s="1">
        <v>1.0</v>
      </c>
      <c r="AX425" s="1" t="s">
        <v>74</v>
      </c>
      <c r="AY425" s="1" t="s">
        <v>74</v>
      </c>
      <c r="AZ425" s="1" t="s">
        <v>74</v>
      </c>
      <c r="BA425" s="1" t="s">
        <v>74</v>
      </c>
      <c r="BB425" s="1">
        <v>103.0</v>
      </c>
      <c r="BC425" s="1">
        <v>110.0</v>
      </c>
      <c r="BD425" s="1" t="s">
        <v>74</v>
      </c>
      <c r="BE425" s="1" t="s">
        <v>4453</v>
      </c>
      <c r="BF425" s="2" t="str">
        <f>HYPERLINK("http://dx.doi.org/10.1071/EN09067","http://dx.doi.org/10.1071/EN09067")</f>
        <v>http://dx.doi.org/10.1071/EN09067</v>
      </c>
      <c r="BG425" s="1" t="s">
        <v>74</v>
      </c>
      <c r="BH425" s="1" t="s">
        <v>74</v>
      </c>
      <c r="BI425" s="1" t="s">
        <v>74</v>
      </c>
      <c r="BJ425" s="1" t="s">
        <v>74</v>
      </c>
      <c r="BK425" s="1" t="s">
        <v>74</v>
      </c>
      <c r="BL425" s="1" t="s">
        <v>74</v>
      </c>
      <c r="BM425" s="1" t="s">
        <v>74</v>
      </c>
      <c r="BN425" s="1" t="s">
        <v>74</v>
      </c>
      <c r="BO425" s="1" t="s">
        <v>74</v>
      </c>
      <c r="BP425" s="1" t="s">
        <v>74</v>
      </c>
      <c r="BQ425" s="1" t="s">
        <v>74</v>
      </c>
      <c r="BR425" s="1" t="s">
        <v>74</v>
      </c>
      <c r="BS425" s="1" t="s">
        <v>4454</v>
      </c>
      <c r="BT425" s="1" t="str">
        <f>HYPERLINK("https%3A%2F%2Fwww.webofscience.com%2Fwos%2Fwoscc%2Ffull-record%2FWOS:000274732200011","View Full Record in Web of Science")</f>
        <v>View Full Record in Web of Science</v>
      </c>
    </row>
    <row r="426" ht="12.75" customHeight="1">
      <c r="A426" s="1" t="s">
        <v>72</v>
      </c>
      <c r="B426" s="1" t="s">
        <v>4455</v>
      </c>
      <c r="C426" s="1" t="s">
        <v>74</v>
      </c>
      <c r="D426" s="1" t="s">
        <v>74</v>
      </c>
      <c r="E426" s="1" t="s">
        <v>74</v>
      </c>
      <c r="F426" s="1" t="s">
        <v>4456</v>
      </c>
      <c r="G426" s="1" t="s">
        <v>74</v>
      </c>
      <c r="H426" s="1" t="s">
        <v>74</v>
      </c>
      <c r="I426" s="1" t="s">
        <v>4457</v>
      </c>
      <c r="J426" s="1" t="s">
        <v>4458</v>
      </c>
      <c r="K426" s="1" t="s">
        <v>74</v>
      </c>
      <c r="L426" s="1" t="s">
        <v>74</v>
      </c>
      <c r="M426" s="1" t="s">
        <v>74</v>
      </c>
      <c r="N426" s="1" t="s">
        <v>74</v>
      </c>
      <c r="O426" s="1" t="s">
        <v>74</v>
      </c>
      <c r="P426" s="1" t="s">
        <v>74</v>
      </c>
      <c r="Q426" s="1" t="s">
        <v>74</v>
      </c>
      <c r="R426" s="1" t="s">
        <v>74</v>
      </c>
      <c r="S426" s="1" t="s">
        <v>74</v>
      </c>
      <c r="T426" s="1" t="s">
        <v>74</v>
      </c>
      <c r="U426" s="1" t="s">
        <v>74</v>
      </c>
      <c r="V426" s="1" t="s">
        <v>4459</v>
      </c>
      <c r="W426" s="1" t="s">
        <v>74</v>
      </c>
      <c r="X426" s="1" t="s">
        <v>74</v>
      </c>
      <c r="Y426" s="1" t="s">
        <v>74</v>
      </c>
      <c r="Z426" s="1" t="s">
        <v>74</v>
      </c>
      <c r="AA426" s="1" t="s">
        <v>74</v>
      </c>
      <c r="AB426" s="1" t="s">
        <v>74</v>
      </c>
      <c r="AC426" s="1" t="s">
        <v>74</v>
      </c>
      <c r="AD426" s="1" t="s">
        <v>74</v>
      </c>
      <c r="AE426" s="1" t="s">
        <v>74</v>
      </c>
      <c r="AF426" s="1" t="s">
        <v>74</v>
      </c>
      <c r="AG426" s="1" t="s">
        <v>74</v>
      </c>
      <c r="AH426" s="1" t="s">
        <v>74</v>
      </c>
      <c r="AI426" s="1" t="s">
        <v>74</v>
      </c>
      <c r="AJ426" s="1" t="s">
        <v>74</v>
      </c>
      <c r="AK426" s="1" t="s">
        <v>74</v>
      </c>
      <c r="AL426" s="1" t="s">
        <v>74</v>
      </c>
      <c r="AM426" s="1" t="s">
        <v>74</v>
      </c>
      <c r="AN426" s="1" t="s">
        <v>74</v>
      </c>
      <c r="AO426" s="1" t="s">
        <v>4460</v>
      </c>
      <c r="AP426" s="1" t="s">
        <v>4461</v>
      </c>
      <c r="AQ426" s="1" t="s">
        <v>74</v>
      </c>
      <c r="AR426" s="1" t="s">
        <v>74</v>
      </c>
      <c r="AS426" s="1" t="s">
        <v>74</v>
      </c>
      <c r="AT426" s="1" t="s">
        <v>74</v>
      </c>
      <c r="AU426" s="1">
        <v>2008.0</v>
      </c>
      <c r="AV426" s="1">
        <v>27.0</v>
      </c>
      <c r="AW426" s="1">
        <v>5.0</v>
      </c>
      <c r="AX426" s="1" t="s">
        <v>74</v>
      </c>
      <c r="AY426" s="1" t="s">
        <v>74</v>
      </c>
      <c r="AZ426" s="1" t="s">
        <v>74</v>
      </c>
      <c r="BA426" s="1" t="s">
        <v>74</v>
      </c>
      <c r="BB426" s="1">
        <v>337.0</v>
      </c>
      <c r="BC426" s="1">
        <v>346.0</v>
      </c>
      <c r="BD426" s="1" t="s">
        <v>74</v>
      </c>
      <c r="BE426" s="1" t="s">
        <v>74</v>
      </c>
      <c r="BF426" s="1" t="s">
        <v>74</v>
      </c>
      <c r="BG426" s="1" t="s">
        <v>74</v>
      </c>
      <c r="BH426" s="1" t="s">
        <v>74</v>
      </c>
      <c r="BI426" s="1" t="s">
        <v>74</v>
      </c>
      <c r="BJ426" s="1" t="s">
        <v>74</v>
      </c>
      <c r="BK426" s="1" t="s">
        <v>74</v>
      </c>
      <c r="BL426" s="1" t="s">
        <v>74</v>
      </c>
      <c r="BM426" s="1" t="s">
        <v>74</v>
      </c>
      <c r="BN426" s="1" t="s">
        <v>74</v>
      </c>
      <c r="BO426" s="1" t="s">
        <v>74</v>
      </c>
      <c r="BP426" s="1" t="s">
        <v>74</v>
      </c>
      <c r="BQ426" s="1" t="s">
        <v>74</v>
      </c>
      <c r="BR426" s="1" t="s">
        <v>74</v>
      </c>
      <c r="BS426" s="1" t="s">
        <v>4462</v>
      </c>
      <c r="BT426" s="1" t="str">
        <f>HYPERLINK("https%3A%2F%2Fwww.webofscience.com%2Fwos%2Fwoscc%2Ffull-record%2FWOS:000207441900007","View Full Record in Web of Science")</f>
        <v>View Full Record in Web of Science</v>
      </c>
    </row>
    <row r="427" ht="12.75" customHeight="1">
      <c r="A427" s="1" t="s">
        <v>72</v>
      </c>
      <c r="B427" s="1" t="s">
        <v>4463</v>
      </c>
      <c r="C427" s="1" t="s">
        <v>74</v>
      </c>
      <c r="D427" s="1" t="s">
        <v>74</v>
      </c>
      <c r="E427" s="1" t="s">
        <v>74</v>
      </c>
      <c r="F427" s="1" t="s">
        <v>4464</v>
      </c>
      <c r="G427" s="1" t="s">
        <v>74</v>
      </c>
      <c r="H427" s="1" t="s">
        <v>74</v>
      </c>
      <c r="I427" s="1" t="s">
        <v>4465</v>
      </c>
      <c r="J427" s="1" t="s">
        <v>4466</v>
      </c>
      <c r="K427" s="1" t="s">
        <v>74</v>
      </c>
      <c r="L427" s="1" t="s">
        <v>74</v>
      </c>
      <c r="M427" s="1" t="s">
        <v>74</v>
      </c>
      <c r="N427" s="1" t="s">
        <v>74</v>
      </c>
      <c r="O427" s="1" t="s">
        <v>4467</v>
      </c>
      <c r="P427" s="1" t="s">
        <v>4468</v>
      </c>
      <c r="Q427" s="1" t="s">
        <v>4469</v>
      </c>
      <c r="R427" s="1" t="s">
        <v>74</v>
      </c>
      <c r="S427" s="1" t="s">
        <v>74</v>
      </c>
      <c r="T427" s="1" t="s">
        <v>74</v>
      </c>
      <c r="U427" s="1" t="s">
        <v>74</v>
      </c>
      <c r="V427" s="1" t="s">
        <v>4470</v>
      </c>
      <c r="W427" s="1" t="s">
        <v>74</v>
      </c>
      <c r="X427" s="1" t="s">
        <v>74</v>
      </c>
      <c r="Y427" s="1" t="s">
        <v>74</v>
      </c>
      <c r="Z427" s="1" t="s">
        <v>74</v>
      </c>
      <c r="AA427" s="1" t="s">
        <v>4471</v>
      </c>
      <c r="AB427" s="1" t="s">
        <v>4472</v>
      </c>
      <c r="AC427" s="1" t="s">
        <v>74</v>
      </c>
      <c r="AD427" s="1" t="s">
        <v>74</v>
      </c>
      <c r="AE427" s="1" t="s">
        <v>74</v>
      </c>
      <c r="AF427" s="1" t="s">
        <v>74</v>
      </c>
      <c r="AG427" s="1" t="s">
        <v>74</v>
      </c>
      <c r="AH427" s="1" t="s">
        <v>74</v>
      </c>
      <c r="AI427" s="1" t="s">
        <v>74</v>
      </c>
      <c r="AJ427" s="1" t="s">
        <v>74</v>
      </c>
      <c r="AK427" s="1" t="s">
        <v>74</v>
      </c>
      <c r="AL427" s="1" t="s">
        <v>74</v>
      </c>
      <c r="AM427" s="1" t="s">
        <v>74</v>
      </c>
      <c r="AN427" s="1" t="s">
        <v>74</v>
      </c>
      <c r="AO427" s="1" t="s">
        <v>4473</v>
      </c>
      <c r="AP427" s="1" t="s">
        <v>4474</v>
      </c>
      <c r="AQ427" s="1" t="s">
        <v>74</v>
      </c>
      <c r="AR427" s="1" t="s">
        <v>74</v>
      </c>
      <c r="AS427" s="1" t="s">
        <v>74</v>
      </c>
      <c r="AT427" s="1" t="s">
        <v>537</v>
      </c>
      <c r="AU427" s="1">
        <v>2006.0</v>
      </c>
      <c r="AV427" s="1">
        <v>73.0</v>
      </c>
      <c r="AW427" s="1">
        <v>6.0</v>
      </c>
      <c r="AX427" s="1" t="s">
        <v>74</v>
      </c>
      <c r="AY427" s="1" t="s">
        <v>74</v>
      </c>
      <c r="AZ427" s="1" t="s">
        <v>74</v>
      </c>
      <c r="BA427" s="1" t="s">
        <v>74</v>
      </c>
      <c r="BB427" s="1">
        <v>977.0</v>
      </c>
      <c r="BC427" s="1">
        <v>983.0</v>
      </c>
      <c r="BD427" s="1" t="s">
        <v>74</v>
      </c>
      <c r="BE427" s="1" t="s">
        <v>4475</v>
      </c>
      <c r="BF427" s="2" t="str">
        <f>HYPERLINK("http://dx.doi.org/10.1115/1.2189876","http://dx.doi.org/10.1115/1.2189876")</f>
        <v>http://dx.doi.org/10.1115/1.2189876</v>
      </c>
      <c r="BG427" s="1" t="s">
        <v>74</v>
      </c>
      <c r="BH427" s="1" t="s">
        <v>74</v>
      </c>
      <c r="BI427" s="1" t="s">
        <v>74</v>
      </c>
      <c r="BJ427" s="1" t="s">
        <v>74</v>
      </c>
      <c r="BK427" s="1" t="s">
        <v>74</v>
      </c>
      <c r="BL427" s="1" t="s">
        <v>74</v>
      </c>
      <c r="BM427" s="1" t="s">
        <v>74</v>
      </c>
      <c r="BN427" s="1" t="s">
        <v>74</v>
      </c>
      <c r="BO427" s="1" t="s">
        <v>74</v>
      </c>
      <c r="BP427" s="1" t="s">
        <v>74</v>
      </c>
      <c r="BQ427" s="1" t="s">
        <v>74</v>
      </c>
      <c r="BR427" s="1" t="s">
        <v>74</v>
      </c>
      <c r="BS427" s="1" t="s">
        <v>4476</v>
      </c>
      <c r="BT427" s="1" t="str">
        <f>HYPERLINK("https%3A%2F%2Fwww.webofscience.com%2Fwos%2Fwoscc%2Ffull-record%2FWOS:000241602900011","View Full Record in Web of Science")</f>
        <v>View Full Record in Web of Science</v>
      </c>
    </row>
    <row r="428" ht="12.75" customHeight="1">
      <c r="A428" s="1" t="s">
        <v>72</v>
      </c>
      <c r="B428" s="1" t="s">
        <v>4477</v>
      </c>
      <c r="C428" s="1" t="s">
        <v>74</v>
      </c>
      <c r="D428" s="1" t="s">
        <v>74</v>
      </c>
      <c r="E428" s="1" t="s">
        <v>74</v>
      </c>
      <c r="F428" s="1" t="s">
        <v>4477</v>
      </c>
      <c r="G428" s="1" t="s">
        <v>74</v>
      </c>
      <c r="H428" s="1" t="s">
        <v>74</v>
      </c>
      <c r="I428" s="1" t="s">
        <v>4478</v>
      </c>
      <c r="J428" s="1" t="s">
        <v>4479</v>
      </c>
      <c r="K428" s="1" t="s">
        <v>74</v>
      </c>
      <c r="L428" s="1" t="s">
        <v>74</v>
      </c>
      <c r="M428" s="1" t="s">
        <v>74</v>
      </c>
      <c r="N428" s="1" t="s">
        <v>74</v>
      </c>
      <c r="O428" s="1" t="s">
        <v>74</v>
      </c>
      <c r="P428" s="1" t="s">
        <v>74</v>
      </c>
      <c r="Q428" s="1" t="s">
        <v>74</v>
      </c>
      <c r="R428" s="1" t="s">
        <v>74</v>
      </c>
      <c r="S428" s="1" t="s">
        <v>74</v>
      </c>
      <c r="T428" s="1" t="s">
        <v>74</v>
      </c>
      <c r="U428" s="1" t="s">
        <v>74</v>
      </c>
      <c r="V428" s="1" t="s">
        <v>4480</v>
      </c>
      <c r="W428" s="1" t="s">
        <v>74</v>
      </c>
      <c r="X428" s="1" t="s">
        <v>74</v>
      </c>
      <c r="Y428" s="1" t="s">
        <v>74</v>
      </c>
      <c r="Z428" s="1" t="s">
        <v>74</v>
      </c>
      <c r="AA428" s="1" t="s">
        <v>2662</v>
      </c>
      <c r="AB428" s="1" t="s">
        <v>2663</v>
      </c>
      <c r="AC428" s="1" t="s">
        <v>74</v>
      </c>
      <c r="AD428" s="1" t="s">
        <v>74</v>
      </c>
      <c r="AE428" s="1" t="s">
        <v>74</v>
      </c>
      <c r="AF428" s="1" t="s">
        <v>74</v>
      </c>
      <c r="AG428" s="1" t="s">
        <v>74</v>
      </c>
      <c r="AH428" s="1" t="s">
        <v>74</v>
      </c>
      <c r="AI428" s="1" t="s">
        <v>74</v>
      </c>
      <c r="AJ428" s="1" t="s">
        <v>74</v>
      </c>
      <c r="AK428" s="1" t="s">
        <v>74</v>
      </c>
      <c r="AL428" s="1" t="s">
        <v>74</v>
      </c>
      <c r="AM428" s="1" t="s">
        <v>74</v>
      </c>
      <c r="AN428" s="1" t="s">
        <v>74</v>
      </c>
      <c r="AO428" s="1" t="s">
        <v>4481</v>
      </c>
      <c r="AP428" s="1" t="s">
        <v>4482</v>
      </c>
      <c r="AQ428" s="1" t="s">
        <v>74</v>
      </c>
      <c r="AR428" s="1" t="s">
        <v>74</v>
      </c>
      <c r="AS428" s="1" t="s">
        <v>74</v>
      </c>
      <c r="AT428" s="1" t="s">
        <v>348</v>
      </c>
      <c r="AU428" s="1">
        <v>2002.0</v>
      </c>
      <c r="AV428" s="1">
        <v>17.0</v>
      </c>
      <c r="AW428" s="1">
        <v>9.0</v>
      </c>
      <c r="AX428" s="1" t="s">
        <v>74</v>
      </c>
      <c r="AY428" s="1" t="s">
        <v>74</v>
      </c>
      <c r="AZ428" s="1" t="s">
        <v>74</v>
      </c>
      <c r="BA428" s="1" t="s">
        <v>74</v>
      </c>
      <c r="BB428" s="1">
        <v>952.0</v>
      </c>
      <c r="BC428" s="1">
        <v>956.0</v>
      </c>
      <c r="BD428" s="1" t="s">
        <v>4483</v>
      </c>
      <c r="BE428" s="1" t="s">
        <v>4484</v>
      </c>
      <c r="BF428" s="2" t="str">
        <f>HYPERLINK("http://dx.doi.org/10.1088/0268-1242/17/9/309","http://dx.doi.org/10.1088/0268-1242/17/9/309")</f>
        <v>http://dx.doi.org/10.1088/0268-1242/17/9/309</v>
      </c>
      <c r="BG428" s="1" t="s">
        <v>74</v>
      </c>
      <c r="BH428" s="1" t="s">
        <v>74</v>
      </c>
      <c r="BI428" s="1" t="s">
        <v>74</v>
      </c>
      <c r="BJ428" s="1" t="s">
        <v>74</v>
      </c>
      <c r="BK428" s="1" t="s">
        <v>74</v>
      </c>
      <c r="BL428" s="1" t="s">
        <v>74</v>
      </c>
      <c r="BM428" s="1" t="s">
        <v>74</v>
      </c>
      <c r="BN428" s="1" t="s">
        <v>74</v>
      </c>
      <c r="BO428" s="1" t="s">
        <v>74</v>
      </c>
      <c r="BP428" s="1" t="s">
        <v>74</v>
      </c>
      <c r="BQ428" s="1" t="s">
        <v>74</v>
      </c>
      <c r="BR428" s="1" t="s">
        <v>74</v>
      </c>
      <c r="BS428" s="1" t="s">
        <v>4485</v>
      </c>
      <c r="BT428" s="1" t="str">
        <f>HYPERLINK("https%3A%2F%2Fwww.webofscience.com%2Fwos%2Fwoscc%2Ffull-record%2FWOS:000178307600012","View Full Record in Web of Science")</f>
        <v>View Full Record in Web of Science</v>
      </c>
    </row>
    <row r="429" ht="12.75" customHeight="1">
      <c r="A429" s="1" t="s">
        <v>72</v>
      </c>
      <c r="B429" s="1" t="s">
        <v>4486</v>
      </c>
      <c r="C429" s="1" t="s">
        <v>74</v>
      </c>
      <c r="D429" s="1" t="s">
        <v>74</v>
      </c>
      <c r="E429" s="1" t="s">
        <v>74</v>
      </c>
      <c r="F429" s="1" t="s">
        <v>4486</v>
      </c>
      <c r="G429" s="1" t="s">
        <v>74</v>
      </c>
      <c r="H429" s="1" t="s">
        <v>74</v>
      </c>
      <c r="I429" s="1" t="s">
        <v>4487</v>
      </c>
      <c r="J429" s="1" t="s">
        <v>1994</v>
      </c>
      <c r="K429" s="1" t="s">
        <v>74</v>
      </c>
      <c r="L429" s="1" t="s">
        <v>74</v>
      </c>
      <c r="M429" s="1" t="s">
        <v>74</v>
      </c>
      <c r="N429" s="1" t="s">
        <v>74</v>
      </c>
      <c r="O429" s="1" t="s">
        <v>74</v>
      </c>
      <c r="P429" s="1" t="s">
        <v>74</v>
      </c>
      <c r="Q429" s="1" t="s">
        <v>74</v>
      </c>
      <c r="R429" s="1" t="s">
        <v>74</v>
      </c>
      <c r="S429" s="1" t="s">
        <v>74</v>
      </c>
      <c r="T429" s="1" t="s">
        <v>74</v>
      </c>
      <c r="U429" s="1" t="s">
        <v>74</v>
      </c>
      <c r="V429" s="1" t="s">
        <v>4488</v>
      </c>
      <c r="W429" s="1" t="s">
        <v>74</v>
      </c>
      <c r="X429" s="1" t="s">
        <v>74</v>
      </c>
      <c r="Y429" s="1" t="s">
        <v>74</v>
      </c>
      <c r="Z429" s="1" t="s">
        <v>74</v>
      </c>
      <c r="AA429" s="1" t="s">
        <v>74</v>
      </c>
      <c r="AB429" s="1" t="s">
        <v>74</v>
      </c>
      <c r="AC429" s="1" t="s">
        <v>74</v>
      </c>
      <c r="AD429" s="1" t="s">
        <v>74</v>
      </c>
      <c r="AE429" s="1" t="s">
        <v>74</v>
      </c>
      <c r="AF429" s="1" t="s">
        <v>74</v>
      </c>
      <c r="AG429" s="1" t="s">
        <v>74</v>
      </c>
      <c r="AH429" s="1" t="s">
        <v>74</v>
      </c>
      <c r="AI429" s="1" t="s">
        <v>74</v>
      </c>
      <c r="AJ429" s="1" t="s">
        <v>74</v>
      </c>
      <c r="AK429" s="1" t="s">
        <v>74</v>
      </c>
      <c r="AL429" s="1" t="s">
        <v>74</v>
      </c>
      <c r="AM429" s="1" t="s">
        <v>74</v>
      </c>
      <c r="AN429" s="1" t="s">
        <v>74</v>
      </c>
      <c r="AO429" s="1" t="s">
        <v>1997</v>
      </c>
      <c r="AP429" s="1" t="s">
        <v>74</v>
      </c>
      <c r="AQ429" s="1" t="s">
        <v>74</v>
      </c>
      <c r="AR429" s="1" t="s">
        <v>74</v>
      </c>
      <c r="AS429" s="1" t="s">
        <v>74</v>
      </c>
      <c r="AT429" s="1" t="s">
        <v>1213</v>
      </c>
      <c r="AU429" s="1">
        <v>1997.0</v>
      </c>
      <c r="AV429" s="1">
        <v>42.0</v>
      </c>
      <c r="AW429" s="1">
        <v>1.0</v>
      </c>
      <c r="AX429" s="1" t="s">
        <v>74</v>
      </c>
      <c r="AY429" s="1" t="s">
        <v>74</v>
      </c>
      <c r="AZ429" s="1" t="s">
        <v>74</v>
      </c>
      <c r="BA429" s="1" t="s">
        <v>74</v>
      </c>
      <c r="BB429" s="1">
        <v>109.0</v>
      </c>
      <c r="BC429" s="1">
        <v>111.0</v>
      </c>
      <c r="BD429" s="1" t="s">
        <v>74</v>
      </c>
      <c r="BE429" s="1" t="s">
        <v>74</v>
      </c>
      <c r="BF429" s="1" t="s">
        <v>74</v>
      </c>
      <c r="BG429" s="1" t="s">
        <v>74</v>
      </c>
      <c r="BH429" s="1" t="s">
        <v>74</v>
      </c>
      <c r="BI429" s="1" t="s">
        <v>74</v>
      </c>
      <c r="BJ429" s="1" t="s">
        <v>74</v>
      </c>
      <c r="BK429" s="1" t="s">
        <v>74</v>
      </c>
      <c r="BL429" s="1" t="s">
        <v>74</v>
      </c>
      <c r="BM429" s="1" t="s">
        <v>74</v>
      </c>
      <c r="BN429" s="1" t="s">
        <v>74</v>
      </c>
      <c r="BO429" s="1" t="s">
        <v>74</v>
      </c>
      <c r="BP429" s="1" t="s">
        <v>74</v>
      </c>
      <c r="BQ429" s="1" t="s">
        <v>74</v>
      </c>
      <c r="BR429" s="1" t="s">
        <v>74</v>
      </c>
      <c r="BS429" s="1" t="s">
        <v>4489</v>
      </c>
      <c r="BT429" s="1" t="str">
        <f>HYPERLINK("https%3A%2F%2Fwww.webofscience.com%2Fwos%2Fwoscc%2Ffull-record%2FWOS:A1997WR46900013","View Full Record in Web of Science")</f>
        <v>View Full Record in Web of Science</v>
      </c>
    </row>
    <row r="430" ht="12.75" customHeight="1">
      <c r="A430" s="1" t="s">
        <v>72</v>
      </c>
      <c r="B430" s="1" t="s">
        <v>4490</v>
      </c>
      <c r="C430" s="1" t="s">
        <v>74</v>
      </c>
      <c r="D430" s="1" t="s">
        <v>74</v>
      </c>
      <c r="E430" s="1" t="s">
        <v>74</v>
      </c>
      <c r="F430" s="1" t="s">
        <v>4491</v>
      </c>
      <c r="G430" s="1" t="s">
        <v>74</v>
      </c>
      <c r="H430" s="1" t="s">
        <v>74</v>
      </c>
      <c r="I430" s="1" t="s">
        <v>4492</v>
      </c>
      <c r="J430" s="1" t="s">
        <v>4493</v>
      </c>
      <c r="K430" s="1" t="s">
        <v>74</v>
      </c>
      <c r="L430" s="1" t="s">
        <v>74</v>
      </c>
      <c r="M430" s="1" t="s">
        <v>74</v>
      </c>
      <c r="N430" s="1" t="s">
        <v>74</v>
      </c>
      <c r="O430" s="1" t="s">
        <v>74</v>
      </c>
      <c r="P430" s="1" t="s">
        <v>74</v>
      </c>
      <c r="Q430" s="1" t="s">
        <v>74</v>
      </c>
      <c r="R430" s="1" t="s">
        <v>74</v>
      </c>
      <c r="S430" s="1" t="s">
        <v>74</v>
      </c>
      <c r="T430" s="1" t="s">
        <v>74</v>
      </c>
      <c r="U430" s="1" t="s">
        <v>74</v>
      </c>
      <c r="V430" s="1" t="s">
        <v>4494</v>
      </c>
      <c r="W430" s="1" t="s">
        <v>74</v>
      </c>
      <c r="X430" s="1" t="s">
        <v>74</v>
      </c>
      <c r="Y430" s="1" t="s">
        <v>74</v>
      </c>
      <c r="Z430" s="1" t="s">
        <v>74</v>
      </c>
      <c r="AA430" s="1" t="s">
        <v>74</v>
      </c>
      <c r="AB430" s="1" t="s">
        <v>74</v>
      </c>
      <c r="AC430" s="1" t="s">
        <v>74</v>
      </c>
      <c r="AD430" s="1" t="s">
        <v>74</v>
      </c>
      <c r="AE430" s="1" t="s">
        <v>74</v>
      </c>
      <c r="AF430" s="1" t="s">
        <v>74</v>
      </c>
      <c r="AG430" s="1" t="s">
        <v>74</v>
      </c>
      <c r="AH430" s="1" t="s">
        <v>74</v>
      </c>
      <c r="AI430" s="1" t="s">
        <v>74</v>
      </c>
      <c r="AJ430" s="1" t="s">
        <v>74</v>
      </c>
      <c r="AK430" s="1" t="s">
        <v>74</v>
      </c>
      <c r="AL430" s="1" t="s">
        <v>74</v>
      </c>
      <c r="AM430" s="1" t="s">
        <v>74</v>
      </c>
      <c r="AN430" s="1" t="s">
        <v>74</v>
      </c>
      <c r="AO430" s="1" t="s">
        <v>4495</v>
      </c>
      <c r="AP430" s="1" t="s">
        <v>74</v>
      </c>
      <c r="AQ430" s="1" t="s">
        <v>74</v>
      </c>
      <c r="AR430" s="1" t="s">
        <v>74</v>
      </c>
      <c r="AS430" s="1" t="s">
        <v>74</v>
      </c>
      <c r="AT430" s="1" t="s">
        <v>4496</v>
      </c>
      <c r="AU430" s="1">
        <v>2025.0</v>
      </c>
      <c r="AV430" s="1">
        <v>15.0</v>
      </c>
      <c r="AW430" s="1">
        <v>1.0</v>
      </c>
      <c r="AX430" s="1" t="s">
        <v>74</v>
      </c>
      <c r="AY430" s="1" t="s">
        <v>74</v>
      </c>
      <c r="AZ430" s="1" t="s">
        <v>74</v>
      </c>
      <c r="BA430" s="1" t="s">
        <v>74</v>
      </c>
      <c r="BB430" s="1" t="s">
        <v>74</v>
      </c>
      <c r="BC430" s="1" t="s">
        <v>74</v>
      </c>
      <c r="BD430" s="1">
        <v>13447.0</v>
      </c>
      <c r="BE430" s="1" t="s">
        <v>4497</v>
      </c>
      <c r="BF430" s="2" t="str">
        <f>HYPERLINK("http://dx.doi.org/10.1038/s41598-025-96086-4","http://dx.doi.org/10.1038/s41598-025-96086-4")</f>
        <v>http://dx.doi.org/10.1038/s41598-025-96086-4</v>
      </c>
      <c r="BG430" s="1" t="s">
        <v>74</v>
      </c>
      <c r="BH430" s="1" t="s">
        <v>74</v>
      </c>
      <c r="BI430" s="1" t="s">
        <v>74</v>
      </c>
      <c r="BJ430" s="1" t="s">
        <v>74</v>
      </c>
      <c r="BK430" s="1" t="s">
        <v>74</v>
      </c>
      <c r="BL430" s="1" t="s">
        <v>74</v>
      </c>
      <c r="BM430" s="1" t="s">
        <v>74</v>
      </c>
      <c r="BN430" s="1">
        <v>4.0251229E7</v>
      </c>
      <c r="BO430" s="1" t="s">
        <v>74</v>
      </c>
      <c r="BP430" s="1" t="s">
        <v>74</v>
      </c>
      <c r="BQ430" s="1" t="s">
        <v>74</v>
      </c>
      <c r="BR430" s="1" t="s">
        <v>74</v>
      </c>
      <c r="BS430" s="1" t="s">
        <v>4498</v>
      </c>
      <c r="BT430" s="1" t="str">
        <f>HYPERLINK("https%3A%2F%2Fwww.webofscience.com%2Fwos%2Fwoscc%2Ffull-record%2FWOS:001471063300015","View Full Record in Web of Science")</f>
        <v>View Full Record in Web of Science</v>
      </c>
    </row>
    <row r="431" ht="12.75" customHeight="1">
      <c r="A431" s="1" t="s">
        <v>72</v>
      </c>
      <c r="B431" s="1" t="s">
        <v>4499</v>
      </c>
      <c r="C431" s="1" t="s">
        <v>74</v>
      </c>
      <c r="D431" s="1" t="s">
        <v>74</v>
      </c>
      <c r="E431" s="1" t="s">
        <v>74</v>
      </c>
      <c r="F431" s="1" t="s">
        <v>4500</v>
      </c>
      <c r="G431" s="1" t="s">
        <v>74</v>
      </c>
      <c r="H431" s="1" t="s">
        <v>74</v>
      </c>
      <c r="I431" s="1" t="s">
        <v>4501</v>
      </c>
      <c r="J431" s="1" t="s">
        <v>2030</v>
      </c>
      <c r="K431" s="1" t="s">
        <v>74</v>
      </c>
      <c r="L431" s="1" t="s">
        <v>74</v>
      </c>
      <c r="M431" s="1" t="s">
        <v>74</v>
      </c>
      <c r="N431" s="1" t="s">
        <v>74</v>
      </c>
      <c r="O431" s="1" t="s">
        <v>74</v>
      </c>
      <c r="P431" s="1" t="s">
        <v>74</v>
      </c>
      <c r="Q431" s="1" t="s">
        <v>74</v>
      </c>
      <c r="R431" s="1" t="s">
        <v>74</v>
      </c>
      <c r="S431" s="1" t="s">
        <v>74</v>
      </c>
      <c r="T431" s="1" t="s">
        <v>74</v>
      </c>
      <c r="U431" s="1" t="s">
        <v>74</v>
      </c>
      <c r="V431" s="1" t="s">
        <v>4502</v>
      </c>
      <c r="W431" s="1" t="s">
        <v>74</v>
      </c>
      <c r="X431" s="1" t="s">
        <v>74</v>
      </c>
      <c r="Y431" s="1" t="s">
        <v>74</v>
      </c>
      <c r="Z431" s="1" t="s">
        <v>74</v>
      </c>
      <c r="AA431" s="1" t="s">
        <v>4503</v>
      </c>
      <c r="AB431" s="1" t="s">
        <v>4504</v>
      </c>
      <c r="AC431" s="1" t="s">
        <v>74</v>
      </c>
      <c r="AD431" s="1" t="s">
        <v>74</v>
      </c>
      <c r="AE431" s="1" t="s">
        <v>74</v>
      </c>
      <c r="AF431" s="1" t="s">
        <v>74</v>
      </c>
      <c r="AG431" s="1" t="s">
        <v>74</v>
      </c>
      <c r="AH431" s="1" t="s">
        <v>74</v>
      </c>
      <c r="AI431" s="1" t="s">
        <v>74</v>
      </c>
      <c r="AJ431" s="1" t="s">
        <v>74</v>
      </c>
      <c r="AK431" s="1" t="s">
        <v>74</v>
      </c>
      <c r="AL431" s="1" t="s">
        <v>74</v>
      </c>
      <c r="AM431" s="1" t="s">
        <v>74</v>
      </c>
      <c r="AN431" s="1" t="s">
        <v>74</v>
      </c>
      <c r="AO431" s="1" t="s">
        <v>74</v>
      </c>
      <c r="AP431" s="1" t="s">
        <v>2034</v>
      </c>
      <c r="AQ431" s="1" t="s">
        <v>74</v>
      </c>
      <c r="AR431" s="1" t="s">
        <v>74</v>
      </c>
      <c r="AS431" s="1" t="s">
        <v>74</v>
      </c>
      <c r="AT431" s="1" t="s">
        <v>307</v>
      </c>
      <c r="AU431" s="1">
        <v>2024.0</v>
      </c>
      <c r="AV431" s="1">
        <v>16.0</v>
      </c>
      <c r="AW431" s="1">
        <v>24.0</v>
      </c>
      <c r="AX431" s="1" t="s">
        <v>74</v>
      </c>
      <c r="AY431" s="1" t="s">
        <v>74</v>
      </c>
      <c r="AZ431" s="1" t="s">
        <v>74</v>
      </c>
      <c r="BA431" s="1" t="s">
        <v>74</v>
      </c>
      <c r="BB431" s="1" t="s">
        <v>74</v>
      </c>
      <c r="BC431" s="1" t="s">
        <v>74</v>
      </c>
      <c r="BD431" s="1">
        <v>10888.0</v>
      </c>
      <c r="BE431" s="1" t="s">
        <v>4505</v>
      </c>
      <c r="BF431" s="2" t="str">
        <f>HYPERLINK("http://dx.doi.org/10.3390/su162410888","http://dx.doi.org/10.3390/su162410888")</f>
        <v>http://dx.doi.org/10.3390/su162410888</v>
      </c>
      <c r="BG431" s="1" t="s">
        <v>74</v>
      </c>
      <c r="BH431" s="1" t="s">
        <v>74</v>
      </c>
      <c r="BI431" s="1" t="s">
        <v>74</v>
      </c>
      <c r="BJ431" s="1" t="s">
        <v>74</v>
      </c>
      <c r="BK431" s="1" t="s">
        <v>74</v>
      </c>
      <c r="BL431" s="1" t="s">
        <v>74</v>
      </c>
      <c r="BM431" s="1" t="s">
        <v>74</v>
      </c>
      <c r="BN431" s="1" t="s">
        <v>74</v>
      </c>
      <c r="BO431" s="1" t="s">
        <v>74</v>
      </c>
      <c r="BP431" s="1" t="s">
        <v>74</v>
      </c>
      <c r="BQ431" s="1" t="s">
        <v>74</v>
      </c>
      <c r="BR431" s="1" t="s">
        <v>74</v>
      </c>
      <c r="BS431" s="1" t="s">
        <v>4506</v>
      </c>
      <c r="BT431" s="1" t="str">
        <f>HYPERLINK("https%3A%2F%2Fwww.webofscience.com%2Fwos%2Fwoscc%2Ffull-record%2FWOS:001386621100001","View Full Record in Web of Science")</f>
        <v>View Full Record in Web of Science</v>
      </c>
    </row>
    <row r="432" ht="12.75" customHeight="1">
      <c r="A432" s="1" t="s">
        <v>72</v>
      </c>
      <c r="B432" s="1" t="s">
        <v>4507</v>
      </c>
      <c r="C432" s="1" t="s">
        <v>74</v>
      </c>
      <c r="D432" s="1" t="s">
        <v>74</v>
      </c>
      <c r="E432" s="1" t="s">
        <v>74</v>
      </c>
      <c r="F432" s="1" t="s">
        <v>4508</v>
      </c>
      <c r="G432" s="1" t="s">
        <v>74</v>
      </c>
      <c r="H432" s="1" t="s">
        <v>74</v>
      </c>
      <c r="I432" s="1" t="s">
        <v>4509</v>
      </c>
      <c r="J432" s="1" t="s">
        <v>4510</v>
      </c>
      <c r="K432" s="1" t="s">
        <v>74</v>
      </c>
      <c r="L432" s="1" t="s">
        <v>74</v>
      </c>
      <c r="M432" s="1" t="s">
        <v>74</v>
      </c>
      <c r="N432" s="1" t="s">
        <v>74</v>
      </c>
      <c r="O432" s="1" t="s">
        <v>74</v>
      </c>
      <c r="P432" s="1" t="s">
        <v>74</v>
      </c>
      <c r="Q432" s="1" t="s">
        <v>74</v>
      </c>
      <c r="R432" s="1" t="s">
        <v>74</v>
      </c>
      <c r="S432" s="1" t="s">
        <v>74</v>
      </c>
      <c r="T432" s="1" t="s">
        <v>74</v>
      </c>
      <c r="U432" s="1" t="s">
        <v>74</v>
      </c>
      <c r="V432" s="1" t="s">
        <v>4511</v>
      </c>
      <c r="W432" s="1" t="s">
        <v>74</v>
      </c>
      <c r="X432" s="1" t="s">
        <v>74</v>
      </c>
      <c r="Y432" s="1" t="s">
        <v>74</v>
      </c>
      <c r="Z432" s="1" t="s">
        <v>74</v>
      </c>
      <c r="AA432" s="1" t="s">
        <v>4512</v>
      </c>
      <c r="AB432" s="1" t="s">
        <v>4513</v>
      </c>
      <c r="AC432" s="1" t="s">
        <v>74</v>
      </c>
      <c r="AD432" s="1" t="s">
        <v>74</v>
      </c>
      <c r="AE432" s="1" t="s">
        <v>74</v>
      </c>
      <c r="AF432" s="1" t="s">
        <v>74</v>
      </c>
      <c r="AG432" s="1" t="s">
        <v>74</v>
      </c>
      <c r="AH432" s="1" t="s">
        <v>74</v>
      </c>
      <c r="AI432" s="1" t="s">
        <v>74</v>
      </c>
      <c r="AJ432" s="1" t="s">
        <v>74</v>
      </c>
      <c r="AK432" s="1" t="s">
        <v>74</v>
      </c>
      <c r="AL432" s="1" t="s">
        <v>74</v>
      </c>
      <c r="AM432" s="1" t="s">
        <v>74</v>
      </c>
      <c r="AN432" s="1" t="s">
        <v>74</v>
      </c>
      <c r="AO432" s="1" t="s">
        <v>4514</v>
      </c>
      <c r="AP432" s="1" t="s">
        <v>74</v>
      </c>
      <c r="AQ432" s="1" t="s">
        <v>74</v>
      </c>
      <c r="AR432" s="1" t="s">
        <v>74</v>
      </c>
      <c r="AS432" s="1" t="s">
        <v>74</v>
      </c>
      <c r="AT432" s="1" t="s">
        <v>2447</v>
      </c>
      <c r="AU432" s="1">
        <v>2024.0</v>
      </c>
      <c r="AV432" s="1">
        <v>14.0</v>
      </c>
      <c r="AW432" s="1" t="s">
        <v>74</v>
      </c>
      <c r="AX432" s="1" t="s">
        <v>74</v>
      </c>
      <c r="AY432" s="1" t="s">
        <v>74</v>
      </c>
      <c r="AZ432" s="1" t="s">
        <v>74</v>
      </c>
      <c r="BA432" s="1" t="s">
        <v>74</v>
      </c>
      <c r="BB432" s="1" t="s">
        <v>74</v>
      </c>
      <c r="BC432" s="1" t="s">
        <v>74</v>
      </c>
      <c r="BD432" s="1">
        <v>1282383.0</v>
      </c>
      <c r="BE432" s="1" t="s">
        <v>4515</v>
      </c>
      <c r="BF432" s="2" t="str">
        <f>HYPERLINK("http://dx.doi.org/10.3389/fpsyg.2023.1282383","http://dx.doi.org/10.3389/fpsyg.2023.1282383")</f>
        <v>http://dx.doi.org/10.3389/fpsyg.2023.1282383</v>
      </c>
      <c r="BG432" s="1" t="s">
        <v>74</v>
      </c>
      <c r="BH432" s="1" t="s">
        <v>74</v>
      </c>
      <c r="BI432" s="1" t="s">
        <v>74</v>
      </c>
      <c r="BJ432" s="1" t="s">
        <v>74</v>
      </c>
      <c r="BK432" s="1" t="s">
        <v>74</v>
      </c>
      <c r="BL432" s="1" t="s">
        <v>74</v>
      </c>
      <c r="BM432" s="1" t="s">
        <v>74</v>
      </c>
      <c r="BN432" s="1">
        <v>3.8282852E7</v>
      </c>
      <c r="BO432" s="1" t="s">
        <v>74</v>
      </c>
      <c r="BP432" s="1" t="s">
        <v>74</v>
      </c>
      <c r="BQ432" s="1" t="s">
        <v>74</v>
      </c>
      <c r="BR432" s="1" t="s">
        <v>74</v>
      </c>
      <c r="BS432" s="1" t="s">
        <v>4516</v>
      </c>
      <c r="BT432" s="1" t="str">
        <f>HYPERLINK("https%3A%2F%2Fwww.webofscience.com%2Fwos%2Fwoscc%2Ffull-record%2FWOS:001148794300001","View Full Record in Web of Science")</f>
        <v>View Full Record in Web of Science</v>
      </c>
    </row>
    <row r="433" ht="12.75" customHeight="1">
      <c r="A433" s="1" t="s">
        <v>72</v>
      </c>
      <c r="B433" s="1" t="s">
        <v>4517</v>
      </c>
      <c r="C433" s="1" t="s">
        <v>74</v>
      </c>
      <c r="D433" s="1" t="s">
        <v>74</v>
      </c>
      <c r="E433" s="1" t="s">
        <v>74</v>
      </c>
      <c r="F433" s="1" t="s">
        <v>4518</v>
      </c>
      <c r="G433" s="1" t="s">
        <v>74</v>
      </c>
      <c r="H433" s="1" t="s">
        <v>74</v>
      </c>
      <c r="I433" s="1" t="s">
        <v>4519</v>
      </c>
      <c r="J433" s="1" t="s">
        <v>2323</v>
      </c>
      <c r="K433" s="1" t="s">
        <v>74</v>
      </c>
      <c r="L433" s="1" t="s">
        <v>74</v>
      </c>
      <c r="M433" s="1" t="s">
        <v>74</v>
      </c>
      <c r="N433" s="1" t="s">
        <v>74</v>
      </c>
      <c r="O433" s="1" t="s">
        <v>74</v>
      </c>
      <c r="P433" s="1" t="s">
        <v>74</v>
      </c>
      <c r="Q433" s="1" t="s">
        <v>74</v>
      </c>
      <c r="R433" s="1" t="s">
        <v>74</v>
      </c>
      <c r="S433" s="1" t="s">
        <v>74</v>
      </c>
      <c r="T433" s="1" t="s">
        <v>74</v>
      </c>
      <c r="U433" s="1" t="s">
        <v>74</v>
      </c>
      <c r="V433" s="1" t="s">
        <v>4520</v>
      </c>
      <c r="W433" s="1" t="s">
        <v>74</v>
      </c>
      <c r="X433" s="1" t="s">
        <v>74</v>
      </c>
      <c r="Y433" s="1" t="s">
        <v>74</v>
      </c>
      <c r="Z433" s="1" t="s">
        <v>74</v>
      </c>
      <c r="AA433" s="1" t="s">
        <v>4521</v>
      </c>
      <c r="AB433" s="1" t="s">
        <v>4522</v>
      </c>
      <c r="AC433" s="1" t="s">
        <v>74</v>
      </c>
      <c r="AD433" s="1" t="s">
        <v>74</v>
      </c>
      <c r="AE433" s="1" t="s">
        <v>74</v>
      </c>
      <c r="AF433" s="1" t="s">
        <v>74</v>
      </c>
      <c r="AG433" s="1" t="s">
        <v>74</v>
      </c>
      <c r="AH433" s="1" t="s">
        <v>74</v>
      </c>
      <c r="AI433" s="1" t="s">
        <v>74</v>
      </c>
      <c r="AJ433" s="1" t="s">
        <v>74</v>
      </c>
      <c r="AK433" s="1" t="s">
        <v>74</v>
      </c>
      <c r="AL433" s="1" t="s">
        <v>74</v>
      </c>
      <c r="AM433" s="1" t="s">
        <v>74</v>
      </c>
      <c r="AN433" s="1" t="s">
        <v>74</v>
      </c>
      <c r="AO433" s="1" t="s">
        <v>2327</v>
      </c>
      <c r="AP433" s="1" t="s">
        <v>4523</v>
      </c>
      <c r="AQ433" s="1" t="s">
        <v>74</v>
      </c>
      <c r="AR433" s="1" t="s">
        <v>74</v>
      </c>
      <c r="AS433" s="1" t="s">
        <v>74</v>
      </c>
      <c r="AT433" s="1" t="s">
        <v>4524</v>
      </c>
      <c r="AU433" s="1">
        <v>2023.0</v>
      </c>
      <c r="AV433" s="1">
        <v>280.0</v>
      </c>
      <c r="AW433" s="1" t="s">
        <v>74</v>
      </c>
      <c r="AX433" s="1" t="s">
        <v>74</v>
      </c>
      <c r="AY433" s="1" t="s">
        <v>74</v>
      </c>
      <c r="AZ433" s="1" t="s">
        <v>74</v>
      </c>
      <c r="BA433" s="1" t="s">
        <v>74</v>
      </c>
      <c r="BB433" s="1" t="s">
        <v>74</v>
      </c>
      <c r="BC433" s="1" t="s">
        <v>74</v>
      </c>
      <c r="BD433" s="1">
        <v>119047.0</v>
      </c>
      <c r="BE433" s="1" t="s">
        <v>4525</v>
      </c>
      <c r="BF433" s="2" t="str">
        <f>HYPERLINK("http://dx.doi.org/10.1016/j.ces.2023.119047","http://dx.doi.org/10.1016/j.ces.2023.119047")</f>
        <v>http://dx.doi.org/10.1016/j.ces.2023.119047</v>
      </c>
      <c r="BG433" s="1" t="s">
        <v>74</v>
      </c>
      <c r="BH433" s="1" t="s">
        <v>2403</v>
      </c>
      <c r="BI433" s="1" t="s">
        <v>74</v>
      </c>
      <c r="BJ433" s="1" t="s">
        <v>74</v>
      </c>
      <c r="BK433" s="1" t="s">
        <v>74</v>
      </c>
      <c r="BL433" s="1" t="s">
        <v>74</v>
      </c>
      <c r="BM433" s="1" t="s">
        <v>74</v>
      </c>
      <c r="BN433" s="1" t="s">
        <v>74</v>
      </c>
      <c r="BO433" s="1" t="s">
        <v>74</v>
      </c>
      <c r="BP433" s="1" t="s">
        <v>74</v>
      </c>
      <c r="BQ433" s="1" t="s">
        <v>74</v>
      </c>
      <c r="BR433" s="1" t="s">
        <v>74</v>
      </c>
      <c r="BS433" s="1" t="s">
        <v>4526</v>
      </c>
      <c r="BT433" s="1" t="str">
        <f>HYPERLINK("https%3A%2F%2Fwww.webofscience.com%2Fwos%2Fwoscc%2Ffull-record%2FWOS:001031795000001","View Full Record in Web of Science")</f>
        <v>View Full Record in Web of Science</v>
      </c>
    </row>
    <row r="434" ht="12.75" customHeight="1">
      <c r="A434" s="1" t="s">
        <v>72</v>
      </c>
      <c r="B434" s="1" t="s">
        <v>4527</v>
      </c>
      <c r="C434" s="1" t="s">
        <v>74</v>
      </c>
      <c r="D434" s="1" t="s">
        <v>74</v>
      </c>
      <c r="E434" s="1" t="s">
        <v>74</v>
      </c>
      <c r="F434" s="1" t="s">
        <v>4528</v>
      </c>
      <c r="G434" s="1" t="s">
        <v>74</v>
      </c>
      <c r="H434" s="1" t="s">
        <v>74</v>
      </c>
      <c r="I434" s="1" t="s">
        <v>4529</v>
      </c>
      <c r="J434" s="1" t="s">
        <v>1756</v>
      </c>
      <c r="K434" s="1" t="s">
        <v>74</v>
      </c>
      <c r="L434" s="1" t="s">
        <v>74</v>
      </c>
      <c r="M434" s="1" t="s">
        <v>74</v>
      </c>
      <c r="N434" s="1" t="s">
        <v>74</v>
      </c>
      <c r="O434" s="1" t="s">
        <v>74</v>
      </c>
      <c r="P434" s="1" t="s">
        <v>74</v>
      </c>
      <c r="Q434" s="1" t="s">
        <v>74</v>
      </c>
      <c r="R434" s="1" t="s">
        <v>74</v>
      </c>
      <c r="S434" s="1" t="s">
        <v>74</v>
      </c>
      <c r="T434" s="1" t="s">
        <v>74</v>
      </c>
      <c r="U434" s="1" t="s">
        <v>74</v>
      </c>
      <c r="V434" s="1" t="s">
        <v>4530</v>
      </c>
      <c r="W434" s="1" t="s">
        <v>74</v>
      </c>
      <c r="X434" s="1" t="s">
        <v>74</v>
      </c>
      <c r="Y434" s="1" t="s">
        <v>74</v>
      </c>
      <c r="Z434" s="1" t="s">
        <v>74</v>
      </c>
      <c r="AA434" s="1" t="s">
        <v>4531</v>
      </c>
      <c r="AB434" s="1" t="s">
        <v>4532</v>
      </c>
      <c r="AC434" s="1" t="s">
        <v>74</v>
      </c>
      <c r="AD434" s="1" t="s">
        <v>74</v>
      </c>
      <c r="AE434" s="1" t="s">
        <v>74</v>
      </c>
      <c r="AF434" s="1" t="s">
        <v>74</v>
      </c>
      <c r="AG434" s="1" t="s">
        <v>74</v>
      </c>
      <c r="AH434" s="1" t="s">
        <v>74</v>
      </c>
      <c r="AI434" s="1" t="s">
        <v>74</v>
      </c>
      <c r="AJ434" s="1" t="s">
        <v>74</v>
      </c>
      <c r="AK434" s="1" t="s">
        <v>74</v>
      </c>
      <c r="AL434" s="1" t="s">
        <v>74</v>
      </c>
      <c r="AM434" s="1" t="s">
        <v>74</v>
      </c>
      <c r="AN434" s="1" t="s">
        <v>74</v>
      </c>
      <c r="AO434" s="1" t="s">
        <v>74</v>
      </c>
      <c r="AP434" s="1" t="s">
        <v>1760</v>
      </c>
      <c r="AQ434" s="1" t="s">
        <v>74</v>
      </c>
      <c r="AR434" s="1" t="s">
        <v>74</v>
      </c>
      <c r="AS434" s="1" t="s">
        <v>74</v>
      </c>
      <c r="AT434" s="1" t="s">
        <v>307</v>
      </c>
      <c r="AU434" s="1">
        <v>2021.0</v>
      </c>
      <c r="AV434" s="1">
        <v>11.0</v>
      </c>
      <c r="AW434" s="1">
        <v>12.0</v>
      </c>
      <c r="AX434" s="1" t="s">
        <v>74</v>
      </c>
      <c r="AY434" s="1" t="s">
        <v>74</v>
      </c>
      <c r="AZ434" s="1" t="s">
        <v>74</v>
      </c>
      <c r="BA434" s="1" t="s">
        <v>74</v>
      </c>
      <c r="BB434" s="1" t="s">
        <v>74</v>
      </c>
      <c r="BC434" s="1" t="s">
        <v>74</v>
      </c>
      <c r="BD434" s="1">
        <v>1367.0</v>
      </c>
      <c r="BE434" s="1" t="s">
        <v>4533</v>
      </c>
      <c r="BF434" s="2" t="str">
        <f>HYPERLINK("http://dx.doi.org/10.3390/min11121367","http://dx.doi.org/10.3390/min11121367")</f>
        <v>http://dx.doi.org/10.3390/min11121367</v>
      </c>
      <c r="BG434" s="1" t="s">
        <v>74</v>
      </c>
      <c r="BH434" s="1" t="s">
        <v>74</v>
      </c>
      <c r="BI434" s="1" t="s">
        <v>74</v>
      </c>
      <c r="BJ434" s="1" t="s">
        <v>74</v>
      </c>
      <c r="BK434" s="1" t="s">
        <v>74</v>
      </c>
      <c r="BL434" s="1" t="s">
        <v>74</v>
      </c>
      <c r="BM434" s="1" t="s">
        <v>74</v>
      </c>
      <c r="BN434" s="1" t="s">
        <v>74</v>
      </c>
      <c r="BO434" s="1" t="s">
        <v>74</v>
      </c>
      <c r="BP434" s="1" t="s">
        <v>74</v>
      </c>
      <c r="BQ434" s="1" t="s">
        <v>74</v>
      </c>
      <c r="BR434" s="1" t="s">
        <v>74</v>
      </c>
      <c r="BS434" s="1" t="s">
        <v>4534</v>
      </c>
      <c r="BT434" s="1" t="str">
        <f>HYPERLINK("https%3A%2F%2Fwww.webofscience.com%2Fwos%2Fwoscc%2Ffull-record%2FWOS:000748412100001","View Full Record in Web of Science")</f>
        <v>View Full Record in Web of Science</v>
      </c>
    </row>
    <row r="435" ht="12.75" customHeight="1">
      <c r="A435" s="1" t="s">
        <v>72</v>
      </c>
      <c r="B435" s="1" t="s">
        <v>4535</v>
      </c>
      <c r="C435" s="1" t="s">
        <v>74</v>
      </c>
      <c r="D435" s="1" t="s">
        <v>74</v>
      </c>
      <c r="E435" s="1" t="s">
        <v>74</v>
      </c>
      <c r="F435" s="1" t="s">
        <v>4536</v>
      </c>
      <c r="G435" s="1" t="s">
        <v>74</v>
      </c>
      <c r="H435" s="1" t="s">
        <v>74</v>
      </c>
      <c r="I435" s="1" t="s">
        <v>4537</v>
      </c>
      <c r="J435" s="1" t="s">
        <v>1596</v>
      </c>
      <c r="K435" s="1" t="s">
        <v>74</v>
      </c>
      <c r="L435" s="1" t="s">
        <v>74</v>
      </c>
      <c r="M435" s="1" t="s">
        <v>74</v>
      </c>
      <c r="N435" s="1" t="s">
        <v>74</v>
      </c>
      <c r="O435" s="1" t="s">
        <v>74</v>
      </c>
      <c r="P435" s="1" t="s">
        <v>74</v>
      </c>
      <c r="Q435" s="1" t="s">
        <v>74</v>
      </c>
      <c r="R435" s="1" t="s">
        <v>74</v>
      </c>
      <c r="S435" s="1" t="s">
        <v>74</v>
      </c>
      <c r="T435" s="1" t="s">
        <v>74</v>
      </c>
      <c r="U435" s="1" t="s">
        <v>74</v>
      </c>
      <c r="V435" s="1" t="s">
        <v>4538</v>
      </c>
      <c r="W435" s="1" t="s">
        <v>74</v>
      </c>
      <c r="X435" s="1" t="s">
        <v>74</v>
      </c>
      <c r="Y435" s="1" t="s">
        <v>74</v>
      </c>
      <c r="Z435" s="1" t="s">
        <v>74</v>
      </c>
      <c r="AA435" s="1" t="s">
        <v>4539</v>
      </c>
      <c r="AB435" s="1" t="s">
        <v>4540</v>
      </c>
      <c r="AC435" s="1" t="s">
        <v>74</v>
      </c>
      <c r="AD435" s="1" t="s">
        <v>74</v>
      </c>
      <c r="AE435" s="1" t="s">
        <v>74</v>
      </c>
      <c r="AF435" s="1" t="s">
        <v>74</v>
      </c>
      <c r="AG435" s="1" t="s">
        <v>74</v>
      </c>
      <c r="AH435" s="1" t="s">
        <v>74</v>
      </c>
      <c r="AI435" s="1" t="s">
        <v>74</v>
      </c>
      <c r="AJ435" s="1" t="s">
        <v>74</v>
      </c>
      <c r="AK435" s="1" t="s">
        <v>74</v>
      </c>
      <c r="AL435" s="1" t="s">
        <v>74</v>
      </c>
      <c r="AM435" s="1" t="s">
        <v>74</v>
      </c>
      <c r="AN435" s="1" t="s">
        <v>74</v>
      </c>
      <c r="AO435" s="1" t="s">
        <v>1600</v>
      </c>
      <c r="AP435" s="1" t="s">
        <v>74</v>
      </c>
      <c r="AQ435" s="1" t="s">
        <v>74</v>
      </c>
      <c r="AR435" s="1" t="s">
        <v>74</v>
      </c>
      <c r="AS435" s="1" t="s">
        <v>74</v>
      </c>
      <c r="AT435" s="1" t="s">
        <v>307</v>
      </c>
      <c r="AU435" s="1">
        <v>2021.0</v>
      </c>
      <c r="AV435" s="1">
        <v>66.0</v>
      </c>
      <c r="AW435" s="1">
        <v>4.0</v>
      </c>
      <c r="AX435" s="1" t="s">
        <v>74</v>
      </c>
      <c r="AY435" s="1" t="s">
        <v>74</v>
      </c>
      <c r="AZ435" s="1" t="s">
        <v>74</v>
      </c>
      <c r="BA435" s="1" t="s">
        <v>74</v>
      </c>
      <c r="BB435" s="1">
        <v>5316.0</v>
      </c>
      <c r="BC435" s="1">
        <v>5319.0</v>
      </c>
      <c r="BD435" s="1" t="s">
        <v>74</v>
      </c>
      <c r="BE435" s="1" t="s">
        <v>74</v>
      </c>
      <c r="BF435" s="1" t="s">
        <v>74</v>
      </c>
      <c r="BG435" s="1" t="s">
        <v>74</v>
      </c>
      <c r="BH435" s="1" t="s">
        <v>74</v>
      </c>
      <c r="BI435" s="1" t="s">
        <v>74</v>
      </c>
      <c r="BJ435" s="1" t="s">
        <v>74</v>
      </c>
      <c r="BK435" s="1" t="s">
        <v>74</v>
      </c>
      <c r="BL435" s="1" t="s">
        <v>74</v>
      </c>
      <c r="BM435" s="1" t="s">
        <v>74</v>
      </c>
      <c r="BN435" s="1" t="s">
        <v>74</v>
      </c>
      <c r="BO435" s="1" t="s">
        <v>74</v>
      </c>
      <c r="BP435" s="1" t="s">
        <v>74</v>
      </c>
      <c r="BQ435" s="1" t="s">
        <v>74</v>
      </c>
      <c r="BR435" s="1" t="s">
        <v>74</v>
      </c>
      <c r="BS435" s="1" t="s">
        <v>4541</v>
      </c>
      <c r="BT435" s="1" t="str">
        <f>HYPERLINK("https%3A%2F%2Fwww.webofscience.com%2Fwos%2Fwoscc%2Ffull-record%2FWOS:000766602800001","View Full Record in Web of Science")</f>
        <v>View Full Record in Web of Science</v>
      </c>
    </row>
    <row r="436" ht="12.75" customHeight="1">
      <c r="A436" s="1" t="s">
        <v>72</v>
      </c>
      <c r="B436" s="1" t="s">
        <v>4542</v>
      </c>
      <c r="C436" s="1" t="s">
        <v>74</v>
      </c>
      <c r="D436" s="1" t="s">
        <v>74</v>
      </c>
      <c r="E436" s="1" t="s">
        <v>74</v>
      </c>
      <c r="F436" s="1" t="s">
        <v>4543</v>
      </c>
      <c r="G436" s="1" t="s">
        <v>74</v>
      </c>
      <c r="H436" s="1" t="s">
        <v>74</v>
      </c>
      <c r="I436" s="1" t="s">
        <v>4544</v>
      </c>
      <c r="J436" s="1" t="s">
        <v>4545</v>
      </c>
      <c r="K436" s="1" t="s">
        <v>74</v>
      </c>
      <c r="L436" s="1" t="s">
        <v>74</v>
      </c>
      <c r="M436" s="1" t="s">
        <v>74</v>
      </c>
      <c r="N436" s="1" t="s">
        <v>74</v>
      </c>
      <c r="O436" s="1" t="s">
        <v>74</v>
      </c>
      <c r="P436" s="1" t="s">
        <v>74</v>
      </c>
      <c r="Q436" s="1" t="s">
        <v>74</v>
      </c>
      <c r="R436" s="1" t="s">
        <v>74</v>
      </c>
      <c r="S436" s="1" t="s">
        <v>74</v>
      </c>
      <c r="T436" s="1" t="s">
        <v>74</v>
      </c>
      <c r="U436" s="1" t="s">
        <v>74</v>
      </c>
      <c r="V436" s="1" t="s">
        <v>4546</v>
      </c>
      <c r="W436" s="1" t="s">
        <v>74</v>
      </c>
      <c r="X436" s="1" t="s">
        <v>74</v>
      </c>
      <c r="Y436" s="1" t="s">
        <v>74</v>
      </c>
      <c r="Z436" s="1" t="s">
        <v>74</v>
      </c>
      <c r="AA436" s="1" t="s">
        <v>4547</v>
      </c>
      <c r="AB436" s="1" t="s">
        <v>4548</v>
      </c>
      <c r="AC436" s="1" t="s">
        <v>74</v>
      </c>
      <c r="AD436" s="1" t="s">
        <v>74</v>
      </c>
      <c r="AE436" s="1" t="s">
        <v>74</v>
      </c>
      <c r="AF436" s="1" t="s">
        <v>74</v>
      </c>
      <c r="AG436" s="1" t="s">
        <v>74</v>
      </c>
      <c r="AH436" s="1" t="s">
        <v>74</v>
      </c>
      <c r="AI436" s="1" t="s">
        <v>74</v>
      </c>
      <c r="AJ436" s="1" t="s">
        <v>74</v>
      </c>
      <c r="AK436" s="1" t="s">
        <v>74</v>
      </c>
      <c r="AL436" s="1" t="s">
        <v>74</v>
      </c>
      <c r="AM436" s="1" t="s">
        <v>74</v>
      </c>
      <c r="AN436" s="1" t="s">
        <v>74</v>
      </c>
      <c r="AO436" s="1" t="s">
        <v>4549</v>
      </c>
      <c r="AP436" s="1" t="s">
        <v>4550</v>
      </c>
      <c r="AQ436" s="1" t="s">
        <v>74</v>
      </c>
      <c r="AR436" s="1" t="s">
        <v>74</v>
      </c>
      <c r="AS436" s="1" t="s">
        <v>74</v>
      </c>
      <c r="AT436" s="1" t="s">
        <v>318</v>
      </c>
      <c r="AU436" s="1">
        <v>2022.0</v>
      </c>
      <c r="AV436" s="1">
        <v>272.0</v>
      </c>
      <c r="AW436" s="1">
        <v>1.0</v>
      </c>
      <c r="AX436" s="1" t="s">
        <v>74</v>
      </c>
      <c r="AY436" s="1" t="s">
        <v>74</v>
      </c>
      <c r="AZ436" s="1" t="s">
        <v>74</v>
      </c>
      <c r="BA436" s="1" t="s">
        <v>74</v>
      </c>
      <c r="BB436" s="1">
        <v>129.0</v>
      </c>
      <c r="BC436" s="1">
        <v>138.0</v>
      </c>
      <c r="BD436" s="1" t="s">
        <v>74</v>
      </c>
      <c r="BE436" s="1" t="s">
        <v>4551</v>
      </c>
      <c r="BF436" s="2" t="str">
        <f>HYPERLINK("http://dx.doi.org/10.1007/s00406-021-01254-y","http://dx.doi.org/10.1007/s00406-021-01254-y")</f>
        <v>http://dx.doi.org/10.1007/s00406-021-01254-y</v>
      </c>
      <c r="BG436" s="1" t="s">
        <v>74</v>
      </c>
      <c r="BH436" s="1" t="s">
        <v>2461</v>
      </c>
      <c r="BI436" s="1" t="s">
        <v>74</v>
      </c>
      <c r="BJ436" s="1" t="s">
        <v>74</v>
      </c>
      <c r="BK436" s="1" t="s">
        <v>74</v>
      </c>
      <c r="BL436" s="1" t="s">
        <v>74</v>
      </c>
      <c r="BM436" s="1" t="s">
        <v>74</v>
      </c>
      <c r="BN436" s="1">
        <v>3.377232E7</v>
      </c>
      <c r="BO436" s="1" t="s">
        <v>74</v>
      </c>
      <c r="BP436" s="1" t="s">
        <v>74</v>
      </c>
      <c r="BQ436" s="1" t="s">
        <v>74</v>
      </c>
      <c r="BR436" s="1" t="s">
        <v>74</v>
      </c>
      <c r="BS436" s="1" t="s">
        <v>4552</v>
      </c>
      <c r="BT436" s="1" t="str">
        <f>HYPERLINK("https%3A%2F%2Fwww.webofscience.com%2Fwos%2Fwoscc%2Ffull-record%2FWOS:000633279000001","View Full Record in Web of Science")</f>
        <v>View Full Record in Web of Science</v>
      </c>
    </row>
    <row r="437" ht="12.75" customHeight="1">
      <c r="A437" s="1" t="s">
        <v>72</v>
      </c>
      <c r="B437" s="1" t="s">
        <v>4553</v>
      </c>
      <c r="C437" s="1" t="s">
        <v>74</v>
      </c>
      <c r="D437" s="1" t="s">
        <v>74</v>
      </c>
      <c r="E437" s="1" t="s">
        <v>74</v>
      </c>
      <c r="F437" s="1" t="s">
        <v>4554</v>
      </c>
      <c r="G437" s="1" t="s">
        <v>74</v>
      </c>
      <c r="H437" s="1" t="s">
        <v>74</v>
      </c>
      <c r="I437" s="1" t="s">
        <v>4555</v>
      </c>
      <c r="J437" s="1" t="s">
        <v>4556</v>
      </c>
      <c r="K437" s="1" t="s">
        <v>74</v>
      </c>
      <c r="L437" s="1" t="s">
        <v>74</v>
      </c>
      <c r="M437" s="1" t="s">
        <v>74</v>
      </c>
      <c r="N437" s="1" t="s">
        <v>74</v>
      </c>
      <c r="O437" s="1" t="s">
        <v>74</v>
      </c>
      <c r="P437" s="1" t="s">
        <v>74</v>
      </c>
      <c r="Q437" s="1" t="s">
        <v>74</v>
      </c>
      <c r="R437" s="1" t="s">
        <v>74</v>
      </c>
      <c r="S437" s="1" t="s">
        <v>74</v>
      </c>
      <c r="T437" s="1" t="s">
        <v>74</v>
      </c>
      <c r="U437" s="1" t="s">
        <v>74</v>
      </c>
      <c r="V437" s="1" t="s">
        <v>4557</v>
      </c>
      <c r="W437" s="1" t="s">
        <v>74</v>
      </c>
      <c r="X437" s="1" t="s">
        <v>74</v>
      </c>
      <c r="Y437" s="1" t="s">
        <v>74</v>
      </c>
      <c r="Z437" s="1" t="s">
        <v>74</v>
      </c>
      <c r="AA437" s="1" t="s">
        <v>4558</v>
      </c>
      <c r="AB437" s="1" t="s">
        <v>4559</v>
      </c>
      <c r="AC437" s="1" t="s">
        <v>74</v>
      </c>
      <c r="AD437" s="1" t="s">
        <v>74</v>
      </c>
      <c r="AE437" s="1" t="s">
        <v>74</v>
      </c>
      <c r="AF437" s="1" t="s">
        <v>74</v>
      </c>
      <c r="AG437" s="1" t="s">
        <v>74</v>
      </c>
      <c r="AH437" s="1" t="s">
        <v>74</v>
      </c>
      <c r="AI437" s="1" t="s">
        <v>74</v>
      </c>
      <c r="AJ437" s="1" t="s">
        <v>74</v>
      </c>
      <c r="AK437" s="1" t="s">
        <v>74</v>
      </c>
      <c r="AL437" s="1" t="s">
        <v>74</v>
      </c>
      <c r="AM437" s="1" t="s">
        <v>74</v>
      </c>
      <c r="AN437" s="1" t="s">
        <v>74</v>
      </c>
      <c r="AO437" s="1" t="s">
        <v>4560</v>
      </c>
      <c r="AP437" s="1" t="s">
        <v>4561</v>
      </c>
      <c r="AQ437" s="1" t="s">
        <v>74</v>
      </c>
      <c r="AR437" s="1" t="s">
        <v>74</v>
      </c>
      <c r="AS437" s="1" t="s">
        <v>74</v>
      </c>
      <c r="AT437" s="1" t="s">
        <v>4139</v>
      </c>
      <c r="AU437" s="1">
        <v>2021.0</v>
      </c>
      <c r="AV437" s="1">
        <v>32.0</v>
      </c>
      <c r="AW437" s="1">
        <v>3.0</v>
      </c>
      <c r="AX437" s="1" t="s">
        <v>74</v>
      </c>
      <c r="AY437" s="1" t="s">
        <v>74</v>
      </c>
      <c r="AZ437" s="1" t="s">
        <v>74</v>
      </c>
      <c r="BA437" s="1" t="s">
        <v>74</v>
      </c>
      <c r="BB437" s="1">
        <v>596.0</v>
      </c>
      <c r="BC437" s="1">
        <v>615.0</v>
      </c>
      <c r="BD437" s="1" t="s">
        <v>74</v>
      </c>
      <c r="BE437" s="1" t="s">
        <v>4562</v>
      </c>
      <c r="BF437" s="2" t="str">
        <f>HYPERLINK("http://dx.doi.org/10.1080/09585192.2018.1482939","http://dx.doi.org/10.1080/09585192.2018.1482939")</f>
        <v>http://dx.doi.org/10.1080/09585192.2018.1482939</v>
      </c>
      <c r="BG437" s="1" t="s">
        <v>74</v>
      </c>
      <c r="BH437" s="1" t="s">
        <v>74</v>
      </c>
      <c r="BI437" s="1" t="s">
        <v>74</v>
      </c>
      <c r="BJ437" s="1" t="s">
        <v>74</v>
      </c>
      <c r="BK437" s="1" t="s">
        <v>74</v>
      </c>
      <c r="BL437" s="1" t="s">
        <v>74</v>
      </c>
      <c r="BM437" s="1" t="s">
        <v>74</v>
      </c>
      <c r="BN437" s="1" t="s">
        <v>74</v>
      </c>
      <c r="BO437" s="1" t="s">
        <v>74</v>
      </c>
      <c r="BP437" s="1" t="s">
        <v>74</v>
      </c>
      <c r="BQ437" s="1" t="s">
        <v>74</v>
      </c>
      <c r="BR437" s="1" t="s">
        <v>74</v>
      </c>
      <c r="BS437" s="1" t="s">
        <v>4563</v>
      </c>
      <c r="BT437" s="1" t="str">
        <f>HYPERLINK("https%3A%2F%2Fwww.webofscience.com%2Fwos%2Fwoscc%2Ffull-record%2FWOS:000621610300003","View Full Record in Web of Science")</f>
        <v>View Full Record in Web of Science</v>
      </c>
    </row>
    <row r="438" ht="12.75" customHeight="1">
      <c r="A438" s="1" t="s">
        <v>72</v>
      </c>
      <c r="B438" s="1" t="s">
        <v>4564</v>
      </c>
      <c r="C438" s="1" t="s">
        <v>74</v>
      </c>
      <c r="D438" s="1" t="s">
        <v>74</v>
      </c>
      <c r="E438" s="1" t="s">
        <v>74</v>
      </c>
      <c r="F438" s="1" t="s">
        <v>4565</v>
      </c>
      <c r="G438" s="1" t="s">
        <v>74</v>
      </c>
      <c r="H438" s="1" t="s">
        <v>74</v>
      </c>
      <c r="I438" s="1" t="s">
        <v>4566</v>
      </c>
      <c r="J438" s="1" t="s">
        <v>2488</v>
      </c>
      <c r="K438" s="1" t="s">
        <v>74</v>
      </c>
      <c r="L438" s="1" t="s">
        <v>74</v>
      </c>
      <c r="M438" s="1" t="s">
        <v>74</v>
      </c>
      <c r="N438" s="1" t="s">
        <v>74</v>
      </c>
      <c r="O438" s="1" t="s">
        <v>74</v>
      </c>
      <c r="P438" s="1" t="s">
        <v>74</v>
      </c>
      <c r="Q438" s="1" t="s">
        <v>74</v>
      </c>
      <c r="R438" s="1" t="s">
        <v>74</v>
      </c>
      <c r="S438" s="1" t="s">
        <v>74</v>
      </c>
      <c r="T438" s="1" t="s">
        <v>74</v>
      </c>
      <c r="U438" s="1" t="s">
        <v>74</v>
      </c>
      <c r="V438" s="1" t="s">
        <v>4567</v>
      </c>
      <c r="W438" s="1" t="s">
        <v>74</v>
      </c>
      <c r="X438" s="1" t="s">
        <v>74</v>
      </c>
      <c r="Y438" s="1" t="s">
        <v>74</v>
      </c>
      <c r="Z438" s="1" t="s">
        <v>74</v>
      </c>
      <c r="AA438" s="1" t="s">
        <v>4568</v>
      </c>
      <c r="AB438" s="1" t="s">
        <v>4569</v>
      </c>
      <c r="AC438" s="1" t="s">
        <v>74</v>
      </c>
      <c r="AD438" s="1" t="s">
        <v>74</v>
      </c>
      <c r="AE438" s="1" t="s">
        <v>74</v>
      </c>
      <c r="AF438" s="1" t="s">
        <v>74</v>
      </c>
      <c r="AG438" s="1" t="s">
        <v>74</v>
      </c>
      <c r="AH438" s="1" t="s">
        <v>74</v>
      </c>
      <c r="AI438" s="1" t="s">
        <v>74</v>
      </c>
      <c r="AJ438" s="1" t="s">
        <v>74</v>
      </c>
      <c r="AK438" s="1" t="s">
        <v>74</v>
      </c>
      <c r="AL438" s="1" t="s">
        <v>74</v>
      </c>
      <c r="AM438" s="1" t="s">
        <v>74</v>
      </c>
      <c r="AN438" s="1" t="s">
        <v>74</v>
      </c>
      <c r="AO438" s="1" t="s">
        <v>2492</v>
      </c>
      <c r="AP438" s="1" t="s">
        <v>2493</v>
      </c>
      <c r="AQ438" s="1" t="s">
        <v>74</v>
      </c>
      <c r="AR438" s="1" t="s">
        <v>74</v>
      </c>
      <c r="AS438" s="1" t="s">
        <v>74</v>
      </c>
      <c r="AT438" s="1" t="s">
        <v>318</v>
      </c>
      <c r="AU438" s="1">
        <v>2021.0</v>
      </c>
      <c r="AV438" s="1">
        <v>36.0</v>
      </c>
      <c r="AW438" s="1">
        <v>2.0</v>
      </c>
      <c r="AX438" s="1" t="s">
        <v>74</v>
      </c>
      <c r="AY438" s="1" t="s">
        <v>74</v>
      </c>
      <c r="AZ438" s="1" t="s">
        <v>74</v>
      </c>
      <c r="BA438" s="1" t="s">
        <v>74</v>
      </c>
      <c r="BB438" s="1">
        <v>513.0</v>
      </c>
      <c r="BC438" s="1">
        <v>526.0</v>
      </c>
      <c r="BD438" s="1" t="s">
        <v>74</v>
      </c>
      <c r="BE438" s="1" t="s">
        <v>4570</v>
      </c>
      <c r="BF438" s="2" t="str">
        <f>HYPERLINK("http://dx.doi.org/10.1007/s10980-020-01171-w","http://dx.doi.org/10.1007/s10980-020-01171-w")</f>
        <v>http://dx.doi.org/10.1007/s10980-020-01171-w</v>
      </c>
      <c r="BG438" s="1" t="s">
        <v>74</v>
      </c>
      <c r="BH438" s="1" t="s">
        <v>625</v>
      </c>
      <c r="BI438" s="1" t="s">
        <v>74</v>
      </c>
      <c r="BJ438" s="1" t="s">
        <v>74</v>
      </c>
      <c r="BK438" s="1" t="s">
        <v>74</v>
      </c>
      <c r="BL438" s="1" t="s">
        <v>74</v>
      </c>
      <c r="BM438" s="1" t="s">
        <v>74</v>
      </c>
      <c r="BN438" s="1" t="s">
        <v>74</v>
      </c>
      <c r="BO438" s="1" t="s">
        <v>74</v>
      </c>
      <c r="BP438" s="1" t="s">
        <v>74</v>
      </c>
      <c r="BQ438" s="1" t="s">
        <v>74</v>
      </c>
      <c r="BR438" s="1" t="s">
        <v>74</v>
      </c>
      <c r="BS438" s="1" t="s">
        <v>4571</v>
      </c>
      <c r="BT438" s="1" t="str">
        <f>HYPERLINK("https%3A%2F%2Fwww.webofscience.com%2Fwos%2Fwoscc%2Ffull-record%2FWOS:000604193500004","View Full Record in Web of Science")</f>
        <v>View Full Record in Web of Science</v>
      </c>
    </row>
    <row r="439" ht="12.75" customHeight="1">
      <c r="A439" s="1" t="s">
        <v>72</v>
      </c>
      <c r="B439" s="1" t="s">
        <v>4572</v>
      </c>
      <c r="C439" s="1" t="s">
        <v>74</v>
      </c>
      <c r="D439" s="1" t="s">
        <v>74</v>
      </c>
      <c r="E439" s="1" t="s">
        <v>74</v>
      </c>
      <c r="F439" s="1" t="s">
        <v>4573</v>
      </c>
      <c r="G439" s="1" t="s">
        <v>74</v>
      </c>
      <c r="H439" s="1" t="s">
        <v>74</v>
      </c>
      <c r="I439" s="1" t="s">
        <v>4574</v>
      </c>
      <c r="J439" s="1" t="s">
        <v>1353</v>
      </c>
      <c r="K439" s="1" t="s">
        <v>74</v>
      </c>
      <c r="L439" s="1" t="s">
        <v>74</v>
      </c>
      <c r="M439" s="1" t="s">
        <v>74</v>
      </c>
      <c r="N439" s="1" t="s">
        <v>74</v>
      </c>
      <c r="O439" s="1" t="s">
        <v>74</v>
      </c>
      <c r="P439" s="1" t="s">
        <v>74</v>
      </c>
      <c r="Q439" s="1" t="s">
        <v>74</v>
      </c>
      <c r="R439" s="1" t="s">
        <v>74</v>
      </c>
      <c r="S439" s="1" t="s">
        <v>74</v>
      </c>
      <c r="T439" s="1" t="s">
        <v>74</v>
      </c>
      <c r="U439" s="1" t="s">
        <v>74</v>
      </c>
      <c r="V439" s="1" t="s">
        <v>4575</v>
      </c>
      <c r="W439" s="1" t="s">
        <v>74</v>
      </c>
      <c r="X439" s="1" t="s">
        <v>74</v>
      </c>
      <c r="Y439" s="1" t="s">
        <v>74</v>
      </c>
      <c r="Z439" s="1" t="s">
        <v>74</v>
      </c>
      <c r="AA439" s="1" t="s">
        <v>4576</v>
      </c>
      <c r="AB439" s="1" t="s">
        <v>4577</v>
      </c>
      <c r="AC439" s="1" t="s">
        <v>74</v>
      </c>
      <c r="AD439" s="1" t="s">
        <v>74</v>
      </c>
      <c r="AE439" s="1" t="s">
        <v>74</v>
      </c>
      <c r="AF439" s="1" t="s">
        <v>74</v>
      </c>
      <c r="AG439" s="1" t="s">
        <v>74</v>
      </c>
      <c r="AH439" s="1" t="s">
        <v>74</v>
      </c>
      <c r="AI439" s="1" t="s">
        <v>74</v>
      </c>
      <c r="AJ439" s="1" t="s">
        <v>74</v>
      </c>
      <c r="AK439" s="1" t="s">
        <v>74</v>
      </c>
      <c r="AL439" s="1" t="s">
        <v>74</v>
      </c>
      <c r="AM439" s="1" t="s">
        <v>74</v>
      </c>
      <c r="AN439" s="1" t="s">
        <v>74</v>
      </c>
      <c r="AO439" s="1" t="s">
        <v>74</v>
      </c>
      <c r="AP439" s="1" t="s">
        <v>1358</v>
      </c>
      <c r="AQ439" s="1" t="s">
        <v>74</v>
      </c>
      <c r="AR439" s="1" t="s">
        <v>74</v>
      </c>
      <c r="AS439" s="1" t="s">
        <v>74</v>
      </c>
      <c r="AT439" s="1" t="s">
        <v>164</v>
      </c>
      <c r="AU439" s="1">
        <v>2020.0</v>
      </c>
      <c r="AV439" s="1">
        <v>21.0</v>
      </c>
      <c r="AW439" s="1">
        <v>14.0</v>
      </c>
      <c r="AX439" s="1" t="s">
        <v>74</v>
      </c>
      <c r="AY439" s="1" t="s">
        <v>74</v>
      </c>
      <c r="AZ439" s="1" t="s">
        <v>74</v>
      </c>
      <c r="BA439" s="1" t="s">
        <v>74</v>
      </c>
      <c r="BB439" s="1" t="s">
        <v>74</v>
      </c>
      <c r="BC439" s="1" t="s">
        <v>74</v>
      </c>
      <c r="BD439" s="1">
        <v>4937.0</v>
      </c>
      <c r="BE439" s="1" t="s">
        <v>4578</v>
      </c>
      <c r="BF439" s="2" t="str">
        <f>HYPERLINK("http://dx.doi.org/10.3390/ijms21144937","http://dx.doi.org/10.3390/ijms21144937")</f>
        <v>http://dx.doi.org/10.3390/ijms21144937</v>
      </c>
      <c r="BG439" s="1" t="s">
        <v>74</v>
      </c>
      <c r="BH439" s="1" t="s">
        <v>74</v>
      </c>
      <c r="BI439" s="1" t="s">
        <v>74</v>
      </c>
      <c r="BJ439" s="1" t="s">
        <v>74</v>
      </c>
      <c r="BK439" s="1" t="s">
        <v>74</v>
      </c>
      <c r="BL439" s="1" t="s">
        <v>74</v>
      </c>
      <c r="BM439" s="1" t="s">
        <v>74</v>
      </c>
      <c r="BN439" s="1">
        <v>3.2668623E7</v>
      </c>
      <c r="BO439" s="1" t="s">
        <v>74</v>
      </c>
      <c r="BP439" s="1" t="s">
        <v>74</v>
      </c>
      <c r="BQ439" s="1" t="s">
        <v>74</v>
      </c>
      <c r="BR439" s="1" t="s">
        <v>74</v>
      </c>
      <c r="BS439" s="1" t="s">
        <v>4579</v>
      </c>
      <c r="BT439" s="1" t="str">
        <f>HYPERLINK("https%3A%2F%2Fwww.webofscience.com%2Fwos%2Fwoscc%2Ffull-record%2FWOS:000557654800001","View Full Record in Web of Science")</f>
        <v>View Full Record in Web of Science</v>
      </c>
    </row>
    <row r="440" ht="12.75" customHeight="1">
      <c r="A440" s="1" t="s">
        <v>72</v>
      </c>
      <c r="B440" s="1" t="s">
        <v>4580</v>
      </c>
      <c r="C440" s="1" t="s">
        <v>74</v>
      </c>
      <c r="D440" s="1" t="s">
        <v>74</v>
      </c>
      <c r="E440" s="1" t="s">
        <v>74</v>
      </c>
      <c r="F440" s="1" t="s">
        <v>4581</v>
      </c>
      <c r="G440" s="1" t="s">
        <v>74</v>
      </c>
      <c r="H440" s="1" t="s">
        <v>74</v>
      </c>
      <c r="I440" s="1" t="s">
        <v>4582</v>
      </c>
      <c r="J440" s="1" t="s">
        <v>1034</v>
      </c>
      <c r="K440" s="1" t="s">
        <v>74</v>
      </c>
      <c r="L440" s="1" t="s">
        <v>74</v>
      </c>
      <c r="M440" s="1" t="s">
        <v>74</v>
      </c>
      <c r="N440" s="1" t="s">
        <v>74</v>
      </c>
      <c r="O440" s="1" t="s">
        <v>74</v>
      </c>
      <c r="P440" s="1" t="s">
        <v>74</v>
      </c>
      <c r="Q440" s="1" t="s">
        <v>74</v>
      </c>
      <c r="R440" s="1" t="s">
        <v>74</v>
      </c>
      <c r="S440" s="1" t="s">
        <v>74</v>
      </c>
      <c r="T440" s="1" t="s">
        <v>74</v>
      </c>
      <c r="U440" s="1" t="s">
        <v>74</v>
      </c>
      <c r="V440" s="1" t="s">
        <v>4583</v>
      </c>
      <c r="W440" s="1" t="s">
        <v>74</v>
      </c>
      <c r="X440" s="1" t="s">
        <v>74</v>
      </c>
      <c r="Y440" s="1" t="s">
        <v>74</v>
      </c>
      <c r="Z440" s="1" t="s">
        <v>74</v>
      </c>
      <c r="AA440" s="1" t="s">
        <v>4584</v>
      </c>
      <c r="AB440" s="1" t="s">
        <v>4585</v>
      </c>
      <c r="AC440" s="1" t="s">
        <v>74</v>
      </c>
      <c r="AD440" s="1" t="s">
        <v>74</v>
      </c>
      <c r="AE440" s="1" t="s">
        <v>74</v>
      </c>
      <c r="AF440" s="1" t="s">
        <v>74</v>
      </c>
      <c r="AG440" s="1" t="s">
        <v>74</v>
      </c>
      <c r="AH440" s="1" t="s">
        <v>74</v>
      </c>
      <c r="AI440" s="1" t="s">
        <v>74</v>
      </c>
      <c r="AJ440" s="1" t="s">
        <v>74</v>
      </c>
      <c r="AK440" s="1" t="s">
        <v>74</v>
      </c>
      <c r="AL440" s="1" t="s">
        <v>74</v>
      </c>
      <c r="AM440" s="1" t="s">
        <v>74</v>
      </c>
      <c r="AN440" s="1" t="s">
        <v>74</v>
      </c>
      <c r="AO440" s="1" t="s">
        <v>74</v>
      </c>
      <c r="AP440" s="1" t="s">
        <v>1038</v>
      </c>
      <c r="AQ440" s="1" t="s">
        <v>74</v>
      </c>
      <c r="AR440" s="1" t="s">
        <v>74</v>
      </c>
      <c r="AS440" s="1" t="s">
        <v>74</v>
      </c>
      <c r="AT440" s="1" t="s">
        <v>485</v>
      </c>
      <c r="AU440" s="1">
        <v>2020.0</v>
      </c>
      <c r="AV440" s="1">
        <v>17.0</v>
      </c>
      <c r="AW440" s="1">
        <v>10.0</v>
      </c>
      <c r="AX440" s="1" t="s">
        <v>74</v>
      </c>
      <c r="AY440" s="1" t="s">
        <v>74</v>
      </c>
      <c r="AZ440" s="1" t="s">
        <v>74</v>
      </c>
      <c r="BA440" s="1" t="s">
        <v>74</v>
      </c>
      <c r="BB440" s="1" t="s">
        <v>74</v>
      </c>
      <c r="BC440" s="1" t="s">
        <v>74</v>
      </c>
      <c r="BD440" s="1">
        <v>3578.0</v>
      </c>
      <c r="BE440" s="1" t="s">
        <v>4586</v>
      </c>
      <c r="BF440" s="2" t="str">
        <f>HYPERLINK("http://dx.doi.org/10.3390/ijerph17103578","http://dx.doi.org/10.3390/ijerph17103578")</f>
        <v>http://dx.doi.org/10.3390/ijerph17103578</v>
      </c>
      <c r="BG440" s="1" t="s">
        <v>74</v>
      </c>
      <c r="BH440" s="1" t="s">
        <v>74</v>
      </c>
      <c r="BI440" s="1" t="s">
        <v>74</v>
      </c>
      <c r="BJ440" s="1" t="s">
        <v>74</v>
      </c>
      <c r="BK440" s="1" t="s">
        <v>74</v>
      </c>
      <c r="BL440" s="1" t="s">
        <v>74</v>
      </c>
      <c r="BM440" s="1" t="s">
        <v>74</v>
      </c>
      <c r="BN440" s="1">
        <v>3.2443738E7</v>
      </c>
      <c r="BO440" s="1" t="s">
        <v>74</v>
      </c>
      <c r="BP440" s="1" t="s">
        <v>74</v>
      </c>
      <c r="BQ440" s="1" t="s">
        <v>74</v>
      </c>
      <c r="BR440" s="1" t="s">
        <v>74</v>
      </c>
      <c r="BS440" s="1" t="s">
        <v>4587</v>
      </c>
      <c r="BT440" s="1" t="str">
        <f>HYPERLINK("https%3A%2F%2Fwww.webofscience.com%2Fwos%2Fwoscc%2Ffull-record%2FWOS:000539300900235","View Full Record in Web of Science")</f>
        <v>View Full Record in Web of Science</v>
      </c>
    </row>
    <row r="441" ht="12.75" customHeight="1">
      <c r="A441" s="1" t="s">
        <v>72</v>
      </c>
      <c r="B441" s="1" t="s">
        <v>4588</v>
      </c>
      <c r="C441" s="1" t="s">
        <v>74</v>
      </c>
      <c r="D441" s="1" t="s">
        <v>74</v>
      </c>
      <c r="E441" s="1" t="s">
        <v>74</v>
      </c>
      <c r="F441" s="1" t="s">
        <v>4589</v>
      </c>
      <c r="G441" s="1" t="s">
        <v>74</v>
      </c>
      <c r="H441" s="1" t="s">
        <v>74</v>
      </c>
      <c r="I441" s="1" t="s">
        <v>4590</v>
      </c>
      <c r="J441" s="1" t="s">
        <v>4591</v>
      </c>
      <c r="K441" s="1" t="s">
        <v>74</v>
      </c>
      <c r="L441" s="1" t="s">
        <v>74</v>
      </c>
      <c r="M441" s="1" t="s">
        <v>74</v>
      </c>
      <c r="N441" s="1" t="s">
        <v>74</v>
      </c>
      <c r="O441" s="1" t="s">
        <v>74</v>
      </c>
      <c r="P441" s="1" t="s">
        <v>74</v>
      </c>
      <c r="Q441" s="1" t="s">
        <v>74</v>
      </c>
      <c r="R441" s="1" t="s">
        <v>74</v>
      </c>
      <c r="S441" s="1" t="s">
        <v>74</v>
      </c>
      <c r="T441" s="1" t="s">
        <v>74</v>
      </c>
      <c r="U441" s="1" t="s">
        <v>74</v>
      </c>
      <c r="V441" s="1" t="s">
        <v>4592</v>
      </c>
      <c r="W441" s="1" t="s">
        <v>74</v>
      </c>
      <c r="X441" s="1" t="s">
        <v>74</v>
      </c>
      <c r="Y441" s="1" t="s">
        <v>74</v>
      </c>
      <c r="Z441" s="1" t="s">
        <v>74</v>
      </c>
      <c r="AA441" s="1" t="s">
        <v>4593</v>
      </c>
      <c r="AB441" s="1" t="s">
        <v>4594</v>
      </c>
      <c r="AC441" s="1" t="s">
        <v>74</v>
      </c>
      <c r="AD441" s="1" t="s">
        <v>74</v>
      </c>
      <c r="AE441" s="1" t="s">
        <v>74</v>
      </c>
      <c r="AF441" s="1" t="s">
        <v>74</v>
      </c>
      <c r="AG441" s="1" t="s">
        <v>74</v>
      </c>
      <c r="AH441" s="1" t="s">
        <v>74</v>
      </c>
      <c r="AI441" s="1" t="s">
        <v>74</v>
      </c>
      <c r="AJ441" s="1" t="s">
        <v>74</v>
      </c>
      <c r="AK441" s="1" t="s">
        <v>74</v>
      </c>
      <c r="AL441" s="1" t="s">
        <v>74</v>
      </c>
      <c r="AM441" s="1" t="s">
        <v>74</v>
      </c>
      <c r="AN441" s="1" t="s">
        <v>74</v>
      </c>
      <c r="AO441" s="1" t="s">
        <v>74</v>
      </c>
      <c r="AP441" s="1" t="s">
        <v>4595</v>
      </c>
      <c r="AQ441" s="1" t="s">
        <v>74</v>
      </c>
      <c r="AR441" s="1" t="s">
        <v>74</v>
      </c>
      <c r="AS441" s="1" t="s">
        <v>74</v>
      </c>
      <c r="AT441" s="1" t="s">
        <v>235</v>
      </c>
      <c r="AU441" s="1">
        <v>2020.0</v>
      </c>
      <c r="AV441" s="1">
        <v>12.0</v>
      </c>
      <c r="AW441" s="1">
        <v>4.0</v>
      </c>
      <c r="AX441" s="1" t="s">
        <v>74</v>
      </c>
      <c r="AY441" s="1" t="s">
        <v>74</v>
      </c>
      <c r="AZ441" s="1" t="s">
        <v>74</v>
      </c>
      <c r="BA441" s="1" t="s">
        <v>74</v>
      </c>
      <c r="BB441" s="1" t="s">
        <v>74</v>
      </c>
      <c r="BC441" s="1" t="s">
        <v>74</v>
      </c>
      <c r="BD441" s="1">
        <v>385.0</v>
      </c>
      <c r="BE441" s="1" t="s">
        <v>4596</v>
      </c>
      <c r="BF441" s="2" t="str">
        <f>HYPERLINK("http://dx.doi.org/10.3390/v12040385","http://dx.doi.org/10.3390/v12040385")</f>
        <v>http://dx.doi.org/10.3390/v12040385</v>
      </c>
      <c r="BG441" s="1" t="s">
        <v>74</v>
      </c>
      <c r="BH441" s="1" t="s">
        <v>74</v>
      </c>
      <c r="BI441" s="1" t="s">
        <v>74</v>
      </c>
      <c r="BJ441" s="1" t="s">
        <v>74</v>
      </c>
      <c r="BK441" s="1" t="s">
        <v>74</v>
      </c>
      <c r="BL441" s="1" t="s">
        <v>74</v>
      </c>
      <c r="BM441" s="1" t="s">
        <v>74</v>
      </c>
      <c r="BN441" s="1">
        <v>3.2244384E7</v>
      </c>
      <c r="BO441" s="1" t="s">
        <v>74</v>
      </c>
      <c r="BP441" s="1" t="s">
        <v>74</v>
      </c>
      <c r="BQ441" s="1" t="s">
        <v>74</v>
      </c>
      <c r="BR441" s="1" t="s">
        <v>74</v>
      </c>
      <c r="BS441" s="1" t="s">
        <v>4597</v>
      </c>
      <c r="BT441" s="1" t="str">
        <f>HYPERLINK("https%3A%2F%2Fwww.webofscience.com%2Fwos%2Fwoscc%2Ffull-record%2FWOS:000539525300027","View Full Record in Web of Science")</f>
        <v>View Full Record in Web of Science</v>
      </c>
    </row>
    <row r="442" ht="12.75" customHeight="1">
      <c r="A442" s="1" t="s">
        <v>72</v>
      </c>
      <c r="B442" s="1" t="s">
        <v>4598</v>
      </c>
      <c r="C442" s="1" t="s">
        <v>74</v>
      </c>
      <c r="D442" s="1" t="s">
        <v>74</v>
      </c>
      <c r="E442" s="1" t="s">
        <v>74</v>
      </c>
      <c r="F442" s="1" t="s">
        <v>4599</v>
      </c>
      <c r="G442" s="1" t="s">
        <v>74</v>
      </c>
      <c r="H442" s="1" t="s">
        <v>74</v>
      </c>
      <c r="I442" s="1" t="s">
        <v>4600</v>
      </c>
      <c r="J442" s="1" t="s">
        <v>4601</v>
      </c>
      <c r="K442" s="1" t="s">
        <v>74</v>
      </c>
      <c r="L442" s="1" t="s">
        <v>74</v>
      </c>
      <c r="M442" s="1" t="s">
        <v>74</v>
      </c>
      <c r="N442" s="1" t="s">
        <v>74</v>
      </c>
      <c r="O442" s="1" t="s">
        <v>74</v>
      </c>
      <c r="P442" s="1" t="s">
        <v>74</v>
      </c>
      <c r="Q442" s="1" t="s">
        <v>74</v>
      </c>
      <c r="R442" s="1" t="s">
        <v>74</v>
      </c>
      <c r="S442" s="1" t="s">
        <v>74</v>
      </c>
      <c r="T442" s="1" t="s">
        <v>74</v>
      </c>
      <c r="U442" s="1" t="s">
        <v>74</v>
      </c>
      <c r="V442" s="1" t="s">
        <v>4602</v>
      </c>
      <c r="W442" s="1" t="s">
        <v>74</v>
      </c>
      <c r="X442" s="1" t="s">
        <v>74</v>
      </c>
      <c r="Y442" s="1" t="s">
        <v>74</v>
      </c>
      <c r="Z442" s="1" t="s">
        <v>74</v>
      </c>
      <c r="AA442" s="1" t="s">
        <v>4603</v>
      </c>
      <c r="AB442" s="1" t="s">
        <v>4604</v>
      </c>
      <c r="AC442" s="1" t="s">
        <v>74</v>
      </c>
      <c r="AD442" s="1" t="s">
        <v>74</v>
      </c>
      <c r="AE442" s="1" t="s">
        <v>74</v>
      </c>
      <c r="AF442" s="1" t="s">
        <v>74</v>
      </c>
      <c r="AG442" s="1" t="s">
        <v>74</v>
      </c>
      <c r="AH442" s="1" t="s">
        <v>74</v>
      </c>
      <c r="AI442" s="1" t="s">
        <v>74</v>
      </c>
      <c r="AJ442" s="1" t="s">
        <v>74</v>
      </c>
      <c r="AK442" s="1" t="s">
        <v>74</v>
      </c>
      <c r="AL442" s="1" t="s">
        <v>74</v>
      </c>
      <c r="AM442" s="1" t="s">
        <v>74</v>
      </c>
      <c r="AN442" s="1" t="s">
        <v>74</v>
      </c>
      <c r="AO442" s="1" t="s">
        <v>4605</v>
      </c>
      <c r="AP442" s="1" t="s">
        <v>4606</v>
      </c>
      <c r="AQ442" s="1" t="s">
        <v>74</v>
      </c>
      <c r="AR442" s="1" t="s">
        <v>74</v>
      </c>
      <c r="AS442" s="1" t="s">
        <v>74</v>
      </c>
      <c r="AT442" s="1" t="s">
        <v>1213</v>
      </c>
      <c r="AU442" s="1">
        <v>2020.0</v>
      </c>
      <c r="AV442" s="1">
        <v>40.0</v>
      </c>
      <c r="AW442" s="1">
        <v>3.0</v>
      </c>
      <c r="AX442" s="1" t="s">
        <v>74</v>
      </c>
      <c r="AY442" s="1" t="s">
        <v>74</v>
      </c>
      <c r="AZ442" s="1" t="s">
        <v>74</v>
      </c>
      <c r="BA442" s="1" t="s">
        <v>74</v>
      </c>
      <c r="BB442" s="1">
        <v>524.0</v>
      </c>
      <c r="BC442" s="1">
        <v>533.0</v>
      </c>
      <c r="BD442" s="1" t="s">
        <v>74</v>
      </c>
      <c r="BE442" s="1" t="s">
        <v>4607</v>
      </c>
      <c r="BF442" s="2" t="str">
        <f>HYPERLINK("http://dx.doi.org/10.1111/risa.13410","http://dx.doi.org/10.1111/risa.13410")</f>
        <v>http://dx.doi.org/10.1111/risa.13410</v>
      </c>
      <c r="BG442" s="1" t="s">
        <v>74</v>
      </c>
      <c r="BH442" s="1" t="s">
        <v>4608</v>
      </c>
      <c r="BI442" s="1" t="s">
        <v>74</v>
      </c>
      <c r="BJ442" s="1" t="s">
        <v>74</v>
      </c>
      <c r="BK442" s="1" t="s">
        <v>74</v>
      </c>
      <c r="BL442" s="1" t="s">
        <v>74</v>
      </c>
      <c r="BM442" s="1" t="s">
        <v>74</v>
      </c>
      <c r="BN442" s="1">
        <v>3.1578757E7</v>
      </c>
      <c r="BO442" s="1" t="s">
        <v>74</v>
      </c>
      <c r="BP442" s="1" t="s">
        <v>74</v>
      </c>
      <c r="BQ442" s="1" t="s">
        <v>74</v>
      </c>
      <c r="BR442" s="1" t="s">
        <v>74</v>
      </c>
      <c r="BS442" s="1" t="s">
        <v>4609</v>
      </c>
      <c r="BT442" s="1" t="str">
        <f>HYPERLINK("https%3A%2F%2Fwww.webofscience.com%2Fwos%2Fwoscc%2Ffull-record%2FWOS:000488547800001","View Full Record in Web of Science")</f>
        <v>View Full Record in Web of Science</v>
      </c>
    </row>
    <row r="443" ht="12.75" customHeight="1">
      <c r="A443" s="1" t="s">
        <v>72</v>
      </c>
      <c r="B443" s="1" t="s">
        <v>4610</v>
      </c>
      <c r="C443" s="1" t="s">
        <v>74</v>
      </c>
      <c r="D443" s="1" t="s">
        <v>74</v>
      </c>
      <c r="E443" s="1" t="s">
        <v>74</v>
      </c>
      <c r="F443" s="1" t="s">
        <v>4611</v>
      </c>
      <c r="G443" s="1" t="s">
        <v>74</v>
      </c>
      <c r="H443" s="1" t="s">
        <v>74</v>
      </c>
      <c r="I443" s="1" t="s">
        <v>4612</v>
      </c>
      <c r="J443" s="1" t="s">
        <v>4613</v>
      </c>
      <c r="K443" s="1" t="s">
        <v>74</v>
      </c>
      <c r="L443" s="1" t="s">
        <v>74</v>
      </c>
      <c r="M443" s="1" t="s">
        <v>74</v>
      </c>
      <c r="N443" s="1" t="s">
        <v>74</v>
      </c>
      <c r="O443" s="1" t="s">
        <v>74</v>
      </c>
      <c r="P443" s="1" t="s">
        <v>74</v>
      </c>
      <c r="Q443" s="1" t="s">
        <v>74</v>
      </c>
      <c r="R443" s="1" t="s">
        <v>74</v>
      </c>
      <c r="S443" s="1" t="s">
        <v>74</v>
      </c>
      <c r="T443" s="1" t="s">
        <v>74</v>
      </c>
      <c r="U443" s="1" t="s">
        <v>74</v>
      </c>
      <c r="V443" s="1" t="s">
        <v>4614</v>
      </c>
      <c r="W443" s="1" t="s">
        <v>74</v>
      </c>
      <c r="X443" s="1" t="s">
        <v>74</v>
      </c>
      <c r="Y443" s="1" t="s">
        <v>74</v>
      </c>
      <c r="Z443" s="1" t="s">
        <v>74</v>
      </c>
      <c r="AA443" s="1" t="s">
        <v>4615</v>
      </c>
      <c r="AB443" s="1" t="s">
        <v>4616</v>
      </c>
      <c r="AC443" s="1" t="s">
        <v>74</v>
      </c>
      <c r="AD443" s="1" t="s">
        <v>74</v>
      </c>
      <c r="AE443" s="1" t="s">
        <v>74</v>
      </c>
      <c r="AF443" s="1" t="s">
        <v>74</v>
      </c>
      <c r="AG443" s="1" t="s">
        <v>74</v>
      </c>
      <c r="AH443" s="1" t="s">
        <v>74</v>
      </c>
      <c r="AI443" s="1" t="s">
        <v>74</v>
      </c>
      <c r="AJ443" s="1" t="s">
        <v>74</v>
      </c>
      <c r="AK443" s="1" t="s">
        <v>74</v>
      </c>
      <c r="AL443" s="1" t="s">
        <v>74</v>
      </c>
      <c r="AM443" s="1" t="s">
        <v>74</v>
      </c>
      <c r="AN443" s="1" t="s">
        <v>74</v>
      </c>
      <c r="AO443" s="1" t="s">
        <v>4617</v>
      </c>
      <c r="AP443" s="1" t="s">
        <v>4618</v>
      </c>
      <c r="AQ443" s="1" t="s">
        <v>74</v>
      </c>
      <c r="AR443" s="1" t="s">
        <v>74</v>
      </c>
      <c r="AS443" s="1" t="s">
        <v>74</v>
      </c>
      <c r="AT443" s="1" t="s">
        <v>348</v>
      </c>
      <c r="AU443" s="1">
        <v>2019.0</v>
      </c>
      <c r="AV443" s="1">
        <v>357.0</v>
      </c>
      <c r="AW443" s="1" t="s">
        <v>74</v>
      </c>
      <c r="AX443" s="1" t="s">
        <v>74</v>
      </c>
      <c r="AY443" s="1" t="s">
        <v>74</v>
      </c>
      <c r="AZ443" s="1" t="s">
        <v>74</v>
      </c>
      <c r="BA443" s="1" t="s">
        <v>74</v>
      </c>
      <c r="BB443" s="1">
        <v>349.0</v>
      </c>
      <c r="BC443" s="1">
        <v>365.0</v>
      </c>
      <c r="BD443" s="1" t="s">
        <v>74</v>
      </c>
      <c r="BE443" s="1" t="s">
        <v>4619</v>
      </c>
      <c r="BF443" s="2" t="str">
        <f>HYPERLINK("http://dx.doi.org/10.1016/j.cam.2019.02.019","http://dx.doi.org/10.1016/j.cam.2019.02.019")</f>
        <v>http://dx.doi.org/10.1016/j.cam.2019.02.019</v>
      </c>
      <c r="BG443" s="1" t="s">
        <v>74</v>
      </c>
      <c r="BH443" s="1" t="s">
        <v>74</v>
      </c>
      <c r="BI443" s="1" t="s">
        <v>74</v>
      </c>
      <c r="BJ443" s="1" t="s">
        <v>74</v>
      </c>
      <c r="BK443" s="1" t="s">
        <v>74</v>
      </c>
      <c r="BL443" s="1" t="s">
        <v>74</v>
      </c>
      <c r="BM443" s="1" t="s">
        <v>74</v>
      </c>
      <c r="BN443" s="1" t="s">
        <v>74</v>
      </c>
      <c r="BO443" s="1" t="s">
        <v>74</v>
      </c>
      <c r="BP443" s="1" t="s">
        <v>74</v>
      </c>
      <c r="BQ443" s="1" t="s">
        <v>74</v>
      </c>
      <c r="BR443" s="1" t="s">
        <v>74</v>
      </c>
      <c r="BS443" s="1" t="s">
        <v>4620</v>
      </c>
      <c r="BT443" s="1" t="str">
        <f>HYPERLINK("https%3A%2F%2Fwww.webofscience.com%2Fwos%2Fwoscc%2Ffull-record%2FWOS:000465168400022","View Full Record in Web of Science")</f>
        <v>View Full Record in Web of Science</v>
      </c>
    </row>
    <row r="444" ht="12.75" customHeight="1">
      <c r="A444" s="1" t="s">
        <v>72</v>
      </c>
      <c r="B444" s="1" t="s">
        <v>4621</v>
      </c>
      <c r="C444" s="1" t="s">
        <v>74</v>
      </c>
      <c r="D444" s="1" t="s">
        <v>74</v>
      </c>
      <c r="E444" s="1" t="s">
        <v>74</v>
      </c>
      <c r="F444" s="1" t="s">
        <v>4622</v>
      </c>
      <c r="G444" s="1" t="s">
        <v>74</v>
      </c>
      <c r="H444" s="1" t="s">
        <v>74</v>
      </c>
      <c r="I444" s="1" t="s">
        <v>4623</v>
      </c>
      <c r="J444" s="1" t="s">
        <v>302</v>
      </c>
      <c r="K444" s="1" t="s">
        <v>74</v>
      </c>
      <c r="L444" s="1" t="s">
        <v>74</v>
      </c>
      <c r="M444" s="1" t="s">
        <v>74</v>
      </c>
      <c r="N444" s="1" t="s">
        <v>74</v>
      </c>
      <c r="O444" s="1" t="s">
        <v>74</v>
      </c>
      <c r="P444" s="1" t="s">
        <v>74</v>
      </c>
      <c r="Q444" s="1" t="s">
        <v>74</v>
      </c>
      <c r="R444" s="1" t="s">
        <v>74</v>
      </c>
      <c r="S444" s="1" t="s">
        <v>74</v>
      </c>
      <c r="T444" s="1" t="s">
        <v>74</v>
      </c>
      <c r="U444" s="1" t="s">
        <v>74</v>
      </c>
      <c r="V444" s="1" t="s">
        <v>4624</v>
      </c>
      <c r="W444" s="1" t="s">
        <v>74</v>
      </c>
      <c r="X444" s="1" t="s">
        <v>74</v>
      </c>
      <c r="Y444" s="1" t="s">
        <v>74</v>
      </c>
      <c r="Z444" s="1" t="s">
        <v>74</v>
      </c>
      <c r="AA444" s="1" t="s">
        <v>74</v>
      </c>
      <c r="AB444" s="1" t="s">
        <v>74</v>
      </c>
      <c r="AC444" s="1" t="s">
        <v>74</v>
      </c>
      <c r="AD444" s="1" t="s">
        <v>74</v>
      </c>
      <c r="AE444" s="1" t="s">
        <v>74</v>
      </c>
      <c r="AF444" s="1" t="s">
        <v>74</v>
      </c>
      <c r="AG444" s="1" t="s">
        <v>74</v>
      </c>
      <c r="AH444" s="1" t="s">
        <v>74</v>
      </c>
      <c r="AI444" s="1" t="s">
        <v>74</v>
      </c>
      <c r="AJ444" s="1" t="s">
        <v>74</v>
      </c>
      <c r="AK444" s="1" t="s">
        <v>74</v>
      </c>
      <c r="AL444" s="1" t="s">
        <v>74</v>
      </c>
      <c r="AM444" s="1" t="s">
        <v>74</v>
      </c>
      <c r="AN444" s="1" t="s">
        <v>74</v>
      </c>
      <c r="AO444" s="1" t="s">
        <v>305</v>
      </c>
      <c r="AP444" s="1" t="s">
        <v>306</v>
      </c>
      <c r="AQ444" s="1" t="s">
        <v>74</v>
      </c>
      <c r="AR444" s="1" t="s">
        <v>74</v>
      </c>
      <c r="AS444" s="1" t="s">
        <v>74</v>
      </c>
      <c r="AT444" s="1" t="s">
        <v>485</v>
      </c>
      <c r="AU444" s="1">
        <v>2019.0</v>
      </c>
      <c r="AV444" s="1">
        <v>147.0</v>
      </c>
      <c r="AW444" s="1">
        <v>5.0</v>
      </c>
      <c r="AX444" s="1" t="s">
        <v>74</v>
      </c>
      <c r="AY444" s="1" t="s">
        <v>74</v>
      </c>
      <c r="AZ444" s="1" t="s">
        <v>74</v>
      </c>
      <c r="BA444" s="1" t="s">
        <v>74</v>
      </c>
      <c r="BB444" s="1">
        <v>663.0</v>
      </c>
      <c r="BC444" s="1">
        <v>667.0</v>
      </c>
      <c r="BD444" s="1" t="s">
        <v>74</v>
      </c>
      <c r="BE444" s="1" t="s">
        <v>4625</v>
      </c>
      <c r="BF444" s="2" t="str">
        <f>HYPERLINK("http://dx.doi.org/10.4067/S0034-98872019000500663","http://dx.doi.org/10.4067/S0034-98872019000500663")</f>
        <v>http://dx.doi.org/10.4067/S0034-98872019000500663</v>
      </c>
      <c r="BG444" s="1" t="s">
        <v>74</v>
      </c>
      <c r="BH444" s="1" t="s">
        <v>74</v>
      </c>
      <c r="BI444" s="1" t="s">
        <v>74</v>
      </c>
      <c r="BJ444" s="1" t="s">
        <v>74</v>
      </c>
      <c r="BK444" s="1" t="s">
        <v>74</v>
      </c>
      <c r="BL444" s="1" t="s">
        <v>74</v>
      </c>
      <c r="BM444" s="1" t="s">
        <v>74</v>
      </c>
      <c r="BN444" s="1">
        <v>3.18599E7</v>
      </c>
      <c r="BO444" s="1" t="s">
        <v>74</v>
      </c>
      <c r="BP444" s="1" t="s">
        <v>74</v>
      </c>
      <c r="BQ444" s="1" t="s">
        <v>74</v>
      </c>
      <c r="BR444" s="1" t="s">
        <v>74</v>
      </c>
      <c r="BS444" s="1" t="s">
        <v>4626</v>
      </c>
      <c r="BT444" s="1" t="str">
        <f>HYPERLINK("https%3A%2F%2Fwww.webofscience.com%2Fwos%2Fwoscc%2Ffull-record%2FWOS:000478968700016","View Full Record in Web of Science")</f>
        <v>View Full Record in Web of Science</v>
      </c>
    </row>
    <row r="445" ht="12.75" customHeight="1">
      <c r="A445" s="1" t="s">
        <v>72</v>
      </c>
      <c r="B445" s="1" t="s">
        <v>4627</v>
      </c>
      <c r="C445" s="1" t="s">
        <v>74</v>
      </c>
      <c r="D445" s="1" t="s">
        <v>74</v>
      </c>
      <c r="E445" s="1" t="s">
        <v>74</v>
      </c>
      <c r="F445" s="1" t="s">
        <v>4628</v>
      </c>
      <c r="G445" s="1" t="s">
        <v>74</v>
      </c>
      <c r="H445" s="1" t="s">
        <v>74</v>
      </c>
      <c r="I445" s="1" t="s">
        <v>4629</v>
      </c>
      <c r="J445" s="1" t="s">
        <v>4630</v>
      </c>
      <c r="K445" s="1" t="s">
        <v>74</v>
      </c>
      <c r="L445" s="1" t="s">
        <v>74</v>
      </c>
      <c r="M445" s="1" t="s">
        <v>74</v>
      </c>
      <c r="N445" s="1" t="s">
        <v>74</v>
      </c>
      <c r="O445" s="1" t="s">
        <v>74</v>
      </c>
      <c r="P445" s="1" t="s">
        <v>74</v>
      </c>
      <c r="Q445" s="1" t="s">
        <v>74</v>
      </c>
      <c r="R445" s="1" t="s">
        <v>74</v>
      </c>
      <c r="S445" s="1" t="s">
        <v>74</v>
      </c>
      <c r="T445" s="1" t="s">
        <v>74</v>
      </c>
      <c r="U445" s="1" t="s">
        <v>74</v>
      </c>
      <c r="V445" s="1" t="s">
        <v>4631</v>
      </c>
      <c r="W445" s="1" t="s">
        <v>74</v>
      </c>
      <c r="X445" s="1" t="s">
        <v>74</v>
      </c>
      <c r="Y445" s="1" t="s">
        <v>74</v>
      </c>
      <c r="Z445" s="1" t="s">
        <v>74</v>
      </c>
      <c r="AA445" s="1" t="s">
        <v>4632</v>
      </c>
      <c r="AB445" s="1" t="s">
        <v>4633</v>
      </c>
      <c r="AC445" s="1" t="s">
        <v>74</v>
      </c>
      <c r="AD445" s="1" t="s">
        <v>74</v>
      </c>
      <c r="AE445" s="1" t="s">
        <v>74</v>
      </c>
      <c r="AF445" s="1" t="s">
        <v>74</v>
      </c>
      <c r="AG445" s="1" t="s">
        <v>74</v>
      </c>
      <c r="AH445" s="1" t="s">
        <v>74</v>
      </c>
      <c r="AI445" s="1" t="s">
        <v>74</v>
      </c>
      <c r="AJ445" s="1" t="s">
        <v>74</v>
      </c>
      <c r="AK445" s="1" t="s">
        <v>74</v>
      </c>
      <c r="AL445" s="1" t="s">
        <v>74</v>
      </c>
      <c r="AM445" s="1" t="s">
        <v>74</v>
      </c>
      <c r="AN445" s="1" t="s">
        <v>74</v>
      </c>
      <c r="AO445" s="1" t="s">
        <v>4634</v>
      </c>
      <c r="AP445" s="1" t="s">
        <v>74</v>
      </c>
      <c r="AQ445" s="1" t="s">
        <v>74</v>
      </c>
      <c r="AR445" s="1" t="s">
        <v>74</v>
      </c>
      <c r="AS445" s="1" t="s">
        <v>74</v>
      </c>
      <c r="AT445" s="1" t="s">
        <v>4635</v>
      </c>
      <c r="AU445" s="1">
        <v>2017.0</v>
      </c>
      <c r="AV445" s="1">
        <v>23.0</v>
      </c>
      <c r="AW445" s="1">
        <v>4.0</v>
      </c>
      <c r="AX445" s="1" t="s">
        <v>74</v>
      </c>
      <c r="AY445" s="1" t="s">
        <v>74</v>
      </c>
      <c r="AZ445" s="1" t="s">
        <v>74</v>
      </c>
      <c r="BA445" s="1" t="s">
        <v>74</v>
      </c>
      <c r="BB445" s="1">
        <v>1325.0</v>
      </c>
      <c r="BC445" s="1">
        <v>1340.0</v>
      </c>
      <c r="BD445" s="1" t="s">
        <v>74</v>
      </c>
      <c r="BE445" s="1" t="s">
        <v>4636</v>
      </c>
      <c r="BF445" s="2" t="str">
        <f>HYPERLINK("http://dx.doi.org/10.22456/1982-8918.75386","http://dx.doi.org/10.22456/1982-8918.75386")</f>
        <v>http://dx.doi.org/10.22456/1982-8918.75386</v>
      </c>
      <c r="BG445" s="1" t="s">
        <v>74</v>
      </c>
      <c r="BH445" s="1" t="s">
        <v>74</v>
      </c>
      <c r="BI445" s="1" t="s">
        <v>74</v>
      </c>
      <c r="BJ445" s="1" t="s">
        <v>74</v>
      </c>
      <c r="BK445" s="1" t="s">
        <v>74</v>
      </c>
      <c r="BL445" s="1" t="s">
        <v>74</v>
      </c>
      <c r="BM445" s="1" t="s">
        <v>74</v>
      </c>
      <c r="BN445" s="1" t="s">
        <v>74</v>
      </c>
      <c r="BO445" s="1" t="s">
        <v>74</v>
      </c>
      <c r="BP445" s="1" t="s">
        <v>74</v>
      </c>
      <c r="BQ445" s="1" t="s">
        <v>74</v>
      </c>
      <c r="BR445" s="1" t="s">
        <v>74</v>
      </c>
      <c r="BS445" s="1" t="s">
        <v>4637</v>
      </c>
      <c r="BT445" s="1" t="str">
        <f>HYPERLINK("https%3A%2F%2Fwww.webofscience.com%2Fwos%2Fwoscc%2Ffull-record%2FWOS:000419953200014","View Full Record in Web of Science")</f>
        <v>View Full Record in Web of Science</v>
      </c>
    </row>
    <row r="446" ht="12.75" customHeight="1">
      <c r="A446" s="1" t="s">
        <v>72</v>
      </c>
      <c r="B446" s="1" t="s">
        <v>4638</v>
      </c>
      <c r="C446" s="1" t="s">
        <v>74</v>
      </c>
      <c r="D446" s="1" t="s">
        <v>74</v>
      </c>
      <c r="E446" s="1" t="s">
        <v>74</v>
      </c>
      <c r="F446" s="1" t="s">
        <v>4639</v>
      </c>
      <c r="G446" s="1" t="s">
        <v>74</v>
      </c>
      <c r="H446" s="1" t="s">
        <v>74</v>
      </c>
      <c r="I446" s="1" t="s">
        <v>4640</v>
      </c>
      <c r="J446" s="1" t="s">
        <v>4641</v>
      </c>
      <c r="K446" s="1" t="s">
        <v>74</v>
      </c>
      <c r="L446" s="1" t="s">
        <v>74</v>
      </c>
      <c r="M446" s="1" t="s">
        <v>74</v>
      </c>
      <c r="N446" s="1" t="s">
        <v>74</v>
      </c>
      <c r="O446" s="1" t="s">
        <v>74</v>
      </c>
      <c r="P446" s="1" t="s">
        <v>74</v>
      </c>
      <c r="Q446" s="1" t="s">
        <v>74</v>
      </c>
      <c r="R446" s="1" t="s">
        <v>74</v>
      </c>
      <c r="S446" s="1" t="s">
        <v>74</v>
      </c>
      <c r="T446" s="1" t="s">
        <v>74</v>
      </c>
      <c r="U446" s="1" t="s">
        <v>74</v>
      </c>
      <c r="V446" s="1" t="s">
        <v>4642</v>
      </c>
      <c r="W446" s="1" t="s">
        <v>74</v>
      </c>
      <c r="X446" s="1" t="s">
        <v>74</v>
      </c>
      <c r="Y446" s="1" t="s">
        <v>74</v>
      </c>
      <c r="Z446" s="1" t="s">
        <v>74</v>
      </c>
      <c r="AA446" s="1" t="s">
        <v>4643</v>
      </c>
      <c r="AB446" s="1" t="s">
        <v>4644</v>
      </c>
      <c r="AC446" s="1" t="s">
        <v>74</v>
      </c>
      <c r="AD446" s="1" t="s">
        <v>74</v>
      </c>
      <c r="AE446" s="1" t="s">
        <v>74</v>
      </c>
      <c r="AF446" s="1" t="s">
        <v>74</v>
      </c>
      <c r="AG446" s="1" t="s">
        <v>74</v>
      </c>
      <c r="AH446" s="1" t="s">
        <v>74</v>
      </c>
      <c r="AI446" s="1" t="s">
        <v>74</v>
      </c>
      <c r="AJ446" s="1" t="s">
        <v>74</v>
      </c>
      <c r="AK446" s="1" t="s">
        <v>74</v>
      </c>
      <c r="AL446" s="1" t="s">
        <v>74</v>
      </c>
      <c r="AM446" s="1" t="s">
        <v>74</v>
      </c>
      <c r="AN446" s="1" t="s">
        <v>74</v>
      </c>
      <c r="AO446" s="1" t="s">
        <v>4645</v>
      </c>
      <c r="AP446" s="1" t="s">
        <v>4646</v>
      </c>
      <c r="AQ446" s="1" t="s">
        <v>74</v>
      </c>
      <c r="AR446" s="1" t="s">
        <v>74</v>
      </c>
      <c r="AS446" s="1" t="s">
        <v>74</v>
      </c>
      <c r="AT446" s="1" t="s">
        <v>164</v>
      </c>
      <c r="AU446" s="1">
        <v>2017.0</v>
      </c>
      <c r="AV446" s="1">
        <v>20.0</v>
      </c>
      <c r="AW446" s="1" t="s">
        <v>74</v>
      </c>
      <c r="AX446" s="1" t="s">
        <v>74</v>
      </c>
      <c r="AY446" s="1" t="s">
        <v>74</v>
      </c>
      <c r="AZ446" s="1" t="s">
        <v>74</v>
      </c>
      <c r="BA446" s="1" t="s">
        <v>74</v>
      </c>
      <c r="BB446" s="1">
        <v>160.0</v>
      </c>
      <c r="BC446" s="1">
        <v>167.0</v>
      </c>
      <c r="BD446" s="1" t="s">
        <v>74</v>
      </c>
      <c r="BE446" s="1" t="s">
        <v>4647</v>
      </c>
      <c r="BF446" s="2" t="str">
        <f>HYPERLINK("http://dx.doi.org/10.1016/j.ascom.2017.07.005","http://dx.doi.org/10.1016/j.ascom.2017.07.005")</f>
        <v>http://dx.doi.org/10.1016/j.ascom.2017.07.005</v>
      </c>
      <c r="BG446" s="1" t="s">
        <v>74</v>
      </c>
      <c r="BH446" s="1" t="s">
        <v>74</v>
      </c>
      <c r="BI446" s="1" t="s">
        <v>74</v>
      </c>
      <c r="BJ446" s="1" t="s">
        <v>74</v>
      </c>
      <c r="BK446" s="1" t="s">
        <v>74</v>
      </c>
      <c r="BL446" s="1" t="s">
        <v>74</v>
      </c>
      <c r="BM446" s="1" t="s">
        <v>74</v>
      </c>
      <c r="BN446" s="1" t="s">
        <v>74</v>
      </c>
      <c r="BO446" s="1" t="s">
        <v>74</v>
      </c>
      <c r="BP446" s="1" t="s">
        <v>74</v>
      </c>
      <c r="BQ446" s="1" t="s">
        <v>74</v>
      </c>
      <c r="BR446" s="1" t="s">
        <v>74</v>
      </c>
      <c r="BS446" s="1" t="s">
        <v>4648</v>
      </c>
      <c r="BT446" s="1" t="str">
        <f>HYPERLINK("https%3A%2F%2Fwww.webofscience.com%2Fwos%2Fwoscc%2Ffull-record%2FWOS:000412033600016","View Full Record in Web of Science")</f>
        <v>View Full Record in Web of Science</v>
      </c>
    </row>
    <row r="447" ht="12.75" customHeight="1">
      <c r="A447" s="1" t="s">
        <v>72</v>
      </c>
      <c r="B447" s="1" t="s">
        <v>4649</v>
      </c>
      <c r="C447" s="1" t="s">
        <v>74</v>
      </c>
      <c r="D447" s="1" t="s">
        <v>74</v>
      </c>
      <c r="E447" s="1" t="s">
        <v>74</v>
      </c>
      <c r="F447" s="1" t="s">
        <v>4650</v>
      </c>
      <c r="G447" s="1" t="s">
        <v>74</v>
      </c>
      <c r="H447" s="1" t="s">
        <v>74</v>
      </c>
      <c r="I447" s="1" t="s">
        <v>4651</v>
      </c>
      <c r="J447" s="1" t="s">
        <v>4652</v>
      </c>
      <c r="K447" s="1" t="s">
        <v>74</v>
      </c>
      <c r="L447" s="1" t="s">
        <v>74</v>
      </c>
      <c r="M447" s="1" t="s">
        <v>74</v>
      </c>
      <c r="N447" s="1" t="s">
        <v>74</v>
      </c>
      <c r="O447" s="1" t="s">
        <v>74</v>
      </c>
      <c r="P447" s="1" t="s">
        <v>74</v>
      </c>
      <c r="Q447" s="1" t="s">
        <v>74</v>
      </c>
      <c r="R447" s="1" t="s">
        <v>74</v>
      </c>
      <c r="S447" s="1" t="s">
        <v>74</v>
      </c>
      <c r="T447" s="1" t="s">
        <v>74</v>
      </c>
      <c r="U447" s="1" t="s">
        <v>74</v>
      </c>
      <c r="V447" s="1" t="s">
        <v>4653</v>
      </c>
      <c r="W447" s="1" t="s">
        <v>74</v>
      </c>
      <c r="X447" s="1" t="s">
        <v>74</v>
      </c>
      <c r="Y447" s="1" t="s">
        <v>74</v>
      </c>
      <c r="Z447" s="1" t="s">
        <v>74</v>
      </c>
      <c r="AA447" s="1" t="s">
        <v>74</v>
      </c>
      <c r="AB447" s="1" t="s">
        <v>4654</v>
      </c>
      <c r="AC447" s="1" t="s">
        <v>74</v>
      </c>
      <c r="AD447" s="1" t="s">
        <v>74</v>
      </c>
      <c r="AE447" s="1" t="s">
        <v>74</v>
      </c>
      <c r="AF447" s="1" t="s">
        <v>74</v>
      </c>
      <c r="AG447" s="1" t="s">
        <v>74</v>
      </c>
      <c r="AH447" s="1" t="s">
        <v>74</v>
      </c>
      <c r="AI447" s="1" t="s">
        <v>74</v>
      </c>
      <c r="AJ447" s="1" t="s">
        <v>74</v>
      </c>
      <c r="AK447" s="1" t="s">
        <v>74</v>
      </c>
      <c r="AL447" s="1" t="s">
        <v>74</v>
      </c>
      <c r="AM447" s="1" t="s">
        <v>74</v>
      </c>
      <c r="AN447" s="1" t="s">
        <v>74</v>
      </c>
      <c r="AO447" s="1" t="s">
        <v>4655</v>
      </c>
      <c r="AP447" s="1" t="s">
        <v>4656</v>
      </c>
      <c r="AQ447" s="1" t="s">
        <v>74</v>
      </c>
      <c r="AR447" s="1" t="s">
        <v>74</v>
      </c>
      <c r="AS447" s="1" t="s">
        <v>74</v>
      </c>
      <c r="AT447" s="1" t="s">
        <v>318</v>
      </c>
      <c r="AU447" s="1">
        <v>2016.0</v>
      </c>
      <c r="AV447" s="1">
        <v>88.0</v>
      </c>
      <c r="AW447" s="1" t="s">
        <v>74</v>
      </c>
      <c r="AX447" s="1" t="s">
        <v>74</v>
      </c>
      <c r="AY447" s="1" t="s">
        <v>74</v>
      </c>
      <c r="AZ447" s="1" t="s">
        <v>74</v>
      </c>
      <c r="BA447" s="1" t="s">
        <v>74</v>
      </c>
      <c r="BB447" s="1">
        <v>31.0</v>
      </c>
      <c r="BC447" s="1">
        <v>45.0</v>
      </c>
      <c r="BD447" s="1" t="s">
        <v>74</v>
      </c>
      <c r="BE447" s="1" t="s">
        <v>4657</v>
      </c>
      <c r="BF447" s="2" t="str">
        <f>HYPERLINK("http://dx.doi.org/10.1016/j.jpdc.2015.10.007","http://dx.doi.org/10.1016/j.jpdc.2015.10.007")</f>
        <v>http://dx.doi.org/10.1016/j.jpdc.2015.10.007</v>
      </c>
      <c r="BG447" s="1" t="s">
        <v>74</v>
      </c>
      <c r="BH447" s="1" t="s">
        <v>74</v>
      </c>
      <c r="BI447" s="1" t="s">
        <v>74</v>
      </c>
      <c r="BJ447" s="1" t="s">
        <v>74</v>
      </c>
      <c r="BK447" s="1" t="s">
        <v>74</v>
      </c>
      <c r="BL447" s="1" t="s">
        <v>74</v>
      </c>
      <c r="BM447" s="1" t="s">
        <v>74</v>
      </c>
      <c r="BN447" s="1" t="s">
        <v>74</v>
      </c>
      <c r="BO447" s="1" t="s">
        <v>74</v>
      </c>
      <c r="BP447" s="1" t="s">
        <v>74</v>
      </c>
      <c r="BQ447" s="1" t="s">
        <v>74</v>
      </c>
      <c r="BR447" s="1" t="s">
        <v>74</v>
      </c>
      <c r="BS447" s="1" t="s">
        <v>4658</v>
      </c>
      <c r="BT447" s="1" t="str">
        <f>HYPERLINK("https%3A%2F%2Fwww.webofscience.com%2Fwos%2Fwoscc%2Ffull-record%2FWOS:000368972600003","View Full Record in Web of Science")</f>
        <v>View Full Record in Web of Science</v>
      </c>
    </row>
    <row r="448" ht="12.75" customHeight="1">
      <c r="A448" s="1" t="s">
        <v>72</v>
      </c>
      <c r="B448" s="1" t="s">
        <v>4659</v>
      </c>
      <c r="C448" s="1" t="s">
        <v>74</v>
      </c>
      <c r="D448" s="1" t="s">
        <v>74</v>
      </c>
      <c r="E448" s="1" t="s">
        <v>74</v>
      </c>
      <c r="F448" s="1" t="s">
        <v>4660</v>
      </c>
      <c r="G448" s="1" t="s">
        <v>74</v>
      </c>
      <c r="H448" s="1" t="s">
        <v>74</v>
      </c>
      <c r="I448" s="1" t="s">
        <v>4661</v>
      </c>
      <c r="J448" s="1" t="s">
        <v>4662</v>
      </c>
      <c r="K448" s="1" t="s">
        <v>74</v>
      </c>
      <c r="L448" s="1" t="s">
        <v>74</v>
      </c>
      <c r="M448" s="1" t="s">
        <v>74</v>
      </c>
      <c r="N448" s="1" t="s">
        <v>74</v>
      </c>
      <c r="O448" s="1" t="s">
        <v>74</v>
      </c>
      <c r="P448" s="1" t="s">
        <v>74</v>
      </c>
      <c r="Q448" s="1" t="s">
        <v>74</v>
      </c>
      <c r="R448" s="1" t="s">
        <v>74</v>
      </c>
      <c r="S448" s="1" t="s">
        <v>74</v>
      </c>
      <c r="T448" s="1" t="s">
        <v>74</v>
      </c>
      <c r="U448" s="1" t="s">
        <v>74</v>
      </c>
      <c r="V448" s="1" t="s">
        <v>4663</v>
      </c>
      <c r="W448" s="1" t="s">
        <v>74</v>
      </c>
      <c r="X448" s="1" t="s">
        <v>74</v>
      </c>
      <c r="Y448" s="1" t="s">
        <v>74</v>
      </c>
      <c r="Z448" s="1" t="s">
        <v>74</v>
      </c>
      <c r="AA448" s="1" t="s">
        <v>4664</v>
      </c>
      <c r="AB448" s="1" t="s">
        <v>74</v>
      </c>
      <c r="AC448" s="1" t="s">
        <v>74</v>
      </c>
      <c r="AD448" s="1" t="s">
        <v>74</v>
      </c>
      <c r="AE448" s="1" t="s">
        <v>74</v>
      </c>
      <c r="AF448" s="1" t="s">
        <v>74</v>
      </c>
      <c r="AG448" s="1" t="s">
        <v>74</v>
      </c>
      <c r="AH448" s="1" t="s">
        <v>74</v>
      </c>
      <c r="AI448" s="1" t="s">
        <v>74</v>
      </c>
      <c r="AJ448" s="1" t="s">
        <v>74</v>
      </c>
      <c r="AK448" s="1" t="s">
        <v>74</v>
      </c>
      <c r="AL448" s="1" t="s">
        <v>74</v>
      </c>
      <c r="AM448" s="1" t="s">
        <v>74</v>
      </c>
      <c r="AN448" s="1" t="s">
        <v>74</v>
      </c>
      <c r="AO448" s="1" t="s">
        <v>4665</v>
      </c>
      <c r="AP448" s="1" t="s">
        <v>74</v>
      </c>
      <c r="AQ448" s="1" t="s">
        <v>74</v>
      </c>
      <c r="AR448" s="1" t="s">
        <v>74</v>
      </c>
      <c r="AS448" s="1" t="s">
        <v>74</v>
      </c>
      <c r="AT448" s="1" t="s">
        <v>537</v>
      </c>
      <c r="AU448" s="1">
        <v>2015.0</v>
      </c>
      <c r="AV448" s="1">
        <v>101.0</v>
      </c>
      <c r="AW448" s="1" t="s">
        <v>74</v>
      </c>
      <c r="AX448" s="1" t="s">
        <v>74</v>
      </c>
      <c r="AY448" s="1" t="s">
        <v>74</v>
      </c>
      <c r="AZ448" s="1" t="s">
        <v>1416</v>
      </c>
      <c r="BA448" s="1" t="s">
        <v>74</v>
      </c>
      <c r="BB448" s="1">
        <v>65.0</v>
      </c>
      <c r="BC448" s="1">
        <v>73.0</v>
      </c>
      <c r="BD448" s="1" t="s">
        <v>74</v>
      </c>
      <c r="BE448" s="1" t="s">
        <v>4666</v>
      </c>
      <c r="BF448" s="2" t="str">
        <f>HYPERLINK("http://dx.doi.org/10.1016/j.phrs.2015.07.026","http://dx.doi.org/10.1016/j.phrs.2015.07.026")</f>
        <v>http://dx.doi.org/10.1016/j.phrs.2015.07.026</v>
      </c>
      <c r="BG448" s="1" t="s">
        <v>74</v>
      </c>
      <c r="BH448" s="1" t="s">
        <v>74</v>
      </c>
      <c r="BI448" s="1" t="s">
        <v>74</v>
      </c>
      <c r="BJ448" s="1" t="s">
        <v>74</v>
      </c>
      <c r="BK448" s="1" t="s">
        <v>74</v>
      </c>
      <c r="BL448" s="1" t="s">
        <v>74</v>
      </c>
      <c r="BM448" s="1" t="s">
        <v>74</v>
      </c>
      <c r="BN448" s="1">
        <v>2.6255765E7</v>
      </c>
      <c r="BO448" s="1" t="s">
        <v>74</v>
      </c>
      <c r="BP448" s="1" t="s">
        <v>74</v>
      </c>
      <c r="BQ448" s="1" t="s">
        <v>74</v>
      </c>
      <c r="BR448" s="1" t="s">
        <v>74</v>
      </c>
      <c r="BS448" s="1" t="s">
        <v>4667</v>
      </c>
      <c r="BT448" s="1" t="str">
        <f>HYPERLINK("https%3A%2F%2Fwww.webofscience.com%2Fwos%2Fwoscc%2Ffull-record%2FWOS:000364258700008","View Full Record in Web of Science")</f>
        <v>View Full Record in Web of Science</v>
      </c>
    </row>
    <row r="449" ht="12.75" customHeight="1">
      <c r="A449" s="1" t="s">
        <v>1313</v>
      </c>
      <c r="B449" s="1" t="s">
        <v>4668</v>
      </c>
      <c r="C449" s="1" t="s">
        <v>74</v>
      </c>
      <c r="D449" s="1" t="s">
        <v>4669</v>
      </c>
      <c r="E449" s="1" t="s">
        <v>74</v>
      </c>
      <c r="F449" s="1" t="s">
        <v>4670</v>
      </c>
      <c r="G449" s="1" t="s">
        <v>74</v>
      </c>
      <c r="H449" s="1" t="s">
        <v>74</v>
      </c>
      <c r="I449" s="1" t="s">
        <v>4671</v>
      </c>
      <c r="J449" s="1" t="s">
        <v>4672</v>
      </c>
      <c r="K449" s="1" t="s">
        <v>4673</v>
      </c>
      <c r="L449" s="1" t="s">
        <v>74</v>
      </c>
      <c r="M449" s="1" t="s">
        <v>74</v>
      </c>
      <c r="N449" s="1" t="s">
        <v>74</v>
      </c>
      <c r="O449" s="1" t="s">
        <v>74</v>
      </c>
      <c r="P449" s="1" t="s">
        <v>74</v>
      </c>
      <c r="Q449" s="1" t="s">
        <v>74</v>
      </c>
      <c r="R449" s="1" t="s">
        <v>74</v>
      </c>
      <c r="S449" s="1" t="s">
        <v>74</v>
      </c>
      <c r="T449" s="1" t="s">
        <v>74</v>
      </c>
      <c r="U449" s="1" t="s">
        <v>74</v>
      </c>
      <c r="V449" s="1" t="s">
        <v>4674</v>
      </c>
      <c r="W449" s="1" t="s">
        <v>74</v>
      </c>
      <c r="X449" s="1" t="s">
        <v>74</v>
      </c>
      <c r="Y449" s="1" t="s">
        <v>74</v>
      </c>
      <c r="Z449" s="1" t="s">
        <v>74</v>
      </c>
      <c r="AA449" s="1" t="s">
        <v>4675</v>
      </c>
      <c r="AB449" s="1" t="s">
        <v>4676</v>
      </c>
      <c r="AC449" s="1" t="s">
        <v>74</v>
      </c>
      <c r="AD449" s="1" t="s">
        <v>74</v>
      </c>
      <c r="AE449" s="1" t="s">
        <v>74</v>
      </c>
      <c r="AF449" s="1" t="s">
        <v>74</v>
      </c>
      <c r="AG449" s="1" t="s">
        <v>74</v>
      </c>
      <c r="AH449" s="1" t="s">
        <v>74</v>
      </c>
      <c r="AI449" s="1" t="s">
        <v>74</v>
      </c>
      <c r="AJ449" s="1" t="s">
        <v>74</v>
      </c>
      <c r="AK449" s="1" t="s">
        <v>74</v>
      </c>
      <c r="AL449" s="1" t="s">
        <v>74</v>
      </c>
      <c r="AM449" s="1" t="s">
        <v>74</v>
      </c>
      <c r="AN449" s="1" t="s">
        <v>74</v>
      </c>
      <c r="AO449" s="1" t="s">
        <v>4677</v>
      </c>
      <c r="AP449" s="1" t="s">
        <v>74</v>
      </c>
      <c r="AQ449" s="1" t="s">
        <v>4678</v>
      </c>
      <c r="AR449" s="1" t="s">
        <v>74</v>
      </c>
      <c r="AS449" s="1" t="s">
        <v>74</v>
      </c>
      <c r="AT449" s="1" t="s">
        <v>74</v>
      </c>
      <c r="AU449" s="1">
        <v>2015.0</v>
      </c>
      <c r="AV449" s="1">
        <v>309.0</v>
      </c>
      <c r="AW449" s="1" t="s">
        <v>74</v>
      </c>
      <c r="AX449" s="1" t="s">
        <v>74</v>
      </c>
      <c r="AY449" s="1" t="s">
        <v>74</v>
      </c>
      <c r="AZ449" s="1" t="s">
        <v>74</v>
      </c>
      <c r="BA449" s="1" t="s">
        <v>74</v>
      </c>
      <c r="BB449" s="1">
        <v>195.0</v>
      </c>
      <c r="BC449" s="1">
        <v>222.0</v>
      </c>
      <c r="BD449" s="1" t="s">
        <v>74</v>
      </c>
      <c r="BE449" s="1" t="s">
        <v>74</v>
      </c>
      <c r="BF449" s="1" t="s">
        <v>74</v>
      </c>
      <c r="BG449" s="1" t="s">
        <v>4679</v>
      </c>
      <c r="BH449" s="1" t="s">
        <v>74</v>
      </c>
      <c r="BI449" s="1" t="s">
        <v>74</v>
      </c>
      <c r="BJ449" s="1" t="s">
        <v>74</v>
      </c>
      <c r="BK449" s="1" t="s">
        <v>74</v>
      </c>
      <c r="BL449" s="1" t="s">
        <v>74</v>
      </c>
      <c r="BM449" s="1" t="s">
        <v>74</v>
      </c>
      <c r="BN449" s="1" t="s">
        <v>74</v>
      </c>
      <c r="BO449" s="1" t="s">
        <v>74</v>
      </c>
      <c r="BP449" s="1" t="s">
        <v>74</v>
      </c>
      <c r="BQ449" s="1" t="s">
        <v>74</v>
      </c>
      <c r="BR449" s="1" t="s">
        <v>74</v>
      </c>
      <c r="BS449" s="1" t="s">
        <v>4680</v>
      </c>
      <c r="BT449" s="1" t="str">
        <f>HYPERLINK("https%3A%2F%2Fwww.webofscience.com%2Fwos%2Fwoscc%2Ffull-record%2FWOS:000383440400007","View Full Record in Web of Science")</f>
        <v>View Full Record in Web of Science</v>
      </c>
    </row>
    <row r="450" ht="12.75" customHeight="1">
      <c r="A450" s="1" t="s">
        <v>72</v>
      </c>
      <c r="B450" s="1" t="s">
        <v>4681</v>
      </c>
      <c r="C450" s="1" t="s">
        <v>74</v>
      </c>
      <c r="D450" s="1" t="s">
        <v>74</v>
      </c>
      <c r="E450" s="1" t="s">
        <v>74</v>
      </c>
      <c r="F450" s="1" t="s">
        <v>4682</v>
      </c>
      <c r="G450" s="1" t="s">
        <v>74</v>
      </c>
      <c r="H450" s="1" t="s">
        <v>74</v>
      </c>
      <c r="I450" s="1" t="s">
        <v>4683</v>
      </c>
      <c r="J450" s="1" t="s">
        <v>4170</v>
      </c>
      <c r="K450" s="1" t="s">
        <v>74</v>
      </c>
      <c r="L450" s="1" t="s">
        <v>74</v>
      </c>
      <c r="M450" s="1" t="s">
        <v>74</v>
      </c>
      <c r="N450" s="1" t="s">
        <v>74</v>
      </c>
      <c r="O450" s="1" t="s">
        <v>74</v>
      </c>
      <c r="P450" s="1" t="s">
        <v>74</v>
      </c>
      <c r="Q450" s="1" t="s">
        <v>74</v>
      </c>
      <c r="R450" s="1" t="s">
        <v>74</v>
      </c>
      <c r="S450" s="1" t="s">
        <v>74</v>
      </c>
      <c r="T450" s="1" t="s">
        <v>74</v>
      </c>
      <c r="U450" s="1" t="s">
        <v>74</v>
      </c>
      <c r="V450" s="1" t="s">
        <v>4684</v>
      </c>
      <c r="W450" s="1" t="s">
        <v>74</v>
      </c>
      <c r="X450" s="1" t="s">
        <v>74</v>
      </c>
      <c r="Y450" s="1" t="s">
        <v>74</v>
      </c>
      <c r="Z450" s="1" t="s">
        <v>74</v>
      </c>
      <c r="AA450" s="1" t="s">
        <v>4685</v>
      </c>
      <c r="AB450" s="1" t="s">
        <v>4686</v>
      </c>
      <c r="AC450" s="1" t="s">
        <v>74</v>
      </c>
      <c r="AD450" s="1" t="s">
        <v>74</v>
      </c>
      <c r="AE450" s="1" t="s">
        <v>74</v>
      </c>
      <c r="AF450" s="1" t="s">
        <v>74</v>
      </c>
      <c r="AG450" s="1" t="s">
        <v>74</v>
      </c>
      <c r="AH450" s="1" t="s">
        <v>74</v>
      </c>
      <c r="AI450" s="1" t="s">
        <v>74</v>
      </c>
      <c r="AJ450" s="1" t="s">
        <v>74</v>
      </c>
      <c r="AK450" s="1" t="s">
        <v>74</v>
      </c>
      <c r="AL450" s="1" t="s">
        <v>74</v>
      </c>
      <c r="AM450" s="1" t="s">
        <v>74</v>
      </c>
      <c r="AN450" s="1" t="s">
        <v>74</v>
      </c>
      <c r="AO450" s="1" t="s">
        <v>4174</v>
      </c>
      <c r="AP450" s="1" t="s">
        <v>4175</v>
      </c>
      <c r="AQ450" s="1" t="s">
        <v>74</v>
      </c>
      <c r="AR450" s="1" t="s">
        <v>74</v>
      </c>
      <c r="AS450" s="1" t="s">
        <v>74</v>
      </c>
      <c r="AT450" s="1" t="s">
        <v>74</v>
      </c>
      <c r="AU450" s="1">
        <v>2014.0</v>
      </c>
      <c r="AV450" s="1">
        <v>13.0</v>
      </c>
      <c r="AW450" s="1">
        <v>1.0</v>
      </c>
      <c r="AX450" s="1" t="s">
        <v>74</v>
      </c>
      <c r="AY450" s="1" t="s">
        <v>74</v>
      </c>
      <c r="AZ450" s="1" t="s">
        <v>74</v>
      </c>
      <c r="BA450" s="1" t="s">
        <v>74</v>
      </c>
      <c r="BB450" s="1">
        <v>70.0</v>
      </c>
      <c r="BC450" s="1">
        <v>81.0</v>
      </c>
      <c r="BD450" s="1" t="s">
        <v>74</v>
      </c>
      <c r="BE450" s="1" t="s">
        <v>4687</v>
      </c>
      <c r="BF450" s="2" t="str">
        <f>HYPERLINK("http://dx.doi.org/10.1039/c3pp50221j","http://dx.doi.org/10.1039/c3pp50221j")</f>
        <v>http://dx.doi.org/10.1039/c3pp50221j</v>
      </c>
      <c r="BG450" s="1" t="s">
        <v>74</v>
      </c>
      <c r="BH450" s="1" t="s">
        <v>74</v>
      </c>
      <c r="BI450" s="1" t="s">
        <v>74</v>
      </c>
      <c r="BJ450" s="1" t="s">
        <v>74</v>
      </c>
      <c r="BK450" s="1" t="s">
        <v>74</v>
      </c>
      <c r="BL450" s="1" t="s">
        <v>74</v>
      </c>
      <c r="BM450" s="1" t="s">
        <v>74</v>
      </c>
      <c r="BN450" s="1">
        <v>2.4202188E7</v>
      </c>
      <c r="BO450" s="1" t="s">
        <v>74</v>
      </c>
      <c r="BP450" s="1" t="s">
        <v>74</v>
      </c>
      <c r="BQ450" s="1" t="s">
        <v>74</v>
      </c>
      <c r="BR450" s="1" t="s">
        <v>74</v>
      </c>
      <c r="BS450" s="1" t="s">
        <v>4688</v>
      </c>
      <c r="BT450" s="1" t="str">
        <f>HYPERLINK("https%3A%2F%2Fwww.webofscience.com%2Fwos%2Fwoscc%2Ffull-record%2FWOS:000328694900007","View Full Record in Web of Science")</f>
        <v>View Full Record in Web of Science</v>
      </c>
    </row>
    <row r="451" ht="12.75" customHeight="1">
      <c r="A451" s="1" t="s">
        <v>72</v>
      </c>
      <c r="B451" s="1" t="s">
        <v>4689</v>
      </c>
      <c r="C451" s="1" t="s">
        <v>74</v>
      </c>
      <c r="D451" s="1" t="s">
        <v>74</v>
      </c>
      <c r="E451" s="1" t="s">
        <v>74</v>
      </c>
      <c r="F451" s="1" t="s">
        <v>4690</v>
      </c>
      <c r="G451" s="1" t="s">
        <v>74</v>
      </c>
      <c r="H451" s="1" t="s">
        <v>74</v>
      </c>
      <c r="I451" s="1" t="s">
        <v>4691</v>
      </c>
      <c r="J451" s="1" t="s">
        <v>4692</v>
      </c>
      <c r="K451" s="1" t="s">
        <v>74</v>
      </c>
      <c r="L451" s="1" t="s">
        <v>74</v>
      </c>
      <c r="M451" s="1" t="s">
        <v>74</v>
      </c>
      <c r="N451" s="1" t="s">
        <v>74</v>
      </c>
      <c r="O451" s="1" t="s">
        <v>74</v>
      </c>
      <c r="P451" s="1" t="s">
        <v>74</v>
      </c>
      <c r="Q451" s="1" t="s">
        <v>74</v>
      </c>
      <c r="R451" s="1" t="s">
        <v>74</v>
      </c>
      <c r="S451" s="1" t="s">
        <v>74</v>
      </c>
      <c r="T451" s="1" t="s">
        <v>74</v>
      </c>
      <c r="U451" s="1" t="s">
        <v>74</v>
      </c>
      <c r="V451" s="1" t="s">
        <v>4693</v>
      </c>
      <c r="W451" s="1" t="s">
        <v>74</v>
      </c>
      <c r="X451" s="1" t="s">
        <v>74</v>
      </c>
      <c r="Y451" s="1" t="s">
        <v>74</v>
      </c>
      <c r="Z451" s="1" t="s">
        <v>74</v>
      </c>
      <c r="AA451" s="1" t="s">
        <v>4694</v>
      </c>
      <c r="AB451" s="1" t="s">
        <v>4695</v>
      </c>
      <c r="AC451" s="1" t="s">
        <v>74</v>
      </c>
      <c r="AD451" s="1" t="s">
        <v>74</v>
      </c>
      <c r="AE451" s="1" t="s">
        <v>74</v>
      </c>
      <c r="AF451" s="1" t="s">
        <v>74</v>
      </c>
      <c r="AG451" s="1" t="s">
        <v>74</v>
      </c>
      <c r="AH451" s="1" t="s">
        <v>74</v>
      </c>
      <c r="AI451" s="1" t="s">
        <v>74</v>
      </c>
      <c r="AJ451" s="1" t="s">
        <v>74</v>
      </c>
      <c r="AK451" s="1" t="s">
        <v>74</v>
      </c>
      <c r="AL451" s="1" t="s">
        <v>74</v>
      </c>
      <c r="AM451" s="1" t="s">
        <v>74</v>
      </c>
      <c r="AN451" s="1" t="s">
        <v>74</v>
      </c>
      <c r="AO451" s="1" t="s">
        <v>4696</v>
      </c>
      <c r="AP451" s="1" t="s">
        <v>4697</v>
      </c>
      <c r="AQ451" s="1" t="s">
        <v>74</v>
      </c>
      <c r="AR451" s="1" t="s">
        <v>74</v>
      </c>
      <c r="AS451" s="1" t="s">
        <v>74</v>
      </c>
      <c r="AT451" s="1" t="s">
        <v>307</v>
      </c>
      <c r="AU451" s="1">
        <v>2009.0</v>
      </c>
      <c r="AV451" s="1">
        <v>9.0</v>
      </c>
      <c r="AW451" s="1">
        <v>12.0</v>
      </c>
      <c r="AX451" s="1" t="s">
        <v>74</v>
      </c>
      <c r="AY451" s="1" t="s">
        <v>74</v>
      </c>
      <c r="AZ451" s="1" t="s">
        <v>74</v>
      </c>
      <c r="BA451" s="1" t="s">
        <v>74</v>
      </c>
      <c r="BB451" s="1">
        <v>1010.0</v>
      </c>
      <c r="BC451" s="1">
        <v>1015.0</v>
      </c>
      <c r="BD451" s="1" t="s">
        <v>74</v>
      </c>
      <c r="BE451" s="1" t="s">
        <v>4698</v>
      </c>
      <c r="BF451" s="2" t="str">
        <f>HYPERLINK("http://dx.doi.org/10.1016/j.spinee.2009.09.004","http://dx.doi.org/10.1016/j.spinee.2009.09.004")</f>
        <v>http://dx.doi.org/10.1016/j.spinee.2009.09.004</v>
      </c>
      <c r="BG451" s="1" t="s">
        <v>74</v>
      </c>
      <c r="BH451" s="1" t="s">
        <v>74</v>
      </c>
      <c r="BI451" s="1" t="s">
        <v>74</v>
      </c>
      <c r="BJ451" s="1" t="s">
        <v>74</v>
      </c>
      <c r="BK451" s="1" t="s">
        <v>74</v>
      </c>
      <c r="BL451" s="1" t="s">
        <v>74</v>
      </c>
      <c r="BM451" s="1" t="s">
        <v>74</v>
      </c>
      <c r="BN451" s="1">
        <v>1.9477693E7</v>
      </c>
      <c r="BO451" s="1" t="s">
        <v>74</v>
      </c>
      <c r="BP451" s="1" t="s">
        <v>74</v>
      </c>
      <c r="BQ451" s="1" t="s">
        <v>74</v>
      </c>
      <c r="BR451" s="1" t="s">
        <v>74</v>
      </c>
      <c r="BS451" s="1" t="s">
        <v>4699</v>
      </c>
      <c r="BT451" s="1" t="str">
        <f>HYPERLINK("https%3A%2F%2Fwww.webofscience.com%2Fwos%2Fwoscc%2Ffull-record%2FWOS:000272736000008","View Full Record in Web of Science")</f>
        <v>View Full Record in Web of Science</v>
      </c>
    </row>
    <row r="452" ht="12.75" customHeight="1">
      <c r="A452" s="1" t="s">
        <v>72</v>
      </c>
      <c r="B452" s="1" t="s">
        <v>4700</v>
      </c>
      <c r="C452" s="1" t="s">
        <v>74</v>
      </c>
      <c r="D452" s="1" t="s">
        <v>74</v>
      </c>
      <c r="E452" s="1" t="s">
        <v>74</v>
      </c>
      <c r="F452" s="1" t="s">
        <v>4701</v>
      </c>
      <c r="G452" s="1" t="s">
        <v>74</v>
      </c>
      <c r="H452" s="1" t="s">
        <v>74</v>
      </c>
      <c r="I452" s="1" t="s">
        <v>4702</v>
      </c>
      <c r="J452" s="1" t="s">
        <v>4703</v>
      </c>
      <c r="K452" s="1" t="s">
        <v>74</v>
      </c>
      <c r="L452" s="1" t="s">
        <v>74</v>
      </c>
      <c r="M452" s="1" t="s">
        <v>74</v>
      </c>
      <c r="N452" s="1" t="s">
        <v>74</v>
      </c>
      <c r="O452" s="1" t="s">
        <v>4704</v>
      </c>
      <c r="P452" s="1" t="s">
        <v>4705</v>
      </c>
      <c r="Q452" s="1" t="s">
        <v>4706</v>
      </c>
      <c r="R452" s="1" t="s">
        <v>4707</v>
      </c>
      <c r="S452" s="1" t="s">
        <v>74</v>
      </c>
      <c r="T452" s="1" t="s">
        <v>74</v>
      </c>
      <c r="U452" s="1" t="s">
        <v>74</v>
      </c>
      <c r="V452" s="1" t="s">
        <v>4708</v>
      </c>
      <c r="W452" s="1" t="s">
        <v>74</v>
      </c>
      <c r="X452" s="1" t="s">
        <v>74</v>
      </c>
      <c r="Y452" s="1" t="s">
        <v>74</v>
      </c>
      <c r="Z452" s="1" t="s">
        <v>74</v>
      </c>
      <c r="AA452" s="1" t="s">
        <v>2618</v>
      </c>
      <c r="AB452" s="1" t="s">
        <v>4709</v>
      </c>
      <c r="AC452" s="1" t="s">
        <v>74</v>
      </c>
      <c r="AD452" s="1" t="s">
        <v>74</v>
      </c>
      <c r="AE452" s="1" t="s">
        <v>74</v>
      </c>
      <c r="AF452" s="1" t="s">
        <v>74</v>
      </c>
      <c r="AG452" s="1" t="s">
        <v>74</v>
      </c>
      <c r="AH452" s="1" t="s">
        <v>74</v>
      </c>
      <c r="AI452" s="1" t="s">
        <v>74</v>
      </c>
      <c r="AJ452" s="1" t="s">
        <v>74</v>
      </c>
      <c r="AK452" s="1" t="s">
        <v>74</v>
      </c>
      <c r="AL452" s="1" t="s">
        <v>74</v>
      </c>
      <c r="AM452" s="1" t="s">
        <v>74</v>
      </c>
      <c r="AN452" s="1" t="s">
        <v>74</v>
      </c>
      <c r="AO452" s="1" t="s">
        <v>4710</v>
      </c>
      <c r="AP452" s="1" t="s">
        <v>74</v>
      </c>
      <c r="AQ452" s="1" t="s">
        <v>74</v>
      </c>
      <c r="AR452" s="1" t="s">
        <v>74</v>
      </c>
      <c r="AS452" s="1" t="s">
        <v>74</v>
      </c>
      <c r="AT452" s="1" t="s">
        <v>235</v>
      </c>
      <c r="AU452" s="1">
        <v>2007.0</v>
      </c>
      <c r="AV452" s="1">
        <v>14.0</v>
      </c>
      <c r="AW452" s="1">
        <v>4.0</v>
      </c>
      <c r="AX452" s="1" t="s">
        <v>74</v>
      </c>
      <c r="AY452" s="1" t="s">
        <v>74</v>
      </c>
      <c r="AZ452" s="1" t="s">
        <v>74</v>
      </c>
      <c r="BA452" s="1" t="s">
        <v>74</v>
      </c>
      <c r="BB452" s="1">
        <v>431.0</v>
      </c>
      <c r="BC452" s="1">
        <v>437.0</v>
      </c>
      <c r="BD452" s="1" t="s">
        <v>74</v>
      </c>
      <c r="BE452" s="1" t="s">
        <v>4711</v>
      </c>
      <c r="BF452" s="2" t="str">
        <f>HYPERLINK("http://dx.doi.org/10.1016/j.ultsonch.2006.10.010","http://dx.doi.org/10.1016/j.ultsonch.2006.10.010")</f>
        <v>http://dx.doi.org/10.1016/j.ultsonch.2006.10.010</v>
      </c>
      <c r="BG452" s="1" t="s">
        <v>74</v>
      </c>
      <c r="BH452" s="1" t="s">
        <v>74</v>
      </c>
      <c r="BI452" s="1" t="s">
        <v>74</v>
      </c>
      <c r="BJ452" s="1" t="s">
        <v>74</v>
      </c>
      <c r="BK452" s="1" t="s">
        <v>74</v>
      </c>
      <c r="BL452" s="1" t="s">
        <v>74</v>
      </c>
      <c r="BM452" s="1" t="s">
        <v>74</v>
      </c>
      <c r="BN452" s="1">
        <v>1.7208505E7</v>
      </c>
      <c r="BO452" s="1" t="s">
        <v>74</v>
      </c>
      <c r="BP452" s="1" t="s">
        <v>74</v>
      </c>
      <c r="BQ452" s="1" t="s">
        <v>74</v>
      </c>
      <c r="BR452" s="1" t="s">
        <v>74</v>
      </c>
      <c r="BS452" s="1" t="s">
        <v>4712</v>
      </c>
      <c r="BT452" s="1" t="str">
        <f>HYPERLINK("https%3A%2F%2Fwww.webofscience.com%2Fwos%2Fwoscc%2Ffull-record%2FWOS:000245565900005","View Full Record in Web of Science")</f>
        <v>View Full Record in Web of Science</v>
      </c>
    </row>
    <row r="453" ht="12.75" customHeight="1">
      <c r="A453" s="1" t="s">
        <v>72</v>
      </c>
      <c r="B453" s="1" t="s">
        <v>4713</v>
      </c>
      <c r="C453" s="1" t="s">
        <v>74</v>
      </c>
      <c r="D453" s="1" t="s">
        <v>74</v>
      </c>
      <c r="E453" s="1" t="s">
        <v>74</v>
      </c>
      <c r="F453" s="1" t="s">
        <v>4713</v>
      </c>
      <c r="G453" s="1" t="s">
        <v>74</v>
      </c>
      <c r="H453" s="1" t="s">
        <v>74</v>
      </c>
      <c r="I453" s="1" t="s">
        <v>4714</v>
      </c>
      <c r="J453" s="1" t="s">
        <v>3933</v>
      </c>
      <c r="K453" s="1" t="s">
        <v>74</v>
      </c>
      <c r="L453" s="1" t="s">
        <v>74</v>
      </c>
      <c r="M453" s="1" t="s">
        <v>74</v>
      </c>
      <c r="N453" s="1" t="s">
        <v>74</v>
      </c>
      <c r="O453" s="1" t="s">
        <v>74</v>
      </c>
      <c r="P453" s="1" t="s">
        <v>74</v>
      </c>
      <c r="Q453" s="1" t="s">
        <v>74</v>
      </c>
      <c r="R453" s="1" t="s">
        <v>74</v>
      </c>
      <c r="S453" s="1" t="s">
        <v>74</v>
      </c>
      <c r="T453" s="1" t="s">
        <v>74</v>
      </c>
      <c r="U453" s="1" t="s">
        <v>74</v>
      </c>
      <c r="V453" s="1" t="s">
        <v>4715</v>
      </c>
      <c r="W453" s="1" t="s">
        <v>74</v>
      </c>
      <c r="X453" s="1" t="s">
        <v>74</v>
      </c>
      <c r="Y453" s="1" t="s">
        <v>74</v>
      </c>
      <c r="Z453" s="1" t="s">
        <v>74</v>
      </c>
      <c r="AA453" s="1" t="s">
        <v>4716</v>
      </c>
      <c r="AB453" s="1" t="s">
        <v>4717</v>
      </c>
      <c r="AC453" s="1" t="s">
        <v>74</v>
      </c>
      <c r="AD453" s="1" t="s">
        <v>74</v>
      </c>
      <c r="AE453" s="1" t="s">
        <v>74</v>
      </c>
      <c r="AF453" s="1" t="s">
        <v>74</v>
      </c>
      <c r="AG453" s="1" t="s">
        <v>74</v>
      </c>
      <c r="AH453" s="1" t="s">
        <v>74</v>
      </c>
      <c r="AI453" s="1" t="s">
        <v>74</v>
      </c>
      <c r="AJ453" s="1" t="s">
        <v>74</v>
      </c>
      <c r="AK453" s="1" t="s">
        <v>74</v>
      </c>
      <c r="AL453" s="1" t="s">
        <v>74</v>
      </c>
      <c r="AM453" s="1" t="s">
        <v>74</v>
      </c>
      <c r="AN453" s="1" t="s">
        <v>74</v>
      </c>
      <c r="AO453" s="1" t="s">
        <v>3937</v>
      </c>
      <c r="AP453" s="1" t="s">
        <v>3938</v>
      </c>
      <c r="AQ453" s="1" t="s">
        <v>74</v>
      </c>
      <c r="AR453" s="1" t="s">
        <v>74</v>
      </c>
      <c r="AS453" s="1" t="s">
        <v>74</v>
      </c>
      <c r="AT453" s="1" t="s">
        <v>1393</v>
      </c>
      <c r="AU453" s="1">
        <v>2004.0</v>
      </c>
      <c r="AV453" s="1">
        <v>6.0</v>
      </c>
      <c r="AW453" s="1">
        <v>6.0</v>
      </c>
      <c r="AX453" s="1" t="s">
        <v>74</v>
      </c>
      <c r="AY453" s="1" t="s">
        <v>74</v>
      </c>
      <c r="AZ453" s="1" t="s">
        <v>74</v>
      </c>
      <c r="BA453" s="1" t="s">
        <v>74</v>
      </c>
      <c r="BB453" s="1">
        <v>1230.0</v>
      </c>
      <c r="BC453" s="1">
        <v>1235.0</v>
      </c>
      <c r="BD453" s="1" t="s">
        <v>74</v>
      </c>
      <c r="BE453" s="1" t="s">
        <v>4718</v>
      </c>
      <c r="BF453" s="2" t="str">
        <f>HYPERLINK("http://dx.doi.org/10.1039/b314883a","http://dx.doi.org/10.1039/b314883a")</f>
        <v>http://dx.doi.org/10.1039/b314883a</v>
      </c>
      <c r="BG453" s="1" t="s">
        <v>74</v>
      </c>
      <c r="BH453" s="1" t="s">
        <v>74</v>
      </c>
      <c r="BI453" s="1" t="s">
        <v>74</v>
      </c>
      <c r="BJ453" s="1" t="s">
        <v>74</v>
      </c>
      <c r="BK453" s="1" t="s">
        <v>74</v>
      </c>
      <c r="BL453" s="1" t="s">
        <v>74</v>
      </c>
      <c r="BM453" s="1" t="s">
        <v>74</v>
      </c>
      <c r="BN453" s="1" t="s">
        <v>74</v>
      </c>
      <c r="BO453" s="1" t="s">
        <v>74</v>
      </c>
      <c r="BP453" s="1" t="s">
        <v>74</v>
      </c>
      <c r="BQ453" s="1" t="s">
        <v>74</v>
      </c>
      <c r="BR453" s="1" t="s">
        <v>74</v>
      </c>
      <c r="BS453" s="1" t="s">
        <v>4719</v>
      </c>
      <c r="BT453" s="1" t="str">
        <f>HYPERLINK("https%3A%2F%2Fwww.webofscience.com%2Fwos%2Fwoscc%2Ffull-record%2FWOS:000220663800020","View Full Record in Web of Science")</f>
        <v>View Full Record in Web of Science</v>
      </c>
    </row>
    <row r="454" ht="12.75" customHeight="1">
      <c r="A454" s="1" t="s">
        <v>72</v>
      </c>
      <c r="B454" s="1" t="s">
        <v>4720</v>
      </c>
      <c r="C454" s="1" t="s">
        <v>74</v>
      </c>
      <c r="D454" s="1" t="s">
        <v>74</v>
      </c>
      <c r="E454" s="1" t="s">
        <v>74</v>
      </c>
      <c r="F454" s="1" t="s">
        <v>4720</v>
      </c>
      <c r="G454" s="1" t="s">
        <v>74</v>
      </c>
      <c r="H454" s="1" t="s">
        <v>74</v>
      </c>
      <c r="I454" s="1" t="s">
        <v>4721</v>
      </c>
      <c r="J454" s="1" t="s">
        <v>4722</v>
      </c>
      <c r="K454" s="1" t="s">
        <v>74</v>
      </c>
      <c r="L454" s="1" t="s">
        <v>74</v>
      </c>
      <c r="M454" s="1" t="s">
        <v>74</v>
      </c>
      <c r="N454" s="1" t="s">
        <v>74</v>
      </c>
      <c r="O454" s="1" t="s">
        <v>74</v>
      </c>
      <c r="P454" s="1" t="s">
        <v>74</v>
      </c>
      <c r="Q454" s="1" t="s">
        <v>74</v>
      </c>
      <c r="R454" s="1" t="s">
        <v>74</v>
      </c>
      <c r="S454" s="1" t="s">
        <v>74</v>
      </c>
      <c r="T454" s="1" t="s">
        <v>74</v>
      </c>
      <c r="U454" s="1" t="s">
        <v>74</v>
      </c>
      <c r="V454" s="1" t="s">
        <v>4723</v>
      </c>
      <c r="W454" s="1" t="s">
        <v>74</v>
      </c>
      <c r="X454" s="1" t="s">
        <v>74</v>
      </c>
      <c r="Y454" s="1" t="s">
        <v>74</v>
      </c>
      <c r="Z454" s="1" t="s">
        <v>74</v>
      </c>
      <c r="AA454" s="1" t="s">
        <v>171</v>
      </c>
      <c r="AB454" s="1" t="s">
        <v>4724</v>
      </c>
      <c r="AC454" s="1" t="s">
        <v>74</v>
      </c>
      <c r="AD454" s="1" t="s">
        <v>74</v>
      </c>
      <c r="AE454" s="1" t="s">
        <v>74</v>
      </c>
      <c r="AF454" s="1" t="s">
        <v>74</v>
      </c>
      <c r="AG454" s="1" t="s">
        <v>74</v>
      </c>
      <c r="AH454" s="1" t="s">
        <v>74</v>
      </c>
      <c r="AI454" s="1" t="s">
        <v>74</v>
      </c>
      <c r="AJ454" s="1" t="s">
        <v>74</v>
      </c>
      <c r="AK454" s="1" t="s">
        <v>74</v>
      </c>
      <c r="AL454" s="1" t="s">
        <v>74</v>
      </c>
      <c r="AM454" s="1" t="s">
        <v>74</v>
      </c>
      <c r="AN454" s="1" t="s">
        <v>74</v>
      </c>
      <c r="AO454" s="1" t="s">
        <v>4725</v>
      </c>
      <c r="AP454" s="1" t="s">
        <v>4726</v>
      </c>
      <c r="AQ454" s="1" t="s">
        <v>74</v>
      </c>
      <c r="AR454" s="1" t="s">
        <v>74</v>
      </c>
      <c r="AS454" s="1" t="s">
        <v>74</v>
      </c>
      <c r="AT454" s="1" t="s">
        <v>4727</v>
      </c>
      <c r="AU454" s="1">
        <v>2001.0</v>
      </c>
      <c r="AV454" s="1">
        <v>16.0</v>
      </c>
      <c r="AW454" s="1">
        <v>32.0</v>
      </c>
      <c r="AX454" s="1" t="s">
        <v>74</v>
      </c>
      <c r="AY454" s="1" t="s">
        <v>74</v>
      </c>
      <c r="AZ454" s="1" t="s">
        <v>74</v>
      </c>
      <c r="BA454" s="1" t="s">
        <v>74</v>
      </c>
      <c r="BB454" s="1">
        <v>2075.0</v>
      </c>
      <c r="BC454" s="1">
        <v>2078.0</v>
      </c>
      <c r="BD454" s="1" t="s">
        <v>74</v>
      </c>
      <c r="BE454" s="1" t="s">
        <v>4728</v>
      </c>
      <c r="BF454" s="2" t="str">
        <f>HYPERLINK("http://dx.doi.org/10.1142/S0217732301005345","http://dx.doi.org/10.1142/S0217732301005345")</f>
        <v>http://dx.doi.org/10.1142/S0217732301005345</v>
      </c>
      <c r="BG454" s="1" t="s">
        <v>74</v>
      </c>
      <c r="BH454" s="1" t="s">
        <v>74</v>
      </c>
      <c r="BI454" s="1" t="s">
        <v>74</v>
      </c>
      <c r="BJ454" s="1" t="s">
        <v>74</v>
      </c>
      <c r="BK454" s="1" t="s">
        <v>74</v>
      </c>
      <c r="BL454" s="1" t="s">
        <v>74</v>
      </c>
      <c r="BM454" s="1" t="s">
        <v>74</v>
      </c>
      <c r="BN454" s="1" t="s">
        <v>74</v>
      </c>
      <c r="BO454" s="1" t="s">
        <v>74</v>
      </c>
      <c r="BP454" s="1" t="s">
        <v>74</v>
      </c>
      <c r="BQ454" s="1" t="s">
        <v>74</v>
      </c>
      <c r="BR454" s="1" t="s">
        <v>74</v>
      </c>
      <c r="BS454" s="1" t="s">
        <v>4729</v>
      </c>
      <c r="BT454" s="1" t="str">
        <f>HYPERLINK("https%3A%2F%2Fwww.webofscience.com%2Fwos%2Fwoscc%2Ffull-record%2FWOS:000172680100003","View Full Record in Web of Science")</f>
        <v>View Full Record in Web of Science</v>
      </c>
    </row>
    <row r="455" ht="12.75" customHeight="1">
      <c r="A455" s="1" t="s">
        <v>72</v>
      </c>
      <c r="B455" s="1" t="s">
        <v>4730</v>
      </c>
      <c r="C455" s="1" t="s">
        <v>74</v>
      </c>
      <c r="D455" s="1" t="s">
        <v>74</v>
      </c>
      <c r="E455" s="1" t="s">
        <v>74</v>
      </c>
      <c r="F455" s="1" t="s">
        <v>4730</v>
      </c>
      <c r="G455" s="1" t="s">
        <v>74</v>
      </c>
      <c r="H455" s="1" t="s">
        <v>74</v>
      </c>
      <c r="I455" s="1" t="s">
        <v>4731</v>
      </c>
      <c r="J455" s="1" t="s">
        <v>1966</v>
      </c>
      <c r="K455" s="1" t="s">
        <v>74</v>
      </c>
      <c r="L455" s="1" t="s">
        <v>74</v>
      </c>
      <c r="M455" s="1" t="s">
        <v>74</v>
      </c>
      <c r="N455" s="1" t="s">
        <v>74</v>
      </c>
      <c r="O455" s="1" t="s">
        <v>74</v>
      </c>
      <c r="P455" s="1" t="s">
        <v>74</v>
      </c>
      <c r="Q455" s="1" t="s">
        <v>74</v>
      </c>
      <c r="R455" s="1" t="s">
        <v>74</v>
      </c>
      <c r="S455" s="1" t="s">
        <v>74</v>
      </c>
      <c r="T455" s="1" t="s">
        <v>74</v>
      </c>
      <c r="U455" s="1" t="s">
        <v>74</v>
      </c>
      <c r="V455" s="1" t="s">
        <v>4732</v>
      </c>
      <c r="W455" s="1" t="s">
        <v>74</v>
      </c>
      <c r="X455" s="1" t="s">
        <v>74</v>
      </c>
      <c r="Y455" s="1" t="s">
        <v>74</v>
      </c>
      <c r="Z455" s="1" t="s">
        <v>74</v>
      </c>
      <c r="AA455" s="1" t="s">
        <v>4733</v>
      </c>
      <c r="AB455" s="1" t="s">
        <v>4734</v>
      </c>
      <c r="AC455" s="1" t="s">
        <v>74</v>
      </c>
      <c r="AD455" s="1" t="s">
        <v>74</v>
      </c>
      <c r="AE455" s="1" t="s">
        <v>74</v>
      </c>
      <c r="AF455" s="1" t="s">
        <v>74</v>
      </c>
      <c r="AG455" s="1" t="s">
        <v>74</v>
      </c>
      <c r="AH455" s="1" t="s">
        <v>74</v>
      </c>
      <c r="AI455" s="1" t="s">
        <v>74</v>
      </c>
      <c r="AJ455" s="1" t="s">
        <v>74</v>
      </c>
      <c r="AK455" s="1" t="s">
        <v>74</v>
      </c>
      <c r="AL455" s="1" t="s">
        <v>74</v>
      </c>
      <c r="AM455" s="1" t="s">
        <v>74</v>
      </c>
      <c r="AN455" s="1" t="s">
        <v>74</v>
      </c>
      <c r="AO455" s="1" t="s">
        <v>1970</v>
      </c>
      <c r="AP455" s="1" t="s">
        <v>1971</v>
      </c>
      <c r="AQ455" s="1" t="s">
        <v>74</v>
      </c>
      <c r="AR455" s="1" t="s">
        <v>74</v>
      </c>
      <c r="AS455" s="1" t="s">
        <v>74</v>
      </c>
      <c r="AT455" s="1" t="s">
        <v>537</v>
      </c>
      <c r="AU455" s="1">
        <v>1998.0</v>
      </c>
      <c r="AV455" s="1">
        <v>58.0</v>
      </c>
      <c r="AW455" s="1">
        <v>5.0</v>
      </c>
      <c r="AX455" s="1" t="s">
        <v>74</v>
      </c>
      <c r="AY455" s="1" t="s">
        <v>74</v>
      </c>
      <c r="AZ455" s="1" t="s">
        <v>74</v>
      </c>
      <c r="BA455" s="1" t="s">
        <v>74</v>
      </c>
      <c r="BB455" s="1">
        <v>4078.0</v>
      </c>
      <c r="BC455" s="1">
        <v>4086.0</v>
      </c>
      <c r="BD455" s="1" t="s">
        <v>74</v>
      </c>
      <c r="BE455" s="1" t="s">
        <v>4735</v>
      </c>
      <c r="BF455" s="2" t="str">
        <f>HYPERLINK("http://dx.doi.org/10.1103/PhysRevA.58.4078","http://dx.doi.org/10.1103/PhysRevA.58.4078")</f>
        <v>http://dx.doi.org/10.1103/PhysRevA.58.4078</v>
      </c>
      <c r="BG455" s="1" t="s">
        <v>74</v>
      </c>
      <c r="BH455" s="1" t="s">
        <v>74</v>
      </c>
      <c r="BI455" s="1" t="s">
        <v>74</v>
      </c>
      <c r="BJ455" s="1" t="s">
        <v>74</v>
      </c>
      <c r="BK455" s="1" t="s">
        <v>74</v>
      </c>
      <c r="BL455" s="1" t="s">
        <v>74</v>
      </c>
      <c r="BM455" s="1" t="s">
        <v>74</v>
      </c>
      <c r="BN455" s="1" t="s">
        <v>74</v>
      </c>
      <c r="BO455" s="1" t="s">
        <v>74</v>
      </c>
      <c r="BP455" s="1" t="s">
        <v>74</v>
      </c>
      <c r="BQ455" s="1" t="s">
        <v>74</v>
      </c>
      <c r="BR455" s="1" t="s">
        <v>74</v>
      </c>
      <c r="BS455" s="1" t="s">
        <v>4736</v>
      </c>
      <c r="BT455" s="1" t="str">
        <f>HYPERLINK("https%3A%2F%2Fwww.webofscience.com%2Fwos%2Fwoscc%2Ffull-record%2FWOS:000076961300085","View Full Record in Web of Science")</f>
        <v>View Full Record in Web of Science</v>
      </c>
    </row>
    <row r="456" ht="12.75" customHeight="1">
      <c r="A456" s="1" t="s">
        <v>72</v>
      </c>
      <c r="B456" s="1" t="s">
        <v>4737</v>
      </c>
      <c r="C456" s="1" t="s">
        <v>74</v>
      </c>
      <c r="D456" s="1" t="s">
        <v>74</v>
      </c>
      <c r="E456" s="1" t="s">
        <v>74</v>
      </c>
      <c r="F456" s="1" t="s">
        <v>4737</v>
      </c>
      <c r="G456" s="1" t="s">
        <v>74</v>
      </c>
      <c r="H456" s="1" t="s">
        <v>74</v>
      </c>
      <c r="I456" s="1" t="s">
        <v>4738</v>
      </c>
      <c r="J456" s="1" t="s">
        <v>4739</v>
      </c>
      <c r="K456" s="1" t="s">
        <v>74</v>
      </c>
      <c r="L456" s="1" t="s">
        <v>74</v>
      </c>
      <c r="M456" s="1" t="s">
        <v>74</v>
      </c>
      <c r="N456" s="1" t="s">
        <v>74</v>
      </c>
      <c r="O456" s="1" t="s">
        <v>74</v>
      </c>
      <c r="P456" s="1" t="s">
        <v>74</v>
      </c>
      <c r="Q456" s="1" t="s">
        <v>74</v>
      </c>
      <c r="R456" s="1" t="s">
        <v>74</v>
      </c>
      <c r="S456" s="1" t="s">
        <v>74</v>
      </c>
      <c r="T456" s="1" t="s">
        <v>74</v>
      </c>
      <c r="U456" s="1" t="s">
        <v>74</v>
      </c>
      <c r="V456" s="1" t="s">
        <v>4740</v>
      </c>
      <c r="W456" s="1" t="s">
        <v>74</v>
      </c>
      <c r="X456" s="1" t="s">
        <v>74</v>
      </c>
      <c r="Y456" s="1" t="s">
        <v>74</v>
      </c>
      <c r="Z456" s="1" t="s">
        <v>74</v>
      </c>
      <c r="AA456" s="1" t="s">
        <v>74</v>
      </c>
      <c r="AB456" s="1" t="s">
        <v>74</v>
      </c>
      <c r="AC456" s="1" t="s">
        <v>74</v>
      </c>
      <c r="AD456" s="1" t="s">
        <v>74</v>
      </c>
      <c r="AE456" s="1" t="s">
        <v>74</v>
      </c>
      <c r="AF456" s="1" t="s">
        <v>74</v>
      </c>
      <c r="AG456" s="1" t="s">
        <v>74</v>
      </c>
      <c r="AH456" s="1" t="s">
        <v>74</v>
      </c>
      <c r="AI456" s="1" t="s">
        <v>74</v>
      </c>
      <c r="AJ456" s="1" t="s">
        <v>74</v>
      </c>
      <c r="AK456" s="1" t="s">
        <v>74</v>
      </c>
      <c r="AL456" s="1" t="s">
        <v>74</v>
      </c>
      <c r="AM456" s="1" t="s">
        <v>74</v>
      </c>
      <c r="AN456" s="1" t="s">
        <v>74</v>
      </c>
      <c r="AO456" s="1" t="s">
        <v>4741</v>
      </c>
      <c r="AP456" s="1" t="s">
        <v>4742</v>
      </c>
      <c r="AQ456" s="1" t="s">
        <v>74</v>
      </c>
      <c r="AR456" s="1" t="s">
        <v>74</v>
      </c>
      <c r="AS456" s="1" t="s">
        <v>74</v>
      </c>
      <c r="AT456" s="1" t="s">
        <v>4743</v>
      </c>
      <c r="AU456" s="1">
        <v>1997.0</v>
      </c>
      <c r="AV456" s="1">
        <v>30.0</v>
      </c>
      <c r="AW456" s="1">
        <v>4.0</v>
      </c>
      <c r="AX456" s="1" t="s">
        <v>74</v>
      </c>
      <c r="AY456" s="1" t="s">
        <v>74</v>
      </c>
      <c r="AZ456" s="1" t="s">
        <v>74</v>
      </c>
      <c r="BA456" s="1" t="s">
        <v>74</v>
      </c>
      <c r="BB456" s="1">
        <v>234.0</v>
      </c>
      <c r="BC456" s="1">
        <v>240.0</v>
      </c>
      <c r="BD456" s="1" t="s">
        <v>74</v>
      </c>
      <c r="BE456" s="1" t="s">
        <v>4744</v>
      </c>
      <c r="BF456" s="2" t="str">
        <f>HYPERLINK("http://dx.doi.org/10.1159/000285052","http://dx.doi.org/10.1159/000285052")</f>
        <v>http://dx.doi.org/10.1159/000285052</v>
      </c>
      <c r="BG456" s="1" t="s">
        <v>74</v>
      </c>
      <c r="BH456" s="1" t="s">
        <v>74</v>
      </c>
      <c r="BI456" s="1" t="s">
        <v>74</v>
      </c>
      <c r="BJ456" s="1" t="s">
        <v>74</v>
      </c>
      <c r="BK456" s="1" t="s">
        <v>74</v>
      </c>
      <c r="BL456" s="1" t="s">
        <v>74</v>
      </c>
      <c r="BM456" s="1" t="s">
        <v>74</v>
      </c>
      <c r="BN456" s="1">
        <v>9239795.0</v>
      </c>
      <c r="BO456" s="1" t="s">
        <v>74</v>
      </c>
      <c r="BP456" s="1" t="s">
        <v>74</v>
      </c>
      <c r="BQ456" s="1" t="s">
        <v>74</v>
      </c>
      <c r="BR456" s="1" t="s">
        <v>74</v>
      </c>
      <c r="BS456" s="1" t="s">
        <v>4745</v>
      </c>
      <c r="BT456" s="1" t="str">
        <f>HYPERLINK("https%3A%2F%2Fwww.webofscience.com%2Fwos%2Fwoscc%2Ffull-record%2FWOS:A1997XJ61300007","View Full Record in Web of Science")</f>
        <v>View Full Record in Web of Science</v>
      </c>
    </row>
    <row r="457" ht="12.75" customHeight="1">
      <c r="A457" s="1" t="s">
        <v>72</v>
      </c>
      <c r="B457" s="1" t="s">
        <v>4746</v>
      </c>
      <c r="C457" s="1" t="s">
        <v>74</v>
      </c>
      <c r="D457" s="1" t="s">
        <v>74</v>
      </c>
      <c r="E457" s="1" t="s">
        <v>74</v>
      </c>
      <c r="F457" s="1" t="s">
        <v>4746</v>
      </c>
      <c r="G457" s="1" t="s">
        <v>74</v>
      </c>
      <c r="H457" s="1" t="s">
        <v>74</v>
      </c>
      <c r="I457" s="1" t="s">
        <v>4747</v>
      </c>
      <c r="J457" s="1" t="s">
        <v>4748</v>
      </c>
      <c r="K457" s="1" t="s">
        <v>74</v>
      </c>
      <c r="L457" s="1" t="s">
        <v>74</v>
      </c>
      <c r="M457" s="1" t="s">
        <v>74</v>
      </c>
      <c r="N457" s="1" t="s">
        <v>74</v>
      </c>
      <c r="O457" s="1" t="s">
        <v>74</v>
      </c>
      <c r="P457" s="1" t="s">
        <v>74</v>
      </c>
      <c r="Q457" s="1" t="s">
        <v>74</v>
      </c>
      <c r="R457" s="1" t="s">
        <v>74</v>
      </c>
      <c r="S457" s="1" t="s">
        <v>74</v>
      </c>
      <c r="T457" s="1" t="s">
        <v>74</v>
      </c>
      <c r="U457" s="1" t="s">
        <v>74</v>
      </c>
      <c r="V457" s="1" t="s">
        <v>4749</v>
      </c>
      <c r="W457" s="1" t="s">
        <v>74</v>
      </c>
      <c r="X457" s="1" t="s">
        <v>74</v>
      </c>
      <c r="Y457" s="1" t="s">
        <v>74</v>
      </c>
      <c r="Z457" s="1" t="s">
        <v>74</v>
      </c>
      <c r="AA457" s="1" t="s">
        <v>4750</v>
      </c>
      <c r="AB457" s="1" t="s">
        <v>4751</v>
      </c>
      <c r="AC457" s="1" t="s">
        <v>74</v>
      </c>
      <c r="AD457" s="1" t="s">
        <v>74</v>
      </c>
      <c r="AE457" s="1" t="s">
        <v>74</v>
      </c>
      <c r="AF457" s="1" t="s">
        <v>74</v>
      </c>
      <c r="AG457" s="1" t="s">
        <v>74</v>
      </c>
      <c r="AH457" s="1" t="s">
        <v>74</v>
      </c>
      <c r="AI457" s="1" t="s">
        <v>74</v>
      </c>
      <c r="AJ457" s="1" t="s">
        <v>74</v>
      </c>
      <c r="AK457" s="1" t="s">
        <v>74</v>
      </c>
      <c r="AL457" s="1" t="s">
        <v>74</v>
      </c>
      <c r="AM457" s="1" t="s">
        <v>74</v>
      </c>
      <c r="AN457" s="1" t="s">
        <v>74</v>
      </c>
      <c r="AO457" s="1" t="s">
        <v>4752</v>
      </c>
      <c r="AP457" s="1" t="s">
        <v>74</v>
      </c>
      <c r="AQ457" s="1" t="s">
        <v>74</v>
      </c>
      <c r="AR457" s="1" t="s">
        <v>74</v>
      </c>
      <c r="AS457" s="1" t="s">
        <v>74</v>
      </c>
      <c r="AT457" s="1" t="s">
        <v>422</v>
      </c>
      <c r="AU457" s="1">
        <v>1995.0</v>
      </c>
      <c r="AV457" s="1">
        <v>2.0</v>
      </c>
      <c r="AW457" s="1">
        <v>1.0</v>
      </c>
      <c r="AX457" s="1" t="s">
        <v>74</v>
      </c>
      <c r="AY457" s="1" t="s">
        <v>74</v>
      </c>
      <c r="AZ457" s="1" t="s">
        <v>74</v>
      </c>
      <c r="BA457" s="1" t="s">
        <v>74</v>
      </c>
      <c r="BB457" s="1">
        <v>10.0</v>
      </c>
      <c r="BC457" s="1">
        <v>18.0</v>
      </c>
      <c r="BD457" s="1" t="s">
        <v>74</v>
      </c>
      <c r="BE457" s="1" t="s">
        <v>4753</v>
      </c>
      <c r="BF457" s="2" t="str">
        <f>HYPERLINK("http://dx.doi.org/10.1016/S1076-6332(05)80240-5","http://dx.doi.org/10.1016/S1076-6332(05)80240-5")</f>
        <v>http://dx.doi.org/10.1016/S1076-6332(05)80240-5</v>
      </c>
      <c r="BG457" s="1" t="s">
        <v>74</v>
      </c>
      <c r="BH457" s="1" t="s">
        <v>74</v>
      </c>
      <c r="BI457" s="1" t="s">
        <v>74</v>
      </c>
      <c r="BJ457" s="1" t="s">
        <v>74</v>
      </c>
      <c r="BK457" s="1" t="s">
        <v>74</v>
      </c>
      <c r="BL457" s="1" t="s">
        <v>74</v>
      </c>
      <c r="BM457" s="1" t="s">
        <v>74</v>
      </c>
      <c r="BN457" s="1">
        <v>9419518.0</v>
      </c>
      <c r="BO457" s="1" t="s">
        <v>74</v>
      </c>
      <c r="BP457" s="1" t="s">
        <v>74</v>
      </c>
      <c r="BQ457" s="1" t="s">
        <v>74</v>
      </c>
      <c r="BR457" s="1" t="s">
        <v>74</v>
      </c>
      <c r="BS457" s="1" t="s">
        <v>4754</v>
      </c>
      <c r="BT457" s="1" t="str">
        <f>HYPERLINK("https%3A%2F%2Fwww.webofscience.com%2Fwos%2Fwoscc%2Ffull-record%2FWOS:A1995QM16600002","View Full Record in Web of Science")</f>
        <v>View Full Record in Web of Science</v>
      </c>
    </row>
    <row r="458" ht="12.75" customHeight="1">
      <c r="A458" s="1" t="s">
        <v>72</v>
      </c>
      <c r="B458" s="1" t="s">
        <v>4755</v>
      </c>
      <c r="C458" s="1" t="s">
        <v>74</v>
      </c>
      <c r="D458" s="1" t="s">
        <v>74</v>
      </c>
      <c r="E458" s="1" t="s">
        <v>74</v>
      </c>
      <c r="F458" s="1" t="s">
        <v>4756</v>
      </c>
      <c r="G458" s="1" t="s">
        <v>74</v>
      </c>
      <c r="H458" s="1" t="s">
        <v>74</v>
      </c>
      <c r="I458" s="1" t="s">
        <v>4757</v>
      </c>
      <c r="J458" s="1" t="s">
        <v>990</v>
      </c>
      <c r="K458" s="1" t="s">
        <v>74</v>
      </c>
      <c r="L458" s="1" t="s">
        <v>74</v>
      </c>
      <c r="M458" s="1" t="s">
        <v>74</v>
      </c>
      <c r="N458" s="1" t="s">
        <v>74</v>
      </c>
      <c r="O458" s="1" t="s">
        <v>74</v>
      </c>
      <c r="P458" s="1" t="s">
        <v>74</v>
      </c>
      <c r="Q458" s="1" t="s">
        <v>74</v>
      </c>
      <c r="R458" s="1" t="s">
        <v>74</v>
      </c>
      <c r="S458" s="1" t="s">
        <v>74</v>
      </c>
      <c r="T458" s="1" t="s">
        <v>74</v>
      </c>
      <c r="U458" s="1" t="s">
        <v>74</v>
      </c>
      <c r="V458" s="1" t="s">
        <v>4758</v>
      </c>
      <c r="W458" s="1" t="s">
        <v>74</v>
      </c>
      <c r="X458" s="1" t="s">
        <v>74</v>
      </c>
      <c r="Y458" s="1" t="s">
        <v>74</v>
      </c>
      <c r="Z458" s="1" t="s">
        <v>74</v>
      </c>
      <c r="AA458" s="1" t="s">
        <v>4759</v>
      </c>
      <c r="AB458" s="1" t="s">
        <v>4760</v>
      </c>
      <c r="AC458" s="1" t="s">
        <v>74</v>
      </c>
      <c r="AD458" s="1" t="s">
        <v>74</v>
      </c>
      <c r="AE458" s="1" t="s">
        <v>74</v>
      </c>
      <c r="AF458" s="1" t="s">
        <v>74</v>
      </c>
      <c r="AG458" s="1" t="s">
        <v>74</v>
      </c>
      <c r="AH458" s="1" t="s">
        <v>74</v>
      </c>
      <c r="AI458" s="1" t="s">
        <v>74</v>
      </c>
      <c r="AJ458" s="1" t="s">
        <v>74</v>
      </c>
      <c r="AK458" s="1" t="s">
        <v>74</v>
      </c>
      <c r="AL458" s="1" t="s">
        <v>74</v>
      </c>
      <c r="AM458" s="1" t="s">
        <v>74</v>
      </c>
      <c r="AN458" s="1" t="s">
        <v>74</v>
      </c>
      <c r="AO458" s="1" t="s">
        <v>994</v>
      </c>
      <c r="AP458" s="1" t="s">
        <v>74</v>
      </c>
      <c r="AQ458" s="1" t="s">
        <v>74</v>
      </c>
      <c r="AR458" s="1" t="s">
        <v>74</v>
      </c>
      <c r="AS458" s="1" t="s">
        <v>74</v>
      </c>
      <c r="AT458" s="1" t="s">
        <v>4761</v>
      </c>
      <c r="AU458" s="1">
        <v>2024.0</v>
      </c>
      <c r="AV458" s="1">
        <v>15.0</v>
      </c>
      <c r="AW458" s="1" t="s">
        <v>74</v>
      </c>
      <c r="AX458" s="1" t="s">
        <v>74</v>
      </c>
      <c r="AY458" s="1" t="s">
        <v>74</v>
      </c>
      <c r="AZ458" s="1" t="s">
        <v>74</v>
      </c>
      <c r="BA458" s="1" t="s">
        <v>74</v>
      </c>
      <c r="BB458" s="1" t="s">
        <v>74</v>
      </c>
      <c r="BC458" s="1" t="s">
        <v>74</v>
      </c>
      <c r="BD458" s="1">
        <v>1455457.0</v>
      </c>
      <c r="BE458" s="1" t="s">
        <v>4762</v>
      </c>
      <c r="BF458" s="2" t="str">
        <f>HYPERLINK("http://dx.doi.org/10.3389/fimmu.2024.1455457","http://dx.doi.org/10.3389/fimmu.2024.1455457")</f>
        <v>http://dx.doi.org/10.3389/fimmu.2024.1455457</v>
      </c>
      <c r="BG458" s="1" t="s">
        <v>74</v>
      </c>
      <c r="BH458" s="1" t="s">
        <v>74</v>
      </c>
      <c r="BI458" s="1" t="s">
        <v>74</v>
      </c>
      <c r="BJ458" s="1" t="s">
        <v>74</v>
      </c>
      <c r="BK458" s="1" t="s">
        <v>74</v>
      </c>
      <c r="BL458" s="1" t="s">
        <v>74</v>
      </c>
      <c r="BM458" s="1" t="s">
        <v>74</v>
      </c>
      <c r="BN458" s="1">
        <v>3.9301034E7</v>
      </c>
      <c r="BO458" s="1" t="s">
        <v>74</v>
      </c>
      <c r="BP458" s="1" t="s">
        <v>74</v>
      </c>
      <c r="BQ458" s="1" t="s">
        <v>74</v>
      </c>
      <c r="BR458" s="1" t="s">
        <v>74</v>
      </c>
      <c r="BS458" s="1" t="s">
        <v>4763</v>
      </c>
      <c r="BT458" s="1" t="str">
        <f>HYPERLINK("https%3A%2F%2Fwww.webofscience.com%2Fwos%2Fwoscc%2Ffull-record%2FWOS:001325247300001","View Full Record in Web of Science")</f>
        <v>View Full Record in Web of Science</v>
      </c>
    </row>
    <row r="459" ht="12.75" customHeight="1">
      <c r="A459" s="1" t="s">
        <v>72</v>
      </c>
      <c r="B459" s="1" t="s">
        <v>4764</v>
      </c>
      <c r="C459" s="1" t="s">
        <v>74</v>
      </c>
      <c r="D459" s="1" t="s">
        <v>74</v>
      </c>
      <c r="E459" s="1" t="s">
        <v>74</v>
      </c>
      <c r="F459" s="1" t="s">
        <v>4765</v>
      </c>
      <c r="G459" s="1" t="s">
        <v>74</v>
      </c>
      <c r="H459" s="1" t="s">
        <v>74</v>
      </c>
      <c r="I459" s="1" t="s">
        <v>4766</v>
      </c>
      <c r="J459" s="1" t="s">
        <v>4767</v>
      </c>
      <c r="K459" s="1" t="s">
        <v>74</v>
      </c>
      <c r="L459" s="1" t="s">
        <v>74</v>
      </c>
      <c r="M459" s="1" t="s">
        <v>74</v>
      </c>
      <c r="N459" s="1" t="s">
        <v>74</v>
      </c>
      <c r="O459" s="1" t="s">
        <v>74</v>
      </c>
      <c r="P459" s="1" t="s">
        <v>74</v>
      </c>
      <c r="Q459" s="1" t="s">
        <v>74</v>
      </c>
      <c r="R459" s="1" t="s">
        <v>74</v>
      </c>
      <c r="S459" s="1" t="s">
        <v>74</v>
      </c>
      <c r="T459" s="1" t="s">
        <v>74</v>
      </c>
      <c r="U459" s="1" t="s">
        <v>74</v>
      </c>
      <c r="V459" s="1" t="s">
        <v>4768</v>
      </c>
      <c r="W459" s="1" t="s">
        <v>74</v>
      </c>
      <c r="X459" s="1" t="s">
        <v>74</v>
      </c>
      <c r="Y459" s="1" t="s">
        <v>74</v>
      </c>
      <c r="Z459" s="1" t="s">
        <v>74</v>
      </c>
      <c r="AA459" s="1" t="s">
        <v>4769</v>
      </c>
      <c r="AB459" s="1" t="s">
        <v>4770</v>
      </c>
      <c r="AC459" s="1" t="s">
        <v>74</v>
      </c>
      <c r="AD459" s="1" t="s">
        <v>74</v>
      </c>
      <c r="AE459" s="1" t="s">
        <v>74</v>
      </c>
      <c r="AF459" s="1" t="s">
        <v>74</v>
      </c>
      <c r="AG459" s="1" t="s">
        <v>74</v>
      </c>
      <c r="AH459" s="1" t="s">
        <v>74</v>
      </c>
      <c r="AI459" s="1" t="s">
        <v>74</v>
      </c>
      <c r="AJ459" s="1" t="s">
        <v>74</v>
      </c>
      <c r="AK459" s="1" t="s">
        <v>74</v>
      </c>
      <c r="AL459" s="1" t="s">
        <v>74</v>
      </c>
      <c r="AM459" s="1" t="s">
        <v>74</v>
      </c>
      <c r="AN459" s="1" t="s">
        <v>74</v>
      </c>
      <c r="AO459" s="1" t="s">
        <v>4771</v>
      </c>
      <c r="AP459" s="1" t="s">
        <v>4772</v>
      </c>
      <c r="AQ459" s="1" t="s">
        <v>74</v>
      </c>
      <c r="AR459" s="1" t="s">
        <v>74</v>
      </c>
      <c r="AS459" s="1" t="s">
        <v>74</v>
      </c>
      <c r="AT459" s="1" t="s">
        <v>537</v>
      </c>
      <c r="AU459" s="1">
        <v>2024.0</v>
      </c>
      <c r="AV459" s="1">
        <v>221.0</v>
      </c>
      <c r="AW459" s="1">
        <v>21.0</v>
      </c>
      <c r="AX459" s="1" t="s">
        <v>74</v>
      </c>
      <c r="AY459" s="1" t="s">
        <v>74</v>
      </c>
      <c r="AZ459" s="1" t="s">
        <v>1416</v>
      </c>
      <c r="BA459" s="1" t="s">
        <v>74</v>
      </c>
      <c r="BB459" s="1" t="s">
        <v>74</v>
      </c>
      <c r="BC459" s="1" t="s">
        <v>74</v>
      </c>
      <c r="BD459" s="1" t="s">
        <v>74</v>
      </c>
      <c r="BE459" s="1" t="s">
        <v>4773</v>
      </c>
      <c r="BF459" s="2" t="str">
        <f>HYPERLINK("http://dx.doi.org/10.1002/pssa.202400064","http://dx.doi.org/10.1002/pssa.202400064")</f>
        <v>http://dx.doi.org/10.1002/pssa.202400064</v>
      </c>
      <c r="BG459" s="1" t="s">
        <v>74</v>
      </c>
      <c r="BH459" s="1" t="s">
        <v>4774</v>
      </c>
      <c r="BI459" s="1" t="s">
        <v>74</v>
      </c>
      <c r="BJ459" s="1" t="s">
        <v>74</v>
      </c>
      <c r="BK459" s="1" t="s">
        <v>74</v>
      </c>
      <c r="BL459" s="1" t="s">
        <v>74</v>
      </c>
      <c r="BM459" s="1" t="s">
        <v>74</v>
      </c>
      <c r="BN459" s="1" t="s">
        <v>74</v>
      </c>
      <c r="BO459" s="1" t="s">
        <v>74</v>
      </c>
      <c r="BP459" s="1" t="s">
        <v>74</v>
      </c>
      <c r="BQ459" s="1" t="s">
        <v>74</v>
      </c>
      <c r="BR459" s="1" t="s">
        <v>74</v>
      </c>
      <c r="BS459" s="1" t="s">
        <v>4775</v>
      </c>
      <c r="BT459" s="1" t="str">
        <f>HYPERLINK("https%3A%2F%2Fwww.webofscience.com%2Fwos%2Fwoscc%2Ffull-record%2FWOS:001229386700001","View Full Record in Web of Science")</f>
        <v>View Full Record in Web of Science</v>
      </c>
    </row>
    <row r="460" ht="12.75" customHeight="1">
      <c r="A460" s="1" t="s">
        <v>72</v>
      </c>
      <c r="B460" s="1" t="s">
        <v>4776</v>
      </c>
      <c r="C460" s="1" t="s">
        <v>74</v>
      </c>
      <c r="D460" s="1" t="s">
        <v>74</v>
      </c>
      <c r="E460" s="1" t="s">
        <v>74</v>
      </c>
      <c r="F460" s="1" t="s">
        <v>4777</v>
      </c>
      <c r="G460" s="1" t="s">
        <v>74</v>
      </c>
      <c r="H460" s="1" t="s">
        <v>74</v>
      </c>
      <c r="I460" s="1" t="s">
        <v>4778</v>
      </c>
      <c r="J460" s="1" t="s">
        <v>4779</v>
      </c>
      <c r="K460" s="1" t="s">
        <v>74</v>
      </c>
      <c r="L460" s="1" t="s">
        <v>74</v>
      </c>
      <c r="M460" s="1" t="s">
        <v>74</v>
      </c>
      <c r="N460" s="1" t="s">
        <v>74</v>
      </c>
      <c r="O460" s="1" t="s">
        <v>74</v>
      </c>
      <c r="P460" s="1" t="s">
        <v>74</v>
      </c>
      <c r="Q460" s="1" t="s">
        <v>74</v>
      </c>
      <c r="R460" s="1" t="s">
        <v>74</v>
      </c>
      <c r="S460" s="1" t="s">
        <v>74</v>
      </c>
      <c r="T460" s="1" t="s">
        <v>74</v>
      </c>
      <c r="U460" s="1" t="s">
        <v>74</v>
      </c>
      <c r="V460" s="1" t="s">
        <v>4780</v>
      </c>
      <c r="W460" s="1" t="s">
        <v>74</v>
      </c>
      <c r="X460" s="1" t="s">
        <v>74</v>
      </c>
      <c r="Y460" s="1" t="s">
        <v>74</v>
      </c>
      <c r="Z460" s="1" t="s">
        <v>74</v>
      </c>
      <c r="AA460" s="1" t="s">
        <v>4781</v>
      </c>
      <c r="AB460" s="1" t="s">
        <v>4782</v>
      </c>
      <c r="AC460" s="1" t="s">
        <v>74</v>
      </c>
      <c r="AD460" s="1" t="s">
        <v>74</v>
      </c>
      <c r="AE460" s="1" t="s">
        <v>74</v>
      </c>
      <c r="AF460" s="1" t="s">
        <v>74</v>
      </c>
      <c r="AG460" s="1" t="s">
        <v>74</v>
      </c>
      <c r="AH460" s="1" t="s">
        <v>74</v>
      </c>
      <c r="AI460" s="1" t="s">
        <v>74</v>
      </c>
      <c r="AJ460" s="1" t="s">
        <v>74</v>
      </c>
      <c r="AK460" s="1" t="s">
        <v>74</v>
      </c>
      <c r="AL460" s="1" t="s">
        <v>74</v>
      </c>
      <c r="AM460" s="1" t="s">
        <v>74</v>
      </c>
      <c r="AN460" s="1" t="s">
        <v>74</v>
      </c>
      <c r="AO460" s="1" t="s">
        <v>4783</v>
      </c>
      <c r="AP460" s="1" t="s">
        <v>4784</v>
      </c>
      <c r="AQ460" s="1" t="s">
        <v>74</v>
      </c>
      <c r="AR460" s="1" t="s">
        <v>74</v>
      </c>
      <c r="AS460" s="1" t="s">
        <v>74</v>
      </c>
      <c r="AT460" s="1" t="s">
        <v>485</v>
      </c>
      <c r="AU460" s="1">
        <v>2024.0</v>
      </c>
      <c r="AV460" s="1">
        <v>53.0</v>
      </c>
      <c r="AW460" s="1" t="s">
        <v>74</v>
      </c>
      <c r="AX460" s="1" t="s">
        <v>74</v>
      </c>
      <c r="AY460" s="1" t="s">
        <v>74</v>
      </c>
      <c r="AZ460" s="1" t="s">
        <v>74</v>
      </c>
      <c r="BA460" s="1" t="s">
        <v>74</v>
      </c>
      <c r="BB460" s="1" t="s">
        <v>74</v>
      </c>
      <c r="BC460" s="1" t="s">
        <v>74</v>
      </c>
      <c r="BD460" s="1">
        <v>101373.0</v>
      </c>
      <c r="BE460" s="1" t="s">
        <v>4785</v>
      </c>
      <c r="BF460" s="2" t="str">
        <f>HYPERLINK("http://dx.doi.org/10.1016/j.esr.2024.101373","http://dx.doi.org/10.1016/j.esr.2024.101373")</f>
        <v>http://dx.doi.org/10.1016/j.esr.2024.101373</v>
      </c>
      <c r="BG460" s="1" t="s">
        <v>74</v>
      </c>
      <c r="BH460" s="1" t="s">
        <v>4786</v>
      </c>
      <c r="BI460" s="1" t="s">
        <v>74</v>
      </c>
      <c r="BJ460" s="1" t="s">
        <v>74</v>
      </c>
      <c r="BK460" s="1" t="s">
        <v>74</v>
      </c>
      <c r="BL460" s="1" t="s">
        <v>74</v>
      </c>
      <c r="BM460" s="1" t="s">
        <v>74</v>
      </c>
      <c r="BN460" s="1" t="s">
        <v>74</v>
      </c>
      <c r="BO460" s="1" t="s">
        <v>74</v>
      </c>
      <c r="BP460" s="1" t="s">
        <v>74</v>
      </c>
      <c r="BQ460" s="1" t="s">
        <v>74</v>
      </c>
      <c r="BR460" s="1" t="s">
        <v>74</v>
      </c>
      <c r="BS460" s="1" t="s">
        <v>4787</v>
      </c>
      <c r="BT460" s="1" t="str">
        <f>HYPERLINK("https%3A%2F%2Fwww.webofscience.com%2Fwos%2Fwoscc%2Ffull-record%2FWOS:001223718000001","View Full Record in Web of Science")</f>
        <v>View Full Record in Web of Science</v>
      </c>
    </row>
    <row r="461" ht="12.75" customHeight="1">
      <c r="A461" s="1" t="s">
        <v>72</v>
      </c>
      <c r="B461" s="1" t="s">
        <v>4788</v>
      </c>
      <c r="C461" s="1" t="s">
        <v>74</v>
      </c>
      <c r="D461" s="1" t="s">
        <v>74</v>
      </c>
      <c r="E461" s="1" t="s">
        <v>74</v>
      </c>
      <c r="F461" s="1" t="s">
        <v>4789</v>
      </c>
      <c r="G461" s="1" t="s">
        <v>74</v>
      </c>
      <c r="H461" s="1" t="s">
        <v>74</v>
      </c>
      <c r="I461" s="1" t="s">
        <v>4790</v>
      </c>
      <c r="J461" s="1" t="s">
        <v>3533</v>
      </c>
      <c r="K461" s="1" t="s">
        <v>74</v>
      </c>
      <c r="L461" s="1" t="s">
        <v>74</v>
      </c>
      <c r="M461" s="1" t="s">
        <v>74</v>
      </c>
      <c r="N461" s="1" t="s">
        <v>74</v>
      </c>
      <c r="O461" s="1" t="s">
        <v>74</v>
      </c>
      <c r="P461" s="1" t="s">
        <v>74</v>
      </c>
      <c r="Q461" s="1" t="s">
        <v>74</v>
      </c>
      <c r="R461" s="1" t="s">
        <v>74</v>
      </c>
      <c r="S461" s="1" t="s">
        <v>74</v>
      </c>
      <c r="T461" s="1" t="s">
        <v>74</v>
      </c>
      <c r="U461" s="1" t="s">
        <v>74</v>
      </c>
      <c r="V461" s="1" t="s">
        <v>4791</v>
      </c>
      <c r="W461" s="1" t="s">
        <v>74</v>
      </c>
      <c r="X461" s="1" t="s">
        <v>74</v>
      </c>
      <c r="Y461" s="1" t="s">
        <v>74</v>
      </c>
      <c r="Z461" s="1" t="s">
        <v>74</v>
      </c>
      <c r="AA461" s="1" t="s">
        <v>4792</v>
      </c>
      <c r="AB461" s="1" t="s">
        <v>4793</v>
      </c>
      <c r="AC461" s="1" t="s">
        <v>74</v>
      </c>
      <c r="AD461" s="1" t="s">
        <v>74</v>
      </c>
      <c r="AE461" s="1" t="s">
        <v>74</v>
      </c>
      <c r="AF461" s="1" t="s">
        <v>74</v>
      </c>
      <c r="AG461" s="1" t="s">
        <v>74</v>
      </c>
      <c r="AH461" s="1" t="s">
        <v>74</v>
      </c>
      <c r="AI461" s="1" t="s">
        <v>74</v>
      </c>
      <c r="AJ461" s="1" t="s">
        <v>74</v>
      </c>
      <c r="AK461" s="1" t="s">
        <v>74</v>
      </c>
      <c r="AL461" s="1" t="s">
        <v>74</v>
      </c>
      <c r="AM461" s="1" t="s">
        <v>74</v>
      </c>
      <c r="AN461" s="1" t="s">
        <v>74</v>
      </c>
      <c r="AO461" s="1" t="s">
        <v>3537</v>
      </c>
      <c r="AP461" s="1" t="s">
        <v>3538</v>
      </c>
      <c r="AQ461" s="1" t="s">
        <v>74</v>
      </c>
      <c r="AR461" s="1" t="s">
        <v>74</v>
      </c>
      <c r="AS461" s="1" t="s">
        <v>74</v>
      </c>
      <c r="AT461" s="1" t="s">
        <v>175</v>
      </c>
      <c r="AU461" s="1">
        <v>2023.0</v>
      </c>
      <c r="AV461" s="1">
        <v>899.0</v>
      </c>
      <c r="AW461" s="1" t="s">
        <v>74</v>
      </c>
      <c r="AX461" s="1" t="s">
        <v>74</v>
      </c>
      <c r="AY461" s="1" t="s">
        <v>74</v>
      </c>
      <c r="AZ461" s="1" t="s">
        <v>74</v>
      </c>
      <c r="BA461" s="1" t="s">
        <v>74</v>
      </c>
      <c r="BB461" s="1" t="s">
        <v>74</v>
      </c>
      <c r="BC461" s="1" t="s">
        <v>74</v>
      </c>
      <c r="BD461" s="1">
        <v>165388.0</v>
      </c>
      <c r="BE461" s="1" t="s">
        <v>4794</v>
      </c>
      <c r="BF461" s="2" t="str">
        <f>HYPERLINK("http://dx.doi.org/10.1016/j.scitotenv.2023.165388","http://dx.doi.org/10.1016/j.scitotenv.2023.165388")</f>
        <v>http://dx.doi.org/10.1016/j.scitotenv.2023.165388</v>
      </c>
      <c r="BG461" s="1" t="s">
        <v>74</v>
      </c>
      <c r="BH461" s="1" t="s">
        <v>2403</v>
      </c>
      <c r="BI461" s="1" t="s">
        <v>74</v>
      </c>
      <c r="BJ461" s="1" t="s">
        <v>74</v>
      </c>
      <c r="BK461" s="1" t="s">
        <v>74</v>
      </c>
      <c r="BL461" s="1" t="s">
        <v>74</v>
      </c>
      <c r="BM461" s="1" t="s">
        <v>74</v>
      </c>
      <c r="BN461" s="1">
        <v>3.7454859E7</v>
      </c>
      <c r="BO461" s="1" t="s">
        <v>74</v>
      </c>
      <c r="BP461" s="1" t="s">
        <v>74</v>
      </c>
      <c r="BQ461" s="1" t="s">
        <v>74</v>
      </c>
      <c r="BR461" s="1" t="s">
        <v>74</v>
      </c>
      <c r="BS461" s="1" t="s">
        <v>4795</v>
      </c>
      <c r="BT461" s="1" t="str">
        <f>HYPERLINK("https%3A%2F%2Fwww.webofscience.com%2Fwos%2Fwoscc%2Ffull-record%2FWOS:001050174100001","View Full Record in Web of Science")</f>
        <v>View Full Record in Web of Science</v>
      </c>
    </row>
    <row r="462" ht="12.75" customHeight="1">
      <c r="A462" s="1" t="s">
        <v>72</v>
      </c>
      <c r="B462" s="1" t="s">
        <v>4796</v>
      </c>
      <c r="C462" s="1" t="s">
        <v>74</v>
      </c>
      <c r="D462" s="1" t="s">
        <v>74</v>
      </c>
      <c r="E462" s="1" t="s">
        <v>74</v>
      </c>
      <c r="F462" s="1" t="s">
        <v>4797</v>
      </c>
      <c r="G462" s="1" t="s">
        <v>74</v>
      </c>
      <c r="H462" s="1" t="s">
        <v>74</v>
      </c>
      <c r="I462" s="1" t="s">
        <v>4798</v>
      </c>
      <c r="J462" s="1" t="s">
        <v>4799</v>
      </c>
      <c r="K462" s="1" t="s">
        <v>74</v>
      </c>
      <c r="L462" s="1" t="s">
        <v>74</v>
      </c>
      <c r="M462" s="1" t="s">
        <v>74</v>
      </c>
      <c r="N462" s="1" t="s">
        <v>74</v>
      </c>
      <c r="O462" s="1" t="s">
        <v>74</v>
      </c>
      <c r="P462" s="1" t="s">
        <v>74</v>
      </c>
      <c r="Q462" s="1" t="s">
        <v>74</v>
      </c>
      <c r="R462" s="1" t="s">
        <v>74</v>
      </c>
      <c r="S462" s="1" t="s">
        <v>74</v>
      </c>
      <c r="T462" s="1" t="s">
        <v>74</v>
      </c>
      <c r="U462" s="1" t="s">
        <v>74</v>
      </c>
      <c r="V462" s="1" t="s">
        <v>4800</v>
      </c>
      <c r="W462" s="1" t="s">
        <v>74</v>
      </c>
      <c r="X462" s="1" t="s">
        <v>74</v>
      </c>
      <c r="Y462" s="1" t="s">
        <v>74</v>
      </c>
      <c r="Z462" s="1" t="s">
        <v>74</v>
      </c>
      <c r="AA462" s="1" t="s">
        <v>4801</v>
      </c>
      <c r="AB462" s="1" t="s">
        <v>74</v>
      </c>
      <c r="AC462" s="1" t="s">
        <v>74</v>
      </c>
      <c r="AD462" s="1" t="s">
        <v>74</v>
      </c>
      <c r="AE462" s="1" t="s">
        <v>74</v>
      </c>
      <c r="AF462" s="1" t="s">
        <v>74</v>
      </c>
      <c r="AG462" s="1" t="s">
        <v>74</v>
      </c>
      <c r="AH462" s="1" t="s">
        <v>74</v>
      </c>
      <c r="AI462" s="1" t="s">
        <v>74</v>
      </c>
      <c r="AJ462" s="1" t="s">
        <v>74</v>
      </c>
      <c r="AK462" s="1" t="s">
        <v>74</v>
      </c>
      <c r="AL462" s="1" t="s">
        <v>74</v>
      </c>
      <c r="AM462" s="1" t="s">
        <v>74</v>
      </c>
      <c r="AN462" s="1" t="s">
        <v>74</v>
      </c>
      <c r="AO462" s="1" t="s">
        <v>4802</v>
      </c>
      <c r="AP462" s="1" t="s">
        <v>74</v>
      </c>
      <c r="AQ462" s="1" t="s">
        <v>74</v>
      </c>
      <c r="AR462" s="1" t="s">
        <v>74</v>
      </c>
      <c r="AS462" s="1" t="s">
        <v>74</v>
      </c>
      <c r="AT462" s="1" t="s">
        <v>74</v>
      </c>
      <c r="AU462" s="1">
        <v>2023.0</v>
      </c>
      <c r="AV462" s="1">
        <v>12.0</v>
      </c>
      <c r="AW462" s="1" t="s">
        <v>74</v>
      </c>
      <c r="AX462" s="1" t="s">
        <v>74</v>
      </c>
      <c r="AY462" s="1">
        <v>4.0</v>
      </c>
      <c r="AZ462" s="1" t="s">
        <v>74</v>
      </c>
      <c r="BA462" s="1" t="s">
        <v>74</v>
      </c>
      <c r="BB462" s="1">
        <v>1.0</v>
      </c>
      <c r="BC462" s="1">
        <v>14.0</v>
      </c>
      <c r="BD462" s="1" t="s">
        <v>74</v>
      </c>
      <c r="BE462" s="1" t="s">
        <v>74</v>
      </c>
      <c r="BF462" s="1" t="s">
        <v>74</v>
      </c>
      <c r="BG462" s="1" t="s">
        <v>74</v>
      </c>
      <c r="BH462" s="1" t="s">
        <v>74</v>
      </c>
      <c r="BI462" s="1" t="s">
        <v>74</v>
      </c>
      <c r="BJ462" s="1" t="s">
        <v>74</v>
      </c>
      <c r="BK462" s="1" t="s">
        <v>74</v>
      </c>
      <c r="BL462" s="1" t="s">
        <v>74</v>
      </c>
      <c r="BM462" s="1" t="s">
        <v>74</v>
      </c>
      <c r="BN462" s="1" t="s">
        <v>74</v>
      </c>
      <c r="BO462" s="1" t="s">
        <v>74</v>
      </c>
      <c r="BP462" s="1" t="s">
        <v>74</v>
      </c>
      <c r="BQ462" s="1" t="s">
        <v>74</v>
      </c>
      <c r="BR462" s="1" t="s">
        <v>74</v>
      </c>
      <c r="BS462" s="1" t="s">
        <v>4803</v>
      </c>
      <c r="BT462" s="1" t="str">
        <f>HYPERLINK("https%3A%2F%2Fwww.webofscience.com%2Fwos%2Fwoscc%2Ffull-record%2FWOS:001143891900006","View Full Record in Web of Science")</f>
        <v>View Full Record in Web of Science</v>
      </c>
    </row>
    <row r="463" ht="12.75" customHeight="1">
      <c r="A463" s="1" t="s">
        <v>72</v>
      </c>
      <c r="B463" s="1" t="s">
        <v>4804</v>
      </c>
      <c r="C463" s="1" t="s">
        <v>74</v>
      </c>
      <c r="D463" s="1" t="s">
        <v>74</v>
      </c>
      <c r="E463" s="1" t="s">
        <v>74</v>
      </c>
      <c r="F463" s="1" t="s">
        <v>4805</v>
      </c>
      <c r="G463" s="1" t="s">
        <v>74</v>
      </c>
      <c r="H463" s="1" t="s">
        <v>74</v>
      </c>
      <c r="I463" s="1" t="s">
        <v>4806</v>
      </c>
      <c r="J463" s="1" t="s">
        <v>4807</v>
      </c>
      <c r="K463" s="1" t="s">
        <v>74</v>
      </c>
      <c r="L463" s="1" t="s">
        <v>74</v>
      </c>
      <c r="M463" s="1" t="s">
        <v>74</v>
      </c>
      <c r="N463" s="1" t="s">
        <v>74</v>
      </c>
      <c r="O463" s="1" t="s">
        <v>74</v>
      </c>
      <c r="P463" s="1" t="s">
        <v>74</v>
      </c>
      <c r="Q463" s="1" t="s">
        <v>74</v>
      </c>
      <c r="R463" s="1" t="s">
        <v>74</v>
      </c>
      <c r="S463" s="1" t="s">
        <v>74</v>
      </c>
      <c r="T463" s="1" t="s">
        <v>74</v>
      </c>
      <c r="U463" s="1" t="s">
        <v>74</v>
      </c>
      <c r="V463" s="1" t="s">
        <v>4808</v>
      </c>
      <c r="W463" s="1" t="s">
        <v>74</v>
      </c>
      <c r="X463" s="1" t="s">
        <v>74</v>
      </c>
      <c r="Y463" s="1" t="s">
        <v>74</v>
      </c>
      <c r="Z463" s="1" t="s">
        <v>74</v>
      </c>
      <c r="AA463" s="1" t="s">
        <v>4809</v>
      </c>
      <c r="AB463" s="1" t="s">
        <v>4810</v>
      </c>
      <c r="AC463" s="1" t="s">
        <v>74</v>
      </c>
      <c r="AD463" s="1" t="s">
        <v>74</v>
      </c>
      <c r="AE463" s="1" t="s">
        <v>74</v>
      </c>
      <c r="AF463" s="1" t="s">
        <v>74</v>
      </c>
      <c r="AG463" s="1" t="s">
        <v>74</v>
      </c>
      <c r="AH463" s="1" t="s">
        <v>74</v>
      </c>
      <c r="AI463" s="1" t="s">
        <v>74</v>
      </c>
      <c r="AJ463" s="1" t="s">
        <v>74</v>
      </c>
      <c r="AK463" s="1" t="s">
        <v>74</v>
      </c>
      <c r="AL463" s="1" t="s">
        <v>74</v>
      </c>
      <c r="AM463" s="1" t="s">
        <v>74</v>
      </c>
      <c r="AN463" s="1" t="s">
        <v>74</v>
      </c>
      <c r="AO463" s="1" t="s">
        <v>74</v>
      </c>
      <c r="AP463" s="1" t="s">
        <v>4811</v>
      </c>
      <c r="AQ463" s="1" t="s">
        <v>74</v>
      </c>
      <c r="AR463" s="1" t="s">
        <v>74</v>
      </c>
      <c r="AS463" s="1" t="s">
        <v>74</v>
      </c>
      <c r="AT463" s="1" t="s">
        <v>485</v>
      </c>
      <c r="AU463" s="1">
        <v>2022.0</v>
      </c>
      <c r="AV463" s="1">
        <v>15.0</v>
      </c>
      <c r="AW463" s="1">
        <v>10.0</v>
      </c>
      <c r="AX463" s="1" t="s">
        <v>74</v>
      </c>
      <c r="AY463" s="1" t="s">
        <v>74</v>
      </c>
      <c r="AZ463" s="1" t="s">
        <v>74</v>
      </c>
      <c r="BA463" s="1" t="s">
        <v>74</v>
      </c>
      <c r="BB463" s="1" t="s">
        <v>74</v>
      </c>
      <c r="BC463" s="1" t="s">
        <v>74</v>
      </c>
      <c r="BD463" s="1">
        <v>3489.0</v>
      </c>
      <c r="BE463" s="1" t="s">
        <v>4812</v>
      </c>
      <c r="BF463" s="2" t="str">
        <f>HYPERLINK("http://dx.doi.org/10.3390/en15103489","http://dx.doi.org/10.3390/en15103489")</f>
        <v>http://dx.doi.org/10.3390/en15103489</v>
      </c>
      <c r="BG463" s="1" t="s">
        <v>74</v>
      </c>
      <c r="BH463" s="1" t="s">
        <v>74</v>
      </c>
      <c r="BI463" s="1" t="s">
        <v>74</v>
      </c>
      <c r="BJ463" s="1" t="s">
        <v>74</v>
      </c>
      <c r="BK463" s="1" t="s">
        <v>74</v>
      </c>
      <c r="BL463" s="1" t="s">
        <v>74</v>
      </c>
      <c r="BM463" s="1" t="s">
        <v>74</v>
      </c>
      <c r="BN463" s="1" t="s">
        <v>74</v>
      </c>
      <c r="BO463" s="1" t="s">
        <v>74</v>
      </c>
      <c r="BP463" s="1" t="s">
        <v>74</v>
      </c>
      <c r="BQ463" s="1" t="s">
        <v>74</v>
      </c>
      <c r="BR463" s="1" t="s">
        <v>74</v>
      </c>
      <c r="BS463" s="1" t="s">
        <v>4813</v>
      </c>
      <c r="BT463" s="1" t="str">
        <f>HYPERLINK("https%3A%2F%2Fwww.webofscience.com%2Fwos%2Fwoscc%2Ffull-record%2FWOS:000802429800001","View Full Record in Web of Science")</f>
        <v>View Full Record in Web of Science</v>
      </c>
    </row>
    <row r="464" ht="12.75" customHeight="1">
      <c r="A464" s="1" t="s">
        <v>72</v>
      </c>
      <c r="B464" s="1" t="s">
        <v>4814</v>
      </c>
      <c r="C464" s="1" t="s">
        <v>74</v>
      </c>
      <c r="D464" s="1" t="s">
        <v>74</v>
      </c>
      <c r="E464" s="1" t="s">
        <v>74</v>
      </c>
      <c r="F464" s="1" t="s">
        <v>4815</v>
      </c>
      <c r="G464" s="1" t="s">
        <v>74</v>
      </c>
      <c r="H464" s="1" t="s">
        <v>74</v>
      </c>
      <c r="I464" s="1" t="s">
        <v>4816</v>
      </c>
      <c r="J464" s="1" t="s">
        <v>447</v>
      </c>
      <c r="K464" s="1" t="s">
        <v>74</v>
      </c>
      <c r="L464" s="1" t="s">
        <v>74</v>
      </c>
      <c r="M464" s="1" t="s">
        <v>74</v>
      </c>
      <c r="N464" s="1" t="s">
        <v>74</v>
      </c>
      <c r="O464" s="1" t="s">
        <v>74</v>
      </c>
      <c r="P464" s="1" t="s">
        <v>74</v>
      </c>
      <c r="Q464" s="1" t="s">
        <v>74</v>
      </c>
      <c r="R464" s="1" t="s">
        <v>74</v>
      </c>
      <c r="S464" s="1" t="s">
        <v>74</v>
      </c>
      <c r="T464" s="1" t="s">
        <v>74</v>
      </c>
      <c r="U464" s="1" t="s">
        <v>74</v>
      </c>
      <c r="V464" s="1" t="s">
        <v>74</v>
      </c>
      <c r="W464" s="1" t="s">
        <v>74</v>
      </c>
      <c r="X464" s="1" t="s">
        <v>74</v>
      </c>
      <c r="Y464" s="1" t="s">
        <v>74</v>
      </c>
      <c r="Z464" s="1" t="s">
        <v>74</v>
      </c>
      <c r="AA464" s="1" t="s">
        <v>4817</v>
      </c>
      <c r="AB464" s="1" t="s">
        <v>4818</v>
      </c>
      <c r="AC464" s="1" t="s">
        <v>74</v>
      </c>
      <c r="AD464" s="1" t="s">
        <v>74</v>
      </c>
      <c r="AE464" s="1" t="s">
        <v>74</v>
      </c>
      <c r="AF464" s="1" t="s">
        <v>74</v>
      </c>
      <c r="AG464" s="1" t="s">
        <v>74</v>
      </c>
      <c r="AH464" s="1" t="s">
        <v>74</v>
      </c>
      <c r="AI464" s="1" t="s">
        <v>74</v>
      </c>
      <c r="AJ464" s="1" t="s">
        <v>74</v>
      </c>
      <c r="AK464" s="1" t="s">
        <v>74</v>
      </c>
      <c r="AL464" s="1" t="s">
        <v>74</v>
      </c>
      <c r="AM464" s="1" t="s">
        <v>74</v>
      </c>
      <c r="AN464" s="1" t="s">
        <v>74</v>
      </c>
      <c r="AO464" s="1" t="s">
        <v>451</v>
      </c>
      <c r="AP464" s="1" t="s">
        <v>452</v>
      </c>
      <c r="AQ464" s="1" t="s">
        <v>74</v>
      </c>
      <c r="AR464" s="1" t="s">
        <v>74</v>
      </c>
      <c r="AS464" s="1" t="s">
        <v>74</v>
      </c>
      <c r="AT464" s="1" t="s">
        <v>1213</v>
      </c>
      <c r="AU464" s="1">
        <v>2022.0</v>
      </c>
      <c r="AV464" s="1">
        <v>347.0</v>
      </c>
      <c r="AW464" s="1" t="s">
        <v>74</v>
      </c>
      <c r="AX464" s="1" t="s">
        <v>74</v>
      </c>
      <c r="AY464" s="1" t="s">
        <v>74</v>
      </c>
      <c r="AZ464" s="1" t="s">
        <v>74</v>
      </c>
      <c r="BA464" s="1" t="s">
        <v>74</v>
      </c>
      <c r="BB464" s="1" t="s">
        <v>74</v>
      </c>
      <c r="BC464" s="1" t="s">
        <v>74</v>
      </c>
      <c r="BD464" s="1">
        <v>126445.0</v>
      </c>
      <c r="BE464" s="1" t="s">
        <v>4819</v>
      </c>
      <c r="BF464" s="2" t="str">
        <f>HYPERLINK("http://dx.doi.org/10.1016/j.biortech.2021.126445","http://dx.doi.org/10.1016/j.biortech.2021.126445")</f>
        <v>http://dx.doi.org/10.1016/j.biortech.2021.126445</v>
      </c>
      <c r="BG464" s="1" t="s">
        <v>74</v>
      </c>
      <c r="BH464" s="1" t="s">
        <v>4820</v>
      </c>
      <c r="BI464" s="1" t="s">
        <v>74</v>
      </c>
      <c r="BJ464" s="1" t="s">
        <v>74</v>
      </c>
      <c r="BK464" s="1" t="s">
        <v>74</v>
      </c>
      <c r="BL464" s="1" t="s">
        <v>74</v>
      </c>
      <c r="BM464" s="1" t="s">
        <v>74</v>
      </c>
      <c r="BN464" s="1">
        <v>3.4863607E7</v>
      </c>
      <c r="BO464" s="1" t="s">
        <v>74</v>
      </c>
      <c r="BP464" s="1" t="s">
        <v>74</v>
      </c>
      <c r="BQ464" s="1" t="s">
        <v>74</v>
      </c>
      <c r="BR464" s="1" t="s">
        <v>74</v>
      </c>
      <c r="BS464" s="1" t="s">
        <v>4821</v>
      </c>
      <c r="BT464" s="1" t="str">
        <f>HYPERLINK("https%3A%2F%2Fwww.webofscience.com%2Fwos%2Fwoscc%2Ffull-record%2FWOS:000822899200006","View Full Record in Web of Science")</f>
        <v>View Full Record in Web of Science</v>
      </c>
    </row>
    <row r="465" ht="12.75" customHeight="1">
      <c r="A465" s="1" t="s">
        <v>72</v>
      </c>
      <c r="B465" s="1" t="s">
        <v>4822</v>
      </c>
      <c r="C465" s="1" t="s">
        <v>74</v>
      </c>
      <c r="D465" s="1" t="s">
        <v>74</v>
      </c>
      <c r="E465" s="1" t="s">
        <v>74</v>
      </c>
      <c r="F465" s="1" t="s">
        <v>4823</v>
      </c>
      <c r="G465" s="1" t="s">
        <v>74</v>
      </c>
      <c r="H465" s="1" t="s">
        <v>74</v>
      </c>
      <c r="I465" s="1" t="s">
        <v>4824</v>
      </c>
      <c r="J465" s="1" t="s">
        <v>4825</v>
      </c>
      <c r="K465" s="1" t="s">
        <v>74</v>
      </c>
      <c r="L465" s="1" t="s">
        <v>74</v>
      </c>
      <c r="M465" s="1" t="s">
        <v>74</v>
      </c>
      <c r="N465" s="1" t="s">
        <v>74</v>
      </c>
      <c r="O465" s="1" t="s">
        <v>74</v>
      </c>
      <c r="P465" s="1" t="s">
        <v>74</v>
      </c>
      <c r="Q465" s="1" t="s">
        <v>74</v>
      </c>
      <c r="R465" s="1" t="s">
        <v>74</v>
      </c>
      <c r="S465" s="1" t="s">
        <v>74</v>
      </c>
      <c r="T465" s="1" t="s">
        <v>74</v>
      </c>
      <c r="U465" s="1" t="s">
        <v>74</v>
      </c>
      <c r="V465" s="1" t="s">
        <v>74</v>
      </c>
      <c r="W465" s="1" t="s">
        <v>74</v>
      </c>
      <c r="X465" s="1" t="s">
        <v>74</v>
      </c>
      <c r="Y465" s="1" t="s">
        <v>74</v>
      </c>
      <c r="Z465" s="1" t="s">
        <v>74</v>
      </c>
      <c r="AA465" s="1" t="s">
        <v>74</v>
      </c>
      <c r="AB465" s="1" t="s">
        <v>4826</v>
      </c>
      <c r="AC465" s="1" t="s">
        <v>74</v>
      </c>
      <c r="AD465" s="1" t="s">
        <v>74</v>
      </c>
      <c r="AE465" s="1" t="s">
        <v>74</v>
      </c>
      <c r="AF465" s="1" t="s">
        <v>74</v>
      </c>
      <c r="AG465" s="1" t="s">
        <v>74</v>
      </c>
      <c r="AH465" s="1" t="s">
        <v>74</v>
      </c>
      <c r="AI465" s="1" t="s">
        <v>74</v>
      </c>
      <c r="AJ465" s="1" t="s">
        <v>74</v>
      </c>
      <c r="AK465" s="1" t="s">
        <v>74</v>
      </c>
      <c r="AL465" s="1" t="s">
        <v>74</v>
      </c>
      <c r="AM465" s="1" t="s">
        <v>74</v>
      </c>
      <c r="AN465" s="1" t="s">
        <v>74</v>
      </c>
      <c r="AO465" s="1" t="s">
        <v>4827</v>
      </c>
      <c r="AP465" s="1" t="s">
        <v>4828</v>
      </c>
      <c r="AQ465" s="1" t="s">
        <v>74</v>
      </c>
      <c r="AR465" s="1" t="s">
        <v>74</v>
      </c>
      <c r="AS465" s="1" t="s">
        <v>74</v>
      </c>
      <c r="AT465" s="1" t="s">
        <v>164</v>
      </c>
      <c r="AU465" s="1">
        <v>2020.0</v>
      </c>
      <c r="AV465" s="1">
        <v>131.0</v>
      </c>
      <c r="AW465" s="1" t="s">
        <v>74</v>
      </c>
      <c r="AX465" s="1" t="s">
        <v>74</v>
      </c>
      <c r="AY465" s="1" t="s">
        <v>74</v>
      </c>
      <c r="AZ465" s="1" t="s">
        <v>74</v>
      </c>
      <c r="BA465" s="1" t="s">
        <v>74</v>
      </c>
      <c r="BB465" s="1">
        <v>161.0</v>
      </c>
      <c r="BC465" s="1">
        <v>168.0</v>
      </c>
      <c r="BD465" s="1" t="s">
        <v>74</v>
      </c>
      <c r="BE465" s="1" t="s">
        <v>4829</v>
      </c>
      <c r="BF465" s="2" t="str">
        <f>HYPERLINK("http://dx.doi.org/10.1016/j.sajb.2020.02.021","http://dx.doi.org/10.1016/j.sajb.2020.02.021")</f>
        <v>http://dx.doi.org/10.1016/j.sajb.2020.02.021</v>
      </c>
      <c r="BG465" s="1" t="s">
        <v>74</v>
      </c>
      <c r="BH465" s="1" t="s">
        <v>74</v>
      </c>
      <c r="BI465" s="1" t="s">
        <v>74</v>
      </c>
      <c r="BJ465" s="1" t="s">
        <v>74</v>
      </c>
      <c r="BK465" s="1" t="s">
        <v>74</v>
      </c>
      <c r="BL465" s="1" t="s">
        <v>74</v>
      </c>
      <c r="BM465" s="1" t="s">
        <v>74</v>
      </c>
      <c r="BN465" s="1" t="s">
        <v>74</v>
      </c>
      <c r="BO465" s="1" t="s">
        <v>74</v>
      </c>
      <c r="BP465" s="1" t="s">
        <v>74</v>
      </c>
      <c r="BQ465" s="1" t="s">
        <v>74</v>
      </c>
      <c r="BR465" s="1" t="s">
        <v>74</v>
      </c>
      <c r="BS465" s="1" t="s">
        <v>4830</v>
      </c>
      <c r="BT465" s="1" t="str">
        <f>HYPERLINK("https%3A%2F%2Fwww.webofscience.com%2Fwos%2Fwoscc%2Ffull-record%2FWOS:000539958500018","View Full Record in Web of Science")</f>
        <v>View Full Record in Web of Science</v>
      </c>
    </row>
    <row r="466" ht="12.75" customHeight="1">
      <c r="A466" s="1" t="s">
        <v>72</v>
      </c>
      <c r="B466" s="1" t="s">
        <v>4831</v>
      </c>
      <c r="C466" s="1" t="s">
        <v>74</v>
      </c>
      <c r="D466" s="1" t="s">
        <v>74</v>
      </c>
      <c r="E466" s="1" t="s">
        <v>74</v>
      </c>
      <c r="F466" s="1" t="s">
        <v>4832</v>
      </c>
      <c r="G466" s="1" t="s">
        <v>74</v>
      </c>
      <c r="H466" s="1" t="s">
        <v>74</v>
      </c>
      <c r="I466" s="1" t="s">
        <v>4833</v>
      </c>
      <c r="J466" s="1" t="s">
        <v>4834</v>
      </c>
      <c r="K466" s="1" t="s">
        <v>74</v>
      </c>
      <c r="L466" s="1" t="s">
        <v>74</v>
      </c>
      <c r="M466" s="1" t="s">
        <v>74</v>
      </c>
      <c r="N466" s="1" t="s">
        <v>74</v>
      </c>
      <c r="O466" s="1" t="s">
        <v>74</v>
      </c>
      <c r="P466" s="1" t="s">
        <v>74</v>
      </c>
      <c r="Q466" s="1" t="s">
        <v>74</v>
      </c>
      <c r="R466" s="1" t="s">
        <v>74</v>
      </c>
      <c r="S466" s="1" t="s">
        <v>74</v>
      </c>
      <c r="T466" s="1" t="s">
        <v>74</v>
      </c>
      <c r="U466" s="1" t="s">
        <v>74</v>
      </c>
      <c r="V466" s="1" t="s">
        <v>4835</v>
      </c>
      <c r="W466" s="1" t="s">
        <v>74</v>
      </c>
      <c r="X466" s="1" t="s">
        <v>74</v>
      </c>
      <c r="Y466" s="1" t="s">
        <v>74</v>
      </c>
      <c r="Z466" s="1" t="s">
        <v>74</v>
      </c>
      <c r="AA466" s="1" t="s">
        <v>4836</v>
      </c>
      <c r="AB466" s="1" t="s">
        <v>4837</v>
      </c>
      <c r="AC466" s="1" t="s">
        <v>74</v>
      </c>
      <c r="AD466" s="1" t="s">
        <v>74</v>
      </c>
      <c r="AE466" s="1" t="s">
        <v>74</v>
      </c>
      <c r="AF466" s="1" t="s">
        <v>74</v>
      </c>
      <c r="AG466" s="1" t="s">
        <v>74</v>
      </c>
      <c r="AH466" s="1" t="s">
        <v>74</v>
      </c>
      <c r="AI466" s="1" t="s">
        <v>74</v>
      </c>
      <c r="AJ466" s="1" t="s">
        <v>74</v>
      </c>
      <c r="AK466" s="1" t="s">
        <v>74</v>
      </c>
      <c r="AL466" s="1" t="s">
        <v>74</v>
      </c>
      <c r="AM466" s="1" t="s">
        <v>74</v>
      </c>
      <c r="AN466" s="1" t="s">
        <v>74</v>
      </c>
      <c r="AO466" s="1" t="s">
        <v>4838</v>
      </c>
      <c r="AP466" s="1" t="s">
        <v>4839</v>
      </c>
      <c r="AQ466" s="1" t="s">
        <v>74</v>
      </c>
      <c r="AR466" s="1" t="s">
        <v>74</v>
      </c>
      <c r="AS466" s="1" t="s">
        <v>74</v>
      </c>
      <c r="AT466" s="1" t="s">
        <v>485</v>
      </c>
      <c r="AU466" s="1">
        <v>2020.0</v>
      </c>
      <c r="AV466" s="1">
        <v>75.0</v>
      </c>
      <c r="AW466" s="1">
        <v>5.0</v>
      </c>
      <c r="AX466" s="1" t="s">
        <v>74</v>
      </c>
      <c r="AY466" s="1" t="s">
        <v>74</v>
      </c>
      <c r="AZ466" s="1" t="s">
        <v>74</v>
      </c>
      <c r="BA466" s="1" t="s">
        <v>74</v>
      </c>
      <c r="BB466" s="1">
        <v>413.0</v>
      </c>
      <c r="BC466" s="1">
        <v>419.0</v>
      </c>
      <c r="BD466" s="1" t="s">
        <v>74</v>
      </c>
      <c r="BE466" s="1" t="s">
        <v>4840</v>
      </c>
      <c r="BF466" s="2" t="str">
        <f>HYPERLINK("http://dx.doi.org/10.1515/znb-2020-0010","http://dx.doi.org/10.1515/znb-2020-0010")</f>
        <v>http://dx.doi.org/10.1515/znb-2020-0010</v>
      </c>
      <c r="BG466" s="1" t="s">
        <v>74</v>
      </c>
      <c r="BH466" s="1" t="s">
        <v>74</v>
      </c>
      <c r="BI466" s="1" t="s">
        <v>74</v>
      </c>
      <c r="BJ466" s="1" t="s">
        <v>74</v>
      </c>
      <c r="BK466" s="1" t="s">
        <v>74</v>
      </c>
      <c r="BL466" s="1" t="s">
        <v>74</v>
      </c>
      <c r="BM466" s="1" t="s">
        <v>74</v>
      </c>
      <c r="BN466" s="1" t="s">
        <v>74</v>
      </c>
      <c r="BO466" s="1" t="s">
        <v>74</v>
      </c>
      <c r="BP466" s="1" t="s">
        <v>74</v>
      </c>
      <c r="BQ466" s="1" t="s">
        <v>74</v>
      </c>
      <c r="BR466" s="1" t="s">
        <v>74</v>
      </c>
      <c r="BS466" s="1" t="s">
        <v>4841</v>
      </c>
      <c r="BT466" s="1" t="str">
        <f>HYPERLINK("https%3A%2F%2Fwww.webofscience.com%2Fwos%2Fwoscc%2Ffull-record%2FWOS:000531067100003","View Full Record in Web of Science")</f>
        <v>View Full Record in Web of Science</v>
      </c>
    </row>
    <row r="467" ht="12.75" customHeight="1">
      <c r="A467" s="1" t="s">
        <v>72</v>
      </c>
      <c r="B467" s="1" t="s">
        <v>4842</v>
      </c>
      <c r="C467" s="1" t="s">
        <v>74</v>
      </c>
      <c r="D467" s="1" t="s">
        <v>74</v>
      </c>
      <c r="E467" s="1" t="s">
        <v>74</v>
      </c>
      <c r="F467" s="1" t="s">
        <v>4843</v>
      </c>
      <c r="G467" s="1" t="s">
        <v>74</v>
      </c>
      <c r="H467" s="1" t="s">
        <v>74</v>
      </c>
      <c r="I467" s="1" t="s">
        <v>4844</v>
      </c>
      <c r="J467" s="1" t="s">
        <v>4845</v>
      </c>
      <c r="K467" s="1" t="s">
        <v>74</v>
      </c>
      <c r="L467" s="1" t="s">
        <v>74</v>
      </c>
      <c r="M467" s="1" t="s">
        <v>74</v>
      </c>
      <c r="N467" s="1" t="s">
        <v>74</v>
      </c>
      <c r="O467" s="1" t="s">
        <v>74</v>
      </c>
      <c r="P467" s="1" t="s">
        <v>74</v>
      </c>
      <c r="Q467" s="1" t="s">
        <v>74</v>
      </c>
      <c r="R467" s="1" t="s">
        <v>74</v>
      </c>
      <c r="S467" s="1" t="s">
        <v>74</v>
      </c>
      <c r="T467" s="1" t="s">
        <v>74</v>
      </c>
      <c r="U467" s="1" t="s">
        <v>74</v>
      </c>
      <c r="V467" s="1" t="s">
        <v>4846</v>
      </c>
      <c r="W467" s="1" t="s">
        <v>74</v>
      </c>
      <c r="X467" s="1" t="s">
        <v>74</v>
      </c>
      <c r="Y467" s="1" t="s">
        <v>74</v>
      </c>
      <c r="Z467" s="1" t="s">
        <v>74</v>
      </c>
      <c r="AA467" s="1" t="s">
        <v>4847</v>
      </c>
      <c r="AB467" s="1" t="s">
        <v>4848</v>
      </c>
      <c r="AC467" s="1" t="s">
        <v>74</v>
      </c>
      <c r="AD467" s="1" t="s">
        <v>74</v>
      </c>
      <c r="AE467" s="1" t="s">
        <v>74</v>
      </c>
      <c r="AF467" s="1" t="s">
        <v>74</v>
      </c>
      <c r="AG467" s="1" t="s">
        <v>74</v>
      </c>
      <c r="AH467" s="1" t="s">
        <v>74</v>
      </c>
      <c r="AI467" s="1" t="s">
        <v>74</v>
      </c>
      <c r="AJ467" s="1" t="s">
        <v>74</v>
      </c>
      <c r="AK467" s="1" t="s">
        <v>74</v>
      </c>
      <c r="AL467" s="1" t="s">
        <v>74</v>
      </c>
      <c r="AM467" s="1" t="s">
        <v>74</v>
      </c>
      <c r="AN467" s="1" t="s">
        <v>74</v>
      </c>
      <c r="AO467" s="1" t="s">
        <v>4849</v>
      </c>
      <c r="AP467" s="1" t="s">
        <v>4850</v>
      </c>
      <c r="AQ467" s="1" t="s">
        <v>74</v>
      </c>
      <c r="AR467" s="1" t="s">
        <v>74</v>
      </c>
      <c r="AS467" s="1" t="s">
        <v>74</v>
      </c>
      <c r="AT467" s="1" t="s">
        <v>1702</v>
      </c>
      <c r="AU467" s="1">
        <v>2020.0</v>
      </c>
      <c r="AV467" s="1">
        <v>6.0</v>
      </c>
      <c r="AW467" s="1">
        <v>1.0</v>
      </c>
      <c r="AX467" s="1" t="s">
        <v>74</v>
      </c>
      <c r="AY467" s="1" t="s">
        <v>74</v>
      </c>
      <c r="AZ467" s="1" t="s">
        <v>74</v>
      </c>
      <c r="BA467" s="1" t="s">
        <v>74</v>
      </c>
      <c r="BB467" s="1">
        <v>1.0</v>
      </c>
      <c r="BC467" s="1">
        <v>8.0</v>
      </c>
      <c r="BD467" s="1" t="s">
        <v>74</v>
      </c>
      <c r="BE467" s="1" t="s">
        <v>4851</v>
      </c>
      <c r="BF467" s="2" t="str">
        <f>HYPERLINK("http://dx.doi.org/10.1080/23288604.2020.1753159","http://dx.doi.org/10.1080/23288604.2020.1753159")</f>
        <v>http://dx.doi.org/10.1080/23288604.2020.1753159</v>
      </c>
      <c r="BG467" s="1" t="s">
        <v>74</v>
      </c>
      <c r="BH467" s="1" t="s">
        <v>74</v>
      </c>
      <c r="BI467" s="1" t="s">
        <v>74</v>
      </c>
      <c r="BJ467" s="1" t="s">
        <v>74</v>
      </c>
      <c r="BK467" s="1" t="s">
        <v>74</v>
      </c>
      <c r="BL467" s="1" t="s">
        <v>74</v>
      </c>
      <c r="BM467" s="1" t="s">
        <v>74</v>
      </c>
      <c r="BN467" s="1">
        <v>3.2530726E7</v>
      </c>
      <c r="BO467" s="1" t="s">
        <v>74</v>
      </c>
      <c r="BP467" s="1" t="s">
        <v>74</v>
      </c>
      <c r="BQ467" s="1" t="s">
        <v>74</v>
      </c>
      <c r="BR467" s="1" t="s">
        <v>74</v>
      </c>
      <c r="BS467" s="1" t="s">
        <v>4852</v>
      </c>
      <c r="BT467" s="1" t="str">
        <f>HYPERLINK("https%3A%2F%2Fwww.webofscience.com%2Fwos%2Fwoscc%2Ffull-record%2FWOS:000544405800001","View Full Record in Web of Science")</f>
        <v>View Full Record in Web of Science</v>
      </c>
    </row>
    <row r="468" ht="12.75" customHeight="1">
      <c r="A468" s="1" t="s">
        <v>72</v>
      </c>
      <c r="B468" s="1" t="s">
        <v>4853</v>
      </c>
      <c r="C468" s="1" t="s">
        <v>74</v>
      </c>
      <c r="D468" s="1" t="s">
        <v>74</v>
      </c>
      <c r="E468" s="1" t="s">
        <v>74</v>
      </c>
      <c r="F468" s="1" t="s">
        <v>4854</v>
      </c>
      <c r="G468" s="1" t="s">
        <v>74</v>
      </c>
      <c r="H468" s="1" t="s">
        <v>74</v>
      </c>
      <c r="I468" s="1" t="s">
        <v>4855</v>
      </c>
      <c r="J468" s="1" t="s">
        <v>4856</v>
      </c>
      <c r="K468" s="1" t="s">
        <v>74</v>
      </c>
      <c r="L468" s="1" t="s">
        <v>74</v>
      </c>
      <c r="M468" s="1" t="s">
        <v>74</v>
      </c>
      <c r="N468" s="1" t="s">
        <v>74</v>
      </c>
      <c r="O468" s="1" t="s">
        <v>74</v>
      </c>
      <c r="P468" s="1" t="s">
        <v>74</v>
      </c>
      <c r="Q468" s="1" t="s">
        <v>74</v>
      </c>
      <c r="R468" s="1" t="s">
        <v>74</v>
      </c>
      <c r="S468" s="1" t="s">
        <v>74</v>
      </c>
      <c r="T468" s="1" t="s">
        <v>74</v>
      </c>
      <c r="U468" s="1" t="s">
        <v>74</v>
      </c>
      <c r="V468" s="1" t="s">
        <v>4857</v>
      </c>
      <c r="W468" s="1" t="s">
        <v>74</v>
      </c>
      <c r="X468" s="1" t="s">
        <v>74</v>
      </c>
      <c r="Y468" s="1" t="s">
        <v>74</v>
      </c>
      <c r="Z468" s="1" t="s">
        <v>74</v>
      </c>
      <c r="AA468" s="1" t="s">
        <v>4858</v>
      </c>
      <c r="AB468" s="1" t="s">
        <v>3979</v>
      </c>
      <c r="AC468" s="1" t="s">
        <v>74</v>
      </c>
      <c r="AD468" s="1" t="s">
        <v>74</v>
      </c>
      <c r="AE468" s="1" t="s">
        <v>74</v>
      </c>
      <c r="AF468" s="1" t="s">
        <v>74</v>
      </c>
      <c r="AG468" s="1" t="s">
        <v>74</v>
      </c>
      <c r="AH468" s="1" t="s">
        <v>74</v>
      </c>
      <c r="AI468" s="1" t="s">
        <v>74</v>
      </c>
      <c r="AJ468" s="1" t="s">
        <v>74</v>
      </c>
      <c r="AK468" s="1" t="s">
        <v>74</v>
      </c>
      <c r="AL468" s="1" t="s">
        <v>74</v>
      </c>
      <c r="AM468" s="1" t="s">
        <v>74</v>
      </c>
      <c r="AN468" s="1" t="s">
        <v>74</v>
      </c>
      <c r="AO468" s="1" t="s">
        <v>4859</v>
      </c>
      <c r="AP468" s="1" t="s">
        <v>4860</v>
      </c>
      <c r="AQ468" s="1" t="s">
        <v>74</v>
      </c>
      <c r="AR468" s="1" t="s">
        <v>74</v>
      </c>
      <c r="AS468" s="1" t="s">
        <v>74</v>
      </c>
      <c r="AT468" s="1" t="s">
        <v>74</v>
      </c>
      <c r="AU468" s="1">
        <v>2020.0</v>
      </c>
      <c r="AV468" s="1">
        <v>25.0</v>
      </c>
      <c r="AW468" s="1">
        <v>2.0</v>
      </c>
      <c r="AX468" s="1" t="s">
        <v>74</v>
      </c>
      <c r="AY468" s="1" t="s">
        <v>74</v>
      </c>
      <c r="AZ468" s="1" t="s">
        <v>74</v>
      </c>
      <c r="BA468" s="1" t="s">
        <v>74</v>
      </c>
      <c r="BB468" s="1">
        <v>97.0</v>
      </c>
      <c r="BC468" s="1">
        <v>126.0</v>
      </c>
      <c r="BD468" s="1" t="s">
        <v>74</v>
      </c>
      <c r="BE468" s="1" t="s">
        <v>74</v>
      </c>
      <c r="BF468" s="1" t="s">
        <v>74</v>
      </c>
      <c r="BG468" s="1" t="s">
        <v>74</v>
      </c>
      <c r="BH468" s="1" t="s">
        <v>74</v>
      </c>
      <c r="BI468" s="1" t="s">
        <v>74</v>
      </c>
      <c r="BJ468" s="1" t="s">
        <v>74</v>
      </c>
      <c r="BK468" s="1" t="s">
        <v>74</v>
      </c>
      <c r="BL468" s="1" t="s">
        <v>74</v>
      </c>
      <c r="BM468" s="1" t="s">
        <v>74</v>
      </c>
      <c r="BN468" s="1" t="s">
        <v>74</v>
      </c>
      <c r="BO468" s="1" t="s">
        <v>74</v>
      </c>
      <c r="BP468" s="1" t="s">
        <v>74</v>
      </c>
      <c r="BQ468" s="1" t="s">
        <v>74</v>
      </c>
      <c r="BR468" s="1" t="s">
        <v>74</v>
      </c>
      <c r="BS468" s="1" t="s">
        <v>4861</v>
      </c>
      <c r="BT468" s="1" t="str">
        <f>HYPERLINK("https%3A%2F%2Fwww.webofscience.com%2Fwos%2Fwoscc%2Ffull-record%2FWOS:000601403700007","View Full Record in Web of Science")</f>
        <v>View Full Record in Web of Science</v>
      </c>
    </row>
    <row r="469" ht="12.75" customHeight="1">
      <c r="A469" s="1" t="s">
        <v>72</v>
      </c>
      <c r="B469" s="1" t="s">
        <v>4862</v>
      </c>
      <c r="C469" s="1" t="s">
        <v>74</v>
      </c>
      <c r="D469" s="1" t="s">
        <v>74</v>
      </c>
      <c r="E469" s="1" t="s">
        <v>74</v>
      </c>
      <c r="F469" s="1" t="s">
        <v>4863</v>
      </c>
      <c r="G469" s="1" t="s">
        <v>74</v>
      </c>
      <c r="H469" s="1" t="s">
        <v>74</v>
      </c>
      <c r="I469" s="1" t="s">
        <v>4864</v>
      </c>
      <c r="J469" s="1" t="s">
        <v>4865</v>
      </c>
      <c r="K469" s="1" t="s">
        <v>74</v>
      </c>
      <c r="L469" s="1" t="s">
        <v>74</v>
      </c>
      <c r="M469" s="1" t="s">
        <v>74</v>
      </c>
      <c r="N469" s="1" t="s">
        <v>74</v>
      </c>
      <c r="O469" s="1" t="s">
        <v>74</v>
      </c>
      <c r="P469" s="1" t="s">
        <v>74</v>
      </c>
      <c r="Q469" s="1" t="s">
        <v>74</v>
      </c>
      <c r="R469" s="1" t="s">
        <v>74</v>
      </c>
      <c r="S469" s="1" t="s">
        <v>74</v>
      </c>
      <c r="T469" s="1" t="s">
        <v>74</v>
      </c>
      <c r="U469" s="1" t="s">
        <v>74</v>
      </c>
      <c r="V469" s="1" t="s">
        <v>4866</v>
      </c>
      <c r="W469" s="1" t="s">
        <v>74</v>
      </c>
      <c r="X469" s="1" t="s">
        <v>74</v>
      </c>
      <c r="Y469" s="1" t="s">
        <v>74</v>
      </c>
      <c r="Z469" s="1" t="s">
        <v>74</v>
      </c>
      <c r="AA469" s="1" t="s">
        <v>74</v>
      </c>
      <c r="AB469" s="1" t="s">
        <v>74</v>
      </c>
      <c r="AC469" s="1" t="s">
        <v>74</v>
      </c>
      <c r="AD469" s="1" t="s">
        <v>74</v>
      </c>
      <c r="AE469" s="1" t="s">
        <v>74</v>
      </c>
      <c r="AF469" s="1" t="s">
        <v>74</v>
      </c>
      <c r="AG469" s="1" t="s">
        <v>74</v>
      </c>
      <c r="AH469" s="1" t="s">
        <v>74</v>
      </c>
      <c r="AI469" s="1" t="s">
        <v>74</v>
      </c>
      <c r="AJ469" s="1" t="s">
        <v>74</v>
      </c>
      <c r="AK469" s="1" t="s">
        <v>74</v>
      </c>
      <c r="AL469" s="1" t="s">
        <v>74</v>
      </c>
      <c r="AM469" s="1" t="s">
        <v>74</v>
      </c>
      <c r="AN469" s="1" t="s">
        <v>74</v>
      </c>
      <c r="AO469" s="1" t="s">
        <v>4867</v>
      </c>
      <c r="AP469" s="1" t="s">
        <v>4868</v>
      </c>
      <c r="AQ469" s="1" t="s">
        <v>74</v>
      </c>
      <c r="AR469" s="1" t="s">
        <v>74</v>
      </c>
      <c r="AS469" s="1" t="s">
        <v>74</v>
      </c>
      <c r="AT469" s="1" t="s">
        <v>201</v>
      </c>
      <c r="AU469" s="1">
        <v>2019.0</v>
      </c>
      <c r="AV469" s="1">
        <v>49.0</v>
      </c>
      <c r="AW469" s="1" t="s">
        <v>74</v>
      </c>
      <c r="AX469" s="1" t="s">
        <v>74</v>
      </c>
      <c r="AY469" s="1" t="s">
        <v>74</v>
      </c>
      <c r="AZ469" s="1" t="s">
        <v>74</v>
      </c>
      <c r="BA469" s="1" t="s">
        <v>74</v>
      </c>
      <c r="BB469" s="1">
        <v>269.0</v>
      </c>
      <c r="BC469" s="1">
        <v>281.0</v>
      </c>
      <c r="BD469" s="1" t="s">
        <v>74</v>
      </c>
      <c r="BE469" s="1" t="s">
        <v>4869</v>
      </c>
      <c r="BF469" s="2" t="str">
        <f>HYPERLINK("http://dx.doi.org/10.1016/j.ribaf.2019.03.010","http://dx.doi.org/10.1016/j.ribaf.2019.03.010")</f>
        <v>http://dx.doi.org/10.1016/j.ribaf.2019.03.010</v>
      </c>
      <c r="BG469" s="1" t="s">
        <v>74</v>
      </c>
      <c r="BH469" s="1" t="s">
        <v>74</v>
      </c>
      <c r="BI469" s="1" t="s">
        <v>74</v>
      </c>
      <c r="BJ469" s="1" t="s">
        <v>74</v>
      </c>
      <c r="BK469" s="1" t="s">
        <v>74</v>
      </c>
      <c r="BL469" s="1" t="s">
        <v>74</v>
      </c>
      <c r="BM469" s="1" t="s">
        <v>74</v>
      </c>
      <c r="BN469" s="1" t="s">
        <v>74</v>
      </c>
      <c r="BO469" s="1" t="s">
        <v>74</v>
      </c>
      <c r="BP469" s="1" t="s">
        <v>74</v>
      </c>
      <c r="BQ469" s="1" t="s">
        <v>74</v>
      </c>
      <c r="BR469" s="1" t="s">
        <v>74</v>
      </c>
      <c r="BS469" s="1" t="s">
        <v>4870</v>
      </c>
      <c r="BT469" s="1" t="str">
        <f>HYPERLINK("https%3A%2F%2Fwww.webofscience.com%2Fwos%2Fwoscc%2Ffull-record%2FWOS:000471755800019","View Full Record in Web of Science")</f>
        <v>View Full Record in Web of Science</v>
      </c>
    </row>
    <row r="470" ht="12.75" customHeight="1">
      <c r="A470" s="1" t="s">
        <v>72</v>
      </c>
      <c r="B470" s="1" t="s">
        <v>4871</v>
      </c>
      <c r="C470" s="1" t="s">
        <v>74</v>
      </c>
      <c r="D470" s="1" t="s">
        <v>74</v>
      </c>
      <c r="E470" s="1" t="s">
        <v>74</v>
      </c>
      <c r="F470" s="1" t="s">
        <v>4872</v>
      </c>
      <c r="G470" s="1" t="s">
        <v>74</v>
      </c>
      <c r="H470" s="1" t="s">
        <v>74</v>
      </c>
      <c r="I470" s="1" t="s">
        <v>4873</v>
      </c>
      <c r="J470" s="1" t="s">
        <v>4874</v>
      </c>
      <c r="K470" s="1" t="s">
        <v>74</v>
      </c>
      <c r="L470" s="1" t="s">
        <v>74</v>
      </c>
      <c r="M470" s="1" t="s">
        <v>74</v>
      </c>
      <c r="N470" s="1" t="s">
        <v>74</v>
      </c>
      <c r="O470" s="1" t="s">
        <v>74</v>
      </c>
      <c r="P470" s="1" t="s">
        <v>74</v>
      </c>
      <c r="Q470" s="1" t="s">
        <v>74</v>
      </c>
      <c r="R470" s="1" t="s">
        <v>74</v>
      </c>
      <c r="S470" s="1" t="s">
        <v>74</v>
      </c>
      <c r="T470" s="1" t="s">
        <v>74</v>
      </c>
      <c r="U470" s="1" t="s">
        <v>74</v>
      </c>
      <c r="V470" s="1" t="s">
        <v>4875</v>
      </c>
      <c r="W470" s="1" t="s">
        <v>74</v>
      </c>
      <c r="X470" s="1" t="s">
        <v>74</v>
      </c>
      <c r="Y470" s="1" t="s">
        <v>74</v>
      </c>
      <c r="Z470" s="1" t="s">
        <v>74</v>
      </c>
      <c r="AA470" s="1" t="s">
        <v>4876</v>
      </c>
      <c r="AB470" s="1" t="s">
        <v>4877</v>
      </c>
      <c r="AC470" s="1" t="s">
        <v>74</v>
      </c>
      <c r="AD470" s="1" t="s">
        <v>74</v>
      </c>
      <c r="AE470" s="1" t="s">
        <v>74</v>
      </c>
      <c r="AF470" s="1" t="s">
        <v>74</v>
      </c>
      <c r="AG470" s="1" t="s">
        <v>74</v>
      </c>
      <c r="AH470" s="1" t="s">
        <v>74</v>
      </c>
      <c r="AI470" s="1" t="s">
        <v>74</v>
      </c>
      <c r="AJ470" s="1" t="s">
        <v>74</v>
      </c>
      <c r="AK470" s="1" t="s">
        <v>74</v>
      </c>
      <c r="AL470" s="1" t="s">
        <v>74</v>
      </c>
      <c r="AM470" s="1" t="s">
        <v>74</v>
      </c>
      <c r="AN470" s="1" t="s">
        <v>74</v>
      </c>
      <c r="AO470" s="1" t="s">
        <v>4878</v>
      </c>
      <c r="AP470" s="1" t="s">
        <v>4879</v>
      </c>
      <c r="AQ470" s="1" t="s">
        <v>74</v>
      </c>
      <c r="AR470" s="1" t="s">
        <v>74</v>
      </c>
      <c r="AS470" s="1" t="s">
        <v>74</v>
      </c>
      <c r="AT470" s="1" t="s">
        <v>235</v>
      </c>
      <c r="AU470" s="1">
        <v>2019.0</v>
      </c>
      <c r="AV470" s="1">
        <v>39.0</v>
      </c>
      <c r="AW470" s="1">
        <v>2.0</v>
      </c>
      <c r="AX470" s="1" t="s">
        <v>74</v>
      </c>
      <c r="AY470" s="1" t="s">
        <v>74</v>
      </c>
      <c r="AZ470" s="1" t="s">
        <v>74</v>
      </c>
      <c r="BA470" s="1" t="s">
        <v>74</v>
      </c>
      <c r="BB470" s="1">
        <v>792.0</v>
      </c>
      <c r="BC470" s="1">
        <v>819.0</v>
      </c>
      <c r="BD470" s="1" t="s">
        <v>74</v>
      </c>
      <c r="BE470" s="1" t="s">
        <v>4880</v>
      </c>
      <c r="BF470" s="2" t="str">
        <f>HYPERLINK("http://dx.doi.org/10.1093/imanum/dry018","http://dx.doi.org/10.1093/imanum/dry018")</f>
        <v>http://dx.doi.org/10.1093/imanum/dry018</v>
      </c>
      <c r="BG470" s="1" t="s">
        <v>74</v>
      </c>
      <c r="BH470" s="1" t="s">
        <v>74</v>
      </c>
      <c r="BI470" s="1" t="s">
        <v>74</v>
      </c>
      <c r="BJ470" s="1" t="s">
        <v>74</v>
      </c>
      <c r="BK470" s="1" t="s">
        <v>74</v>
      </c>
      <c r="BL470" s="1" t="s">
        <v>74</v>
      </c>
      <c r="BM470" s="1" t="s">
        <v>74</v>
      </c>
      <c r="BN470" s="1" t="s">
        <v>74</v>
      </c>
      <c r="BO470" s="1" t="s">
        <v>74</v>
      </c>
      <c r="BP470" s="1" t="s">
        <v>74</v>
      </c>
      <c r="BQ470" s="1" t="s">
        <v>74</v>
      </c>
      <c r="BR470" s="1" t="s">
        <v>74</v>
      </c>
      <c r="BS470" s="1" t="s">
        <v>4881</v>
      </c>
      <c r="BT470" s="1" t="str">
        <f>HYPERLINK("https%3A%2F%2Fwww.webofscience.com%2Fwos%2Fwoscc%2Ffull-record%2FWOS:000491257300009","View Full Record in Web of Science")</f>
        <v>View Full Record in Web of Science</v>
      </c>
    </row>
    <row r="471" ht="12.75" customHeight="1">
      <c r="A471" s="1" t="s">
        <v>72</v>
      </c>
      <c r="B471" s="1" t="s">
        <v>4882</v>
      </c>
      <c r="C471" s="1" t="s">
        <v>74</v>
      </c>
      <c r="D471" s="1" t="s">
        <v>74</v>
      </c>
      <c r="E471" s="1" t="s">
        <v>74</v>
      </c>
      <c r="F471" s="1" t="s">
        <v>4883</v>
      </c>
      <c r="G471" s="1" t="s">
        <v>74</v>
      </c>
      <c r="H471" s="1" t="s">
        <v>74</v>
      </c>
      <c r="I471" s="1" t="s">
        <v>4884</v>
      </c>
      <c r="J471" s="1" t="s">
        <v>4885</v>
      </c>
      <c r="K471" s="1" t="s">
        <v>74</v>
      </c>
      <c r="L471" s="1" t="s">
        <v>74</v>
      </c>
      <c r="M471" s="1" t="s">
        <v>74</v>
      </c>
      <c r="N471" s="1" t="s">
        <v>74</v>
      </c>
      <c r="O471" s="1" t="s">
        <v>74</v>
      </c>
      <c r="P471" s="1" t="s">
        <v>74</v>
      </c>
      <c r="Q471" s="1" t="s">
        <v>74</v>
      </c>
      <c r="R471" s="1" t="s">
        <v>74</v>
      </c>
      <c r="S471" s="1" t="s">
        <v>74</v>
      </c>
      <c r="T471" s="1" t="s">
        <v>74</v>
      </c>
      <c r="U471" s="1" t="s">
        <v>74</v>
      </c>
      <c r="V471" s="1" t="s">
        <v>4886</v>
      </c>
      <c r="W471" s="1" t="s">
        <v>74</v>
      </c>
      <c r="X471" s="1" t="s">
        <v>74</v>
      </c>
      <c r="Y471" s="1" t="s">
        <v>74</v>
      </c>
      <c r="Z471" s="1" t="s">
        <v>74</v>
      </c>
      <c r="AA471" s="1" t="s">
        <v>4887</v>
      </c>
      <c r="AB471" s="1" t="s">
        <v>74</v>
      </c>
      <c r="AC471" s="1" t="s">
        <v>74</v>
      </c>
      <c r="AD471" s="1" t="s">
        <v>74</v>
      </c>
      <c r="AE471" s="1" t="s">
        <v>74</v>
      </c>
      <c r="AF471" s="1" t="s">
        <v>74</v>
      </c>
      <c r="AG471" s="1" t="s">
        <v>74</v>
      </c>
      <c r="AH471" s="1" t="s">
        <v>74</v>
      </c>
      <c r="AI471" s="1" t="s">
        <v>74</v>
      </c>
      <c r="AJ471" s="1" t="s">
        <v>74</v>
      </c>
      <c r="AK471" s="1" t="s">
        <v>74</v>
      </c>
      <c r="AL471" s="1" t="s">
        <v>74</v>
      </c>
      <c r="AM471" s="1" t="s">
        <v>74</v>
      </c>
      <c r="AN471" s="1" t="s">
        <v>74</v>
      </c>
      <c r="AO471" s="1" t="s">
        <v>4888</v>
      </c>
      <c r="AP471" s="1" t="s">
        <v>74</v>
      </c>
      <c r="AQ471" s="1" t="s">
        <v>74</v>
      </c>
      <c r="AR471" s="1" t="s">
        <v>74</v>
      </c>
      <c r="AS471" s="1" t="s">
        <v>74</v>
      </c>
      <c r="AT471" s="1" t="s">
        <v>74</v>
      </c>
      <c r="AU471" s="1">
        <v>2019.0</v>
      </c>
      <c r="AV471" s="1">
        <v>35.0</v>
      </c>
      <c r="AW471" s="1">
        <v>1.0</v>
      </c>
      <c r="AX471" s="1" t="s">
        <v>74</v>
      </c>
      <c r="AY471" s="1" t="s">
        <v>74</v>
      </c>
      <c r="AZ471" s="1" t="s">
        <v>74</v>
      </c>
      <c r="BA471" s="1" t="s">
        <v>74</v>
      </c>
      <c r="BB471" s="1">
        <v>173.0</v>
      </c>
      <c r="BC471" s="1">
        <v>194.0</v>
      </c>
      <c r="BD471" s="1" t="s">
        <v>74</v>
      </c>
      <c r="BE471" s="1" t="s">
        <v>4889</v>
      </c>
      <c r="BF471" s="2" t="str">
        <f>HYPERLINK("http://dx.doi.org/10.4171/RMI/1052","http://dx.doi.org/10.4171/RMI/1052")</f>
        <v>http://dx.doi.org/10.4171/RMI/1052</v>
      </c>
      <c r="BG471" s="1" t="s">
        <v>74</v>
      </c>
      <c r="BH471" s="1" t="s">
        <v>74</v>
      </c>
      <c r="BI471" s="1" t="s">
        <v>74</v>
      </c>
      <c r="BJ471" s="1" t="s">
        <v>74</v>
      </c>
      <c r="BK471" s="1" t="s">
        <v>74</v>
      </c>
      <c r="BL471" s="1" t="s">
        <v>74</v>
      </c>
      <c r="BM471" s="1" t="s">
        <v>74</v>
      </c>
      <c r="BN471" s="1" t="s">
        <v>74</v>
      </c>
      <c r="BO471" s="1" t="s">
        <v>74</v>
      </c>
      <c r="BP471" s="1" t="s">
        <v>74</v>
      </c>
      <c r="BQ471" s="1" t="s">
        <v>74</v>
      </c>
      <c r="BR471" s="1" t="s">
        <v>74</v>
      </c>
      <c r="BS471" s="1" t="s">
        <v>4890</v>
      </c>
      <c r="BT471" s="1" t="str">
        <f>HYPERLINK("https%3A%2F%2Fwww.webofscience.com%2Fwos%2Fwoscc%2Ffull-record%2FWOS:000465204500005","View Full Record in Web of Science")</f>
        <v>View Full Record in Web of Science</v>
      </c>
    </row>
    <row r="472" ht="12.75" customHeight="1">
      <c r="A472" s="1" t="s">
        <v>72</v>
      </c>
      <c r="B472" s="1" t="s">
        <v>4891</v>
      </c>
      <c r="C472" s="1" t="s">
        <v>74</v>
      </c>
      <c r="D472" s="1" t="s">
        <v>74</v>
      </c>
      <c r="E472" s="1" t="s">
        <v>74</v>
      </c>
      <c r="F472" s="1" t="s">
        <v>4892</v>
      </c>
      <c r="G472" s="1" t="s">
        <v>74</v>
      </c>
      <c r="H472" s="1" t="s">
        <v>74</v>
      </c>
      <c r="I472" s="1" t="s">
        <v>4893</v>
      </c>
      <c r="J472" s="1" t="s">
        <v>4894</v>
      </c>
      <c r="K472" s="1" t="s">
        <v>74</v>
      </c>
      <c r="L472" s="1" t="s">
        <v>74</v>
      </c>
      <c r="M472" s="1" t="s">
        <v>74</v>
      </c>
      <c r="N472" s="1" t="s">
        <v>74</v>
      </c>
      <c r="O472" s="1" t="s">
        <v>74</v>
      </c>
      <c r="P472" s="1" t="s">
        <v>74</v>
      </c>
      <c r="Q472" s="1" t="s">
        <v>74</v>
      </c>
      <c r="R472" s="1" t="s">
        <v>74</v>
      </c>
      <c r="S472" s="1" t="s">
        <v>74</v>
      </c>
      <c r="T472" s="1" t="s">
        <v>74</v>
      </c>
      <c r="U472" s="1" t="s">
        <v>74</v>
      </c>
      <c r="V472" s="1" t="s">
        <v>4895</v>
      </c>
      <c r="W472" s="1" t="s">
        <v>74</v>
      </c>
      <c r="X472" s="1" t="s">
        <v>74</v>
      </c>
      <c r="Y472" s="1" t="s">
        <v>74</v>
      </c>
      <c r="Z472" s="1" t="s">
        <v>74</v>
      </c>
      <c r="AA472" s="1" t="s">
        <v>4896</v>
      </c>
      <c r="AB472" s="1" t="s">
        <v>4897</v>
      </c>
      <c r="AC472" s="1" t="s">
        <v>74</v>
      </c>
      <c r="AD472" s="1" t="s">
        <v>74</v>
      </c>
      <c r="AE472" s="1" t="s">
        <v>74</v>
      </c>
      <c r="AF472" s="1" t="s">
        <v>74</v>
      </c>
      <c r="AG472" s="1" t="s">
        <v>74</v>
      </c>
      <c r="AH472" s="1" t="s">
        <v>74</v>
      </c>
      <c r="AI472" s="1" t="s">
        <v>74</v>
      </c>
      <c r="AJ472" s="1" t="s">
        <v>74</v>
      </c>
      <c r="AK472" s="1" t="s">
        <v>74</v>
      </c>
      <c r="AL472" s="1" t="s">
        <v>74</v>
      </c>
      <c r="AM472" s="1" t="s">
        <v>74</v>
      </c>
      <c r="AN472" s="1" t="s">
        <v>74</v>
      </c>
      <c r="AO472" s="1" t="s">
        <v>4898</v>
      </c>
      <c r="AP472" s="1" t="s">
        <v>74</v>
      </c>
      <c r="AQ472" s="1" t="s">
        <v>74</v>
      </c>
      <c r="AR472" s="1" t="s">
        <v>74</v>
      </c>
      <c r="AS472" s="1" t="s">
        <v>74</v>
      </c>
      <c r="AT472" s="1" t="s">
        <v>307</v>
      </c>
      <c r="AU472" s="1">
        <v>2018.0</v>
      </c>
      <c r="AV472" s="1">
        <v>50.0</v>
      </c>
      <c r="AW472" s="1">
        <v>2.0</v>
      </c>
      <c r="AX472" s="1" t="s">
        <v>74</v>
      </c>
      <c r="AY472" s="1" t="s">
        <v>74</v>
      </c>
      <c r="AZ472" s="1" t="s">
        <v>74</v>
      </c>
      <c r="BA472" s="1" t="s">
        <v>74</v>
      </c>
      <c r="BB472" s="1">
        <v>243.0</v>
      </c>
      <c r="BC472" s="1">
        <v>250.0</v>
      </c>
      <c r="BD472" s="1" t="s">
        <v>74</v>
      </c>
      <c r="BE472" s="1" t="s">
        <v>4899</v>
      </c>
      <c r="BF472" s="2" t="str">
        <f>HYPERLINK("http://dx.doi.org/10.26582/k.50.2.3","http://dx.doi.org/10.26582/k.50.2.3")</f>
        <v>http://dx.doi.org/10.26582/k.50.2.3</v>
      </c>
      <c r="BG472" s="1" t="s">
        <v>74</v>
      </c>
      <c r="BH472" s="1" t="s">
        <v>74</v>
      </c>
      <c r="BI472" s="1" t="s">
        <v>74</v>
      </c>
      <c r="BJ472" s="1" t="s">
        <v>74</v>
      </c>
      <c r="BK472" s="1" t="s">
        <v>74</v>
      </c>
      <c r="BL472" s="1" t="s">
        <v>74</v>
      </c>
      <c r="BM472" s="1" t="s">
        <v>74</v>
      </c>
      <c r="BN472" s="1" t="s">
        <v>74</v>
      </c>
      <c r="BO472" s="1" t="s">
        <v>74</v>
      </c>
      <c r="BP472" s="1" t="s">
        <v>74</v>
      </c>
      <c r="BQ472" s="1" t="s">
        <v>74</v>
      </c>
      <c r="BR472" s="1" t="s">
        <v>74</v>
      </c>
      <c r="BS472" s="1" t="s">
        <v>4900</v>
      </c>
      <c r="BT472" s="1" t="str">
        <f>HYPERLINK("https%3A%2F%2Fwww.webofscience.com%2Fwos%2Fwoscc%2Ffull-record%2FWOS:000457061000014","View Full Record in Web of Science")</f>
        <v>View Full Record in Web of Science</v>
      </c>
    </row>
    <row r="473" ht="12.75" customHeight="1">
      <c r="A473" s="1" t="s">
        <v>72</v>
      </c>
      <c r="B473" s="1" t="s">
        <v>4901</v>
      </c>
      <c r="C473" s="1" t="s">
        <v>74</v>
      </c>
      <c r="D473" s="1" t="s">
        <v>74</v>
      </c>
      <c r="E473" s="1" t="s">
        <v>74</v>
      </c>
      <c r="F473" s="1" t="s">
        <v>4902</v>
      </c>
      <c r="G473" s="1" t="s">
        <v>74</v>
      </c>
      <c r="H473" s="1" t="s">
        <v>74</v>
      </c>
      <c r="I473" s="1" t="s">
        <v>4903</v>
      </c>
      <c r="J473" s="1" t="s">
        <v>957</v>
      </c>
      <c r="K473" s="1" t="s">
        <v>74</v>
      </c>
      <c r="L473" s="1" t="s">
        <v>74</v>
      </c>
      <c r="M473" s="1" t="s">
        <v>74</v>
      </c>
      <c r="N473" s="1" t="s">
        <v>74</v>
      </c>
      <c r="O473" s="1" t="s">
        <v>74</v>
      </c>
      <c r="P473" s="1" t="s">
        <v>74</v>
      </c>
      <c r="Q473" s="1" t="s">
        <v>74</v>
      </c>
      <c r="R473" s="1" t="s">
        <v>74</v>
      </c>
      <c r="S473" s="1" t="s">
        <v>74</v>
      </c>
      <c r="T473" s="1" t="s">
        <v>74</v>
      </c>
      <c r="U473" s="1" t="s">
        <v>74</v>
      </c>
      <c r="V473" s="1" t="s">
        <v>4904</v>
      </c>
      <c r="W473" s="1" t="s">
        <v>74</v>
      </c>
      <c r="X473" s="1" t="s">
        <v>74</v>
      </c>
      <c r="Y473" s="1" t="s">
        <v>74</v>
      </c>
      <c r="Z473" s="1" t="s">
        <v>74</v>
      </c>
      <c r="AA473" s="1" t="s">
        <v>4905</v>
      </c>
      <c r="AB473" s="1" t="s">
        <v>4906</v>
      </c>
      <c r="AC473" s="1" t="s">
        <v>74</v>
      </c>
      <c r="AD473" s="1" t="s">
        <v>74</v>
      </c>
      <c r="AE473" s="1" t="s">
        <v>74</v>
      </c>
      <c r="AF473" s="1" t="s">
        <v>74</v>
      </c>
      <c r="AG473" s="1" t="s">
        <v>74</v>
      </c>
      <c r="AH473" s="1" t="s">
        <v>74</v>
      </c>
      <c r="AI473" s="1" t="s">
        <v>74</v>
      </c>
      <c r="AJ473" s="1" t="s">
        <v>74</v>
      </c>
      <c r="AK473" s="1" t="s">
        <v>74</v>
      </c>
      <c r="AL473" s="1" t="s">
        <v>74</v>
      </c>
      <c r="AM473" s="1" t="s">
        <v>74</v>
      </c>
      <c r="AN473" s="1" t="s">
        <v>74</v>
      </c>
      <c r="AO473" s="1" t="s">
        <v>960</v>
      </c>
      <c r="AP473" s="1" t="s">
        <v>961</v>
      </c>
      <c r="AQ473" s="1" t="s">
        <v>74</v>
      </c>
      <c r="AR473" s="1" t="s">
        <v>74</v>
      </c>
      <c r="AS473" s="1" t="s">
        <v>74</v>
      </c>
      <c r="AT473" s="1" t="s">
        <v>164</v>
      </c>
      <c r="AU473" s="1">
        <v>2016.0</v>
      </c>
      <c r="AV473" s="1">
        <v>129.0</v>
      </c>
      <c r="AW473" s="1" t="s">
        <v>74</v>
      </c>
      <c r="AX473" s="1" t="s">
        <v>74</v>
      </c>
      <c r="AY473" s="1" t="s">
        <v>74</v>
      </c>
      <c r="AZ473" s="1" t="s">
        <v>74</v>
      </c>
      <c r="BA473" s="1" t="s">
        <v>74</v>
      </c>
      <c r="BB473" s="1">
        <v>367.0</v>
      </c>
      <c r="BC473" s="1">
        <v>391.0</v>
      </c>
      <c r="BD473" s="1" t="s">
        <v>74</v>
      </c>
      <c r="BE473" s="1" t="s">
        <v>4907</v>
      </c>
      <c r="BF473" s="2" t="str">
        <f>HYPERLINK("http://dx.doi.org/10.1007/s11854-016-0025-9","http://dx.doi.org/10.1007/s11854-016-0025-9")</f>
        <v>http://dx.doi.org/10.1007/s11854-016-0025-9</v>
      </c>
      <c r="BG473" s="1" t="s">
        <v>74</v>
      </c>
      <c r="BH473" s="1" t="s">
        <v>74</v>
      </c>
      <c r="BI473" s="1" t="s">
        <v>74</v>
      </c>
      <c r="BJ473" s="1" t="s">
        <v>74</v>
      </c>
      <c r="BK473" s="1" t="s">
        <v>74</v>
      </c>
      <c r="BL473" s="1" t="s">
        <v>74</v>
      </c>
      <c r="BM473" s="1" t="s">
        <v>74</v>
      </c>
      <c r="BN473" s="1" t="s">
        <v>74</v>
      </c>
      <c r="BO473" s="1" t="s">
        <v>74</v>
      </c>
      <c r="BP473" s="1" t="s">
        <v>74</v>
      </c>
      <c r="BQ473" s="1" t="s">
        <v>74</v>
      </c>
      <c r="BR473" s="1" t="s">
        <v>74</v>
      </c>
      <c r="BS473" s="1" t="s">
        <v>4908</v>
      </c>
      <c r="BT473" s="1" t="str">
        <f>HYPERLINK("https%3A%2F%2Fwww.webofscience.com%2Fwos%2Fwoscc%2Ffull-record%2FWOS:000388816800013","View Full Record in Web of Science")</f>
        <v>View Full Record in Web of Science</v>
      </c>
    </row>
    <row r="474" ht="12.75" customHeight="1">
      <c r="A474" s="1" t="s">
        <v>72</v>
      </c>
      <c r="B474" s="1" t="s">
        <v>4909</v>
      </c>
      <c r="C474" s="1" t="s">
        <v>74</v>
      </c>
      <c r="D474" s="1" t="s">
        <v>74</v>
      </c>
      <c r="E474" s="1" t="s">
        <v>74</v>
      </c>
      <c r="F474" s="1" t="s">
        <v>4910</v>
      </c>
      <c r="G474" s="1" t="s">
        <v>74</v>
      </c>
      <c r="H474" s="1" t="s">
        <v>74</v>
      </c>
      <c r="I474" s="1" t="s">
        <v>4911</v>
      </c>
      <c r="J474" s="1" t="s">
        <v>4912</v>
      </c>
      <c r="K474" s="1" t="s">
        <v>74</v>
      </c>
      <c r="L474" s="1" t="s">
        <v>74</v>
      </c>
      <c r="M474" s="1" t="s">
        <v>74</v>
      </c>
      <c r="N474" s="1" t="s">
        <v>74</v>
      </c>
      <c r="O474" s="1" t="s">
        <v>74</v>
      </c>
      <c r="P474" s="1" t="s">
        <v>74</v>
      </c>
      <c r="Q474" s="1" t="s">
        <v>74</v>
      </c>
      <c r="R474" s="1" t="s">
        <v>74</v>
      </c>
      <c r="S474" s="1" t="s">
        <v>74</v>
      </c>
      <c r="T474" s="1" t="s">
        <v>74</v>
      </c>
      <c r="U474" s="1" t="s">
        <v>74</v>
      </c>
      <c r="V474" s="1" t="s">
        <v>4913</v>
      </c>
      <c r="W474" s="1" t="s">
        <v>74</v>
      </c>
      <c r="X474" s="1" t="s">
        <v>74</v>
      </c>
      <c r="Y474" s="1" t="s">
        <v>74</v>
      </c>
      <c r="Z474" s="1" t="s">
        <v>74</v>
      </c>
      <c r="AA474" s="1" t="s">
        <v>4914</v>
      </c>
      <c r="AB474" s="1" t="s">
        <v>4915</v>
      </c>
      <c r="AC474" s="1" t="s">
        <v>74</v>
      </c>
      <c r="AD474" s="1" t="s">
        <v>74</v>
      </c>
      <c r="AE474" s="1" t="s">
        <v>74</v>
      </c>
      <c r="AF474" s="1" t="s">
        <v>74</v>
      </c>
      <c r="AG474" s="1" t="s">
        <v>74</v>
      </c>
      <c r="AH474" s="1" t="s">
        <v>74</v>
      </c>
      <c r="AI474" s="1" t="s">
        <v>74</v>
      </c>
      <c r="AJ474" s="1" t="s">
        <v>74</v>
      </c>
      <c r="AK474" s="1" t="s">
        <v>74</v>
      </c>
      <c r="AL474" s="1" t="s">
        <v>74</v>
      </c>
      <c r="AM474" s="1" t="s">
        <v>74</v>
      </c>
      <c r="AN474" s="1" t="s">
        <v>74</v>
      </c>
      <c r="AO474" s="1" t="s">
        <v>4916</v>
      </c>
      <c r="AP474" s="1" t="s">
        <v>4917</v>
      </c>
      <c r="AQ474" s="1" t="s">
        <v>74</v>
      </c>
      <c r="AR474" s="1" t="s">
        <v>74</v>
      </c>
      <c r="AS474" s="1" t="s">
        <v>74</v>
      </c>
      <c r="AT474" s="1" t="s">
        <v>399</v>
      </c>
      <c r="AU474" s="1">
        <v>2016.0</v>
      </c>
      <c r="AV474" s="1">
        <v>9.0</v>
      </c>
      <c r="AW474" s="1">
        <v>6.0</v>
      </c>
      <c r="AX474" s="1" t="s">
        <v>74</v>
      </c>
      <c r="AY474" s="1" t="s">
        <v>74</v>
      </c>
      <c r="AZ474" s="1" t="s">
        <v>74</v>
      </c>
      <c r="BA474" s="1" t="s">
        <v>74</v>
      </c>
      <c r="BB474" s="1">
        <v>1297.0</v>
      </c>
      <c r="BC474" s="1">
        <v>1305.0</v>
      </c>
      <c r="BD474" s="1" t="s">
        <v>74</v>
      </c>
      <c r="BE474" s="1" t="s">
        <v>4918</v>
      </c>
      <c r="BF474" s="2" t="str">
        <f>HYPERLINK("http://dx.doi.org/10.1049/iet-pel.2015.0488","http://dx.doi.org/10.1049/iet-pel.2015.0488")</f>
        <v>http://dx.doi.org/10.1049/iet-pel.2015.0488</v>
      </c>
      <c r="BG474" s="1" t="s">
        <v>74</v>
      </c>
      <c r="BH474" s="1" t="s">
        <v>74</v>
      </c>
      <c r="BI474" s="1" t="s">
        <v>74</v>
      </c>
      <c r="BJ474" s="1" t="s">
        <v>74</v>
      </c>
      <c r="BK474" s="1" t="s">
        <v>74</v>
      </c>
      <c r="BL474" s="1" t="s">
        <v>74</v>
      </c>
      <c r="BM474" s="1" t="s">
        <v>74</v>
      </c>
      <c r="BN474" s="1" t="s">
        <v>74</v>
      </c>
      <c r="BO474" s="1" t="s">
        <v>74</v>
      </c>
      <c r="BP474" s="1" t="s">
        <v>74</v>
      </c>
      <c r="BQ474" s="1" t="s">
        <v>74</v>
      </c>
      <c r="BR474" s="1" t="s">
        <v>74</v>
      </c>
      <c r="BS474" s="1" t="s">
        <v>4919</v>
      </c>
      <c r="BT474" s="1" t="str">
        <f>HYPERLINK("https%3A%2F%2Fwww.webofscience.com%2Fwos%2Fwoscc%2Ffull-record%2FWOS:000377078900022","View Full Record in Web of Science")</f>
        <v>View Full Record in Web of Science</v>
      </c>
    </row>
    <row r="475" ht="12.75" customHeight="1">
      <c r="A475" s="1" t="s">
        <v>86</v>
      </c>
      <c r="B475" s="1" t="s">
        <v>4920</v>
      </c>
      <c r="C475" s="1" t="s">
        <v>74</v>
      </c>
      <c r="D475" s="1" t="s">
        <v>74</v>
      </c>
      <c r="E475" s="1" t="s">
        <v>248</v>
      </c>
      <c r="F475" s="1" t="s">
        <v>4921</v>
      </c>
      <c r="G475" s="1" t="s">
        <v>74</v>
      </c>
      <c r="H475" s="1" t="s">
        <v>74</v>
      </c>
      <c r="I475" s="1" t="s">
        <v>4922</v>
      </c>
      <c r="J475" s="1" t="s">
        <v>4923</v>
      </c>
      <c r="K475" s="1" t="s">
        <v>74</v>
      </c>
      <c r="L475" s="1" t="s">
        <v>74</v>
      </c>
      <c r="M475" s="1" t="s">
        <v>74</v>
      </c>
      <c r="N475" s="1" t="s">
        <v>74</v>
      </c>
      <c r="O475" s="1" t="s">
        <v>4924</v>
      </c>
      <c r="P475" s="1" t="s">
        <v>4925</v>
      </c>
      <c r="Q475" s="1" t="s">
        <v>4926</v>
      </c>
      <c r="R475" s="1" t="s">
        <v>248</v>
      </c>
      <c r="S475" s="1" t="s">
        <v>4927</v>
      </c>
      <c r="T475" s="1" t="s">
        <v>74</v>
      </c>
      <c r="U475" s="1" t="s">
        <v>74</v>
      </c>
      <c r="V475" s="1" t="s">
        <v>4928</v>
      </c>
      <c r="W475" s="1" t="s">
        <v>74</v>
      </c>
      <c r="X475" s="1" t="s">
        <v>74</v>
      </c>
      <c r="Y475" s="1" t="s">
        <v>74</v>
      </c>
      <c r="Z475" s="1" t="s">
        <v>74</v>
      </c>
      <c r="AA475" s="1" t="s">
        <v>4929</v>
      </c>
      <c r="AB475" s="1" t="s">
        <v>4410</v>
      </c>
      <c r="AC475" s="1" t="s">
        <v>74</v>
      </c>
      <c r="AD475" s="1" t="s">
        <v>74</v>
      </c>
      <c r="AE475" s="1" t="s">
        <v>74</v>
      </c>
      <c r="AF475" s="1" t="s">
        <v>74</v>
      </c>
      <c r="AG475" s="1" t="s">
        <v>74</v>
      </c>
      <c r="AH475" s="1" t="s">
        <v>74</v>
      </c>
      <c r="AI475" s="1" t="s">
        <v>74</v>
      </c>
      <c r="AJ475" s="1" t="s">
        <v>74</v>
      </c>
      <c r="AK475" s="1" t="s">
        <v>74</v>
      </c>
      <c r="AL475" s="1" t="s">
        <v>74</v>
      </c>
      <c r="AM475" s="1" t="s">
        <v>74</v>
      </c>
      <c r="AN475" s="1" t="s">
        <v>74</v>
      </c>
      <c r="AO475" s="1" t="s">
        <v>74</v>
      </c>
      <c r="AP475" s="1" t="s">
        <v>74</v>
      </c>
      <c r="AQ475" s="1" t="s">
        <v>4930</v>
      </c>
      <c r="AR475" s="1" t="s">
        <v>74</v>
      </c>
      <c r="AS475" s="1" t="s">
        <v>74</v>
      </c>
      <c r="AT475" s="1" t="s">
        <v>74</v>
      </c>
      <c r="AU475" s="1">
        <v>2016.0</v>
      </c>
      <c r="AV475" s="1" t="s">
        <v>74</v>
      </c>
      <c r="AW475" s="1" t="s">
        <v>74</v>
      </c>
      <c r="AX475" s="1" t="s">
        <v>74</v>
      </c>
      <c r="AY475" s="1" t="s">
        <v>74</v>
      </c>
      <c r="AZ475" s="1" t="s">
        <v>74</v>
      </c>
      <c r="BA475" s="1" t="s">
        <v>74</v>
      </c>
      <c r="BB475" s="1" t="s">
        <v>74</v>
      </c>
      <c r="BC475" s="1" t="s">
        <v>74</v>
      </c>
      <c r="BD475" s="1" t="s">
        <v>74</v>
      </c>
      <c r="BE475" s="1" t="s">
        <v>74</v>
      </c>
      <c r="BF475" s="1" t="s">
        <v>74</v>
      </c>
      <c r="BG475" s="1" t="s">
        <v>74</v>
      </c>
      <c r="BH475" s="1" t="s">
        <v>74</v>
      </c>
      <c r="BI475" s="1" t="s">
        <v>74</v>
      </c>
      <c r="BJ475" s="1" t="s">
        <v>74</v>
      </c>
      <c r="BK475" s="1" t="s">
        <v>74</v>
      </c>
      <c r="BL475" s="1" t="s">
        <v>74</v>
      </c>
      <c r="BM475" s="1" t="s">
        <v>74</v>
      </c>
      <c r="BN475" s="1" t="s">
        <v>74</v>
      </c>
      <c r="BO475" s="1" t="s">
        <v>74</v>
      </c>
      <c r="BP475" s="1" t="s">
        <v>74</v>
      </c>
      <c r="BQ475" s="1" t="s">
        <v>74</v>
      </c>
      <c r="BR475" s="1" t="s">
        <v>74</v>
      </c>
      <c r="BS475" s="1" t="s">
        <v>4931</v>
      </c>
      <c r="BT475" s="1" t="str">
        <f>HYPERLINK("https%3A%2F%2Fwww.webofscience.com%2Fwos%2Fwoscc%2Ffull-record%2FWOS:000390556300080","View Full Record in Web of Science")</f>
        <v>View Full Record in Web of Science</v>
      </c>
    </row>
    <row r="476" ht="12.75" customHeight="1">
      <c r="A476" s="1" t="s">
        <v>72</v>
      </c>
      <c r="B476" s="1" t="s">
        <v>4932</v>
      </c>
      <c r="C476" s="1" t="s">
        <v>74</v>
      </c>
      <c r="D476" s="1" t="s">
        <v>74</v>
      </c>
      <c r="E476" s="1" t="s">
        <v>74</v>
      </c>
      <c r="F476" s="1" t="s">
        <v>4933</v>
      </c>
      <c r="G476" s="1" t="s">
        <v>74</v>
      </c>
      <c r="H476" s="1" t="s">
        <v>74</v>
      </c>
      <c r="I476" s="1" t="s">
        <v>4934</v>
      </c>
      <c r="J476" s="1" t="s">
        <v>4935</v>
      </c>
      <c r="K476" s="1" t="s">
        <v>74</v>
      </c>
      <c r="L476" s="1" t="s">
        <v>74</v>
      </c>
      <c r="M476" s="1" t="s">
        <v>74</v>
      </c>
      <c r="N476" s="1" t="s">
        <v>74</v>
      </c>
      <c r="O476" s="1" t="s">
        <v>74</v>
      </c>
      <c r="P476" s="1" t="s">
        <v>74</v>
      </c>
      <c r="Q476" s="1" t="s">
        <v>74</v>
      </c>
      <c r="R476" s="1" t="s">
        <v>74</v>
      </c>
      <c r="S476" s="1" t="s">
        <v>74</v>
      </c>
      <c r="T476" s="1" t="s">
        <v>74</v>
      </c>
      <c r="U476" s="1" t="s">
        <v>74</v>
      </c>
      <c r="V476" s="1" t="s">
        <v>4936</v>
      </c>
      <c r="W476" s="1" t="s">
        <v>74</v>
      </c>
      <c r="X476" s="1" t="s">
        <v>74</v>
      </c>
      <c r="Y476" s="1" t="s">
        <v>74</v>
      </c>
      <c r="Z476" s="1" t="s">
        <v>74</v>
      </c>
      <c r="AA476" s="1" t="s">
        <v>4937</v>
      </c>
      <c r="AB476" s="1" t="s">
        <v>4938</v>
      </c>
      <c r="AC476" s="1" t="s">
        <v>74</v>
      </c>
      <c r="AD476" s="1" t="s">
        <v>74</v>
      </c>
      <c r="AE476" s="1" t="s">
        <v>74</v>
      </c>
      <c r="AF476" s="1" t="s">
        <v>74</v>
      </c>
      <c r="AG476" s="1" t="s">
        <v>74</v>
      </c>
      <c r="AH476" s="1" t="s">
        <v>74</v>
      </c>
      <c r="AI476" s="1" t="s">
        <v>74</v>
      </c>
      <c r="AJ476" s="1" t="s">
        <v>74</v>
      </c>
      <c r="AK476" s="1" t="s">
        <v>74</v>
      </c>
      <c r="AL476" s="1" t="s">
        <v>74</v>
      </c>
      <c r="AM476" s="1" t="s">
        <v>74</v>
      </c>
      <c r="AN476" s="1" t="s">
        <v>74</v>
      </c>
      <c r="AO476" s="1" t="s">
        <v>4939</v>
      </c>
      <c r="AP476" s="1" t="s">
        <v>4940</v>
      </c>
      <c r="AQ476" s="1" t="s">
        <v>74</v>
      </c>
      <c r="AR476" s="1" t="s">
        <v>74</v>
      </c>
      <c r="AS476" s="1" t="s">
        <v>74</v>
      </c>
      <c r="AT476" s="1" t="s">
        <v>111</v>
      </c>
      <c r="AU476" s="1">
        <v>2015.0</v>
      </c>
      <c r="AV476" s="1">
        <v>133.0</v>
      </c>
      <c r="AW476" s="1" t="s">
        <v>74</v>
      </c>
      <c r="AX476" s="1" t="s">
        <v>74</v>
      </c>
      <c r="AY476" s="1" t="s">
        <v>74</v>
      </c>
      <c r="AZ476" s="1" t="s">
        <v>74</v>
      </c>
      <c r="BA476" s="1" t="s">
        <v>74</v>
      </c>
      <c r="BB476" s="1">
        <v>358.0</v>
      </c>
      <c r="BC476" s="1">
        <v>380.0</v>
      </c>
      <c r="BD476" s="1" t="s">
        <v>74</v>
      </c>
      <c r="BE476" s="1" t="s">
        <v>4941</v>
      </c>
      <c r="BF476" s="2" t="str">
        <f>HYPERLINK("http://dx.doi.org/10.1016/j.compstruct.2015.07.099","http://dx.doi.org/10.1016/j.compstruct.2015.07.099")</f>
        <v>http://dx.doi.org/10.1016/j.compstruct.2015.07.099</v>
      </c>
      <c r="BG476" s="1" t="s">
        <v>74</v>
      </c>
      <c r="BH476" s="1" t="s">
        <v>74</v>
      </c>
      <c r="BI476" s="1" t="s">
        <v>74</v>
      </c>
      <c r="BJ476" s="1" t="s">
        <v>74</v>
      </c>
      <c r="BK476" s="1" t="s">
        <v>74</v>
      </c>
      <c r="BL476" s="1" t="s">
        <v>74</v>
      </c>
      <c r="BM476" s="1" t="s">
        <v>74</v>
      </c>
      <c r="BN476" s="1" t="s">
        <v>74</v>
      </c>
      <c r="BO476" s="1" t="s">
        <v>74</v>
      </c>
      <c r="BP476" s="1" t="s">
        <v>74</v>
      </c>
      <c r="BQ476" s="1" t="s">
        <v>74</v>
      </c>
      <c r="BR476" s="1" t="s">
        <v>74</v>
      </c>
      <c r="BS476" s="1" t="s">
        <v>4942</v>
      </c>
      <c r="BT476" s="1" t="str">
        <f>HYPERLINK("https%3A%2F%2Fwww.webofscience.com%2Fwos%2Fwoscc%2Ffull-record%2FWOS:000363069100036","View Full Record in Web of Science")</f>
        <v>View Full Record in Web of Science</v>
      </c>
    </row>
    <row r="477" ht="12.75" customHeight="1">
      <c r="A477" s="1" t="s">
        <v>72</v>
      </c>
      <c r="B477" s="1" t="s">
        <v>4943</v>
      </c>
      <c r="C477" s="1" t="s">
        <v>74</v>
      </c>
      <c r="D477" s="1" t="s">
        <v>74</v>
      </c>
      <c r="E477" s="1" t="s">
        <v>74</v>
      </c>
      <c r="F477" s="1" t="s">
        <v>4944</v>
      </c>
      <c r="G477" s="1" t="s">
        <v>74</v>
      </c>
      <c r="H477" s="1" t="s">
        <v>74</v>
      </c>
      <c r="I477" s="1" t="s">
        <v>4945</v>
      </c>
      <c r="J477" s="1" t="s">
        <v>4946</v>
      </c>
      <c r="K477" s="1" t="s">
        <v>74</v>
      </c>
      <c r="L477" s="1" t="s">
        <v>74</v>
      </c>
      <c r="M477" s="1" t="s">
        <v>74</v>
      </c>
      <c r="N477" s="1" t="s">
        <v>74</v>
      </c>
      <c r="O477" s="1" t="s">
        <v>74</v>
      </c>
      <c r="P477" s="1" t="s">
        <v>74</v>
      </c>
      <c r="Q477" s="1" t="s">
        <v>74</v>
      </c>
      <c r="R477" s="1" t="s">
        <v>74</v>
      </c>
      <c r="S477" s="1" t="s">
        <v>74</v>
      </c>
      <c r="T477" s="1" t="s">
        <v>74</v>
      </c>
      <c r="U477" s="1" t="s">
        <v>74</v>
      </c>
      <c r="V477" s="1" t="s">
        <v>4947</v>
      </c>
      <c r="W477" s="1" t="s">
        <v>74</v>
      </c>
      <c r="X477" s="1" t="s">
        <v>74</v>
      </c>
      <c r="Y477" s="1" t="s">
        <v>74</v>
      </c>
      <c r="Z477" s="1" t="s">
        <v>74</v>
      </c>
      <c r="AA477" s="1" t="s">
        <v>4948</v>
      </c>
      <c r="AB477" s="1" t="s">
        <v>4949</v>
      </c>
      <c r="AC477" s="1" t="s">
        <v>74</v>
      </c>
      <c r="AD477" s="1" t="s">
        <v>74</v>
      </c>
      <c r="AE477" s="1" t="s">
        <v>74</v>
      </c>
      <c r="AF477" s="1" t="s">
        <v>74</v>
      </c>
      <c r="AG477" s="1" t="s">
        <v>74</v>
      </c>
      <c r="AH477" s="1" t="s">
        <v>74</v>
      </c>
      <c r="AI477" s="1" t="s">
        <v>74</v>
      </c>
      <c r="AJ477" s="1" t="s">
        <v>74</v>
      </c>
      <c r="AK477" s="1" t="s">
        <v>74</v>
      </c>
      <c r="AL477" s="1" t="s">
        <v>74</v>
      </c>
      <c r="AM477" s="1" t="s">
        <v>74</v>
      </c>
      <c r="AN477" s="1" t="s">
        <v>74</v>
      </c>
      <c r="AO477" s="1" t="s">
        <v>4950</v>
      </c>
      <c r="AP477" s="1" t="s">
        <v>4951</v>
      </c>
      <c r="AQ477" s="1" t="s">
        <v>74</v>
      </c>
      <c r="AR477" s="1" t="s">
        <v>74</v>
      </c>
      <c r="AS477" s="1" t="s">
        <v>74</v>
      </c>
      <c r="AT477" s="1" t="s">
        <v>307</v>
      </c>
      <c r="AU477" s="1">
        <v>2015.0</v>
      </c>
      <c r="AV477" s="1">
        <v>73.0</v>
      </c>
      <c r="AW477" s="1" t="s">
        <v>74</v>
      </c>
      <c r="AX477" s="1" t="s">
        <v>74</v>
      </c>
      <c r="AY477" s="1" t="s">
        <v>74</v>
      </c>
      <c r="AZ477" s="1" t="s">
        <v>74</v>
      </c>
      <c r="BA477" s="1" t="s">
        <v>74</v>
      </c>
      <c r="BB477" s="1">
        <v>725.0</v>
      </c>
      <c r="BC477" s="1">
        <v>733.0</v>
      </c>
      <c r="BD477" s="1" t="s">
        <v>74</v>
      </c>
      <c r="BE477" s="1" t="s">
        <v>4952</v>
      </c>
      <c r="BF477" s="2" t="str">
        <f>HYPERLINK("http://dx.doi.org/10.1016/j.ijepes.2015.06.012","http://dx.doi.org/10.1016/j.ijepes.2015.06.012")</f>
        <v>http://dx.doi.org/10.1016/j.ijepes.2015.06.012</v>
      </c>
      <c r="BG477" s="1" t="s">
        <v>74</v>
      </c>
      <c r="BH477" s="1" t="s">
        <v>74</v>
      </c>
      <c r="BI477" s="1" t="s">
        <v>74</v>
      </c>
      <c r="BJ477" s="1" t="s">
        <v>74</v>
      </c>
      <c r="BK477" s="1" t="s">
        <v>74</v>
      </c>
      <c r="BL477" s="1" t="s">
        <v>74</v>
      </c>
      <c r="BM477" s="1" t="s">
        <v>74</v>
      </c>
      <c r="BN477" s="1" t="s">
        <v>74</v>
      </c>
      <c r="BO477" s="1" t="s">
        <v>74</v>
      </c>
      <c r="BP477" s="1" t="s">
        <v>74</v>
      </c>
      <c r="BQ477" s="1" t="s">
        <v>74</v>
      </c>
      <c r="BR477" s="1" t="s">
        <v>74</v>
      </c>
      <c r="BS477" s="1" t="s">
        <v>4953</v>
      </c>
      <c r="BT477" s="1" t="str">
        <f>HYPERLINK("https%3A%2F%2Fwww.webofscience.com%2Fwos%2Fwoscc%2Ffull-record%2FWOS:000360771800078","View Full Record in Web of Science")</f>
        <v>View Full Record in Web of Science</v>
      </c>
    </row>
    <row r="478" ht="12.75" customHeight="1">
      <c r="A478" s="1" t="s">
        <v>72</v>
      </c>
      <c r="B478" s="1" t="s">
        <v>4954</v>
      </c>
      <c r="C478" s="1" t="s">
        <v>74</v>
      </c>
      <c r="D478" s="1" t="s">
        <v>74</v>
      </c>
      <c r="E478" s="1" t="s">
        <v>74</v>
      </c>
      <c r="F478" s="1" t="s">
        <v>4955</v>
      </c>
      <c r="G478" s="1" t="s">
        <v>74</v>
      </c>
      <c r="H478" s="1" t="s">
        <v>74</v>
      </c>
      <c r="I478" s="1" t="s">
        <v>4956</v>
      </c>
      <c r="J478" s="1" t="s">
        <v>4957</v>
      </c>
      <c r="K478" s="1" t="s">
        <v>74</v>
      </c>
      <c r="L478" s="1" t="s">
        <v>74</v>
      </c>
      <c r="M478" s="1" t="s">
        <v>74</v>
      </c>
      <c r="N478" s="1" t="s">
        <v>74</v>
      </c>
      <c r="O478" s="1" t="s">
        <v>74</v>
      </c>
      <c r="P478" s="1" t="s">
        <v>74</v>
      </c>
      <c r="Q478" s="1" t="s">
        <v>74</v>
      </c>
      <c r="R478" s="1" t="s">
        <v>74</v>
      </c>
      <c r="S478" s="1" t="s">
        <v>74</v>
      </c>
      <c r="T478" s="1" t="s">
        <v>74</v>
      </c>
      <c r="U478" s="1" t="s">
        <v>74</v>
      </c>
      <c r="V478" s="1" t="s">
        <v>4958</v>
      </c>
      <c r="W478" s="1" t="s">
        <v>74</v>
      </c>
      <c r="X478" s="1" t="s">
        <v>74</v>
      </c>
      <c r="Y478" s="1" t="s">
        <v>74</v>
      </c>
      <c r="Z478" s="1" t="s">
        <v>74</v>
      </c>
      <c r="AA478" s="1" t="s">
        <v>4959</v>
      </c>
      <c r="AB478" s="1" t="s">
        <v>1579</v>
      </c>
      <c r="AC478" s="1" t="s">
        <v>74</v>
      </c>
      <c r="AD478" s="1" t="s">
        <v>74</v>
      </c>
      <c r="AE478" s="1" t="s">
        <v>74</v>
      </c>
      <c r="AF478" s="1" t="s">
        <v>74</v>
      </c>
      <c r="AG478" s="1" t="s">
        <v>74</v>
      </c>
      <c r="AH478" s="1" t="s">
        <v>74</v>
      </c>
      <c r="AI478" s="1" t="s">
        <v>74</v>
      </c>
      <c r="AJ478" s="1" t="s">
        <v>74</v>
      </c>
      <c r="AK478" s="1" t="s">
        <v>74</v>
      </c>
      <c r="AL478" s="1" t="s">
        <v>74</v>
      </c>
      <c r="AM478" s="1" t="s">
        <v>74</v>
      </c>
      <c r="AN478" s="1" t="s">
        <v>74</v>
      </c>
      <c r="AO478" s="1" t="s">
        <v>4960</v>
      </c>
      <c r="AP478" s="1" t="s">
        <v>4961</v>
      </c>
      <c r="AQ478" s="1" t="s">
        <v>74</v>
      </c>
      <c r="AR478" s="1" t="s">
        <v>74</v>
      </c>
      <c r="AS478" s="1" t="s">
        <v>74</v>
      </c>
      <c r="AT478" s="1" t="s">
        <v>164</v>
      </c>
      <c r="AU478" s="1">
        <v>2015.0</v>
      </c>
      <c r="AV478" s="1">
        <v>28.0</v>
      </c>
      <c r="AW478" s="1">
        <v>4.0</v>
      </c>
      <c r="AX478" s="1" t="s">
        <v>74</v>
      </c>
      <c r="AY478" s="1" t="s">
        <v>74</v>
      </c>
      <c r="AZ478" s="1" t="s">
        <v>74</v>
      </c>
      <c r="BA478" s="1" t="s">
        <v>74</v>
      </c>
      <c r="BB478" s="1" t="s">
        <v>74</v>
      </c>
      <c r="BC478" s="1" t="s">
        <v>74</v>
      </c>
      <c r="BD478" s="1">
        <v>4014108.0</v>
      </c>
      <c r="BE478" s="1" t="s">
        <v>4962</v>
      </c>
      <c r="BF478" s="2" t="str">
        <f>HYPERLINK("http://dx.doi.org/10.1061/(ASCE)AS.1943-5525.0000442","http://dx.doi.org/10.1061/(ASCE)AS.1943-5525.0000442")</f>
        <v>http://dx.doi.org/10.1061/(ASCE)AS.1943-5525.0000442</v>
      </c>
      <c r="BG478" s="1" t="s">
        <v>74</v>
      </c>
      <c r="BH478" s="1" t="s">
        <v>74</v>
      </c>
      <c r="BI478" s="1" t="s">
        <v>74</v>
      </c>
      <c r="BJ478" s="1" t="s">
        <v>74</v>
      </c>
      <c r="BK478" s="1" t="s">
        <v>74</v>
      </c>
      <c r="BL478" s="1" t="s">
        <v>74</v>
      </c>
      <c r="BM478" s="1" t="s">
        <v>74</v>
      </c>
      <c r="BN478" s="1" t="s">
        <v>74</v>
      </c>
      <c r="BO478" s="1" t="s">
        <v>74</v>
      </c>
      <c r="BP478" s="1" t="s">
        <v>74</v>
      </c>
      <c r="BQ478" s="1" t="s">
        <v>74</v>
      </c>
      <c r="BR478" s="1" t="s">
        <v>74</v>
      </c>
      <c r="BS478" s="1" t="s">
        <v>4963</v>
      </c>
      <c r="BT478" s="1" t="str">
        <f>HYPERLINK("https%3A%2F%2Fwww.webofscience.com%2Fwos%2Fwoscc%2Ffull-record%2FWOS:000356420000020","View Full Record in Web of Science")</f>
        <v>View Full Record in Web of Science</v>
      </c>
    </row>
    <row r="479" ht="12.75" customHeight="1">
      <c r="A479" s="1" t="s">
        <v>72</v>
      </c>
      <c r="B479" s="1" t="s">
        <v>4964</v>
      </c>
      <c r="C479" s="1" t="s">
        <v>74</v>
      </c>
      <c r="D479" s="1" t="s">
        <v>74</v>
      </c>
      <c r="E479" s="1" t="s">
        <v>74</v>
      </c>
      <c r="F479" s="1" t="s">
        <v>4965</v>
      </c>
      <c r="G479" s="1" t="s">
        <v>74</v>
      </c>
      <c r="H479" s="1" t="s">
        <v>74</v>
      </c>
      <c r="I479" s="1" t="s">
        <v>4966</v>
      </c>
      <c r="J479" s="1" t="s">
        <v>4967</v>
      </c>
      <c r="K479" s="1" t="s">
        <v>74</v>
      </c>
      <c r="L479" s="1" t="s">
        <v>74</v>
      </c>
      <c r="M479" s="1" t="s">
        <v>74</v>
      </c>
      <c r="N479" s="1" t="s">
        <v>74</v>
      </c>
      <c r="O479" s="1" t="s">
        <v>74</v>
      </c>
      <c r="P479" s="1" t="s">
        <v>74</v>
      </c>
      <c r="Q479" s="1" t="s">
        <v>74</v>
      </c>
      <c r="R479" s="1" t="s">
        <v>74</v>
      </c>
      <c r="S479" s="1" t="s">
        <v>74</v>
      </c>
      <c r="T479" s="1" t="s">
        <v>74</v>
      </c>
      <c r="U479" s="1" t="s">
        <v>74</v>
      </c>
      <c r="V479" s="1" t="s">
        <v>4968</v>
      </c>
      <c r="W479" s="1" t="s">
        <v>74</v>
      </c>
      <c r="X479" s="1" t="s">
        <v>74</v>
      </c>
      <c r="Y479" s="1" t="s">
        <v>74</v>
      </c>
      <c r="Z479" s="1" t="s">
        <v>74</v>
      </c>
      <c r="AA479" s="1" t="s">
        <v>4969</v>
      </c>
      <c r="AB479" s="1" t="s">
        <v>4970</v>
      </c>
      <c r="AC479" s="1" t="s">
        <v>74</v>
      </c>
      <c r="AD479" s="1" t="s">
        <v>74</v>
      </c>
      <c r="AE479" s="1" t="s">
        <v>74</v>
      </c>
      <c r="AF479" s="1" t="s">
        <v>74</v>
      </c>
      <c r="AG479" s="1" t="s">
        <v>74</v>
      </c>
      <c r="AH479" s="1" t="s">
        <v>74</v>
      </c>
      <c r="AI479" s="1" t="s">
        <v>74</v>
      </c>
      <c r="AJ479" s="1" t="s">
        <v>74</v>
      </c>
      <c r="AK479" s="1" t="s">
        <v>74</v>
      </c>
      <c r="AL479" s="1" t="s">
        <v>74</v>
      </c>
      <c r="AM479" s="1" t="s">
        <v>74</v>
      </c>
      <c r="AN479" s="1" t="s">
        <v>74</v>
      </c>
      <c r="AO479" s="1" t="s">
        <v>4971</v>
      </c>
      <c r="AP479" s="1" t="s">
        <v>74</v>
      </c>
      <c r="AQ479" s="1" t="s">
        <v>74</v>
      </c>
      <c r="AR479" s="1" t="s">
        <v>74</v>
      </c>
      <c r="AS479" s="1" t="s">
        <v>74</v>
      </c>
      <c r="AT479" s="1" t="s">
        <v>4972</v>
      </c>
      <c r="AU479" s="1">
        <v>2015.0</v>
      </c>
      <c r="AV479" s="1">
        <v>14.0</v>
      </c>
      <c r="AW479" s="1">
        <v>3.0</v>
      </c>
      <c r="AX479" s="1" t="s">
        <v>74</v>
      </c>
      <c r="AY479" s="1" t="s">
        <v>74</v>
      </c>
      <c r="AZ479" s="1" t="s">
        <v>74</v>
      </c>
      <c r="BA479" s="1" t="s">
        <v>74</v>
      </c>
      <c r="BB479" s="1">
        <v>1141.0</v>
      </c>
      <c r="BC479" s="1">
        <v>1158.0</v>
      </c>
      <c r="BD479" s="1" t="s">
        <v>74</v>
      </c>
      <c r="BE479" s="1" t="s">
        <v>74</v>
      </c>
      <c r="BF479" s="1" t="s">
        <v>74</v>
      </c>
      <c r="BG479" s="1" t="s">
        <v>74</v>
      </c>
      <c r="BH479" s="1" t="s">
        <v>74</v>
      </c>
      <c r="BI479" s="1" t="s">
        <v>74</v>
      </c>
      <c r="BJ479" s="1" t="s">
        <v>74</v>
      </c>
      <c r="BK479" s="1" t="s">
        <v>74</v>
      </c>
      <c r="BL479" s="1" t="s">
        <v>74</v>
      </c>
      <c r="BM479" s="1" t="s">
        <v>74</v>
      </c>
      <c r="BN479" s="1" t="s">
        <v>74</v>
      </c>
      <c r="BO479" s="1" t="s">
        <v>74</v>
      </c>
      <c r="BP479" s="1" t="s">
        <v>74</v>
      </c>
      <c r="BQ479" s="1" t="s">
        <v>74</v>
      </c>
      <c r="BR479" s="1" t="s">
        <v>74</v>
      </c>
      <c r="BS479" s="1" t="s">
        <v>4973</v>
      </c>
      <c r="BT479" s="1" t="str">
        <f>HYPERLINK("https%3A%2F%2Fwww.webofscience.com%2Fwos%2Fwoscc%2Ffull-record%2FWOS:000369827500029","View Full Record in Web of Science")</f>
        <v>View Full Record in Web of Science</v>
      </c>
    </row>
    <row r="480" ht="12.75" customHeight="1">
      <c r="A480" s="1" t="s">
        <v>72</v>
      </c>
      <c r="B480" s="1" t="s">
        <v>4974</v>
      </c>
      <c r="C480" s="1" t="s">
        <v>74</v>
      </c>
      <c r="D480" s="1" t="s">
        <v>74</v>
      </c>
      <c r="E480" s="1" t="s">
        <v>74</v>
      </c>
      <c r="F480" s="1" t="s">
        <v>4974</v>
      </c>
      <c r="G480" s="1" t="s">
        <v>74</v>
      </c>
      <c r="H480" s="1" t="s">
        <v>74</v>
      </c>
      <c r="I480" s="1" t="s">
        <v>4975</v>
      </c>
      <c r="J480" s="1" t="s">
        <v>4976</v>
      </c>
      <c r="K480" s="1" t="s">
        <v>74</v>
      </c>
      <c r="L480" s="1" t="s">
        <v>74</v>
      </c>
      <c r="M480" s="1" t="s">
        <v>74</v>
      </c>
      <c r="N480" s="1" t="s">
        <v>74</v>
      </c>
      <c r="O480" s="1" t="s">
        <v>74</v>
      </c>
      <c r="P480" s="1" t="s">
        <v>74</v>
      </c>
      <c r="Q480" s="1" t="s">
        <v>74</v>
      </c>
      <c r="R480" s="1" t="s">
        <v>74</v>
      </c>
      <c r="S480" s="1" t="s">
        <v>74</v>
      </c>
      <c r="T480" s="1" t="s">
        <v>74</v>
      </c>
      <c r="U480" s="1" t="s">
        <v>74</v>
      </c>
      <c r="V480" s="1" t="s">
        <v>4977</v>
      </c>
      <c r="W480" s="1" t="s">
        <v>74</v>
      </c>
      <c r="X480" s="1" t="s">
        <v>74</v>
      </c>
      <c r="Y480" s="1" t="s">
        <v>74</v>
      </c>
      <c r="Z480" s="1" t="s">
        <v>74</v>
      </c>
      <c r="AA480" s="1" t="s">
        <v>74</v>
      </c>
      <c r="AB480" s="1" t="s">
        <v>74</v>
      </c>
      <c r="AC480" s="1" t="s">
        <v>74</v>
      </c>
      <c r="AD480" s="1" t="s">
        <v>74</v>
      </c>
      <c r="AE480" s="1" t="s">
        <v>74</v>
      </c>
      <c r="AF480" s="1" t="s">
        <v>74</v>
      </c>
      <c r="AG480" s="1" t="s">
        <v>74</v>
      </c>
      <c r="AH480" s="1" t="s">
        <v>74</v>
      </c>
      <c r="AI480" s="1" t="s">
        <v>74</v>
      </c>
      <c r="AJ480" s="1" t="s">
        <v>74</v>
      </c>
      <c r="AK480" s="1" t="s">
        <v>74</v>
      </c>
      <c r="AL480" s="1" t="s">
        <v>74</v>
      </c>
      <c r="AM480" s="1" t="s">
        <v>74</v>
      </c>
      <c r="AN480" s="1" t="s">
        <v>74</v>
      </c>
      <c r="AO480" s="1" t="s">
        <v>4978</v>
      </c>
      <c r="AP480" s="1" t="s">
        <v>74</v>
      </c>
      <c r="AQ480" s="1" t="s">
        <v>74</v>
      </c>
      <c r="AR480" s="1" t="s">
        <v>74</v>
      </c>
      <c r="AS480" s="1" t="s">
        <v>74</v>
      </c>
      <c r="AT480" s="1" t="s">
        <v>74</v>
      </c>
      <c r="AU480" s="1">
        <v>2000.0</v>
      </c>
      <c r="AV480" s="1">
        <v>33.0</v>
      </c>
      <c r="AW480" s="1">
        <v>3.0</v>
      </c>
      <c r="AX480" s="1" t="s">
        <v>74</v>
      </c>
      <c r="AY480" s="1" t="s">
        <v>74</v>
      </c>
      <c r="AZ480" s="1" t="s">
        <v>74</v>
      </c>
      <c r="BA480" s="1" t="s">
        <v>74</v>
      </c>
      <c r="BB480" s="1">
        <v>385.0</v>
      </c>
      <c r="BC480" s="1">
        <v>391.0</v>
      </c>
      <c r="BD480" s="1" t="s">
        <v>74</v>
      </c>
      <c r="BE480" s="1" t="s">
        <v>4979</v>
      </c>
      <c r="BF480" s="2" t="str">
        <f>HYPERLINK("http://dx.doi.org/10.1080/00387010009350084","http://dx.doi.org/10.1080/00387010009350084")</f>
        <v>http://dx.doi.org/10.1080/00387010009350084</v>
      </c>
      <c r="BG480" s="1" t="s">
        <v>74</v>
      </c>
      <c r="BH480" s="1" t="s">
        <v>74</v>
      </c>
      <c r="BI480" s="1" t="s">
        <v>74</v>
      </c>
      <c r="BJ480" s="1" t="s">
        <v>74</v>
      </c>
      <c r="BK480" s="1" t="s">
        <v>74</v>
      </c>
      <c r="BL480" s="1" t="s">
        <v>74</v>
      </c>
      <c r="BM480" s="1" t="s">
        <v>74</v>
      </c>
      <c r="BN480" s="1" t="s">
        <v>74</v>
      </c>
      <c r="BO480" s="1" t="s">
        <v>74</v>
      </c>
      <c r="BP480" s="1" t="s">
        <v>74</v>
      </c>
      <c r="BQ480" s="1" t="s">
        <v>74</v>
      </c>
      <c r="BR480" s="1" t="s">
        <v>74</v>
      </c>
      <c r="BS480" s="1" t="s">
        <v>4980</v>
      </c>
      <c r="BT480" s="1" t="str">
        <f>HYPERLINK("https%3A%2F%2Fwww.webofscience.com%2Fwos%2Fwoscc%2Ffull-record%2FWOS:000087660000008","View Full Record in Web of Science")</f>
        <v>View Full Record in Web of Science</v>
      </c>
    </row>
    <row r="481" ht="12.75" customHeight="1">
      <c r="A481" s="1" t="s">
        <v>72</v>
      </c>
      <c r="B481" s="1" t="s">
        <v>4981</v>
      </c>
      <c r="C481" s="1" t="s">
        <v>74</v>
      </c>
      <c r="D481" s="1" t="s">
        <v>74</v>
      </c>
      <c r="E481" s="1" t="s">
        <v>74</v>
      </c>
      <c r="F481" s="1" t="s">
        <v>4981</v>
      </c>
      <c r="G481" s="1" t="s">
        <v>74</v>
      </c>
      <c r="H481" s="1" t="s">
        <v>74</v>
      </c>
      <c r="I481" s="1" t="s">
        <v>4982</v>
      </c>
      <c r="J481" s="1" t="s">
        <v>4983</v>
      </c>
      <c r="K481" s="1" t="s">
        <v>74</v>
      </c>
      <c r="L481" s="1" t="s">
        <v>74</v>
      </c>
      <c r="M481" s="1" t="s">
        <v>74</v>
      </c>
      <c r="N481" s="1" t="s">
        <v>74</v>
      </c>
      <c r="O481" s="1" t="s">
        <v>4984</v>
      </c>
      <c r="P481" s="1" t="s">
        <v>4985</v>
      </c>
      <c r="Q481" s="1" t="s">
        <v>4986</v>
      </c>
      <c r="R481" s="1" t="s">
        <v>4987</v>
      </c>
      <c r="S481" s="1" t="s">
        <v>4988</v>
      </c>
      <c r="T481" s="1" t="s">
        <v>74</v>
      </c>
      <c r="U481" s="1" t="s">
        <v>74</v>
      </c>
      <c r="V481" s="1" t="s">
        <v>4989</v>
      </c>
      <c r="W481" s="1" t="s">
        <v>74</v>
      </c>
      <c r="X481" s="1" t="s">
        <v>74</v>
      </c>
      <c r="Y481" s="1" t="s">
        <v>74</v>
      </c>
      <c r="Z481" s="1" t="s">
        <v>74</v>
      </c>
      <c r="AA481" s="1" t="s">
        <v>74</v>
      </c>
      <c r="AB481" s="1" t="s">
        <v>1293</v>
      </c>
      <c r="AC481" s="1" t="s">
        <v>74</v>
      </c>
      <c r="AD481" s="1" t="s">
        <v>74</v>
      </c>
      <c r="AE481" s="1" t="s">
        <v>74</v>
      </c>
      <c r="AF481" s="1" t="s">
        <v>74</v>
      </c>
      <c r="AG481" s="1" t="s">
        <v>74</v>
      </c>
      <c r="AH481" s="1" t="s">
        <v>74</v>
      </c>
      <c r="AI481" s="1" t="s">
        <v>74</v>
      </c>
      <c r="AJ481" s="1" t="s">
        <v>74</v>
      </c>
      <c r="AK481" s="1" t="s">
        <v>74</v>
      </c>
      <c r="AL481" s="1" t="s">
        <v>74</v>
      </c>
      <c r="AM481" s="1" t="s">
        <v>74</v>
      </c>
      <c r="AN481" s="1" t="s">
        <v>74</v>
      </c>
      <c r="AO481" s="1" t="s">
        <v>4990</v>
      </c>
      <c r="AP481" s="1" t="s">
        <v>74</v>
      </c>
      <c r="AQ481" s="1" t="s">
        <v>74</v>
      </c>
      <c r="AR481" s="1" t="s">
        <v>74</v>
      </c>
      <c r="AS481" s="1" t="s">
        <v>74</v>
      </c>
      <c r="AT481" s="1" t="s">
        <v>164</v>
      </c>
      <c r="AU481" s="1">
        <v>1993.0</v>
      </c>
      <c r="AV481" s="1">
        <v>65.0</v>
      </c>
      <c r="AW481" s="1">
        <v>7.0</v>
      </c>
      <c r="AX481" s="1" t="s">
        <v>74</v>
      </c>
      <c r="AY481" s="1" t="s">
        <v>74</v>
      </c>
      <c r="AZ481" s="1" t="s">
        <v>74</v>
      </c>
      <c r="BA481" s="1" t="s">
        <v>74</v>
      </c>
      <c r="BB481" s="1">
        <v>1521.0</v>
      </c>
      <c r="BC481" s="1">
        <v>1526.0</v>
      </c>
      <c r="BD481" s="1" t="s">
        <v>74</v>
      </c>
      <c r="BE481" s="1" t="s">
        <v>4991</v>
      </c>
      <c r="BF481" s="2" t="str">
        <f>HYPERLINK("http://dx.doi.org/10.1351/pac199365071521","http://dx.doi.org/10.1351/pac199365071521")</f>
        <v>http://dx.doi.org/10.1351/pac199365071521</v>
      </c>
      <c r="BG481" s="1" t="s">
        <v>74</v>
      </c>
      <c r="BH481" s="1" t="s">
        <v>74</v>
      </c>
      <c r="BI481" s="1" t="s">
        <v>74</v>
      </c>
      <c r="BJ481" s="1" t="s">
        <v>74</v>
      </c>
      <c r="BK481" s="1" t="s">
        <v>74</v>
      </c>
      <c r="BL481" s="1" t="s">
        <v>74</v>
      </c>
      <c r="BM481" s="1" t="s">
        <v>74</v>
      </c>
      <c r="BN481" s="1" t="s">
        <v>74</v>
      </c>
      <c r="BO481" s="1" t="s">
        <v>74</v>
      </c>
      <c r="BP481" s="1" t="s">
        <v>74</v>
      </c>
      <c r="BQ481" s="1" t="s">
        <v>74</v>
      </c>
      <c r="BR481" s="1" t="s">
        <v>74</v>
      </c>
      <c r="BS481" s="1" t="s">
        <v>4992</v>
      </c>
      <c r="BT481" s="1" t="str">
        <f>HYPERLINK("https%3A%2F%2Fwww.webofscience.com%2Fwos%2Fwoscc%2Ffull-record%2FWOS:A1993LH98800011","View Full Record in Web of Science")</f>
        <v>View Full Record in Web of Science</v>
      </c>
    </row>
    <row r="482" ht="12.75" customHeight="1">
      <c r="A482" s="1" t="s">
        <v>72</v>
      </c>
      <c r="B482" s="1" t="s">
        <v>4993</v>
      </c>
      <c r="C482" s="1" t="s">
        <v>74</v>
      </c>
      <c r="D482" s="1" t="s">
        <v>74</v>
      </c>
      <c r="E482" s="1" t="s">
        <v>74</v>
      </c>
      <c r="F482" s="1" t="s">
        <v>4994</v>
      </c>
      <c r="G482" s="1" t="s">
        <v>74</v>
      </c>
      <c r="H482" s="1" t="s">
        <v>74</v>
      </c>
      <c r="I482" s="1" t="s">
        <v>4995</v>
      </c>
      <c r="J482" s="1" t="s">
        <v>4996</v>
      </c>
      <c r="K482" s="1" t="s">
        <v>74</v>
      </c>
      <c r="L482" s="1" t="s">
        <v>74</v>
      </c>
      <c r="M482" s="1" t="s">
        <v>74</v>
      </c>
      <c r="N482" s="1" t="s">
        <v>74</v>
      </c>
      <c r="O482" s="1" t="s">
        <v>74</v>
      </c>
      <c r="P482" s="1" t="s">
        <v>74</v>
      </c>
      <c r="Q482" s="1" t="s">
        <v>74</v>
      </c>
      <c r="R482" s="1" t="s">
        <v>74</v>
      </c>
      <c r="S482" s="1" t="s">
        <v>74</v>
      </c>
      <c r="T482" s="1" t="s">
        <v>74</v>
      </c>
      <c r="U482" s="1" t="s">
        <v>74</v>
      </c>
      <c r="V482" s="1" t="s">
        <v>4997</v>
      </c>
      <c r="W482" s="1" t="s">
        <v>74</v>
      </c>
      <c r="X482" s="1" t="s">
        <v>74</v>
      </c>
      <c r="Y482" s="1" t="s">
        <v>74</v>
      </c>
      <c r="Z482" s="1" t="s">
        <v>74</v>
      </c>
      <c r="AA482" s="1" t="s">
        <v>4998</v>
      </c>
      <c r="AB482" s="1" t="s">
        <v>4999</v>
      </c>
      <c r="AC482" s="1" t="s">
        <v>74</v>
      </c>
      <c r="AD482" s="1" t="s">
        <v>74</v>
      </c>
      <c r="AE482" s="1" t="s">
        <v>74</v>
      </c>
      <c r="AF482" s="1" t="s">
        <v>74</v>
      </c>
      <c r="AG482" s="1" t="s">
        <v>74</v>
      </c>
      <c r="AH482" s="1" t="s">
        <v>74</v>
      </c>
      <c r="AI482" s="1" t="s">
        <v>74</v>
      </c>
      <c r="AJ482" s="1" t="s">
        <v>74</v>
      </c>
      <c r="AK482" s="1" t="s">
        <v>74</v>
      </c>
      <c r="AL482" s="1" t="s">
        <v>74</v>
      </c>
      <c r="AM482" s="1" t="s">
        <v>74</v>
      </c>
      <c r="AN482" s="1" t="s">
        <v>74</v>
      </c>
      <c r="AO482" s="1" t="s">
        <v>74</v>
      </c>
      <c r="AP482" s="1" t="s">
        <v>5000</v>
      </c>
      <c r="AQ482" s="1" t="s">
        <v>74</v>
      </c>
      <c r="AR482" s="1" t="s">
        <v>74</v>
      </c>
      <c r="AS482" s="1" t="s">
        <v>74</v>
      </c>
      <c r="AT482" s="1" t="s">
        <v>1123</v>
      </c>
      <c r="AU482" s="1">
        <v>2025.0</v>
      </c>
      <c r="AV482" s="1">
        <v>25.0</v>
      </c>
      <c r="AW482" s="1">
        <v>1.0</v>
      </c>
      <c r="AX482" s="1" t="s">
        <v>74</v>
      </c>
      <c r="AY482" s="1" t="s">
        <v>74</v>
      </c>
      <c r="AZ482" s="1" t="s">
        <v>74</v>
      </c>
      <c r="BA482" s="1" t="s">
        <v>74</v>
      </c>
      <c r="BB482" s="1" t="s">
        <v>74</v>
      </c>
      <c r="BC482" s="1" t="s">
        <v>74</v>
      </c>
      <c r="BD482" s="1">
        <v>501.0</v>
      </c>
      <c r="BE482" s="1" t="s">
        <v>5001</v>
      </c>
      <c r="BF482" s="2" t="str">
        <f>HYPERLINK("http://dx.doi.org/10.1186/s12889-025-21755-y","http://dx.doi.org/10.1186/s12889-025-21755-y")</f>
        <v>http://dx.doi.org/10.1186/s12889-025-21755-y</v>
      </c>
      <c r="BG482" s="1" t="s">
        <v>74</v>
      </c>
      <c r="BH482" s="1" t="s">
        <v>74</v>
      </c>
      <c r="BI482" s="1" t="s">
        <v>74</v>
      </c>
      <c r="BJ482" s="1" t="s">
        <v>74</v>
      </c>
      <c r="BK482" s="1" t="s">
        <v>74</v>
      </c>
      <c r="BL482" s="1" t="s">
        <v>74</v>
      </c>
      <c r="BM482" s="1" t="s">
        <v>74</v>
      </c>
      <c r="BN482" s="1">
        <v>3.9920642E7</v>
      </c>
      <c r="BO482" s="1" t="s">
        <v>74</v>
      </c>
      <c r="BP482" s="1" t="s">
        <v>74</v>
      </c>
      <c r="BQ482" s="1" t="s">
        <v>74</v>
      </c>
      <c r="BR482" s="1" t="s">
        <v>74</v>
      </c>
      <c r="BS482" s="1" t="s">
        <v>5002</v>
      </c>
      <c r="BT482" s="1" t="str">
        <f>HYPERLINK("https%3A%2F%2Fwww.webofscience.com%2Fwos%2Fwoscc%2Ffull-record%2FWOS:001416350900007","View Full Record in Web of Science")</f>
        <v>View Full Record in Web of Science</v>
      </c>
    </row>
    <row r="483" ht="12.75" customHeight="1">
      <c r="A483" s="1" t="s">
        <v>72</v>
      </c>
      <c r="B483" s="1" t="s">
        <v>5003</v>
      </c>
      <c r="C483" s="1" t="s">
        <v>74</v>
      </c>
      <c r="D483" s="1" t="s">
        <v>74</v>
      </c>
      <c r="E483" s="1" t="s">
        <v>74</v>
      </c>
      <c r="F483" s="1" t="s">
        <v>5004</v>
      </c>
      <c r="G483" s="1" t="s">
        <v>74</v>
      </c>
      <c r="H483" s="1" t="s">
        <v>74</v>
      </c>
      <c r="I483" s="1" t="s">
        <v>5005</v>
      </c>
      <c r="J483" s="1" t="s">
        <v>5006</v>
      </c>
      <c r="K483" s="1" t="s">
        <v>74</v>
      </c>
      <c r="L483" s="1" t="s">
        <v>74</v>
      </c>
      <c r="M483" s="1" t="s">
        <v>74</v>
      </c>
      <c r="N483" s="1" t="s">
        <v>74</v>
      </c>
      <c r="O483" s="1" t="s">
        <v>74</v>
      </c>
      <c r="P483" s="1" t="s">
        <v>74</v>
      </c>
      <c r="Q483" s="1" t="s">
        <v>74</v>
      </c>
      <c r="R483" s="1" t="s">
        <v>74</v>
      </c>
      <c r="S483" s="1" t="s">
        <v>74</v>
      </c>
      <c r="T483" s="1" t="s">
        <v>74</v>
      </c>
      <c r="U483" s="1" t="s">
        <v>74</v>
      </c>
      <c r="V483" s="1" t="s">
        <v>5007</v>
      </c>
      <c r="W483" s="1" t="s">
        <v>74</v>
      </c>
      <c r="X483" s="1" t="s">
        <v>74</v>
      </c>
      <c r="Y483" s="1" t="s">
        <v>74</v>
      </c>
      <c r="Z483" s="1" t="s">
        <v>74</v>
      </c>
      <c r="AA483" s="1" t="s">
        <v>74</v>
      </c>
      <c r="AB483" s="1" t="s">
        <v>5008</v>
      </c>
      <c r="AC483" s="1" t="s">
        <v>74</v>
      </c>
      <c r="AD483" s="1" t="s">
        <v>74</v>
      </c>
      <c r="AE483" s="1" t="s">
        <v>74</v>
      </c>
      <c r="AF483" s="1" t="s">
        <v>74</v>
      </c>
      <c r="AG483" s="1" t="s">
        <v>74</v>
      </c>
      <c r="AH483" s="1" t="s">
        <v>74</v>
      </c>
      <c r="AI483" s="1" t="s">
        <v>74</v>
      </c>
      <c r="AJ483" s="1" t="s">
        <v>74</v>
      </c>
      <c r="AK483" s="1" t="s">
        <v>74</v>
      </c>
      <c r="AL483" s="1" t="s">
        <v>74</v>
      </c>
      <c r="AM483" s="1" t="s">
        <v>74</v>
      </c>
      <c r="AN483" s="1" t="s">
        <v>74</v>
      </c>
      <c r="AO483" s="1" t="s">
        <v>5009</v>
      </c>
      <c r="AP483" s="1" t="s">
        <v>5010</v>
      </c>
      <c r="AQ483" s="1" t="s">
        <v>74</v>
      </c>
      <c r="AR483" s="1" t="s">
        <v>74</v>
      </c>
      <c r="AS483" s="1" t="s">
        <v>74</v>
      </c>
      <c r="AT483" s="1" t="s">
        <v>939</v>
      </c>
      <c r="AU483" s="1">
        <v>2024.0</v>
      </c>
      <c r="AV483" s="1">
        <v>101.0</v>
      </c>
      <c r="AW483" s="1">
        <v>6.0</v>
      </c>
      <c r="AX483" s="1" t="s">
        <v>74</v>
      </c>
      <c r="AY483" s="1" t="s">
        <v>74</v>
      </c>
      <c r="AZ483" s="1" t="s">
        <v>74</v>
      </c>
      <c r="BA483" s="1" t="s">
        <v>74</v>
      </c>
      <c r="BB483" s="1">
        <v>613.0</v>
      </c>
      <c r="BC483" s="1">
        <v>624.0</v>
      </c>
      <c r="BD483" s="1" t="s">
        <v>74</v>
      </c>
      <c r="BE483" s="1" t="s">
        <v>5011</v>
      </c>
      <c r="BF483" s="2" t="str">
        <f>HYPERLINK("http://dx.doi.org/10.1002/aocs.12806","http://dx.doi.org/10.1002/aocs.12806")</f>
        <v>http://dx.doi.org/10.1002/aocs.12806</v>
      </c>
      <c r="BG483" s="1" t="s">
        <v>74</v>
      </c>
      <c r="BH483" s="1" t="s">
        <v>190</v>
      </c>
      <c r="BI483" s="1" t="s">
        <v>74</v>
      </c>
      <c r="BJ483" s="1" t="s">
        <v>74</v>
      </c>
      <c r="BK483" s="1" t="s">
        <v>74</v>
      </c>
      <c r="BL483" s="1" t="s">
        <v>74</v>
      </c>
      <c r="BM483" s="1" t="s">
        <v>74</v>
      </c>
      <c r="BN483" s="1" t="s">
        <v>74</v>
      </c>
      <c r="BO483" s="1" t="s">
        <v>74</v>
      </c>
      <c r="BP483" s="1" t="s">
        <v>74</v>
      </c>
      <c r="BQ483" s="1" t="s">
        <v>74</v>
      </c>
      <c r="BR483" s="1" t="s">
        <v>74</v>
      </c>
      <c r="BS483" s="1" t="s">
        <v>5012</v>
      </c>
      <c r="BT483" s="1" t="str">
        <f>HYPERLINK("https%3A%2F%2Fwww.webofscience.com%2Fwos%2Fwoscc%2Ffull-record%2FWOS:001129553200001","View Full Record in Web of Science")</f>
        <v>View Full Record in Web of Science</v>
      </c>
    </row>
    <row r="484" ht="12.75" customHeight="1">
      <c r="A484" s="1" t="s">
        <v>72</v>
      </c>
      <c r="B484" s="1" t="s">
        <v>5013</v>
      </c>
      <c r="C484" s="1" t="s">
        <v>74</v>
      </c>
      <c r="D484" s="1" t="s">
        <v>74</v>
      </c>
      <c r="E484" s="1" t="s">
        <v>74</v>
      </c>
      <c r="F484" s="1" t="s">
        <v>5014</v>
      </c>
      <c r="G484" s="1" t="s">
        <v>74</v>
      </c>
      <c r="H484" s="1" t="s">
        <v>74</v>
      </c>
      <c r="I484" s="1" t="s">
        <v>5015</v>
      </c>
      <c r="J484" s="1" t="s">
        <v>5016</v>
      </c>
      <c r="K484" s="1" t="s">
        <v>74</v>
      </c>
      <c r="L484" s="1" t="s">
        <v>74</v>
      </c>
      <c r="M484" s="1" t="s">
        <v>74</v>
      </c>
      <c r="N484" s="1" t="s">
        <v>74</v>
      </c>
      <c r="O484" s="1" t="s">
        <v>74</v>
      </c>
      <c r="P484" s="1" t="s">
        <v>74</v>
      </c>
      <c r="Q484" s="1" t="s">
        <v>74</v>
      </c>
      <c r="R484" s="1" t="s">
        <v>74</v>
      </c>
      <c r="S484" s="1" t="s">
        <v>74</v>
      </c>
      <c r="T484" s="1" t="s">
        <v>74</v>
      </c>
      <c r="U484" s="1" t="s">
        <v>74</v>
      </c>
      <c r="V484" s="1" t="s">
        <v>5017</v>
      </c>
      <c r="W484" s="1" t="s">
        <v>74</v>
      </c>
      <c r="X484" s="1" t="s">
        <v>74</v>
      </c>
      <c r="Y484" s="1" t="s">
        <v>74</v>
      </c>
      <c r="Z484" s="1" t="s">
        <v>74</v>
      </c>
      <c r="AA484" s="1" t="s">
        <v>5018</v>
      </c>
      <c r="AB484" s="1" t="s">
        <v>5019</v>
      </c>
      <c r="AC484" s="1" t="s">
        <v>74</v>
      </c>
      <c r="AD484" s="1" t="s">
        <v>74</v>
      </c>
      <c r="AE484" s="1" t="s">
        <v>74</v>
      </c>
      <c r="AF484" s="1" t="s">
        <v>74</v>
      </c>
      <c r="AG484" s="1" t="s">
        <v>74</v>
      </c>
      <c r="AH484" s="1" t="s">
        <v>74</v>
      </c>
      <c r="AI484" s="1" t="s">
        <v>74</v>
      </c>
      <c r="AJ484" s="1" t="s">
        <v>74</v>
      </c>
      <c r="AK484" s="1" t="s">
        <v>74</v>
      </c>
      <c r="AL484" s="1" t="s">
        <v>74</v>
      </c>
      <c r="AM484" s="1" t="s">
        <v>74</v>
      </c>
      <c r="AN484" s="1" t="s">
        <v>74</v>
      </c>
      <c r="AO484" s="1" t="s">
        <v>5020</v>
      </c>
      <c r="AP484" s="1" t="s">
        <v>5021</v>
      </c>
      <c r="AQ484" s="1" t="s">
        <v>74</v>
      </c>
      <c r="AR484" s="1" t="s">
        <v>74</v>
      </c>
      <c r="AS484" s="1" t="s">
        <v>74</v>
      </c>
      <c r="AT484" s="1" t="s">
        <v>939</v>
      </c>
      <c r="AU484" s="1">
        <v>2023.0</v>
      </c>
      <c r="AV484" s="1">
        <v>46.0</v>
      </c>
      <c r="AW484" s="1">
        <v>2.0</v>
      </c>
      <c r="AX484" s="1" t="s">
        <v>74</v>
      </c>
      <c r="AY484" s="1" t="s">
        <v>74</v>
      </c>
      <c r="AZ484" s="1" t="s">
        <v>74</v>
      </c>
      <c r="BA484" s="1" t="s">
        <v>74</v>
      </c>
      <c r="BB484" s="1">
        <v>221.0</v>
      </c>
      <c r="BC484" s="1">
        <v>244.0</v>
      </c>
      <c r="BD484" s="1" t="s">
        <v>74</v>
      </c>
      <c r="BE484" s="1" t="s">
        <v>5022</v>
      </c>
      <c r="BF484" s="2" t="str">
        <f>HYPERLINK("http://dx.doi.org/10.1007/s11133-023-09531-z","http://dx.doi.org/10.1007/s11133-023-09531-z")</f>
        <v>http://dx.doi.org/10.1007/s11133-023-09531-z</v>
      </c>
      <c r="BG484" s="1" t="s">
        <v>74</v>
      </c>
      <c r="BH484" s="1" t="s">
        <v>5023</v>
      </c>
      <c r="BI484" s="1" t="s">
        <v>74</v>
      </c>
      <c r="BJ484" s="1" t="s">
        <v>74</v>
      </c>
      <c r="BK484" s="1" t="s">
        <v>74</v>
      </c>
      <c r="BL484" s="1" t="s">
        <v>74</v>
      </c>
      <c r="BM484" s="1" t="s">
        <v>74</v>
      </c>
      <c r="BN484" s="1">
        <v>3.6846825E7</v>
      </c>
      <c r="BO484" s="1" t="s">
        <v>74</v>
      </c>
      <c r="BP484" s="1" t="s">
        <v>74</v>
      </c>
      <c r="BQ484" s="1" t="s">
        <v>74</v>
      </c>
      <c r="BR484" s="1" t="s">
        <v>74</v>
      </c>
      <c r="BS484" s="1" t="s">
        <v>5024</v>
      </c>
      <c r="BT484" s="1" t="str">
        <f>HYPERLINK("https%3A%2F%2Fwww.webofscience.com%2Fwos%2Fwoscc%2Ffull-record%2FWOS:000935243800001","View Full Record in Web of Science")</f>
        <v>View Full Record in Web of Science</v>
      </c>
    </row>
    <row r="485" ht="12.75" customHeight="1">
      <c r="A485" s="1" t="s">
        <v>72</v>
      </c>
      <c r="B485" s="1" t="s">
        <v>5025</v>
      </c>
      <c r="C485" s="1" t="s">
        <v>74</v>
      </c>
      <c r="D485" s="1" t="s">
        <v>74</v>
      </c>
      <c r="E485" s="1" t="s">
        <v>74</v>
      </c>
      <c r="F485" s="1" t="s">
        <v>5026</v>
      </c>
      <c r="G485" s="1" t="s">
        <v>74</v>
      </c>
      <c r="H485" s="1" t="s">
        <v>74</v>
      </c>
      <c r="I485" s="1" t="s">
        <v>5027</v>
      </c>
      <c r="J485" s="1" t="s">
        <v>5028</v>
      </c>
      <c r="K485" s="1" t="s">
        <v>74</v>
      </c>
      <c r="L485" s="1" t="s">
        <v>74</v>
      </c>
      <c r="M485" s="1" t="s">
        <v>74</v>
      </c>
      <c r="N485" s="1" t="s">
        <v>74</v>
      </c>
      <c r="O485" s="1" t="s">
        <v>74</v>
      </c>
      <c r="P485" s="1" t="s">
        <v>74</v>
      </c>
      <c r="Q485" s="1" t="s">
        <v>74</v>
      </c>
      <c r="R485" s="1" t="s">
        <v>74</v>
      </c>
      <c r="S485" s="1" t="s">
        <v>74</v>
      </c>
      <c r="T485" s="1" t="s">
        <v>74</v>
      </c>
      <c r="U485" s="1" t="s">
        <v>74</v>
      </c>
      <c r="V485" s="1" t="s">
        <v>5029</v>
      </c>
      <c r="W485" s="1" t="s">
        <v>74</v>
      </c>
      <c r="X485" s="1" t="s">
        <v>74</v>
      </c>
      <c r="Y485" s="1" t="s">
        <v>74</v>
      </c>
      <c r="Z485" s="1" t="s">
        <v>74</v>
      </c>
      <c r="AA485" s="1" t="s">
        <v>5030</v>
      </c>
      <c r="AB485" s="1" t="s">
        <v>5031</v>
      </c>
      <c r="AC485" s="1" t="s">
        <v>74</v>
      </c>
      <c r="AD485" s="1" t="s">
        <v>74</v>
      </c>
      <c r="AE485" s="1" t="s">
        <v>74</v>
      </c>
      <c r="AF485" s="1" t="s">
        <v>74</v>
      </c>
      <c r="AG485" s="1" t="s">
        <v>74</v>
      </c>
      <c r="AH485" s="1" t="s">
        <v>74</v>
      </c>
      <c r="AI485" s="1" t="s">
        <v>74</v>
      </c>
      <c r="AJ485" s="1" t="s">
        <v>74</v>
      </c>
      <c r="AK485" s="1" t="s">
        <v>74</v>
      </c>
      <c r="AL485" s="1" t="s">
        <v>74</v>
      </c>
      <c r="AM485" s="1" t="s">
        <v>74</v>
      </c>
      <c r="AN485" s="1" t="s">
        <v>74</v>
      </c>
      <c r="AO485" s="1" t="s">
        <v>5032</v>
      </c>
      <c r="AP485" s="1" t="s">
        <v>5033</v>
      </c>
      <c r="AQ485" s="1" t="s">
        <v>74</v>
      </c>
      <c r="AR485" s="1" t="s">
        <v>74</v>
      </c>
      <c r="AS485" s="1" t="s">
        <v>74</v>
      </c>
      <c r="AT485" s="1" t="s">
        <v>5034</v>
      </c>
      <c r="AU485" s="1">
        <v>2024.0</v>
      </c>
      <c r="AV485" s="1">
        <v>40.0</v>
      </c>
      <c r="AW485" s="1">
        <v>11.0</v>
      </c>
      <c r="AX485" s="1" t="s">
        <v>74</v>
      </c>
      <c r="AY485" s="1" t="s">
        <v>74</v>
      </c>
      <c r="AZ485" s="1" t="s">
        <v>74</v>
      </c>
      <c r="BA485" s="1" t="s">
        <v>74</v>
      </c>
      <c r="BB485" s="1">
        <v>2954.0</v>
      </c>
      <c r="BC485" s="1">
        <v>2967.0</v>
      </c>
      <c r="BD485" s="1" t="s">
        <v>74</v>
      </c>
      <c r="BE485" s="1" t="s">
        <v>5035</v>
      </c>
      <c r="BF485" s="2" t="str">
        <f>HYPERLINK("http://dx.doi.org/10.1080/10447318.2023.2176988","http://dx.doi.org/10.1080/10447318.2023.2176988")</f>
        <v>http://dx.doi.org/10.1080/10447318.2023.2176988</v>
      </c>
      <c r="BG485" s="1" t="s">
        <v>74</v>
      </c>
      <c r="BH485" s="1" t="s">
        <v>5023</v>
      </c>
      <c r="BI485" s="1" t="s">
        <v>74</v>
      </c>
      <c r="BJ485" s="1" t="s">
        <v>74</v>
      </c>
      <c r="BK485" s="1" t="s">
        <v>74</v>
      </c>
      <c r="BL485" s="1" t="s">
        <v>74</v>
      </c>
      <c r="BM485" s="1" t="s">
        <v>74</v>
      </c>
      <c r="BN485" s="1" t="s">
        <v>74</v>
      </c>
      <c r="BO485" s="1" t="s">
        <v>74</v>
      </c>
      <c r="BP485" s="1" t="s">
        <v>74</v>
      </c>
      <c r="BQ485" s="1" t="s">
        <v>74</v>
      </c>
      <c r="BR485" s="1" t="s">
        <v>74</v>
      </c>
      <c r="BS485" s="1" t="s">
        <v>5036</v>
      </c>
      <c r="BT485" s="1" t="str">
        <f>HYPERLINK("https%3A%2F%2Fwww.webofscience.com%2Fwos%2Fwoscc%2Ffull-record%2FWOS:000935525900001","View Full Record in Web of Science")</f>
        <v>View Full Record in Web of Science</v>
      </c>
    </row>
    <row r="486" ht="12.75" customHeight="1">
      <c r="A486" s="1" t="s">
        <v>72</v>
      </c>
      <c r="B486" s="1" t="s">
        <v>5037</v>
      </c>
      <c r="C486" s="1" t="s">
        <v>74</v>
      </c>
      <c r="D486" s="1" t="s">
        <v>74</v>
      </c>
      <c r="E486" s="1" t="s">
        <v>74</v>
      </c>
      <c r="F486" s="1" t="s">
        <v>5038</v>
      </c>
      <c r="G486" s="1" t="s">
        <v>74</v>
      </c>
      <c r="H486" s="1" t="s">
        <v>74</v>
      </c>
      <c r="I486" s="1" t="s">
        <v>5039</v>
      </c>
      <c r="J486" s="1" t="s">
        <v>2061</v>
      </c>
      <c r="K486" s="1" t="s">
        <v>74</v>
      </c>
      <c r="L486" s="1" t="s">
        <v>74</v>
      </c>
      <c r="M486" s="1" t="s">
        <v>74</v>
      </c>
      <c r="N486" s="1" t="s">
        <v>74</v>
      </c>
      <c r="O486" s="1" t="s">
        <v>74</v>
      </c>
      <c r="P486" s="1" t="s">
        <v>74</v>
      </c>
      <c r="Q486" s="1" t="s">
        <v>74</v>
      </c>
      <c r="R486" s="1" t="s">
        <v>74</v>
      </c>
      <c r="S486" s="1" t="s">
        <v>74</v>
      </c>
      <c r="T486" s="1" t="s">
        <v>74</v>
      </c>
      <c r="U486" s="1" t="s">
        <v>74</v>
      </c>
      <c r="V486" s="1" t="s">
        <v>5040</v>
      </c>
      <c r="W486" s="1" t="s">
        <v>74</v>
      </c>
      <c r="X486" s="1" t="s">
        <v>74</v>
      </c>
      <c r="Y486" s="1" t="s">
        <v>74</v>
      </c>
      <c r="Z486" s="1" t="s">
        <v>74</v>
      </c>
      <c r="AA486" s="1" t="s">
        <v>5041</v>
      </c>
      <c r="AB486" s="1" t="s">
        <v>5042</v>
      </c>
      <c r="AC486" s="1" t="s">
        <v>74</v>
      </c>
      <c r="AD486" s="1" t="s">
        <v>74</v>
      </c>
      <c r="AE486" s="1" t="s">
        <v>74</v>
      </c>
      <c r="AF486" s="1" t="s">
        <v>74</v>
      </c>
      <c r="AG486" s="1" t="s">
        <v>74</v>
      </c>
      <c r="AH486" s="1" t="s">
        <v>74</v>
      </c>
      <c r="AI486" s="1" t="s">
        <v>74</v>
      </c>
      <c r="AJ486" s="1" t="s">
        <v>74</v>
      </c>
      <c r="AK486" s="1" t="s">
        <v>74</v>
      </c>
      <c r="AL486" s="1" t="s">
        <v>74</v>
      </c>
      <c r="AM486" s="1" t="s">
        <v>74</v>
      </c>
      <c r="AN486" s="1" t="s">
        <v>74</v>
      </c>
      <c r="AO486" s="1" t="s">
        <v>2065</v>
      </c>
      <c r="AP486" s="1" t="s">
        <v>2066</v>
      </c>
      <c r="AQ486" s="1" t="s">
        <v>74</v>
      </c>
      <c r="AR486" s="1" t="s">
        <v>74</v>
      </c>
      <c r="AS486" s="1" t="s">
        <v>74</v>
      </c>
      <c r="AT486" s="1" t="s">
        <v>422</v>
      </c>
      <c r="AU486" s="1">
        <v>2023.0</v>
      </c>
      <c r="AV486" s="1">
        <v>518.0</v>
      </c>
      <c r="AW486" s="1">
        <v>2.0</v>
      </c>
      <c r="AX486" s="1" t="s">
        <v>74</v>
      </c>
      <c r="AY486" s="1" t="s">
        <v>74</v>
      </c>
      <c r="AZ486" s="1" t="s">
        <v>74</v>
      </c>
      <c r="BA486" s="1" t="s">
        <v>74</v>
      </c>
      <c r="BB486" s="1">
        <v>1955.0</v>
      </c>
      <c r="BC486" s="1">
        <v>1974.0</v>
      </c>
      <c r="BD486" s="1" t="s">
        <v>74</v>
      </c>
      <c r="BE486" s="1" t="s">
        <v>5043</v>
      </c>
      <c r="BF486" s="2" t="str">
        <f>HYPERLINK("http://dx.doi.org/10.1093/mnras/stac3031","http://dx.doi.org/10.1093/mnras/stac3031")</f>
        <v>http://dx.doi.org/10.1093/mnras/stac3031</v>
      </c>
      <c r="BG486" s="1" t="s">
        <v>74</v>
      </c>
      <c r="BH486" s="1" t="s">
        <v>579</v>
      </c>
      <c r="BI486" s="1" t="s">
        <v>74</v>
      </c>
      <c r="BJ486" s="1" t="s">
        <v>74</v>
      </c>
      <c r="BK486" s="1" t="s">
        <v>74</v>
      </c>
      <c r="BL486" s="1" t="s">
        <v>74</v>
      </c>
      <c r="BM486" s="1" t="s">
        <v>74</v>
      </c>
      <c r="BN486" s="1" t="s">
        <v>74</v>
      </c>
      <c r="BO486" s="1" t="s">
        <v>74</v>
      </c>
      <c r="BP486" s="1" t="s">
        <v>74</v>
      </c>
      <c r="BQ486" s="1" t="s">
        <v>74</v>
      </c>
      <c r="BR486" s="1" t="s">
        <v>74</v>
      </c>
      <c r="BS486" s="1" t="s">
        <v>5044</v>
      </c>
      <c r="BT486" s="1" t="str">
        <f>HYPERLINK("https%3A%2F%2Fwww.webofscience.com%2Fwos%2Fwoscc%2Ffull-record%2FWOS:000898989000005","View Full Record in Web of Science")</f>
        <v>View Full Record in Web of Science</v>
      </c>
    </row>
    <row r="487" ht="12.75" customHeight="1">
      <c r="A487" s="1" t="s">
        <v>72</v>
      </c>
      <c r="B487" s="1" t="s">
        <v>5045</v>
      </c>
      <c r="C487" s="1" t="s">
        <v>74</v>
      </c>
      <c r="D487" s="1" t="s">
        <v>74</v>
      </c>
      <c r="E487" s="1" t="s">
        <v>74</v>
      </c>
      <c r="F487" s="1" t="s">
        <v>5046</v>
      </c>
      <c r="G487" s="1" t="s">
        <v>74</v>
      </c>
      <c r="H487" s="1" t="s">
        <v>74</v>
      </c>
      <c r="I487" s="1" t="s">
        <v>5047</v>
      </c>
      <c r="J487" s="1" t="s">
        <v>5048</v>
      </c>
      <c r="K487" s="1" t="s">
        <v>74</v>
      </c>
      <c r="L487" s="1" t="s">
        <v>74</v>
      </c>
      <c r="M487" s="1" t="s">
        <v>74</v>
      </c>
      <c r="N487" s="1" t="s">
        <v>74</v>
      </c>
      <c r="O487" s="1" t="s">
        <v>74</v>
      </c>
      <c r="P487" s="1" t="s">
        <v>74</v>
      </c>
      <c r="Q487" s="1" t="s">
        <v>74</v>
      </c>
      <c r="R487" s="1" t="s">
        <v>74</v>
      </c>
      <c r="S487" s="1" t="s">
        <v>74</v>
      </c>
      <c r="T487" s="1" t="s">
        <v>74</v>
      </c>
      <c r="U487" s="1" t="s">
        <v>74</v>
      </c>
      <c r="V487" s="1" t="s">
        <v>5049</v>
      </c>
      <c r="W487" s="1" t="s">
        <v>74</v>
      </c>
      <c r="X487" s="1" t="s">
        <v>74</v>
      </c>
      <c r="Y487" s="1" t="s">
        <v>74</v>
      </c>
      <c r="Z487" s="1" t="s">
        <v>74</v>
      </c>
      <c r="AA487" s="1" t="s">
        <v>5050</v>
      </c>
      <c r="AB487" s="1" t="s">
        <v>5051</v>
      </c>
      <c r="AC487" s="1" t="s">
        <v>74</v>
      </c>
      <c r="AD487" s="1" t="s">
        <v>74</v>
      </c>
      <c r="AE487" s="1" t="s">
        <v>74</v>
      </c>
      <c r="AF487" s="1" t="s">
        <v>74</v>
      </c>
      <c r="AG487" s="1" t="s">
        <v>74</v>
      </c>
      <c r="AH487" s="1" t="s">
        <v>74</v>
      </c>
      <c r="AI487" s="1" t="s">
        <v>74</v>
      </c>
      <c r="AJ487" s="1" t="s">
        <v>74</v>
      </c>
      <c r="AK487" s="1" t="s">
        <v>74</v>
      </c>
      <c r="AL487" s="1" t="s">
        <v>74</v>
      </c>
      <c r="AM487" s="1" t="s">
        <v>74</v>
      </c>
      <c r="AN487" s="1" t="s">
        <v>74</v>
      </c>
      <c r="AO487" s="1" t="s">
        <v>5052</v>
      </c>
      <c r="AP487" s="1" t="s">
        <v>5053</v>
      </c>
      <c r="AQ487" s="1" t="s">
        <v>74</v>
      </c>
      <c r="AR487" s="1" t="s">
        <v>74</v>
      </c>
      <c r="AS487" s="1" t="s">
        <v>74</v>
      </c>
      <c r="AT487" s="1" t="s">
        <v>4727</v>
      </c>
      <c r="AU487" s="1">
        <v>2022.0</v>
      </c>
      <c r="AV487" s="1">
        <v>55.0</v>
      </c>
      <c r="AW487" s="1">
        <v>1.0</v>
      </c>
      <c r="AX487" s="1" t="s">
        <v>74</v>
      </c>
      <c r="AY487" s="1" t="s">
        <v>74</v>
      </c>
      <c r="AZ487" s="1" t="s">
        <v>74</v>
      </c>
      <c r="BA487" s="1" t="s">
        <v>74</v>
      </c>
      <c r="BB487" s="1" t="s">
        <v>74</v>
      </c>
      <c r="BC487" s="1" t="s">
        <v>74</v>
      </c>
      <c r="BD487" s="1">
        <v>31.0</v>
      </c>
      <c r="BE487" s="1" t="s">
        <v>5054</v>
      </c>
      <c r="BF487" s="2" t="str">
        <f>HYPERLINK("http://dx.doi.org/10.1186/s40659-022-00399-x","http://dx.doi.org/10.1186/s40659-022-00399-x")</f>
        <v>http://dx.doi.org/10.1186/s40659-022-00399-x</v>
      </c>
      <c r="BG487" s="1" t="s">
        <v>74</v>
      </c>
      <c r="BH487" s="1" t="s">
        <v>74</v>
      </c>
      <c r="BI487" s="1" t="s">
        <v>74</v>
      </c>
      <c r="BJ487" s="1" t="s">
        <v>74</v>
      </c>
      <c r="BK487" s="1" t="s">
        <v>74</v>
      </c>
      <c r="BL487" s="1" t="s">
        <v>74</v>
      </c>
      <c r="BM487" s="1" t="s">
        <v>74</v>
      </c>
      <c r="BN487" s="1">
        <v>3.6266673E7</v>
      </c>
      <c r="BO487" s="1" t="s">
        <v>74</v>
      </c>
      <c r="BP487" s="1" t="s">
        <v>74</v>
      </c>
      <c r="BQ487" s="1" t="s">
        <v>74</v>
      </c>
      <c r="BR487" s="1" t="s">
        <v>74</v>
      </c>
      <c r="BS487" s="1" t="s">
        <v>5055</v>
      </c>
      <c r="BT487" s="1" t="str">
        <f>HYPERLINK("https%3A%2F%2Fwww.webofscience.com%2Fwos%2Fwoscc%2Ffull-record%2FWOS:000870728000001","View Full Record in Web of Science")</f>
        <v>View Full Record in Web of Science</v>
      </c>
    </row>
    <row r="488" ht="12.75" customHeight="1">
      <c r="A488" s="1" t="s">
        <v>72</v>
      </c>
      <c r="B488" s="1" t="s">
        <v>5056</v>
      </c>
      <c r="C488" s="1" t="s">
        <v>74</v>
      </c>
      <c r="D488" s="1" t="s">
        <v>74</v>
      </c>
      <c r="E488" s="1" t="s">
        <v>74</v>
      </c>
      <c r="F488" s="1" t="s">
        <v>5057</v>
      </c>
      <c r="G488" s="1" t="s">
        <v>74</v>
      </c>
      <c r="H488" s="1" t="s">
        <v>74</v>
      </c>
      <c r="I488" s="1" t="s">
        <v>5058</v>
      </c>
      <c r="J488" s="1" t="s">
        <v>289</v>
      </c>
      <c r="K488" s="1" t="s">
        <v>74</v>
      </c>
      <c r="L488" s="1" t="s">
        <v>74</v>
      </c>
      <c r="M488" s="1" t="s">
        <v>74</v>
      </c>
      <c r="N488" s="1" t="s">
        <v>74</v>
      </c>
      <c r="O488" s="1" t="s">
        <v>74</v>
      </c>
      <c r="P488" s="1" t="s">
        <v>74</v>
      </c>
      <c r="Q488" s="1" t="s">
        <v>74</v>
      </c>
      <c r="R488" s="1" t="s">
        <v>74</v>
      </c>
      <c r="S488" s="1" t="s">
        <v>74</v>
      </c>
      <c r="T488" s="1" t="s">
        <v>74</v>
      </c>
      <c r="U488" s="1" t="s">
        <v>74</v>
      </c>
      <c r="V488" s="1" t="s">
        <v>5059</v>
      </c>
      <c r="W488" s="1" t="s">
        <v>74</v>
      </c>
      <c r="X488" s="1" t="s">
        <v>74</v>
      </c>
      <c r="Y488" s="1" t="s">
        <v>74</v>
      </c>
      <c r="Z488" s="1" t="s">
        <v>74</v>
      </c>
      <c r="AA488" s="1" t="s">
        <v>5060</v>
      </c>
      <c r="AB488" s="1" t="s">
        <v>5061</v>
      </c>
      <c r="AC488" s="1" t="s">
        <v>74</v>
      </c>
      <c r="AD488" s="1" t="s">
        <v>74</v>
      </c>
      <c r="AE488" s="1" t="s">
        <v>74</v>
      </c>
      <c r="AF488" s="1" t="s">
        <v>74</v>
      </c>
      <c r="AG488" s="1" t="s">
        <v>74</v>
      </c>
      <c r="AH488" s="1" t="s">
        <v>74</v>
      </c>
      <c r="AI488" s="1" t="s">
        <v>74</v>
      </c>
      <c r="AJ488" s="1" t="s">
        <v>74</v>
      </c>
      <c r="AK488" s="1" t="s">
        <v>74</v>
      </c>
      <c r="AL488" s="1" t="s">
        <v>74</v>
      </c>
      <c r="AM488" s="1" t="s">
        <v>74</v>
      </c>
      <c r="AN488" s="1" t="s">
        <v>74</v>
      </c>
      <c r="AO488" s="1" t="s">
        <v>293</v>
      </c>
      <c r="AP488" s="1" t="s">
        <v>294</v>
      </c>
      <c r="AQ488" s="1" t="s">
        <v>74</v>
      </c>
      <c r="AR488" s="1" t="s">
        <v>74</v>
      </c>
      <c r="AS488" s="1" t="s">
        <v>74</v>
      </c>
      <c r="AT488" s="1" t="s">
        <v>5062</v>
      </c>
      <c r="AU488" s="1">
        <v>2022.0</v>
      </c>
      <c r="AV488" s="1">
        <v>211.0</v>
      </c>
      <c r="AW488" s="1" t="s">
        <v>74</v>
      </c>
      <c r="AX488" s="1" t="s">
        <v>74</v>
      </c>
      <c r="AY488" s="1" t="s">
        <v>74</v>
      </c>
      <c r="AZ488" s="1" t="s">
        <v>74</v>
      </c>
      <c r="BA488" s="1" t="s">
        <v>74</v>
      </c>
      <c r="BB488" s="1">
        <v>490.0</v>
      </c>
      <c r="BC488" s="1">
        <v>498.0</v>
      </c>
      <c r="BD488" s="1" t="s">
        <v>74</v>
      </c>
      <c r="BE488" s="1" t="s">
        <v>5063</v>
      </c>
      <c r="BF488" s="2" t="str">
        <f>HYPERLINK("http://dx.doi.org/10.1016/j.ijbiomac.2022.05.030","http://dx.doi.org/10.1016/j.ijbiomac.2022.05.030")</f>
        <v>http://dx.doi.org/10.1016/j.ijbiomac.2022.05.030</v>
      </c>
      <c r="BG488" s="1" t="s">
        <v>74</v>
      </c>
      <c r="BH488" s="1" t="s">
        <v>1729</v>
      </c>
      <c r="BI488" s="1" t="s">
        <v>74</v>
      </c>
      <c r="BJ488" s="1" t="s">
        <v>74</v>
      </c>
      <c r="BK488" s="1" t="s">
        <v>74</v>
      </c>
      <c r="BL488" s="1" t="s">
        <v>74</v>
      </c>
      <c r="BM488" s="1" t="s">
        <v>74</v>
      </c>
      <c r="BN488" s="1">
        <v>3.5569683E7</v>
      </c>
      <c r="BO488" s="1" t="s">
        <v>74</v>
      </c>
      <c r="BP488" s="1" t="s">
        <v>74</v>
      </c>
      <c r="BQ488" s="1" t="s">
        <v>74</v>
      </c>
      <c r="BR488" s="1" t="s">
        <v>74</v>
      </c>
      <c r="BS488" s="1" t="s">
        <v>5064</v>
      </c>
      <c r="BT488" s="1" t="str">
        <f>HYPERLINK("https%3A%2F%2Fwww.webofscience.com%2Fwos%2Fwoscc%2Ffull-record%2FWOS:000806367100008","View Full Record in Web of Science")</f>
        <v>View Full Record in Web of Science</v>
      </c>
    </row>
    <row r="489" ht="12.75" customHeight="1">
      <c r="A489" s="1" t="s">
        <v>72</v>
      </c>
      <c r="B489" s="1" t="s">
        <v>5065</v>
      </c>
      <c r="C489" s="1" t="s">
        <v>74</v>
      </c>
      <c r="D489" s="1" t="s">
        <v>74</v>
      </c>
      <c r="E489" s="1" t="s">
        <v>74</v>
      </c>
      <c r="F489" s="1" t="s">
        <v>5066</v>
      </c>
      <c r="G489" s="1" t="s">
        <v>74</v>
      </c>
      <c r="H489" s="1" t="s">
        <v>74</v>
      </c>
      <c r="I489" s="1" t="s">
        <v>5067</v>
      </c>
      <c r="J489" s="1" t="s">
        <v>658</v>
      </c>
      <c r="K489" s="1" t="s">
        <v>74</v>
      </c>
      <c r="L489" s="1" t="s">
        <v>74</v>
      </c>
      <c r="M489" s="1" t="s">
        <v>74</v>
      </c>
      <c r="N489" s="1" t="s">
        <v>74</v>
      </c>
      <c r="O489" s="1" t="s">
        <v>74</v>
      </c>
      <c r="P489" s="1" t="s">
        <v>74</v>
      </c>
      <c r="Q489" s="1" t="s">
        <v>74</v>
      </c>
      <c r="R489" s="1" t="s">
        <v>74</v>
      </c>
      <c r="S489" s="1" t="s">
        <v>74</v>
      </c>
      <c r="T489" s="1" t="s">
        <v>74</v>
      </c>
      <c r="U489" s="1" t="s">
        <v>74</v>
      </c>
      <c r="V489" s="1" t="s">
        <v>5068</v>
      </c>
      <c r="W489" s="1" t="s">
        <v>74</v>
      </c>
      <c r="X489" s="1" t="s">
        <v>74</v>
      </c>
      <c r="Y489" s="1" t="s">
        <v>74</v>
      </c>
      <c r="Z489" s="1" t="s">
        <v>74</v>
      </c>
      <c r="AA489" s="1" t="s">
        <v>74</v>
      </c>
      <c r="AB489" s="1" t="s">
        <v>2444</v>
      </c>
      <c r="AC489" s="1" t="s">
        <v>74</v>
      </c>
      <c r="AD489" s="1" t="s">
        <v>74</v>
      </c>
      <c r="AE489" s="1" t="s">
        <v>74</v>
      </c>
      <c r="AF489" s="1" t="s">
        <v>74</v>
      </c>
      <c r="AG489" s="1" t="s">
        <v>74</v>
      </c>
      <c r="AH489" s="1" t="s">
        <v>74</v>
      </c>
      <c r="AI489" s="1" t="s">
        <v>74</v>
      </c>
      <c r="AJ489" s="1" t="s">
        <v>74</v>
      </c>
      <c r="AK489" s="1" t="s">
        <v>74</v>
      </c>
      <c r="AL489" s="1" t="s">
        <v>74</v>
      </c>
      <c r="AM489" s="1" t="s">
        <v>74</v>
      </c>
      <c r="AN489" s="1" t="s">
        <v>74</v>
      </c>
      <c r="AO489" s="1" t="s">
        <v>660</v>
      </c>
      <c r="AP489" s="1" t="s">
        <v>661</v>
      </c>
      <c r="AQ489" s="1" t="s">
        <v>74</v>
      </c>
      <c r="AR489" s="1" t="s">
        <v>74</v>
      </c>
      <c r="AS489" s="1" t="s">
        <v>74</v>
      </c>
      <c r="AT489" s="1" t="s">
        <v>74</v>
      </c>
      <c r="AU489" s="1">
        <v>2022.0</v>
      </c>
      <c r="AV489" s="1">
        <v>29.0</v>
      </c>
      <c r="AW489" s="1">
        <v>6.0</v>
      </c>
      <c r="AX489" s="1" t="s">
        <v>74</v>
      </c>
      <c r="AY489" s="1" t="s">
        <v>74</v>
      </c>
      <c r="AZ489" s="1" t="s">
        <v>74</v>
      </c>
      <c r="BA489" s="1" t="s">
        <v>74</v>
      </c>
      <c r="BB489" s="1">
        <v>1859.0</v>
      </c>
      <c r="BC489" s="1">
        <v>1879.0</v>
      </c>
      <c r="BD489" s="1" t="s">
        <v>74</v>
      </c>
      <c r="BE489" s="1" t="s">
        <v>74</v>
      </c>
      <c r="BF489" s="1" t="s">
        <v>74</v>
      </c>
      <c r="BG489" s="1" t="s">
        <v>74</v>
      </c>
      <c r="BH489" s="1" t="s">
        <v>74</v>
      </c>
      <c r="BI489" s="1" t="s">
        <v>74</v>
      </c>
      <c r="BJ489" s="1" t="s">
        <v>74</v>
      </c>
      <c r="BK489" s="1" t="s">
        <v>74</v>
      </c>
      <c r="BL489" s="1" t="s">
        <v>74</v>
      </c>
      <c r="BM489" s="1" t="s">
        <v>74</v>
      </c>
      <c r="BN489" s="1" t="s">
        <v>74</v>
      </c>
      <c r="BO489" s="1" t="s">
        <v>74</v>
      </c>
      <c r="BP489" s="1" t="s">
        <v>74</v>
      </c>
      <c r="BQ489" s="1" t="s">
        <v>74</v>
      </c>
      <c r="BR489" s="1" t="s">
        <v>74</v>
      </c>
      <c r="BS489" s="1" t="s">
        <v>5069</v>
      </c>
      <c r="BT489" s="1" t="str">
        <f>HYPERLINK("https%3A%2F%2Fwww.webofscience.com%2Fwos%2Fwoscc%2Ffull-record%2FWOS:000994020200010","View Full Record in Web of Science")</f>
        <v>View Full Record in Web of Science</v>
      </c>
    </row>
    <row r="490" ht="12.75" customHeight="1">
      <c r="A490" s="1" t="s">
        <v>72</v>
      </c>
      <c r="B490" s="1" t="s">
        <v>5070</v>
      </c>
      <c r="C490" s="1" t="s">
        <v>74</v>
      </c>
      <c r="D490" s="1" t="s">
        <v>74</v>
      </c>
      <c r="E490" s="1" t="s">
        <v>74</v>
      </c>
      <c r="F490" s="1" t="s">
        <v>5071</v>
      </c>
      <c r="G490" s="1" t="s">
        <v>74</v>
      </c>
      <c r="H490" s="1" t="s">
        <v>74</v>
      </c>
      <c r="I490" s="1" t="s">
        <v>5072</v>
      </c>
      <c r="J490" s="1" t="s">
        <v>2691</v>
      </c>
      <c r="K490" s="1" t="s">
        <v>74</v>
      </c>
      <c r="L490" s="1" t="s">
        <v>74</v>
      </c>
      <c r="M490" s="1" t="s">
        <v>74</v>
      </c>
      <c r="N490" s="1" t="s">
        <v>74</v>
      </c>
      <c r="O490" s="1" t="s">
        <v>74</v>
      </c>
      <c r="P490" s="1" t="s">
        <v>74</v>
      </c>
      <c r="Q490" s="1" t="s">
        <v>74</v>
      </c>
      <c r="R490" s="1" t="s">
        <v>74</v>
      </c>
      <c r="S490" s="1" t="s">
        <v>74</v>
      </c>
      <c r="T490" s="1" t="s">
        <v>74</v>
      </c>
      <c r="U490" s="1" t="s">
        <v>74</v>
      </c>
      <c r="V490" s="1" t="s">
        <v>5073</v>
      </c>
      <c r="W490" s="1" t="s">
        <v>74</v>
      </c>
      <c r="X490" s="1" t="s">
        <v>74</v>
      </c>
      <c r="Y490" s="1" t="s">
        <v>74</v>
      </c>
      <c r="Z490" s="1" t="s">
        <v>74</v>
      </c>
      <c r="AA490" s="1" t="s">
        <v>5074</v>
      </c>
      <c r="AB490" s="1" t="s">
        <v>5075</v>
      </c>
      <c r="AC490" s="1" t="s">
        <v>74</v>
      </c>
      <c r="AD490" s="1" t="s">
        <v>74</v>
      </c>
      <c r="AE490" s="1" t="s">
        <v>74</v>
      </c>
      <c r="AF490" s="1" t="s">
        <v>74</v>
      </c>
      <c r="AG490" s="1" t="s">
        <v>74</v>
      </c>
      <c r="AH490" s="1" t="s">
        <v>74</v>
      </c>
      <c r="AI490" s="1" t="s">
        <v>74</v>
      </c>
      <c r="AJ490" s="1" t="s">
        <v>74</v>
      </c>
      <c r="AK490" s="1" t="s">
        <v>74</v>
      </c>
      <c r="AL490" s="1" t="s">
        <v>74</v>
      </c>
      <c r="AM490" s="1" t="s">
        <v>74</v>
      </c>
      <c r="AN490" s="1" t="s">
        <v>74</v>
      </c>
      <c r="AO490" s="1" t="s">
        <v>74</v>
      </c>
      <c r="AP490" s="1" t="s">
        <v>2695</v>
      </c>
      <c r="AQ490" s="1" t="s">
        <v>74</v>
      </c>
      <c r="AR490" s="1" t="s">
        <v>74</v>
      </c>
      <c r="AS490" s="1" t="s">
        <v>74</v>
      </c>
      <c r="AT490" s="1" t="s">
        <v>235</v>
      </c>
      <c r="AU490" s="1">
        <v>2020.0</v>
      </c>
      <c r="AV490" s="1">
        <v>12.0</v>
      </c>
      <c r="AW490" s="1">
        <v>4.0</v>
      </c>
      <c r="AX490" s="1" t="s">
        <v>74</v>
      </c>
      <c r="AY490" s="1" t="s">
        <v>74</v>
      </c>
      <c r="AZ490" s="1" t="s">
        <v>74</v>
      </c>
      <c r="BA490" s="1" t="s">
        <v>74</v>
      </c>
      <c r="BB490" s="1" t="s">
        <v>74</v>
      </c>
      <c r="BC490" s="1" t="s">
        <v>74</v>
      </c>
      <c r="BD490" s="1">
        <v>632.0</v>
      </c>
      <c r="BE490" s="1" t="s">
        <v>5076</v>
      </c>
      <c r="BF490" s="2" t="str">
        <f>HYPERLINK("http://dx.doi.org/10.3390/sym12040632","http://dx.doi.org/10.3390/sym12040632")</f>
        <v>http://dx.doi.org/10.3390/sym12040632</v>
      </c>
      <c r="BG490" s="1" t="s">
        <v>74</v>
      </c>
      <c r="BH490" s="1" t="s">
        <v>74</v>
      </c>
      <c r="BI490" s="1" t="s">
        <v>74</v>
      </c>
      <c r="BJ490" s="1" t="s">
        <v>74</v>
      </c>
      <c r="BK490" s="1" t="s">
        <v>74</v>
      </c>
      <c r="BL490" s="1" t="s">
        <v>74</v>
      </c>
      <c r="BM490" s="1" t="s">
        <v>74</v>
      </c>
      <c r="BN490" s="1" t="s">
        <v>74</v>
      </c>
      <c r="BO490" s="1" t="s">
        <v>74</v>
      </c>
      <c r="BP490" s="1" t="s">
        <v>74</v>
      </c>
      <c r="BQ490" s="1" t="s">
        <v>74</v>
      </c>
      <c r="BR490" s="1" t="s">
        <v>74</v>
      </c>
      <c r="BS490" s="1" t="s">
        <v>5077</v>
      </c>
      <c r="BT490" s="1" t="str">
        <f>HYPERLINK("https%3A%2F%2Fwww.webofscience.com%2Fwos%2Fwoscc%2Ffull-record%2FWOS:000540222200143","View Full Record in Web of Science")</f>
        <v>View Full Record in Web of Science</v>
      </c>
    </row>
    <row r="491" ht="12.75" customHeight="1">
      <c r="A491" s="1" t="s">
        <v>72</v>
      </c>
      <c r="B491" s="1" t="s">
        <v>5078</v>
      </c>
      <c r="C491" s="1" t="s">
        <v>74</v>
      </c>
      <c r="D491" s="1" t="s">
        <v>74</v>
      </c>
      <c r="E491" s="1" t="s">
        <v>74</v>
      </c>
      <c r="F491" s="1" t="s">
        <v>5079</v>
      </c>
      <c r="G491" s="1" t="s">
        <v>74</v>
      </c>
      <c r="H491" s="1" t="s">
        <v>74</v>
      </c>
      <c r="I491" s="1" t="s">
        <v>5080</v>
      </c>
      <c r="J491" s="1" t="s">
        <v>5081</v>
      </c>
      <c r="K491" s="1" t="s">
        <v>74</v>
      </c>
      <c r="L491" s="1" t="s">
        <v>74</v>
      </c>
      <c r="M491" s="1" t="s">
        <v>74</v>
      </c>
      <c r="N491" s="1" t="s">
        <v>74</v>
      </c>
      <c r="O491" s="1" t="s">
        <v>74</v>
      </c>
      <c r="P491" s="1" t="s">
        <v>74</v>
      </c>
      <c r="Q491" s="1" t="s">
        <v>74</v>
      </c>
      <c r="R491" s="1" t="s">
        <v>74</v>
      </c>
      <c r="S491" s="1" t="s">
        <v>74</v>
      </c>
      <c r="T491" s="1" t="s">
        <v>74</v>
      </c>
      <c r="U491" s="1" t="s">
        <v>74</v>
      </c>
      <c r="V491" s="1" t="s">
        <v>5082</v>
      </c>
      <c r="W491" s="1" t="s">
        <v>74</v>
      </c>
      <c r="X491" s="1" t="s">
        <v>74</v>
      </c>
      <c r="Y491" s="1" t="s">
        <v>74</v>
      </c>
      <c r="Z491" s="1" t="s">
        <v>74</v>
      </c>
      <c r="AA491" s="1" t="s">
        <v>5083</v>
      </c>
      <c r="AB491" s="1" t="s">
        <v>5084</v>
      </c>
      <c r="AC491" s="1" t="s">
        <v>74</v>
      </c>
      <c r="AD491" s="1" t="s">
        <v>74</v>
      </c>
      <c r="AE491" s="1" t="s">
        <v>74</v>
      </c>
      <c r="AF491" s="1" t="s">
        <v>74</v>
      </c>
      <c r="AG491" s="1" t="s">
        <v>74</v>
      </c>
      <c r="AH491" s="1" t="s">
        <v>74</v>
      </c>
      <c r="AI491" s="1" t="s">
        <v>74</v>
      </c>
      <c r="AJ491" s="1" t="s">
        <v>74</v>
      </c>
      <c r="AK491" s="1" t="s">
        <v>74</v>
      </c>
      <c r="AL491" s="1" t="s">
        <v>74</v>
      </c>
      <c r="AM491" s="1" t="s">
        <v>74</v>
      </c>
      <c r="AN491" s="1" t="s">
        <v>74</v>
      </c>
      <c r="AO491" s="1" t="s">
        <v>5085</v>
      </c>
      <c r="AP491" s="1" t="s">
        <v>5086</v>
      </c>
      <c r="AQ491" s="1" t="s">
        <v>74</v>
      </c>
      <c r="AR491" s="1" t="s">
        <v>74</v>
      </c>
      <c r="AS491" s="1" t="s">
        <v>74</v>
      </c>
      <c r="AT491" s="1" t="s">
        <v>485</v>
      </c>
      <c r="AU491" s="1">
        <v>2019.0</v>
      </c>
      <c r="AV491" s="1">
        <v>71.0</v>
      </c>
      <c r="AW491" s="1">
        <v>5.0</v>
      </c>
      <c r="AX491" s="1" t="s">
        <v>74</v>
      </c>
      <c r="AY491" s="1" t="s">
        <v>74</v>
      </c>
      <c r="AZ491" s="1" t="s">
        <v>74</v>
      </c>
      <c r="BA491" s="1" t="s">
        <v>74</v>
      </c>
      <c r="BB491" s="1">
        <v>816.0</v>
      </c>
      <c r="BC491" s="1">
        <v>825.0</v>
      </c>
      <c r="BD491" s="1" t="s">
        <v>74</v>
      </c>
      <c r="BE491" s="1" t="s">
        <v>5087</v>
      </c>
      <c r="BF491" s="2" t="str">
        <f>HYPERLINK("http://dx.doi.org/10.1111/jphp.13064","http://dx.doi.org/10.1111/jphp.13064")</f>
        <v>http://dx.doi.org/10.1111/jphp.13064</v>
      </c>
      <c r="BG491" s="1" t="s">
        <v>74</v>
      </c>
      <c r="BH491" s="1" t="s">
        <v>74</v>
      </c>
      <c r="BI491" s="1" t="s">
        <v>74</v>
      </c>
      <c r="BJ491" s="1" t="s">
        <v>74</v>
      </c>
      <c r="BK491" s="1" t="s">
        <v>74</v>
      </c>
      <c r="BL491" s="1" t="s">
        <v>74</v>
      </c>
      <c r="BM491" s="1" t="s">
        <v>74</v>
      </c>
      <c r="BN491" s="1">
        <v>3.0592048E7</v>
      </c>
      <c r="BO491" s="1" t="s">
        <v>74</v>
      </c>
      <c r="BP491" s="1" t="s">
        <v>74</v>
      </c>
      <c r="BQ491" s="1" t="s">
        <v>74</v>
      </c>
      <c r="BR491" s="1" t="s">
        <v>74</v>
      </c>
      <c r="BS491" s="1" t="s">
        <v>5088</v>
      </c>
      <c r="BT491" s="1" t="str">
        <f>HYPERLINK("https%3A%2F%2Fwww.webofscience.com%2Fwos%2Fwoscc%2Ffull-record%2FWOS:000465015000010","View Full Record in Web of Science")</f>
        <v>View Full Record in Web of Science</v>
      </c>
    </row>
    <row r="492" ht="12.75" customHeight="1">
      <c r="A492" s="1" t="s">
        <v>72</v>
      </c>
      <c r="B492" s="1" t="s">
        <v>5089</v>
      </c>
      <c r="C492" s="1" t="s">
        <v>74</v>
      </c>
      <c r="D492" s="1" t="s">
        <v>74</v>
      </c>
      <c r="E492" s="1" t="s">
        <v>74</v>
      </c>
      <c r="F492" s="1" t="s">
        <v>5090</v>
      </c>
      <c r="G492" s="1" t="s">
        <v>74</v>
      </c>
      <c r="H492" s="1" t="s">
        <v>74</v>
      </c>
      <c r="I492" s="1" t="s">
        <v>5091</v>
      </c>
      <c r="J492" s="1" t="s">
        <v>3249</v>
      </c>
      <c r="K492" s="1" t="s">
        <v>74</v>
      </c>
      <c r="L492" s="1" t="s">
        <v>74</v>
      </c>
      <c r="M492" s="1" t="s">
        <v>74</v>
      </c>
      <c r="N492" s="1" t="s">
        <v>74</v>
      </c>
      <c r="O492" s="1" t="s">
        <v>74</v>
      </c>
      <c r="P492" s="1" t="s">
        <v>74</v>
      </c>
      <c r="Q492" s="1" t="s">
        <v>74</v>
      </c>
      <c r="R492" s="1" t="s">
        <v>74</v>
      </c>
      <c r="S492" s="1" t="s">
        <v>74</v>
      </c>
      <c r="T492" s="1" t="s">
        <v>74</v>
      </c>
      <c r="U492" s="1" t="s">
        <v>74</v>
      </c>
      <c r="V492" s="1" t="s">
        <v>5092</v>
      </c>
      <c r="W492" s="1" t="s">
        <v>74</v>
      </c>
      <c r="X492" s="1" t="s">
        <v>74</v>
      </c>
      <c r="Y492" s="1" t="s">
        <v>74</v>
      </c>
      <c r="Z492" s="1" t="s">
        <v>74</v>
      </c>
      <c r="AA492" s="1" t="s">
        <v>5093</v>
      </c>
      <c r="AB492" s="1" t="s">
        <v>5094</v>
      </c>
      <c r="AC492" s="1" t="s">
        <v>74</v>
      </c>
      <c r="AD492" s="1" t="s">
        <v>74</v>
      </c>
      <c r="AE492" s="1" t="s">
        <v>74</v>
      </c>
      <c r="AF492" s="1" t="s">
        <v>74</v>
      </c>
      <c r="AG492" s="1" t="s">
        <v>74</v>
      </c>
      <c r="AH492" s="1" t="s">
        <v>74</v>
      </c>
      <c r="AI492" s="1" t="s">
        <v>74</v>
      </c>
      <c r="AJ492" s="1" t="s">
        <v>74</v>
      </c>
      <c r="AK492" s="1" t="s">
        <v>74</v>
      </c>
      <c r="AL492" s="1" t="s">
        <v>74</v>
      </c>
      <c r="AM492" s="1" t="s">
        <v>74</v>
      </c>
      <c r="AN492" s="1" t="s">
        <v>74</v>
      </c>
      <c r="AO492" s="1" t="s">
        <v>3253</v>
      </c>
      <c r="AP492" s="1" t="s">
        <v>3254</v>
      </c>
      <c r="AQ492" s="1" t="s">
        <v>74</v>
      </c>
      <c r="AR492" s="1" t="s">
        <v>74</v>
      </c>
      <c r="AS492" s="1" t="s">
        <v>74</v>
      </c>
      <c r="AT492" s="1" t="s">
        <v>235</v>
      </c>
      <c r="AU492" s="1">
        <v>2019.0</v>
      </c>
      <c r="AV492" s="1">
        <v>33.0</v>
      </c>
      <c r="AW492" s="1">
        <v>4.0</v>
      </c>
      <c r="AX492" s="1" t="s">
        <v>74</v>
      </c>
      <c r="AY492" s="1" t="s">
        <v>74</v>
      </c>
      <c r="AZ492" s="1" t="s">
        <v>74</v>
      </c>
      <c r="BA492" s="1" t="s">
        <v>74</v>
      </c>
      <c r="BB492" s="1" t="s">
        <v>74</v>
      </c>
      <c r="BC492" s="1" t="s">
        <v>74</v>
      </c>
      <c r="BD492" s="1" t="s">
        <v>5095</v>
      </c>
      <c r="BE492" s="1" t="s">
        <v>5096</v>
      </c>
      <c r="BF492" s="2" t="str">
        <f>HYPERLINK("http://dx.doi.org/10.1002/aoc.4709","http://dx.doi.org/10.1002/aoc.4709")</f>
        <v>http://dx.doi.org/10.1002/aoc.4709</v>
      </c>
      <c r="BG492" s="1" t="s">
        <v>74</v>
      </c>
      <c r="BH492" s="1" t="s">
        <v>74</v>
      </c>
      <c r="BI492" s="1" t="s">
        <v>74</v>
      </c>
      <c r="BJ492" s="1" t="s">
        <v>74</v>
      </c>
      <c r="BK492" s="1" t="s">
        <v>74</v>
      </c>
      <c r="BL492" s="1" t="s">
        <v>74</v>
      </c>
      <c r="BM492" s="1" t="s">
        <v>74</v>
      </c>
      <c r="BN492" s="1" t="s">
        <v>74</v>
      </c>
      <c r="BO492" s="1" t="s">
        <v>74</v>
      </c>
      <c r="BP492" s="1" t="s">
        <v>74</v>
      </c>
      <c r="BQ492" s="1" t="s">
        <v>74</v>
      </c>
      <c r="BR492" s="1" t="s">
        <v>74</v>
      </c>
      <c r="BS492" s="1" t="s">
        <v>5097</v>
      </c>
      <c r="BT492" s="1" t="str">
        <f>HYPERLINK("https%3A%2F%2Fwww.webofscience.com%2Fwos%2Fwoscc%2Ffull-record%2FWOS:000464452800011","View Full Record in Web of Science")</f>
        <v>View Full Record in Web of Science</v>
      </c>
    </row>
    <row r="493" ht="12.75" customHeight="1">
      <c r="A493" s="1" t="s">
        <v>72</v>
      </c>
      <c r="B493" s="1" t="s">
        <v>5098</v>
      </c>
      <c r="C493" s="1" t="s">
        <v>74</v>
      </c>
      <c r="D493" s="1" t="s">
        <v>74</v>
      </c>
      <c r="E493" s="1" t="s">
        <v>74</v>
      </c>
      <c r="F493" s="1" t="s">
        <v>5099</v>
      </c>
      <c r="G493" s="1" t="s">
        <v>74</v>
      </c>
      <c r="H493" s="1" t="s">
        <v>74</v>
      </c>
      <c r="I493" s="1" t="s">
        <v>5100</v>
      </c>
      <c r="J493" s="1" t="s">
        <v>890</v>
      </c>
      <c r="K493" s="1" t="s">
        <v>74</v>
      </c>
      <c r="L493" s="1" t="s">
        <v>74</v>
      </c>
      <c r="M493" s="1" t="s">
        <v>74</v>
      </c>
      <c r="N493" s="1" t="s">
        <v>74</v>
      </c>
      <c r="O493" s="1" t="s">
        <v>74</v>
      </c>
      <c r="P493" s="1" t="s">
        <v>74</v>
      </c>
      <c r="Q493" s="1" t="s">
        <v>74</v>
      </c>
      <c r="R493" s="1" t="s">
        <v>74</v>
      </c>
      <c r="S493" s="1" t="s">
        <v>74</v>
      </c>
      <c r="T493" s="1" t="s">
        <v>74</v>
      </c>
      <c r="U493" s="1" t="s">
        <v>74</v>
      </c>
      <c r="V493" s="1" t="s">
        <v>5101</v>
      </c>
      <c r="W493" s="1" t="s">
        <v>74</v>
      </c>
      <c r="X493" s="1" t="s">
        <v>74</v>
      </c>
      <c r="Y493" s="1" t="s">
        <v>74</v>
      </c>
      <c r="Z493" s="1" t="s">
        <v>74</v>
      </c>
      <c r="AA493" s="1" t="s">
        <v>5102</v>
      </c>
      <c r="AB493" s="1" t="s">
        <v>5103</v>
      </c>
      <c r="AC493" s="1" t="s">
        <v>74</v>
      </c>
      <c r="AD493" s="1" t="s">
        <v>74</v>
      </c>
      <c r="AE493" s="1" t="s">
        <v>74</v>
      </c>
      <c r="AF493" s="1" t="s">
        <v>74</v>
      </c>
      <c r="AG493" s="1" t="s">
        <v>74</v>
      </c>
      <c r="AH493" s="1" t="s">
        <v>74</v>
      </c>
      <c r="AI493" s="1" t="s">
        <v>74</v>
      </c>
      <c r="AJ493" s="1" t="s">
        <v>74</v>
      </c>
      <c r="AK493" s="1" t="s">
        <v>74</v>
      </c>
      <c r="AL493" s="1" t="s">
        <v>74</v>
      </c>
      <c r="AM493" s="1" t="s">
        <v>74</v>
      </c>
      <c r="AN493" s="1" t="s">
        <v>74</v>
      </c>
      <c r="AO493" s="1" t="s">
        <v>893</v>
      </c>
      <c r="AP493" s="1" t="s">
        <v>894</v>
      </c>
      <c r="AQ493" s="1" t="s">
        <v>74</v>
      </c>
      <c r="AR493" s="1" t="s">
        <v>74</v>
      </c>
      <c r="AS493" s="1" t="s">
        <v>74</v>
      </c>
      <c r="AT493" s="1" t="s">
        <v>441</v>
      </c>
      <c r="AU493" s="1">
        <v>2019.0</v>
      </c>
      <c r="AV493" s="1">
        <v>266.0</v>
      </c>
      <c r="AW493" s="1" t="s">
        <v>5104</v>
      </c>
      <c r="AX493" s="1" t="s">
        <v>74</v>
      </c>
      <c r="AY493" s="1" t="s">
        <v>74</v>
      </c>
      <c r="AZ493" s="1" t="s">
        <v>74</v>
      </c>
      <c r="BA493" s="1" t="s">
        <v>74</v>
      </c>
      <c r="BB493" s="1">
        <v>1338.0</v>
      </c>
      <c r="BC493" s="1">
        <v>1356.0</v>
      </c>
      <c r="BD493" s="1" t="s">
        <v>74</v>
      </c>
      <c r="BE493" s="1" t="s">
        <v>5105</v>
      </c>
      <c r="BF493" s="2" t="str">
        <f>HYPERLINK("http://dx.doi.org/10.1016/j.jde.2018.07.075","http://dx.doi.org/10.1016/j.jde.2018.07.075")</f>
        <v>http://dx.doi.org/10.1016/j.jde.2018.07.075</v>
      </c>
      <c r="BG493" s="1" t="s">
        <v>74</v>
      </c>
      <c r="BH493" s="1" t="s">
        <v>74</v>
      </c>
      <c r="BI493" s="1" t="s">
        <v>74</v>
      </c>
      <c r="BJ493" s="1" t="s">
        <v>74</v>
      </c>
      <c r="BK493" s="1" t="s">
        <v>74</v>
      </c>
      <c r="BL493" s="1" t="s">
        <v>74</v>
      </c>
      <c r="BM493" s="1" t="s">
        <v>74</v>
      </c>
      <c r="BN493" s="1" t="s">
        <v>74</v>
      </c>
      <c r="BO493" s="1" t="s">
        <v>74</v>
      </c>
      <c r="BP493" s="1" t="s">
        <v>74</v>
      </c>
      <c r="BQ493" s="1" t="s">
        <v>74</v>
      </c>
      <c r="BR493" s="1" t="s">
        <v>74</v>
      </c>
      <c r="BS493" s="1" t="s">
        <v>5106</v>
      </c>
      <c r="BT493" s="1" t="str">
        <f>HYPERLINK("https%3A%2F%2Fwww.webofscience.com%2Fwos%2Fwoscc%2Ffull-record%2FWOS:000450909900015","View Full Record in Web of Science")</f>
        <v>View Full Record in Web of Science</v>
      </c>
    </row>
    <row r="494" ht="12.75" customHeight="1">
      <c r="A494" s="1" t="s">
        <v>72</v>
      </c>
      <c r="B494" s="1" t="s">
        <v>5107</v>
      </c>
      <c r="C494" s="1" t="s">
        <v>74</v>
      </c>
      <c r="D494" s="1" t="s">
        <v>74</v>
      </c>
      <c r="E494" s="1" t="s">
        <v>74</v>
      </c>
      <c r="F494" s="1" t="s">
        <v>5108</v>
      </c>
      <c r="G494" s="1" t="s">
        <v>74</v>
      </c>
      <c r="H494" s="1" t="s">
        <v>74</v>
      </c>
      <c r="I494" s="1" t="s">
        <v>5109</v>
      </c>
      <c r="J494" s="1" t="s">
        <v>5110</v>
      </c>
      <c r="K494" s="1" t="s">
        <v>74</v>
      </c>
      <c r="L494" s="1" t="s">
        <v>74</v>
      </c>
      <c r="M494" s="1" t="s">
        <v>74</v>
      </c>
      <c r="N494" s="1" t="s">
        <v>74</v>
      </c>
      <c r="O494" s="1" t="s">
        <v>74</v>
      </c>
      <c r="P494" s="1" t="s">
        <v>74</v>
      </c>
      <c r="Q494" s="1" t="s">
        <v>74</v>
      </c>
      <c r="R494" s="1" t="s">
        <v>74</v>
      </c>
      <c r="S494" s="1" t="s">
        <v>74</v>
      </c>
      <c r="T494" s="1" t="s">
        <v>74</v>
      </c>
      <c r="U494" s="1" t="s">
        <v>74</v>
      </c>
      <c r="V494" s="1" t="s">
        <v>5111</v>
      </c>
      <c r="W494" s="1" t="s">
        <v>74</v>
      </c>
      <c r="X494" s="1" t="s">
        <v>74</v>
      </c>
      <c r="Y494" s="1" t="s">
        <v>74</v>
      </c>
      <c r="Z494" s="1" t="s">
        <v>74</v>
      </c>
      <c r="AA494" s="1" t="s">
        <v>5112</v>
      </c>
      <c r="AB494" s="1" t="s">
        <v>5113</v>
      </c>
      <c r="AC494" s="1" t="s">
        <v>74</v>
      </c>
      <c r="AD494" s="1" t="s">
        <v>74</v>
      </c>
      <c r="AE494" s="1" t="s">
        <v>74</v>
      </c>
      <c r="AF494" s="1" t="s">
        <v>74</v>
      </c>
      <c r="AG494" s="1" t="s">
        <v>74</v>
      </c>
      <c r="AH494" s="1" t="s">
        <v>74</v>
      </c>
      <c r="AI494" s="1" t="s">
        <v>74</v>
      </c>
      <c r="AJ494" s="1" t="s">
        <v>74</v>
      </c>
      <c r="AK494" s="1" t="s">
        <v>74</v>
      </c>
      <c r="AL494" s="1" t="s">
        <v>74</v>
      </c>
      <c r="AM494" s="1" t="s">
        <v>74</v>
      </c>
      <c r="AN494" s="1" t="s">
        <v>74</v>
      </c>
      <c r="AO494" s="1" t="s">
        <v>5114</v>
      </c>
      <c r="AP494" s="1" t="s">
        <v>5115</v>
      </c>
      <c r="AQ494" s="1" t="s">
        <v>74</v>
      </c>
      <c r="AR494" s="1" t="s">
        <v>74</v>
      </c>
      <c r="AS494" s="1" t="s">
        <v>74</v>
      </c>
      <c r="AT494" s="1" t="s">
        <v>164</v>
      </c>
      <c r="AU494" s="1">
        <v>2018.0</v>
      </c>
      <c r="AV494" s="1">
        <v>67.0</v>
      </c>
      <c r="AW494" s="1" t="s">
        <v>74</v>
      </c>
      <c r="AX494" s="1" t="s">
        <v>74</v>
      </c>
      <c r="AY494" s="1" t="s">
        <v>74</v>
      </c>
      <c r="AZ494" s="1" t="s">
        <v>74</v>
      </c>
      <c r="BA494" s="1" t="s">
        <v>74</v>
      </c>
      <c r="BB494" s="1">
        <v>115.0</v>
      </c>
      <c r="BC494" s="1">
        <v>157.0</v>
      </c>
      <c r="BD494" s="1" t="s">
        <v>74</v>
      </c>
      <c r="BE494" s="1" t="s">
        <v>5116</v>
      </c>
      <c r="BF494" s="2" t="str">
        <f>HYPERLINK("http://dx.doi.org/10.1016/j.pecs.2018.03.001","http://dx.doi.org/10.1016/j.pecs.2018.03.001")</f>
        <v>http://dx.doi.org/10.1016/j.pecs.2018.03.001</v>
      </c>
      <c r="BG494" s="1" t="s">
        <v>74</v>
      </c>
      <c r="BH494" s="1" t="s">
        <v>74</v>
      </c>
      <c r="BI494" s="1" t="s">
        <v>74</v>
      </c>
      <c r="BJ494" s="1" t="s">
        <v>74</v>
      </c>
      <c r="BK494" s="1" t="s">
        <v>74</v>
      </c>
      <c r="BL494" s="1" t="s">
        <v>74</v>
      </c>
      <c r="BM494" s="1" t="s">
        <v>74</v>
      </c>
      <c r="BN494" s="1" t="s">
        <v>74</v>
      </c>
      <c r="BO494" s="1" t="s">
        <v>74</v>
      </c>
      <c r="BP494" s="1" t="s">
        <v>74</v>
      </c>
      <c r="BQ494" s="1" t="s">
        <v>74</v>
      </c>
      <c r="BR494" s="1" t="s">
        <v>74</v>
      </c>
      <c r="BS494" s="1" t="s">
        <v>5117</v>
      </c>
      <c r="BT494" s="1" t="str">
        <f>HYPERLINK("https%3A%2F%2Fwww.webofscience.com%2Fwos%2Fwoscc%2Ffull-record%2FWOS:000433273500005","View Full Record in Web of Science")</f>
        <v>View Full Record in Web of Science</v>
      </c>
    </row>
    <row r="495" ht="12.75" customHeight="1">
      <c r="A495" s="1" t="s">
        <v>72</v>
      </c>
      <c r="B495" s="1" t="s">
        <v>5118</v>
      </c>
      <c r="C495" s="1" t="s">
        <v>74</v>
      </c>
      <c r="D495" s="1" t="s">
        <v>74</v>
      </c>
      <c r="E495" s="1" t="s">
        <v>74</v>
      </c>
      <c r="F495" s="1" t="s">
        <v>5119</v>
      </c>
      <c r="G495" s="1" t="s">
        <v>74</v>
      </c>
      <c r="H495" s="1" t="s">
        <v>74</v>
      </c>
      <c r="I495" s="1" t="s">
        <v>5120</v>
      </c>
      <c r="J495" s="1" t="s">
        <v>5121</v>
      </c>
      <c r="K495" s="1" t="s">
        <v>74</v>
      </c>
      <c r="L495" s="1" t="s">
        <v>74</v>
      </c>
      <c r="M495" s="1" t="s">
        <v>74</v>
      </c>
      <c r="N495" s="1" t="s">
        <v>74</v>
      </c>
      <c r="O495" s="1" t="s">
        <v>74</v>
      </c>
      <c r="P495" s="1" t="s">
        <v>74</v>
      </c>
      <c r="Q495" s="1" t="s">
        <v>74</v>
      </c>
      <c r="R495" s="1" t="s">
        <v>74</v>
      </c>
      <c r="S495" s="1" t="s">
        <v>74</v>
      </c>
      <c r="T495" s="1" t="s">
        <v>74</v>
      </c>
      <c r="U495" s="1" t="s">
        <v>74</v>
      </c>
      <c r="V495" s="1" t="s">
        <v>74</v>
      </c>
      <c r="W495" s="1" t="s">
        <v>74</v>
      </c>
      <c r="X495" s="1" t="s">
        <v>74</v>
      </c>
      <c r="Y495" s="1" t="s">
        <v>74</v>
      </c>
      <c r="Z495" s="1" t="s">
        <v>74</v>
      </c>
      <c r="AA495" s="1" t="s">
        <v>74</v>
      </c>
      <c r="AB495" s="1" t="s">
        <v>74</v>
      </c>
      <c r="AC495" s="1" t="s">
        <v>74</v>
      </c>
      <c r="AD495" s="1" t="s">
        <v>74</v>
      </c>
      <c r="AE495" s="1" t="s">
        <v>74</v>
      </c>
      <c r="AF495" s="1" t="s">
        <v>74</v>
      </c>
      <c r="AG495" s="1" t="s">
        <v>74</v>
      </c>
      <c r="AH495" s="1" t="s">
        <v>74</v>
      </c>
      <c r="AI495" s="1" t="s">
        <v>74</v>
      </c>
      <c r="AJ495" s="1" t="s">
        <v>74</v>
      </c>
      <c r="AK495" s="1" t="s">
        <v>74</v>
      </c>
      <c r="AL495" s="1" t="s">
        <v>74</v>
      </c>
      <c r="AM495" s="1" t="s">
        <v>74</v>
      </c>
      <c r="AN495" s="1" t="s">
        <v>74</v>
      </c>
      <c r="AO495" s="1" t="s">
        <v>5122</v>
      </c>
      <c r="AP495" s="1" t="s">
        <v>74</v>
      </c>
      <c r="AQ495" s="1" t="s">
        <v>74</v>
      </c>
      <c r="AR495" s="1" t="s">
        <v>74</v>
      </c>
      <c r="AS495" s="1" t="s">
        <v>74</v>
      </c>
      <c r="AT495" s="1" t="s">
        <v>5123</v>
      </c>
      <c r="AU495" s="1">
        <v>2018.0</v>
      </c>
      <c r="AV495" s="1">
        <v>51.0</v>
      </c>
      <c r="AW495" s="1">
        <v>1.0</v>
      </c>
      <c r="AX495" s="1" t="s">
        <v>74</v>
      </c>
      <c r="AY495" s="1" t="s">
        <v>74</v>
      </c>
      <c r="AZ495" s="1" t="s">
        <v>74</v>
      </c>
      <c r="BA495" s="1" t="s">
        <v>74</v>
      </c>
      <c r="BB495" s="1">
        <v>165.0</v>
      </c>
      <c r="BC495" s="1">
        <v>200.0</v>
      </c>
      <c r="BD495" s="1" t="s">
        <v>74</v>
      </c>
      <c r="BE495" s="1" t="s">
        <v>74</v>
      </c>
      <c r="BF495" s="1" t="s">
        <v>74</v>
      </c>
      <c r="BG495" s="1" t="s">
        <v>74</v>
      </c>
      <c r="BH495" s="1" t="s">
        <v>74</v>
      </c>
      <c r="BI495" s="1" t="s">
        <v>74</v>
      </c>
      <c r="BJ495" s="1" t="s">
        <v>74</v>
      </c>
      <c r="BK495" s="1" t="s">
        <v>74</v>
      </c>
      <c r="BL495" s="1" t="s">
        <v>74</v>
      </c>
      <c r="BM495" s="1" t="s">
        <v>74</v>
      </c>
      <c r="BN495" s="1" t="s">
        <v>74</v>
      </c>
      <c r="BO495" s="1" t="s">
        <v>74</v>
      </c>
      <c r="BP495" s="1" t="s">
        <v>74</v>
      </c>
      <c r="BQ495" s="1" t="s">
        <v>74</v>
      </c>
      <c r="BR495" s="1" t="s">
        <v>74</v>
      </c>
      <c r="BS495" s="1" t="s">
        <v>5124</v>
      </c>
      <c r="BT495" s="1" t="str">
        <f>HYPERLINK("https%3A%2F%2Fwww.webofscience.com%2Fwos%2Fwoscc%2Ffull-record%2FWOS:000442426700007","View Full Record in Web of Science")</f>
        <v>View Full Record in Web of Science</v>
      </c>
    </row>
    <row r="496" ht="12.75" customHeight="1">
      <c r="A496" s="1" t="s">
        <v>72</v>
      </c>
      <c r="B496" s="1" t="s">
        <v>5125</v>
      </c>
      <c r="C496" s="1" t="s">
        <v>74</v>
      </c>
      <c r="D496" s="1" t="s">
        <v>74</v>
      </c>
      <c r="E496" s="1" t="s">
        <v>74</v>
      </c>
      <c r="F496" s="1" t="s">
        <v>5126</v>
      </c>
      <c r="G496" s="1" t="s">
        <v>74</v>
      </c>
      <c r="H496" s="1" t="s">
        <v>74</v>
      </c>
      <c r="I496" s="1" t="s">
        <v>5127</v>
      </c>
      <c r="J496" s="1" t="s">
        <v>5128</v>
      </c>
      <c r="K496" s="1" t="s">
        <v>74</v>
      </c>
      <c r="L496" s="1" t="s">
        <v>74</v>
      </c>
      <c r="M496" s="1" t="s">
        <v>74</v>
      </c>
      <c r="N496" s="1" t="s">
        <v>74</v>
      </c>
      <c r="O496" s="1" t="s">
        <v>74</v>
      </c>
      <c r="P496" s="1" t="s">
        <v>74</v>
      </c>
      <c r="Q496" s="1" t="s">
        <v>74</v>
      </c>
      <c r="R496" s="1" t="s">
        <v>74</v>
      </c>
      <c r="S496" s="1" t="s">
        <v>74</v>
      </c>
      <c r="T496" s="1" t="s">
        <v>74</v>
      </c>
      <c r="U496" s="1" t="s">
        <v>74</v>
      </c>
      <c r="V496" s="1" t="s">
        <v>5129</v>
      </c>
      <c r="W496" s="1" t="s">
        <v>74</v>
      </c>
      <c r="X496" s="1" t="s">
        <v>74</v>
      </c>
      <c r="Y496" s="1" t="s">
        <v>74</v>
      </c>
      <c r="Z496" s="1" t="s">
        <v>74</v>
      </c>
      <c r="AA496" s="1" t="s">
        <v>5130</v>
      </c>
      <c r="AB496" s="1" t="s">
        <v>5131</v>
      </c>
      <c r="AC496" s="1" t="s">
        <v>74</v>
      </c>
      <c r="AD496" s="1" t="s">
        <v>74</v>
      </c>
      <c r="AE496" s="1" t="s">
        <v>74</v>
      </c>
      <c r="AF496" s="1" t="s">
        <v>74</v>
      </c>
      <c r="AG496" s="1" t="s">
        <v>74</v>
      </c>
      <c r="AH496" s="1" t="s">
        <v>74</v>
      </c>
      <c r="AI496" s="1" t="s">
        <v>74</v>
      </c>
      <c r="AJ496" s="1" t="s">
        <v>74</v>
      </c>
      <c r="AK496" s="1" t="s">
        <v>74</v>
      </c>
      <c r="AL496" s="1" t="s">
        <v>74</v>
      </c>
      <c r="AM496" s="1" t="s">
        <v>74</v>
      </c>
      <c r="AN496" s="1" t="s">
        <v>74</v>
      </c>
      <c r="AO496" s="1" t="s">
        <v>5132</v>
      </c>
      <c r="AP496" s="1" t="s">
        <v>5133</v>
      </c>
      <c r="AQ496" s="1" t="s">
        <v>74</v>
      </c>
      <c r="AR496" s="1" t="s">
        <v>74</v>
      </c>
      <c r="AS496" s="1" t="s">
        <v>74</v>
      </c>
      <c r="AT496" s="1" t="s">
        <v>307</v>
      </c>
      <c r="AU496" s="1">
        <v>2016.0</v>
      </c>
      <c r="AV496" s="1">
        <v>48.0</v>
      </c>
      <c r="AW496" s="1">
        <v>10.0</v>
      </c>
      <c r="AX496" s="1" t="s">
        <v>74</v>
      </c>
      <c r="AY496" s="1" t="s">
        <v>74</v>
      </c>
      <c r="AZ496" s="1" t="s">
        <v>74</v>
      </c>
      <c r="BA496" s="1" t="s">
        <v>74</v>
      </c>
      <c r="BB496" s="1">
        <v>1294.0</v>
      </c>
      <c r="BC496" s="1">
        <v>1306.0</v>
      </c>
      <c r="BD496" s="1" t="s">
        <v>74</v>
      </c>
      <c r="BE496" s="1" t="s">
        <v>5134</v>
      </c>
      <c r="BF496" s="2" t="str">
        <f>HYPERLINK("http://dx.doi.org/10.1111/and.12576","http://dx.doi.org/10.1111/and.12576")</f>
        <v>http://dx.doi.org/10.1111/and.12576</v>
      </c>
      <c r="BG496" s="1" t="s">
        <v>74</v>
      </c>
      <c r="BH496" s="1" t="s">
        <v>74</v>
      </c>
      <c r="BI496" s="1" t="s">
        <v>74</v>
      </c>
      <c r="BJ496" s="1" t="s">
        <v>74</v>
      </c>
      <c r="BK496" s="1" t="s">
        <v>74</v>
      </c>
      <c r="BL496" s="1" t="s">
        <v>74</v>
      </c>
      <c r="BM496" s="1" t="s">
        <v>74</v>
      </c>
      <c r="BN496" s="1">
        <v>2.7071496E7</v>
      </c>
      <c r="BO496" s="1" t="s">
        <v>74</v>
      </c>
      <c r="BP496" s="1" t="s">
        <v>74</v>
      </c>
      <c r="BQ496" s="1" t="s">
        <v>74</v>
      </c>
      <c r="BR496" s="1" t="s">
        <v>74</v>
      </c>
      <c r="BS496" s="1" t="s">
        <v>5135</v>
      </c>
      <c r="BT496" s="1" t="str">
        <f>HYPERLINK("https%3A%2F%2Fwww.webofscience.com%2Fwos%2Fwoscc%2Ffull-record%2FWOS:000389219000031","View Full Record in Web of Science")</f>
        <v>View Full Record in Web of Science</v>
      </c>
    </row>
    <row r="497" ht="12.75" customHeight="1">
      <c r="A497" s="1" t="s">
        <v>72</v>
      </c>
      <c r="B497" s="1" t="s">
        <v>5136</v>
      </c>
      <c r="C497" s="1" t="s">
        <v>74</v>
      </c>
      <c r="D497" s="1" t="s">
        <v>74</v>
      </c>
      <c r="E497" s="1" t="s">
        <v>74</v>
      </c>
      <c r="F497" s="1" t="s">
        <v>5137</v>
      </c>
      <c r="G497" s="1" t="s">
        <v>74</v>
      </c>
      <c r="H497" s="1" t="s">
        <v>74</v>
      </c>
      <c r="I497" s="1" t="s">
        <v>5138</v>
      </c>
      <c r="J497" s="1" t="s">
        <v>5139</v>
      </c>
      <c r="K497" s="1" t="s">
        <v>74</v>
      </c>
      <c r="L497" s="1" t="s">
        <v>74</v>
      </c>
      <c r="M497" s="1" t="s">
        <v>74</v>
      </c>
      <c r="N497" s="1" t="s">
        <v>74</v>
      </c>
      <c r="O497" s="1" t="s">
        <v>5140</v>
      </c>
      <c r="P497" s="1" t="s">
        <v>5141</v>
      </c>
      <c r="Q497" s="1" t="s">
        <v>5142</v>
      </c>
      <c r="R497" s="1" t="s">
        <v>74</v>
      </c>
      <c r="S497" s="1" t="s">
        <v>74</v>
      </c>
      <c r="T497" s="1" t="s">
        <v>74</v>
      </c>
      <c r="U497" s="1" t="s">
        <v>74</v>
      </c>
      <c r="V497" s="1" t="s">
        <v>5143</v>
      </c>
      <c r="W497" s="1" t="s">
        <v>74</v>
      </c>
      <c r="X497" s="1" t="s">
        <v>74</v>
      </c>
      <c r="Y497" s="1" t="s">
        <v>74</v>
      </c>
      <c r="Z497" s="1" t="s">
        <v>74</v>
      </c>
      <c r="AA497" s="1" t="s">
        <v>5144</v>
      </c>
      <c r="AB497" s="1" t="s">
        <v>5145</v>
      </c>
      <c r="AC497" s="1" t="s">
        <v>74</v>
      </c>
      <c r="AD497" s="1" t="s">
        <v>74</v>
      </c>
      <c r="AE497" s="1" t="s">
        <v>74</v>
      </c>
      <c r="AF497" s="1" t="s">
        <v>74</v>
      </c>
      <c r="AG497" s="1" t="s">
        <v>74</v>
      </c>
      <c r="AH497" s="1" t="s">
        <v>74</v>
      </c>
      <c r="AI497" s="1" t="s">
        <v>74</v>
      </c>
      <c r="AJ497" s="1" t="s">
        <v>74</v>
      </c>
      <c r="AK497" s="1" t="s">
        <v>74</v>
      </c>
      <c r="AL497" s="1" t="s">
        <v>74</v>
      </c>
      <c r="AM497" s="1" t="s">
        <v>74</v>
      </c>
      <c r="AN497" s="1" t="s">
        <v>74</v>
      </c>
      <c r="AO497" s="1" t="s">
        <v>5146</v>
      </c>
      <c r="AP497" s="1" t="s">
        <v>5147</v>
      </c>
      <c r="AQ497" s="1" t="s">
        <v>74</v>
      </c>
      <c r="AR497" s="1" t="s">
        <v>74</v>
      </c>
      <c r="AS497" s="1" t="s">
        <v>74</v>
      </c>
      <c r="AT497" s="1" t="s">
        <v>537</v>
      </c>
      <c r="AU497" s="1">
        <v>2015.0</v>
      </c>
      <c r="AV497" s="1">
        <v>21.0</v>
      </c>
      <c r="AW497" s="1">
        <v>8.0</v>
      </c>
      <c r="AX497" s="1" t="s">
        <v>74</v>
      </c>
      <c r="AY497" s="1" t="s">
        <v>74</v>
      </c>
      <c r="AZ497" s="1" t="s">
        <v>1416</v>
      </c>
      <c r="BA497" s="1" t="s">
        <v>74</v>
      </c>
      <c r="BB497" s="1">
        <v>645.0</v>
      </c>
      <c r="BC497" s="1">
        <v>658.0</v>
      </c>
      <c r="BD497" s="1" t="s">
        <v>74</v>
      </c>
      <c r="BE497" s="1" t="s">
        <v>5148</v>
      </c>
      <c r="BF497" s="2" t="str">
        <f>HYPERLINK("http://dx.doi.org/10.1007/s10450-015-9715-3","http://dx.doi.org/10.1007/s10450-015-9715-3")</f>
        <v>http://dx.doi.org/10.1007/s10450-015-9715-3</v>
      </c>
      <c r="BG497" s="1" t="s">
        <v>74</v>
      </c>
      <c r="BH497" s="1" t="s">
        <v>74</v>
      </c>
      <c r="BI497" s="1" t="s">
        <v>74</v>
      </c>
      <c r="BJ497" s="1" t="s">
        <v>74</v>
      </c>
      <c r="BK497" s="1" t="s">
        <v>74</v>
      </c>
      <c r="BL497" s="1" t="s">
        <v>74</v>
      </c>
      <c r="BM497" s="1" t="s">
        <v>74</v>
      </c>
      <c r="BN497" s="1" t="s">
        <v>74</v>
      </c>
      <c r="BO497" s="1" t="s">
        <v>74</v>
      </c>
      <c r="BP497" s="1" t="s">
        <v>74</v>
      </c>
      <c r="BQ497" s="1" t="s">
        <v>74</v>
      </c>
      <c r="BR497" s="1" t="s">
        <v>74</v>
      </c>
      <c r="BS497" s="1" t="s">
        <v>5149</v>
      </c>
      <c r="BT497" s="1" t="str">
        <f>HYPERLINK("https%3A%2F%2Fwww.webofscience.com%2Fwos%2Fwoscc%2Ffull-record%2FWOS:000365720800009","View Full Record in Web of Science")</f>
        <v>View Full Record in Web of Science</v>
      </c>
    </row>
    <row r="498" ht="12.75" customHeight="1">
      <c r="A498" s="1" t="s">
        <v>72</v>
      </c>
      <c r="B498" s="1" t="s">
        <v>5150</v>
      </c>
      <c r="C498" s="1" t="s">
        <v>74</v>
      </c>
      <c r="D498" s="1" t="s">
        <v>74</v>
      </c>
      <c r="E498" s="1" t="s">
        <v>74</v>
      </c>
      <c r="F498" s="1" t="s">
        <v>5151</v>
      </c>
      <c r="G498" s="1" t="s">
        <v>74</v>
      </c>
      <c r="H498" s="1" t="s">
        <v>74</v>
      </c>
      <c r="I498" s="1" t="s">
        <v>5152</v>
      </c>
      <c r="J498" s="1" t="s">
        <v>5153</v>
      </c>
      <c r="K498" s="1" t="s">
        <v>74</v>
      </c>
      <c r="L498" s="1" t="s">
        <v>74</v>
      </c>
      <c r="M498" s="1" t="s">
        <v>74</v>
      </c>
      <c r="N498" s="1" t="s">
        <v>74</v>
      </c>
      <c r="O498" s="1" t="s">
        <v>74</v>
      </c>
      <c r="P498" s="1" t="s">
        <v>74</v>
      </c>
      <c r="Q498" s="1" t="s">
        <v>74</v>
      </c>
      <c r="R498" s="1" t="s">
        <v>74</v>
      </c>
      <c r="S498" s="1" t="s">
        <v>74</v>
      </c>
      <c r="T498" s="1" t="s">
        <v>74</v>
      </c>
      <c r="U498" s="1" t="s">
        <v>74</v>
      </c>
      <c r="V498" s="1" t="s">
        <v>5154</v>
      </c>
      <c r="W498" s="1" t="s">
        <v>74</v>
      </c>
      <c r="X498" s="1" t="s">
        <v>74</v>
      </c>
      <c r="Y498" s="1" t="s">
        <v>74</v>
      </c>
      <c r="Z498" s="1" t="s">
        <v>74</v>
      </c>
      <c r="AA498" s="1" t="s">
        <v>5155</v>
      </c>
      <c r="AB498" s="1" t="s">
        <v>5156</v>
      </c>
      <c r="AC498" s="1" t="s">
        <v>74</v>
      </c>
      <c r="AD498" s="1" t="s">
        <v>74</v>
      </c>
      <c r="AE498" s="1" t="s">
        <v>74</v>
      </c>
      <c r="AF498" s="1" t="s">
        <v>74</v>
      </c>
      <c r="AG498" s="1" t="s">
        <v>74</v>
      </c>
      <c r="AH498" s="1" t="s">
        <v>74</v>
      </c>
      <c r="AI498" s="1" t="s">
        <v>74</v>
      </c>
      <c r="AJ498" s="1" t="s">
        <v>74</v>
      </c>
      <c r="AK498" s="1" t="s">
        <v>74</v>
      </c>
      <c r="AL498" s="1" t="s">
        <v>74</v>
      </c>
      <c r="AM498" s="1" t="s">
        <v>74</v>
      </c>
      <c r="AN498" s="1" t="s">
        <v>74</v>
      </c>
      <c r="AO498" s="1" t="s">
        <v>5157</v>
      </c>
      <c r="AP498" s="1" t="s">
        <v>74</v>
      </c>
      <c r="AQ498" s="1" t="s">
        <v>74</v>
      </c>
      <c r="AR498" s="1" t="s">
        <v>74</v>
      </c>
      <c r="AS498" s="1" t="s">
        <v>74</v>
      </c>
      <c r="AT498" s="1" t="s">
        <v>939</v>
      </c>
      <c r="AU498" s="1">
        <v>2015.0</v>
      </c>
      <c r="AV498" s="1">
        <v>77.0</v>
      </c>
      <c r="AW498" s="1" t="s">
        <v>74</v>
      </c>
      <c r="AX498" s="1" t="s">
        <v>74</v>
      </c>
      <c r="AY498" s="1" t="s">
        <v>74</v>
      </c>
      <c r="AZ498" s="1" t="s">
        <v>74</v>
      </c>
      <c r="BA498" s="1" t="s">
        <v>74</v>
      </c>
      <c r="BB498" s="1">
        <v>179.0</v>
      </c>
      <c r="BC498" s="1">
        <v>184.0</v>
      </c>
      <c r="BD498" s="1" t="s">
        <v>74</v>
      </c>
      <c r="BE498" s="1" t="s">
        <v>5158</v>
      </c>
      <c r="BF498" s="2" t="str">
        <f>HYPERLINK("http://dx.doi.org/10.1016/j.mineng.2015.03.008","http://dx.doi.org/10.1016/j.mineng.2015.03.008")</f>
        <v>http://dx.doi.org/10.1016/j.mineng.2015.03.008</v>
      </c>
      <c r="BG498" s="1" t="s">
        <v>74</v>
      </c>
      <c r="BH498" s="1" t="s">
        <v>74</v>
      </c>
      <c r="BI498" s="1" t="s">
        <v>74</v>
      </c>
      <c r="BJ498" s="1" t="s">
        <v>74</v>
      </c>
      <c r="BK498" s="1" t="s">
        <v>74</v>
      </c>
      <c r="BL498" s="1" t="s">
        <v>74</v>
      </c>
      <c r="BM498" s="1" t="s">
        <v>74</v>
      </c>
      <c r="BN498" s="1" t="s">
        <v>74</v>
      </c>
      <c r="BO498" s="1" t="s">
        <v>74</v>
      </c>
      <c r="BP498" s="1" t="s">
        <v>74</v>
      </c>
      <c r="BQ498" s="1" t="s">
        <v>74</v>
      </c>
      <c r="BR498" s="1" t="s">
        <v>74</v>
      </c>
      <c r="BS498" s="1" t="s">
        <v>5159</v>
      </c>
      <c r="BT498" s="1" t="str">
        <f>HYPERLINK("https%3A%2F%2Fwww.webofscience.com%2Fwos%2Fwoscc%2Ffull-record%2FWOS:000355712100023","View Full Record in Web of Science")</f>
        <v>View Full Record in Web of Science</v>
      </c>
    </row>
    <row r="499" ht="12.75" customHeight="1">
      <c r="A499" s="1" t="s">
        <v>72</v>
      </c>
      <c r="B499" s="1" t="s">
        <v>5160</v>
      </c>
      <c r="C499" s="1" t="s">
        <v>74</v>
      </c>
      <c r="D499" s="1" t="s">
        <v>74</v>
      </c>
      <c r="E499" s="1" t="s">
        <v>74</v>
      </c>
      <c r="F499" s="1" t="s">
        <v>5161</v>
      </c>
      <c r="G499" s="1" t="s">
        <v>74</v>
      </c>
      <c r="H499" s="1" t="s">
        <v>74</v>
      </c>
      <c r="I499" s="1" t="s">
        <v>5162</v>
      </c>
      <c r="J499" s="1" t="s">
        <v>5163</v>
      </c>
      <c r="K499" s="1" t="s">
        <v>74</v>
      </c>
      <c r="L499" s="1" t="s">
        <v>74</v>
      </c>
      <c r="M499" s="1" t="s">
        <v>74</v>
      </c>
      <c r="N499" s="1" t="s">
        <v>74</v>
      </c>
      <c r="O499" s="1" t="s">
        <v>74</v>
      </c>
      <c r="P499" s="1" t="s">
        <v>74</v>
      </c>
      <c r="Q499" s="1" t="s">
        <v>74</v>
      </c>
      <c r="R499" s="1" t="s">
        <v>74</v>
      </c>
      <c r="S499" s="1" t="s">
        <v>74</v>
      </c>
      <c r="T499" s="1" t="s">
        <v>74</v>
      </c>
      <c r="U499" s="1" t="s">
        <v>74</v>
      </c>
      <c r="V499" s="1" t="s">
        <v>5164</v>
      </c>
      <c r="W499" s="1" t="s">
        <v>74</v>
      </c>
      <c r="X499" s="1" t="s">
        <v>74</v>
      </c>
      <c r="Y499" s="1" t="s">
        <v>74</v>
      </c>
      <c r="Z499" s="1" t="s">
        <v>74</v>
      </c>
      <c r="AA499" s="1" t="s">
        <v>5165</v>
      </c>
      <c r="AB499" s="1" t="s">
        <v>5166</v>
      </c>
      <c r="AC499" s="1" t="s">
        <v>74</v>
      </c>
      <c r="AD499" s="1" t="s">
        <v>74</v>
      </c>
      <c r="AE499" s="1" t="s">
        <v>74</v>
      </c>
      <c r="AF499" s="1" t="s">
        <v>74</v>
      </c>
      <c r="AG499" s="1" t="s">
        <v>74</v>
      </c>
      <c r="AH499" s="1" t="s">
        <v>74</v>
      </c>
      <c r="AI499" s="1" t="s">
        <v>74</v>
      </c>
      <c r="AJ499" s="1" t="s">
        <v>74</v>
      </c>
      <c r="AK499" s="1" t="s">
        <v>74</v>
      </c>
      <c r="AL499" s="1" t="s">
        <v>74</v>
      </c>
      <c r="AM499" s="1" t="s">
        <v>74</v>
      </c>
      <c r="AN499" s="1" t="s">
        <v>74</v>
      </c>
      <c r="AO499" s="1" t="s">
        <v>5167</v>
      </c>
      <c r="AP499" s="1" t="s">
        <v>5168</v>
      </c>
      <c r="AQ499" s="1" t="s">
        <v>74</v>
      </c>
      <c r="AR499" s="1" t="s">
        <v>74</v>
      </c>
      <c r="AS499" s="1" t="s">
        <v>74</v>
      </c>
      <c r="AT499" s="1" t="s">
        <v>318</v>
      </c>
      <c r="AU499" s="1">
        <v>2013.0</v>
      </c>
      <c r="AV499" s="1">
        <v>67.0</v>
      </c>
      <c r="AW499" s="1" t="s">
        <v>74</v>
      </c>
      <c r="AX499" s="1" t="s">
        <v>74</v>
      </c>
      <c r="AY499" s="1" t="s">
        <v>74</v>
      </c>
      <c r="AZ499" s="1" t="s">
        <v>74</v>
      </c>
      <c r="BA499" s="1" t="s">
        <v>74</v>
      </c>
      <c r="BB499" s="1">
        <v>32.0</v>
      </c>
      <c r="BC499" s="1">
        <v>41.0</v>
      </c>
      <c r="BD499" s="1" t="s">
        <v>74</v>
      </c>
      <c r="BE499" s="1" t="s">
        <v>5169</v>
      </c>
      <c r="BF499" s="2" t="str">
        <f>HYPERLINK("http://dx.doi.org/10.1016/j.corsci.2012.09.047","http://dx.doi.org/10.1016/j.corsci.2012.09.047")</f>
        <v>http://dx.doi.org/10.1016/j.corsci.2012.09.047</v>
      </c>
      <c r="BG499" s="1" t="s">
        <v>74</v>
      </c>
      <c r="BH499" s="1" t="s">
        <v>74</v>
      </c>
      <c r="BI499" s="1" t="s">
        <v>74</v>
      </c>
      <c r="BJ499" s="1" t="s">
        <v>74</v>
      </c>
      <c r="BK499" s="1" t="s">
        <v>74</v>
      </c>
      <c r="BL499" s="1" t="s">
        <v>74</v>
      </c>
      <c r="BM499" s="1" t="s">
        <v>74</v>
      </c>
      <c r="BN499" s="1" t="s">
        <v>74</v>
      </c>
      <c r="BO499" s="1" t="s">
        <v>74</v>
      </c>
      <c r="BP499" s="1" t="s">
        <v>74</v>
      </c>
      <c r="BQ499" s="1" t="s">
        <v>74</v>
      </c>
      <c r="BR499" s="1" t="s">
        <v>74</v>
      </c>
      <c r="BS499" s="1" t="s">
        <v>5170</v>
      </c>
      <c r="BT499" s="1" t="str">
        <f>HYPERLINK("https%3A%2F%2Fwww.webofscience.com%2Fwos%2Fwoscc%2Ffull-record%2FWOS:000313917700004","View Full Record in Web of Science")</f>
        <v>View Full Record in Web of Science</v>
      </c>
    </row>
    <row r="500" ht="12.75" customHeight="1">
      <c r="A500" s="1" t="s">
        <v>72</v>
      </c>
      <c r="B500" s="1" t="s">
        <v>5171</v>
      </c>
      <c r="C500" s="1" t="s">
        <v>74</v>
      </c>
      <c r="D500" s="1" t="s">
        <v>74</v>
      </c>
      <c r="E500" s="1" t="s">
        <v>74</v>
      </c>
      <c r="F500" s="1" t="s">
        <v>5172</v>
      </c>
      <c r="G500" s="1" t="s">
        <v>74</v>
      </c>
      <c r="H500" s="1" t="s">
        <v>74</v>
      </c>
      <c r="I500" s="1" t="s">
        <v>5173</v>
      </c>
      <c r="J500" s="1" t="s">
        <v>870</v>
      </c>
      <c r="K500" s="1" t="s">
        <v>74</v>
      </c>
      <c r="L500" s="1" t="s">
        <v>74</v>
      </c>
      <c r="M500" s="1" t="s">
        <v>74</v>
      </c>
      <c r="N500" s="1" t="s">
        <v>74</v>
      </c>
      <c r="O500" s="1" t="s">
        <v>74</v>
      </c>
      <c r="P500" s="1" t="s">
        <v>74</v>
      </c>
      <c r="Q500" s="1" t="s">
        <v>74</v>
      </c>
      <c r="R500" s="1" t="s">
        <v>74</v>
      </c>
      <c r="S500" s="1" t="s">
        <v>74</v>
      </c>
      <c r="T500" s="1" t="s">
        <v>74</v>
      </c>
      <c r="U500" s="1" t="s">
        <v>74</v>
      </c>
      <c r="V500" s="1" t="s">
        <v>5174</v>
      </c>
      <c r="W500" s="1" t="s">
        <v>74</v>
      </c>
      <c r="X500" s="1" t="s">
        <v>74</v>
      </c>
      <c r="Y500" s="1" t="s">
        <v>74</v>
      </c>
      <c r="Z500" s="1" t="s">
        <v>74</v>
      </c>
      <c r="AA500" s="1" t="s">
        <v>5175</v>
      </c>
      <c r="AB500" s="1" t="s">
        <v>5176</v>
      </c>
      <c r="AC500" s="1" t="s">
        <v>74</v>
      </c>
      <c r="AD500" s="1" t="s">
        <v>74</v>
      </c>
      <c r="AE500" s="1" t="s">
        <v>74</v>
      </c>
      <c r="AF500" s="1" t="s">
        <v>74</v>
      </c>
      <c r="AG500" s="1" t="s">
        <v>74</v>
      </c>
      <c r="AH500" s="1" t="s">
        <v>74</v>
      </c>
      <c r="AI500" s="1" t="s">
        <v>74</v>
      </c>
      <c r="AJ500" s="1" t="s">
        <v>74</v>
      </c>
      <c r="AK500" s="1" t="s">
        <v>74</v>
      </c>
      <c r="AL500" s="1" t="s">
        <v>74</v>
      </c>
      <c r="AM500" s="1" t="s">
        <v>74</v>
      </c>
      <c r="AN500" s="1" t="s">
        <v>74</v>
      </c>
      <c r="AO500" s="1" t="s">
        <v>874</v>
      </c>
      <c r="AP500" s="1" t="s">
        <v>5177</v>
      </c>
      <c r="AQ500" s="1" t="s">
        <v>74</v>
      </c>
      <c r="AR500" s="1" t="s">
        <v>74</v>
      </c>
      <c r="AS500" s="1" t="s">
        <v>74</v>
      </c>
      <c r="AT500" s="1" t="s">
        <v>1018</v>
      </c>
      <c r="AU500" s="1">
        <v>2012.0</v>
      </c>
      <c r="AV500" s="1">
        <v>5.0</v>
      </c>
      <c r="AW500" s="1">
        <v>6.0</v>
      </c>
      <c r="AX500" s="1" t="s">
        <v>74</v>
      </c>
      <c r="AY500" s="1" t="s">
        <v>74</v>
      </c>
      <c r="AZ500" s="1" t="s">
        <v>74</v>
      </c>
      <c r="BA500" s="1" t="s">
        <v>74</v>
      </c>
      <c r="BB500" s="1">
        <v>2446.0</v>
      </c>
      <c r="BC500" s="1">
        <v>2453.0</v>
      </c>
      <c r="BD500" s="1" t="s">
        <v>74</v>
      </c>
      <c r="BE500" s="1" t="s">
        <v>5178</v>
      </c>
      <c r="BF500" s="2" t="str">
        <f>HYPERLINK("http://dx.doi.org/10.1007/s11947-011-0618-3","http://dx.doi.org/10.1007/s11947-011-0618-3")</f>
        <v>http://dx.doi.org/10.1007/s11947-011-0618-3</v>
      </c>
      <c r="BG500" s="1" t="s">
        <v>74</v>
      </c>
      <c r="BH500" s="1" t="s">
        <v>74</v>
      </c>
      <c r="BI500" s="1" t="s">
        <v>74</v>
      </c>
      <c r="BJ500" s="1" t="s">
        <v>74</v>
      </c>
      <c r="BK500" s="1" t="s">
        <v>74</v>
      </c>
      <c r="BL500" s="1" t="s">
        <v>74</v>
      </c>
      <c r="BM500" s="1" t="s">
        <v>74</v>
      </c>
      <c r="BN500" s="1" t="s">
        <v>74</v>
      </c>
      <c r="BO500" s="1" t="s">
        <v>74</v>
      </c>
      <c r="BP500" s="1" t="s">
        <v>74</v>
      </c>
      <c r="BQ500" s="1" t="s">
        <v>74</v>
      </c>
      <c r="BR500" s="1" t="s">
        <v>74</v>
      </c>
      <c r="BS500" s="1" t="s">
        <v>5179</v>
      </c>
      <c r="BT500" s="1" t="str">
        <f>HYPERLINK("https%3A%2F%2Fwww.webofscience.com%2Fwos%2Fwoscc%2Ffull-record%2FWOS:000309869700041","View Full Record in Web of Science")</f>
        <v>View Full Record in Web of Science</v>
      </c>
    </row>
    <row r="501" ht="12.75" customHeight="1">
      <c r="A501" s="1" t="s">
        <v>72</v>
      </c>
      <c r="B501" s="1" t="s">
        <v>5180</v>
      </c>
      <c r="C501" s="1" t="s">
        <v>74</v>
      </c>
      <c r="D501" s="1" t="s">
        <v>74</v>
      </c>
      <c r="E501" s="1" t="s">
        <v>74</v>
      </c>
      <c r="F501" s="1" t="s">
        <v>5181</v>
      </c>
      <c r="G501" s="1" t="s">
        <v>74</v>
      </c>
      <c r="H501" s="1" t="s">
        <v>74</v>
      </c>
      <c r="I501" s="1" t="s">
        <v>5182</v>
      </c>
      <c r="J501" s="1" t="s">
        <v>2367</v>
      </c>
      <c r="K501" s="1" t="s">
        <v>74</v>
      </c>
      <c r="L501" s="1" t="s">
        <v>74</v>
      </c>
      <c r="M501" s="1" t="s">
        <v>74</v>
      </c>
      <c r="N501" s="1" t="s">
        <v>74</v>
      </c>
      <c r="O501" s="1" t="s">
        <v>74</v>
      </c>
      <c r="P501" s="1" t="s">
        <v>74</v>
      </c>
      <c r="Q501" s="1" t="s">
        <v>74</v>
      </c>
      <c r="R501" s="1" t="s">
        <v>74</v>
      </c>
      <c r="S501" s="1" t="s">
        <v>74</v>
      </c>
      <c r="T501" s="1" t="s">
        <v>74</v>
      </c>
      <c r="U501" s="1" t="s">
        <v>74</v>
      </c>
      <c r="V501" s="1" t="s">
        <v>5183</v>
      </c>
      <c r="W501" s="1" t="s">
        <v>74</v>
      </c>
      <c r="X501" s="1" t="s">
        <v>74</v>
      </c>
      <c r="Y501" s="1" t="s">
        <v>74</v>
      </c>
      <c r="Z501" s="1" t="s">
        <v>74</v>
      </c>
      <c r="AA501" s="1" t="s">
        <v>5184</v>
      </c>
      <c r="AB501" s="1" t="s">
        <v>5185</v>
      </c>
      <c r="AC501" s="1" t="s">
        <v>74</v>
      </c>
      <c r="AD501" s="1" t="s">
        <v>74</v>
      </c>
      <c r="AE501" s="1" t="s">
        <v>74</v>
      </c>
      <c r="AF501" s="1" t="s">
        <v>74</v>
      </c>
      <c r="AG501" s="1" t="s">
        <v>74</v>
      </c>
      <c r="AH501" s="1" t="s">
        <v>74</v>
      </c>
      <c r="AI501" s="1" t="s">
        <v>74</v>
      </c>
      <c r="AJ501" s="1" t="s">
        <v>74</v>
      </c>
      <c r="AK501" s="1" t="s">
        <v>74</v>
      </c>
      <c r="AL501" s="1" t="s">
        <v>74</v>
      </c>
      <c r="AM501" s="1" t="s">
        <v>74</v>
      </c>
      <c r="AN501" s="1" t="s">
        <v>74</v>
      </c>
      <c r="AO501" s="1" t="s">
        <v>2371</v>
      </c>
      <c r="AP501" s="1" t="s">
        <v>74</v>
      </c>
      <c r="AQ501" s="1" t="s">
        <v>74</v>
      </c>
      <c r="AR501" s="1" t="s">
        <v>74</v>
      </c>
      <c r="AS501" s="1" t="s">
        <v>74</v>
      </c>
      <c r="AT501" s="1" t="s">
        <v>307</v>
      </c>
      <c r="AU501" s="1">
        <v>2011.0</v>
      </c>
      <c r="AV501" s="1">
        <v>27.0</v>
      </c>
      <c r="AW501" s="1">
        <v>12.0</v>
      </c>
      <c r="AX501" s="1" t="s">
        <v>74</v>
      </c>
      <c r="AY501" s="1" t="s">
        <v>74</v>
      </c>
      <c r="AZ501" s="1" t="s">
        <v>74</v>
      </c>
      <c r="BA501" s="1" t="s">
        <v>74</v>
      </c>
      <c r="BB501" s="1">
        <v>3019.0</v>
      </c>
      <c r="BC501" s="1">
        <v>3023.0</v>
      </c>
      <c r="BD501" s="1" t="s">
        <v>74</v>
      </c>
      <c r="BE501" s="1" t="s">
        <v>5186</v>
      </c>
      <c r="BF501" s="2" t="str">
        <f>HYPERLINK("http://dx.doi.org/10.1007/s11274-011-0782-7","http://dx.doi.org/10.1007/s11274-011-0782-7")</f>
        <v>http://dx.doi.org/10.1007/s11274-011-0782-7</v>
      </c>
      <c r="BG501" s="1" t="s">
        <v>74</v>
      </c>
      <c r="BH501" s="1" t="s">
        <v>74</v>
      </c>
      <c r="BI501" s="1" t="s">
        <v>74</v>
      </c>
      <c r="BJ501" s="1" t="s">
        <v>74</v>
      </c>
      <c r="BK501" s="1" t="s">
        <v>74</v>
      </c>
      <c r="BL501" s="1" t="s">
        <v>74</v>
      </c>
      <c r="BM501" s="1" t="s">
        <v>74</v>
      </c>
      <c r="BN501" s="1" t="s">
        <v>74</v>
      </c>
      <c r="BO501" s="1" t="s">
        <v>74</v>
      </c>
      <c r="BP501" s="1" t="s">
        <v>74</v>
      </c>
      <c r="BQ501" s="1" t="s">
        <v>74</v>
      </c>
      <c r="BR501" s="1" t="s">
        <v>74</v>
      </c>
      <c r="BS501" s="1" t="s">
        <v>5187</v>
      </c>
      <c r="BT501" s="1" t="str">
        <f>HYPERLINK("https%3A%2F%2Fwww.webofscience.com%2Fwos%2Fwoscc%2Ffull-record%2FWOS:000297594400033","View Full Record in Web of Science")</f>
        <v>View Full Record in Web of Science</v>
      </c>
    </row>
    <row r="502" ht="12.75" customHeight="1">
      <c r="A502" s="1" t="s">
        <v>72</v>
      </c>
      <c r="B502" s="1" t="s">
        <v>5188</v>
      </c>
      <c r="C502" s="1" t="s">
        <v>74</v>
      </c>
      <c r="D502" s="1" t="s">
        <v>74</v>
      </c>
      <c r="E502" s="1" t="s">
        <v>74</v>
      </c>
      <c r="F502" s="1" t="s">
        <v>5189</v>
      </c>
      <c r="G502" s="1" t="s">
        <v>74</v>
      </c>
      <c r="H502" s="1" t="s">
        <v>74</v>
      </c>
      <c r="I502" s="1" t="s">
        <v>5190</v>
      </c>
      <c r="J502" s="1" t="s">
        <v>5191</v>
      </c>
      <c r="K502" s="1" t="s">
        <v>74</v>
      </c>
      <c r="L502" s="1" t="s">
        <v>74</v>
      </c>
      <c r="M502" s="1" t="s">
        <v>74</v>
      </c>
      <c r="N502" s="1" t="s">
        <v>74</v>
      </c>
      <c r="O502" s="1" t="s">
        <v>74</v>
      </c>
      <c r="P502" s="1" t="s">
        <v>74</v>
      </c>
      <c r="Q502" s="1" t="s">
        <v>74</v>
      </c>
      <c r="R502" s="1" t="s">
        <v>74</v>
      </c>
      <c r="S502" s="1" t="s">
        <v>74</v>
      </c>
      <c r="T502" s="1" t="s">
        <v>74</v>
      </c>
      <c r="U502" s="1" t="s">
        <v>74</v>
      </c>
      <c r="V502" s="1" t="s">
        <v>5192</v>
      </c>
      <c r="W502" s="1" t="s">
        <v>74</v>
      </c>
      <c r="X502" s="1" t="s">
        <v>74</v>
      </c>
      <c r="Y502" s="1" t="s">
        <v>74</v>
      </c>
      <c r="Z502" s="1" t="s">
        <v>74</v>
      </c>
      <c r="AA502" s="1" t="s">
        <v>5193</v>
      </c>
      <c r="AB502" s="1" t="s">
        <v>74</v>
      </c>
      <c r="AC502" s="1" t="s">
        <v>74</v>
      </c>
      <c r="AD502" s="1" t="s">
        <v>74</v>
      </c>
      <c r="AE502" s="1" t="s">
        <v>74</v>
      </c>
      <c r="AF502" s="1" t="s">
        <v>74</v>
      </c>
      <c r="AG502" s="1" t="s">
        <v>74</v>
      </c>
      <c r="AH502" s="1" t="s">
        <v>74</v>
      </c>
      <c r="AI502" s="1" t="s">
        <v>74</v>
      </c>
      <c r="AJ502" s="1" t="s">
        <v>74</v>
      </c>
      <c r="AK502" s="1" t="s">
        <v>74</v>
      </c>
      <c r="AL502" s="1" t="s">
        <v>74</v>
      </c>
      <c r="AM502" s="1" t="s">
        <v>74</v>
      </c>
      <c r="AN502" s="1" t="s">
        <v>74</v>
      </c>
      <c r="AO502" s="1" t="s">
        <v>5194</v>
      </c>
      <c r="AP502" s="1" t="s">
        <v>74</v>
      </c>
      <c r="AQ502" s="1" t="s">
        <v>74</v>
      </c>
      <c r="AR502" s="1" t="s">
        <v>74</v>
      </c>
      <c r="AS502" s="1" t="s">
        <v>74</v>
      </c>
      <c r="AT502" s="1" t="s">
        <v>4635</v>
      </c>
      <c r="AU502" s="1">
        <v>2011.0</v>
      </c>
      <c r="AV502" s="1">
        <v>21.0</v>
      </c>
      <c r="AW502" s="1">
        <v>42.0</v>
      </c>
      <c r="AX502" s="1" t="s">
        <v>74</v>
      </c>
      <c r="AY502" s="1" t="s">
        <v>74</v>
      </c>
      <c r="AZ502" s="1" t="s">
        <v>74</v>
      </c>
      <c r="BA502" s="1" t="s">
        <v>74</v>
      </c>
      <c r="BB502" s="1">
        <v>139.0</v>
      </c>
      <c r="BC502" s="1">
        <v>150.0</v>
      </c>
      <c r="BD502" s="1" t="s">
        <v>74</v>
      </c>
      <c r="BE502" s="1" t="s">
        <v>74</v>
      </c>
      <c r="BF502" s="1" t="s">
        <v>74</v>
      </c>
      <c r="BG502" s="1" t="s">
        <v>74</v>
      </c>
      <c r="BH502" s="1" t="s">
        <v>74</v>
      </c>
      <c r="BI502" s="1" t="s">
        <v>74</v>
      </c>
      <c r="BJ502" s="1" t="s">
        <v>74</v>
      </c>
      <c r="BK502" s="1" t="s">
        <v>74</v>
      </c>
      <c r="BL502" s="1" t="s">
        <v>74</v>
      </c>
      <c r="BM502" s="1" t="s">
        <v>74</v>
      </c>
      <c r="BN502" s="1" t="s">
        <v>74</v>
      </c>
      <c r="BO502" s="1" t="s">
        <v>74</v>
      </c>
      <c r="BP502" s="1" t="s">
        <v>74</v>
      </c>
      <c r="BQ502" s="1" t="s">
        <v>74</v>
      </c>
      <c r="BR502" s="1" t="s">
        <v>74</v>
      </c>
      <c r="BS502" s="1" t="s">
        <v>5195</v>
      </c>
      <c r="BT502" s="1" t="str">
        <f>HYPERLINK("https%3A%2F%2Fwww.webofscience.com%2Fwos%2Fwoscc%2Ffull-record%2FWOS:000302258400012","View Full Record in Web of Science")</f>
        <v>View Full Record in Web of Science</v>
      </c>
    </row>
    <row r="503" ht="12.75" customHeight="1">
      <c r="A503" s="1" t="s">
        <v>72</v>
      </c>
      <c r="B503" s="1" t="s">
        <v>5196</v>
      </c>
      <c r="C503" s="1" t="s">
        <v>74</v>
      </c>
      <c r="D503" s="1" t="s">
        <v>74</v>
      </c>
      <c r="E503" s="1" t="s">
        <v>74</v>
      </c>
      <c r="F503" s="1" t="s">
        <v>5197</v>
      </c>
      <c r="G503" s="1" t="s">
        <v>74</v>
      </c>
      <c r="H503" s="1" t="s">
        <v>5198</v>
      </c>
      <c r="I503" s="1" t="s">
        <v>5199</v>
      </c>
      <c r="J503" s="1" t="s">
        <v>5200</v>
      </c>
      <c r="K503" s="1" t="s">
        <v>74</v>
      </c>
      <c r="L503" s="1" t="s">
        <v>74</v>
      </c>
      <c r="M503" s="1" t="s">
        <v>74</v>
      </c>
      <c r="N503" s="1" t="s">
        <v>74</v>
      </c>
      <c r="O503" s="1" t="s">
        <v>74</v>
      </c>
      <c r="P503" s="1" t="s">
        <v>74</v>
      </c>
      <c r="Q503" s="1" t="s">
        <v>74</v>
      </c>
      <c r="R503" s="1" t="s">
        <v>74</v>
      </c>
      <c r="S503" s="1" t="s">
        <v>74</v>
      </c>
      <c r="T503" s="1" t="s">
        <v>74</v>
      </c>
      <c r="U503" s="1" t="s">
        <v>74</v>
      </c>
      <c r="V503" s="1" t="s">
        <v>5201</v>
      </c>
      <c r="W503" s="1" t="s">
        <v>74</v>
      </c>
      <c r="X503" s="1" t="s">
        <v>74</v>
      </c>
      <c r="Y503" s="1" t="s">
        <v>74</v>
      </c>
      <c r="Z503" s="1" t="s">
        <v>74</v>
      </c>
      <c r="AA503" s="1" t="s">
        <v>5202</v>
      </c>
      <c r="AB503" s="1" t="s">
        <v>5203</v>
      </c>
      <c r="AC503" s="1" t="s">
        <v>74</v>
      </c>
      <c r="AD503" s="1" t="s">
        <v>74</v>
      </c>
      <c r="AE503" s="1" t="s">
        <v>74</v>
      </c>
      <c r="AF503" s="1" t="s">
        <v>74</v>
      </c>
      <c r="AG503" s="1" t="s">
        <v>74</v>
      </c>
      <c r="AH503" s="1" t="s">
        <v>74</v>
      </c>
      <c r="AI503" s="1" t="s">
        <v>74</v>
      </c>
      <c r="AJ503" s="1" t="s">
        <v>74</v>
      </c>
      <c r="AK503" s="1" t="s">
        <v>74</v>
      </c>
      <c r="AL503" s="1" t="s">
        <v>74</v>
      </c>
      <c r="AM503" s="1" t="s">
        <v>74</v>
      </c>
      <c r="AN503" s="1" t="s">
        <v>74</v>
      </c>
      <c r="AO503" s="1" t="s">
        <v>5204</v>
      </c>
      <c r="AP503" s="1" t="s">
        <v>5205</v>
      </c>
      <c r="AQ503" s="1" t="s">
        <v>74</v>
      </c>
      <c r="AR503" s="1" t="s">
        <v>74</v>
      </c>
      <c r="AS503" s="1" t="s">
        <v>74</v>
      </c>
      <c r="AT503" s="1" t="s">
        <v>728</v>
      </c>
      <c r="AU503" s="1">
        <v>2010.0</v>
      </c>
      <c r="AV503" s="1">
        <v>55.0</v>
      </c>
      <c r="AW503" s="1">
        <v>3.0</v>
      </c>
      <c r="AX503" s="1" t="s">
        <v>74</v>
      </c>
      <c r="AY503" s="1" t="s">
        <v>74</v>
      </c>
      <c r="AZ503" s="1" t="s">
        <v>74</v>
      </c>
      <c r="BA503" s="1" t="s">
        <v>74</v>
      </c>
      <c r="BB503" s="1">
        <v>368.0</v>
      </c>
      <c r="BC503" s="1">
        <v>374.0</v>
      </c>
      <c r="BD503" s="1" t="s">
        <v>74</v>
      </c>
      <c r="BE503" s="1" t="s">
        <v>5206</v>
      </c>
      <c r="BF503" s="2" t="str">
        <f>HYPERLINK("http://dx.doi.org/10.1097/QAI.0b013e3181eb4fb9","http://dx.doi.org/10.1097/QAI.0b013e3181eb4fb9")</f>
        <v>http://dx.doi.org/10.1097/QAI.0b013e3181eb4fb9</v>
      </c>
      <c r="BG503" s="1" t="s">
        <v>74</v>
      </c>
      <c r="BH503" s="1" t="s">
        <v>74</v>
      </c>
      <c r="BI503" s="1" t="s">
        <v>74</v>
      </c>
      <c r="BJ503" s="1" t="s">
        <v>74</v>
      </c>
      <c r="BK503" s="1" t="s">
        <v>74</v>
      </c>
      <c r="BL503" s="1" t="s">
        <v>74</v>
      </c>
      <c r="BM503" s="1" t="s">
        <v>74</v>
      </c>
      <c r="BN503" s="1">
        <v>2.0683194E7</v>
      </c>
      <c r="BO503" s="1" t="s">
        <v>74</v>
      </c>
      <c r="BP503" s="1" t="s">
        <v>74</v>
      </c>
      <c r="BQ503" s="1" t="s">
        <v>74</v>
      </c>
      <c r="BR503" s="1" t="s">
        <v>74</v>
      </c>
      <c r="BS503" s="1" t="s">
        <v>5207</v>
      </c>
      <c r="BT503" s="1" t="str">
        <f>HYPERLINK("https%3A%2F%2Fwww.webofscience.com%2Fwos%2Fwoscc%2Ffull-record%2FWOS:000283847400016","View Full Record in Web of Science")</f>
        <v>View Full Record in Web of Science</v>
      </c>
    </row>
    <row r="504" ht="12.75" customHeight="1">
      <c r="A504" s="1" t="s">
        <v>72</v>
      </c>
      <c r="B504" s="1" t="s">
        <v>5208</v>
      </c>
      <c r="C504" s="1" t="s">
        <v>74</v>
      </c>
      <c r="D504" s="1" t="s">
        <v>74</v>
      </c>
      <c r="E504" s="1" t="s">
        <v>74</v>
      </c>
      <c r="F504" s="1" t="s">
        <v>5209</v>
      </c>
      <c r="G504" s="1" t="s">
        <v>74</v>
      </c>
      <c r="H504" s="1" t="s">
        <v>74</v>
      </c>
      <c r="I504" s="1" t="s">
        <v>5210</v>
      </c>
      <c r="J504" s="1" t="s">
        <v>5211</v>
      </c>
      <c r="K504" s="1" t="s">
        <v>74</v>
      </c>
      <c r="L504" s="1" t="s">
        <v>74</v>
      </c>
      <c r="M504" s="1" t="s">
        <v>74</v>
      </c>
      <c r="N504" s="1" t="s">
        <v>74</v>
      </c>
      <c r="O504" s="1" t="s">
        <v>74</v>
      </c>
      <c r="P504" s="1" t="s">
        <v>74</v>
      </c>
      <c r="Q504" s="1" t="s">
        <v>74</v>
      </c>
      <c r="R504" s="1" t="s">
        <v>74</v>
      </c>
      <c r="S504" s="1" t="s">
        <v>74</v>
      </c>
      <c r="T504" s="1" t="s">
        <v>74</v>
      </c>
      <c r="U504" s="1" t="s">
        <v>74</v>
      </c>
      <c r="V504" s="1" t="s">
        <v>5212</v>
      </c>
      <c r="W504" s="1" t="s">
        <v>74</v>
      </c>
      <c r="X504" s="1" t="s">
        <v>74</v>
      </c>
      <c r="Y504" s="1" t="s">
        <v>74</v>
      </c>
      <c r="Z504" s="1" t="s">
        <v>74</v>
      </c>
      <c r="AA504" s="1" t="s">
        <v>5213</v>
      </c>
      <c r="AB504" s="1" t="s">
        <v>5214</v>
      </c>
      <c r="AC504" s="1" t="s">
        <v>74</v>
      </c>
      <c r="AD504" s="1" t="s">
        <v>74</v>
      </c>
      <c r="AE504" s="1" t="s">
        <v>74</v>
      </c>
      <c r="AF504" s="1" t="s">
        <v>74</v>
      </c>
      <c r="AG504" s="1" t="s">
        <v>74</v>
      </c>
      <c r="AH504" s="1" t="s">
        <v>74</v>
      </c>
      <c r="AI504" s="1" t="s">
        <v>74</v>
      </c>
      <c r="AJ504" s="1" t="s">
        <v>74</v>
      </c>
      <c r="AK504" s="1" t="s">
        <v>74</v>
      </c>
      <c r="AL504" s="1" t="s">
        <v>74</v>
      </c>
      <c r="AM504" s="1" t="s">
        <v>74</v>
      </c>
      <c r="AN504" s="1" t="s">
        <v>74</v>
      </c>
      <c r="AO504" s="1" t="s">
        <v>5215</v>
      </c>
      <c r="AP504" s="1" t="s">
        <v>74</v>
      </c>
      <c r="AQ504" s="1" t="s">
        <v>74</v>
      </c>
      <c r="AR504" s="1" t="s">
        <v>74</v>
      </c>
      <c r="AS504" s="1" t="s">
        <v>74</v>
      </c>
      <c r="AT504" s="1" t="s">
        <v>1702</v>
      </c>
      <c r="AU504" s="1">
        <v>2009.0</v>
      </c>
      <c r="AV504" s="1">
        <v>362.0</v>
      </c>
      <c r="AW504" s="1">
        <v>1.0</v>
      </c>
      <c r="AX504" s="1" t="s">
        <v>74</v>
      </c>
      <c r="AY504" s="1" t="s">
        <v>74</v>
      </c>
      <c r="AZ504" s="1" t="s">
        <v>74</v>
      </c>
      <c r="BA504" s="1" t="s">
        <v>74</v>
      </c>
      <c r="BB504" s="1">
        <v>5.0</v>
      </c>
      <c r="BC504" s="1">
        <v>10.0</v>
      </c>
      <c r="BD504" s="1" t="s">
        <v>74</v>
      </c>
      <c r="BE504" s="1" t="s">
        <v>5216</v>
      </c>
      <c r="BF504" s="2" t="str">
        <f>HYPERLINK("http://dx.doi.org/10.1016/j.ica.2007.08.024","http://dx.doi.org/10.1016/j.ica.2007.08.024")</f>
        <v>http://dx.doi.org/10.1016/j.ica.2007.08.024</v>
      </c>
      <c r="BG504" s="1" t="s">
        <v>74</v>
      </c>
      <c r="BH504" s="1" t="s">
        <v>74</v>
      </c>
      <c r="BI504" s="1" t="s">
        <v>74</v>
      </c>
      <c r="BJ504" s="1" t="s">
        <v>74</v>
      </c>
      <c r="BK504" s="1" t="s">
        <v>74</v>
      </c>
      <c r="BL504" s="1" t="s">
        <v>74</v>
      </c>
      <c r="BM504" s="1" t="s">
        <v>74</v>
      </c>
      <c r="BN504" s="1" t="s">
        <v>74</v>
      </c>
      <c r="BO504" s="1" t="s">
        <v>74</v>
      </c>
      <c r="BP504" s="1" t="s">
        <v>74</v>
      </c>
      <c r="BQ504" s="1" t="s">
        <v>74</v>
      </c>
      <c r="BR504" s="1" t="s">
        <v>74</v>
      </c>
      <c r="BS504" s="1" t="s">
        <v>5217</v>
      </c>
      <c r="BT504" s="1" t="str">
        <f>HYPERLINK("https%3A%2F%2Fwww.webofscience.com%2Fwos%2Fwoscc%2Ffull-record%2FWOS:000261274400002","View Full Record in Web of Science")</f>
        <v>View Full Record in Web of Science</v>
      </c>
    </row>
    <row r="505" ht="12.75" customHeight="1">
      <c r="A505" s="1" t="s">
        <v>72</v>
      </c>
      <c r="B505" s="1" t="s">
        <v>5218</v>
      </c>
      <c r="C505" s="1" t="s">
        <v>74</v>
      </c>
      <c r="D505" s="1" t="s">
        <v>74</v>
      </c>
      <c r="E505" s="1" t="s">
        <v>74</v>
      </c>
      <c r="F505" s="1" t="s">
        <v>5218</v>
      </c>
      <c r="G505" s="1" t="s">
        <v>74</v>
      </c>
      <c r="H505" s="1" t="s">
        <v>74</v>
      </c>
      <c r="I505" s="1" t="s">
        <v>5219</v>
      </c>
      <c r="J505" s="1" t="s">
        <v>5220</v>
      </c>
      <c r="K505" s="1" t="s">
        <v>74</v>
      </c>
      <c r="L505" s="1" t="s">
        <v>74</v>
      </c>
      <c r="M505" s="1" t="s">
        <v>74</v>
      </c>
      <c r="N505" s="1" t="s">
        <v>74</v>
      </c>
      <c r="O505" s="1" t="s">
        <v>74</v>
      </c>
      <c r="P505" s="1" t="s">
        <v>74</v>
      </c>
      <c r="Q505" s="1" t="s">
        <v>74</v>
      </c>
      <c r="R505" s="1" t="s">
        <v>74</v>
      </c>
      <c r="S505" s="1" t="s">
        <v>74</v>
      </c>
      <c r="T505" s="1" t="s">
        <v>74</v>
      </c>
      <c r="U505" s="1" t="s">
        <v>74</v>
      </c>
      <c r="V505" s="1" t="s">
        <v>5221</v>
      </c>
      <c r="W505" s="1" t="s">
        <v>74</v>
      </c>
      <c r="X505" s="1" t="s">
        <v>74</v>
      </c>
      <c r="Y505" s="1" t="s">
        <v>74</v>
      </c>
      <c r="Z505" s="1" t="s">
        <v>74</v>
      </c>
      <c r="AA505" s="1" t="s">
        <v>5222</v>
      </c>
      <c r="AB505" s="1" t="s">
        <v>1969</v>
      </c>
      <c r="AC505" s="1" t="s">
        <v>74</v>
      </c>
      <c r="AD505" s="1" t="s">
        <v>74</v>
      </c>
      <c r="AE505" s="1" t="s">
        <v>74</v>
      </c>
      <c r="AF505" s="1" t="s">
        <v>74</v>
      </c>
      <c r="AG505" s="1" t="s">
        <v>74</v>
      </c>
      <c r="AH505" s="1" t="s">
        <v>74</v>
      </c>
      <c r="AI505" s="1" t="s">
        <v>74</v>
      </c>
      <c r="AJ505" s="1" t="s">
        <v>74</v>
      </c>
      <c r="AK505" s="1" t="s">
        <v>74</v>
      </c>
      <c r="AL505" s="1" t="s">
        <v>74</v>
      </c>
      <c r="AM505" s="1" t="s">
        <v>74</v>
      </c>
      <c r="AN505" s="1" t="s">
        <v>74</v>
      </c>
      <c r="AO505" s="1" t="s">
        <v>5223</v>
      </c>
      <c r="AP505" s="1" t="s">
        <v>74</v>
      </c>
      <c r="AQ505" s="1" t="s">
        <v>74</v>
      </c>
      <c r="AR505" s="1" t="s">
        <v>74</v>
      </c>
      <c r="AS505" s="1" t="s">
        <v>74</v>
      </c>
      <c r="AT505" s="1" t="s">
        <v>2436</v>
      </c>
      <c r="AU505" s="1">
        <v>1998.0</v>
      </c>
      <c r="AV505" s="1">
        <v>154.0</v>
      </c>
      <c r="AW505" s="1" t="s">
        <v>913</v>
      </c>
      <c r="AX505" s="1" t="s">
        <v>74</v>
      </c>
      <c r="AY505" s="1" t="s">
        <v>74</v>
      </c>
      <c r="AZ505" s="1" t="s">
        <v>74</v>
      </c>
      <c r="BA505" s="1" t="s">
        <v>74</v>
      </c>
      <c r="BB505" s="1">
        <v>28.0</v>
      </c>
      <c r="BC505" s="1">
        <v>34.0</v>
      </c>
      <c r="BD505" s="1" t="s">
        <v>74</v>
      </c>
      <c r="BE505" s="1" t="s">
        <v>5224</v>
      </c>
      <c r="BF505" s="2" t="str">
        <f>HYPERLINK("http://dx.doi.org/10.1016/S0030-4018(98)00276-4","http://dx.doi.org/10.1016/S0030-4018(98)00276-4")</f>
        <v>http://dx.doi.org/10.1016/S0030-4018(98)00276-4</v>
      </c>
      <c r="BG505" s="1" t="s">
        <v>74</v>
      </c>
      <c r="BH505" s="1" t="s">
        <v>74</v>
      </c>
      <c r="BI505" s="1" t="s">
        <v>74</v>
      </c>
      <c r="BJ505" s="1" t="s">
        <v>74</v>
      </c>
      <c r="BK505" s="1" t="s">
        <v>74</v>
      </c>
      <c r="BL505" s="1" t="s">
        <v>74</v>
      </c>
      <c r="BM505" s="1" t="s">
        <v>74</v>
      </c>
      <c r="BN505" s="1" t="s">
        <v>74</v>
      </c>
      <c r="BO505" s="1" t="s">
        <v>74</v>
      </c>
      <c r="BP505" s="1" t="s">
        <v>74</v>
      </c>
      <c r="BQ505" s="1" t="s">
        <v>74</v>
      </c>
      <c r="BR505" s="1" t="s">
        <v>74</v>
      </c>
      <c r="BS505" s="1" t="s">
        <v>5225</v>
      </c>
      <c r="BT505" s="1" t="str">
        <f>HYPERLINK("https%3A%2F%2Fwww.webofscience.com%2Fwos%2Fwoscc%2Ffull-record%2FWOS:000075525600007","View Full Record in Web of Science")</f>
        <v>View Full Record in Web of Science</v>
      </c>
    </row>
    <row r="506" ht="12.75" customHeight="1">
      <c r="A506" s="1" t="s">
        <v>72</v>
      </c>
      <c r="B506" s="1" t="s">
        <v>5226</v>
      </c>
      <c r="C506" s="1" t="s">
        <v>74</v>
      </c>
      <c r="D506" s="1" t="s">
        <v>74</v>
      </c>
      <c r="E506" s="1" t="s">
        <v>74</v>
      </c>
      <c r="F506" s="1" t="s">
        <v>5226</v>
      </c>
      <c r="G506" s="1" t="s">
        <v>74</v>
      </c>
      <c r="H506" s="1" t="s">
        <v>74</v>
      </c>
      <c r="I506" s="1" t="s">
        <v>5227</v>
      </c>
      <c r="J506" s="1" t="s">
        <v>4739</v>
      </c>
      <c r="K506" s="1" t="s">
        <v>74</v>
      </c>
      <c r="L506" s="1" t="s">
        <v>74</v>
      </c>
      <c r="M506" s="1" t="s">
        <v>74</v>
      </c>
      <c r="N506" s="1" t="s">
        <v>74</v>
      </c>
      <c r="O506" s="1" t="s">
        <v>74</v>
      </c>
      <c r="P506" s="1" t="s">
        <v>74</v>
      </c>
      <c r="Q506" s="1" t="s">
        <v>74</v>
      </c>
      <c r="R506" s="1" t="s">
        <v>74</v>
      </c>
      <c r="S506" s="1" t="s">
        <v>74</v>
      </c>
      <c r="T506" s="1" t="s">
        <v>74</v>
      </c>
      <c r="U506" s="1" t="s">
        <v>74</v>
      </c>
      <c r="V506" s="1" t="s">
        <v>5228</v>
      </c>
      <c r="W506" s="1" t="s">
        <v>74</v>
      </c>
      <c r="X506" s="1" t="s">
        <v>74</v>
      </c>
      <c r="Y506" s="1" t="s">
        <v>74</v>
      </c>
      <c r="Z506" s="1" t="s">
        <v>74</v>
      </c>
      <c r="AA506" s="1" t="s">
        <v>74</v>
      </c>
      <c r="AB506" s="1" t="s">
        <v>74</v>
      </c>
      <c r="AC506" s="1" t="s">
        <v>74</v>
      </c>
      <c r="AD506" s="1" t="s">
        <v>74</v>
      </c>
      <c r="AE506" s="1" t="s">
        <v>74</v>
      </c>
      <c r="AF506" s="1" t="s">
        <v>74</v>
      </c>
      <c r="AG506" s="1" t="s">
        <v>74</v>
      </c>
      <c r="AH506" s="1" t="s">
        <v>74</v>
      </c>
      <c r="AI506" s="1" t="s">
        <v>74</v>
      </c>
      <c r="AJ506" s="1" t="s">
        <v>74</v>
      </c>
      <c r="AK506" s="1" t="s">
        <v>74</v>
      </c>
      <c r="AL506" s="1" t="s">
        <v>74</v>
      </c>
      <c r="AM506" s="1" t="s">
        <v>74</v>
      </c>
      <c r="AN506" s="1" t="s">
        <v>74</v>
      </c>
      <c r="AO506" s="1" t="s">
        <v>4741</v>
      </c>
      <c r="AP506" s="1" t="s">
        <v>4742</v>
      </c>
      <c r="AQ506" s="1" t="s">
        <v>74</v>
      </c>
      <c r="AR506" s="1" t="s">
        <v>74</v>
      </c>
      <c r="AS506" s="1" t="s">
        <v>74</v>
      </c>
      <c r="AT506" s="1" t="s">
        <v>5229</v>
      </c>
      <c r="AU506" s="1">
        <v>1998.0</v>
      </c>
      <c r="AV506" s="1">
        <v>31.0</v>
      </c>
      <c r="AW506" s="1">
        <v>3.0</v>
      </c>
      <c r="AX506" s="1" t="s">
        <v>74</v>
      </c>
      <c r="AY506" s="1" t="s">
        <v>74</v>
      </c>
      <c r="AZ506" s="1" t="s">
        <v>74</v>
      </c>
      <c r="BA506" s="1" t="s">
        <v>74</v>
      </c>
      <c r="BB506" s="1">
        <v>160.0</v>
      </c>
      <c r="BC506" s="1">
        <v>168.0</v>
      </c>
      <c r="BD506" s="1" t="s">
        <v>74</v>
      </c>
      <c r="BE506" s="1" t="s">
        <v>5230</v>
      </c>
      <c r="BF506" s="2" t="str">
        <f>HYPERLINK("http://dx.doi.org/10.1159/000066239","http://dx.doi.org/10.1159/000066239")</f>
        <v>http://dx.doi.org/10.1159/000066239</v>
      </c>
      <c r="BG506" s="1" t="s">
        <v>74</v>
      </c>
      <c r="BH506" s="1" t="s">
        <v>74</v>
      </c>
      <c r="BI506" s="1" t="s">
        <v>74</v>
      </c>
      <c r="BJ506" s="1" t="s">
        <v>74</v>
      </c>
      <c r="BK506" s="1" t="s">
        <v>74</v>
      </c>
      <c r="BL506" s="1" t="s">
        <v>74</v>
      </c>
      <c r="BM506" s="1" t="s">
        <v>74</v>
      </c>
      <c r="BN506" s="1">
        <v>9636945.0</v>
      </c>
      <c r="BO506" s="1" t="s">
        <v>74</v>
      </c>
      <c r="BP506" s="1" t="s">
        <v>74</v>
      </c>
      <c r="BQ506" s="1" t="s">
        <v>74</v>
      </c>
      <c r="BR506" s="1" t="s">
        <v>74</v>
      </c>
      <c r="BS506" s="1" t="s">
        <v>5231</v>
      </c>
      <c r="BT506" s="1" t="str">
        <f>HYPERLINK("https%3A%2F%2Fwww.webofscience.com%2Fwos%2Fwoscc%2Ffull-record%2FWOS:000073997700006","View Full Record in Web of Science")</f>
        <v>View Full Record in Web of Science</v>
      </c>
    </row>
    <row r="507" ht="12.75" customHeight="1">
      <c r="A507" s="1" t="s">
        <v>72</v>
      </c>
      <c r="B507" s="1" t="s">
        <v>5232</v>
      </c>
      <c r="C507" s="1" t="s">
        <v>74</v>
      </c>
      <c r="D507" s="1" t="s">
        <v>74</v>
      </c>
      <c r="E507" s="1" t="s">
        <v>74</v>
      </c>
      <c r="F507" s="1" t="s">
        <v>5232</v>
      </c>
      <c r="G507" s="1" t="s">
        <v>74</v>
      </c>
      <c r="H507" s="1" t="s">
        <v>74</v>
      </c>
      <c r="I507" s="1" t="s">
        <v>5233</v>
      </c>
      <c r="J507" s="1" t="s">
        <v>3441</v>
      </c>
      <c r="K507" s="1" t="s">
        <v>74</v>
      </c>
      <c r="L507" s="1" t="s">
        <v>74</v>
      </c>
      <c r="M507" s="1" t="s">
        <v>74</v>
      </c>
      <c r="N507" s="1" t="s">
        <v>74</v>
      </c>
      <c r="O507" s="1" t="s">
        <v>74</v>
      </c>
      <c r="P507" s="1" t="s">
        <v>74</v>
      </c>
      <c r="Q507" s="1" t="s">
        <v>74</v>
      </c>
      <c r="R507" s="1" t="s">
        <v>74</v>
      </c>
      <c r="S507" s="1" t="s">
        <v>74</v>
      </c>
      <c r="T507" s="1" t="s">
        <v>74</v>
      </c>
      <c r="U507" s="1" t="s">
        <v>74</v>
      </c>
      <c r="V507" s="1" t="s">
        <v>5234</v>
      </c>
      <c r="W507" s="1" t="s">
        <v>74</v>
      </c>
      <c r="X507" s="1" t="s">
        <v>74</v>
      </c>
      <c r="Y507" s="1" t="s">
        <v>74</v>
      </c>
      <c r="Z507" s="1" t="s">
        <v>74</v>
      </c>
      <c r="AA507" s="1" t="s">
        <v>5235</v>
      </c>
      <c r="AB507" s="1" t="s">
        <v>5236</v>
      </c>
      <c r="AC507" s="1" t="s">
        <v>74</v>
      </c>
      <c r="AD507" s="1" t="s">
        <v>74</v>
      </c>
      <c r="AE507" s="1" t="s">
        <v>74</v>
      </c>
      <c r="AF507" s="1" t="s">
        <v>74</v>
      </c>
      <c r="AG507" s="1" t="s">
        <v>74</v>
      </c>
      <c r="AH507" s="1" t="s">
        <v>74</v>
      </c>
      <c r="AI507" s="1" t="s">
        <v>74</v>
      </c>
      <c r="AJ507" s="1" t="s">
        <v>74</v>
      </c>
      <c r="AK507" s="1" t="s">
        <v>74</v>
      </c>
      <c r="AL507" s="1" t="s">
        <v>74</v>
      </c>
      <c r="AM507" s="1" t="s">
        <v>74</v>
      </c>
      <c r="AN507" s="1" t="s">
        <v>74</v>
      </c>
      <c r="AO507" s="1" t="s">
        <v>3448</v>
      </c>
      <c r="AP507" s="1" t="s">
        <v>74</v>
      </c>
      <c r="AQ507" s="1" t="s">
        <v>74</v>
      </c>
      <c r="AR507" s="1" t="s">
        <v>74</v>
      </c>
      <c r="AS507" s="1" t="s">
        <v>74</v>
      </c>
      <c r="AT507" s="1" t="s">
        <v>537</v>
      </c>
      <c r="AU507" s="1">
        <v>1996.0</v>
      </c>
      <c r="AV507" s="1">
        <v>43.0</v>
      </c>
      <c r="AW507" s="1" t="s">
        <v>913</v>
      </c>
      <c r="AX507" s="1" t="s">
        <v>74</v>
      </c>
      <c r="AY507" s="1" t="s">
        <v>74</v>
      </c>
      <c r="AZ507" s="1" t="s">
        <v>74</v>
      </c>
      <c r="BA507" s="1" t="s">
        <v>74</v>
      </c>
      <c r="BB507" s="1">
        <v>1.0</v>
      </c>
      <c r="BC507" s="1">
        <v>12.0</v>
      </c>
      <c r="BD507" s="1" t="s">
        <v>74</v>
      </c>
      <c r="BE507" s="1" t="s">
        <v>5237</v>
      </c>
      <c r="BF507" s="2" t="str">
        <f>HYPERLINK("http://dx.doi.org/10.1016/0304-386X(96)00026-6","http://dx.doi.org/10.1016/0304-386X(96)00026-6")</f>
        <v>http://dx.doi.org/10.1016/0304-386X(96)00026-6</v>
      </c>
      <c r="BG507" s="1" t="s">
        <v>74</v>
      </c>
      <c r="BH507" s="1" t="s">
        <v>74</v>
      </c>
      <c r="BI507" s="1" t="s">
        <v>74</v>
      </c>
      <c r="BJ507" s="1" t="s">
        <v>74</v>
      </c>
      <c r="BK507" s="1" t="s">
        <v>74</v>
      </c>
      <c r="BL507" s="1" t="s">
        <v>74</v>
      </c>
      <c r="BM507" s="1" t="s">
        <v>74</v>
      </c>
      <c r="BN507" s="1" t="s">
        <v>74</v>
      </c>
      <c r="BO507" s="1" t="s">
        <v>74</v>
      </c>
      <c r="BP507" s="1" t="s">
        <v>74</v>
      </c>
      <c r="BQ507" s="1" t="s">
        <v>74</v>
      </c>
      <c r="BR507" s="1" t="s">
        <v>74</v>
      </c>
      <c r="BS507" s="1" t="s">
        <v>5238</v>
      </c>
      <c r="BT507" s="1" t="str">
        <f>HYPERLINK("https%3A%2F%2Fwww.webofscience.com%2Fwos%2Fwoscc%2Ffull-record%2FWOS:A1996VM89200001","View Full Record in Web of Science")</f>
        <v>View Full Record in Web of Science</v>
      </c>
    </row>
    <row r="508" ht="12.75" customHeight="1">
      <c r="A508" s="1" t="s">
        <v>72</v>
      </c>
      <c r="B508" s="1" t="s">
        <v>5239</v>
      </c>
      <c r="C508" s="1" t="s">
        <v>74</v>
      </c>
      <c r="D508" s="1" t="s">
        <v>74</v>
      </c>
      <c r="E508" s="1" t="s">
        <v>74</v>
      </c>
      <c r="F508" s="1" t="s">
        <v>5240</v>
      </c>
      <c r="G508" s="1" t="s">
        <v>74</v>
      </c>
      <c r="H508" s="1" t="s">
        <v>74</v>
      </c>
      <c r="I508" s="1" t="s">
        <v>5241</v>
      </c>
      <c r="J508" s="1" t="s">
        <v>5242</v>
      </c>
      <c r="K508" s="1" t="s">
        <v>74</v>
      </c>
      <c r="L508" s="1" t="s">
        <v>74</v>
      </c>
      <c r="M508" s="1" t="s">
        <v>74</v>
      </c>
      <c r="N508" s="1" t="s">
        <v>74</v>
      </c>
      <c r="O508" s="1" t="s">
        <v>74</v>
      </c>
      <c r="P508" s="1" t="s">
        <v>74</v>
      </c>
      <c r="Q508" s="1" t="s">
        <v>74</v>
      </c>
      <c r="R508" s="1" t="s">
        <v>74</v>
      </c>
      <c r="S508" s="1" t="s">
        <v>74</v>
      </c>
      <c r="T508" s="1" t="s">
        <v>74</v>
      </c>
      <c r="U508" s="1" t="s">
        <v>74</v>
      </c>
      <c r="V508" s="1" t="s">
        <v>5243</v>
      </c>
      <c r="W508" s="1" t="s">
        <v>74</v>
      </c>
      <c r="X508" s="1" t="s">
        <v>74</v>
      </c>
      <c r="Y508" s="1" t="s">
        <v>74</v>
      </c>
      <c r="Z508" s="1" t="s">
        <v>74</v>
      </c>
      <c r="AA508" s="1" t="s">
        <v>5244</v>
      </c>
      <c r="AB508" s="1" t="s">
        <v>5245</v>
      </c>
      <c r="AC508" s="1" t="s">
        <v>74</v>
      </c>
      <c r="AD508" s="1" t="s">
        <v>74</v>
      </c>
      <c r="AE508" s="1" t="s">
        <v>74</v>
      </c>
      <c r="AF508" s="1" t="s">
        <v>74</v>
      </c>
      <c r="AG508" s="1" t="s">
        <v>74</v>
      </c>
      <c r="AH508" s="1" t="s">
        <v>74</v>
      </c>
      <c r="AI508" s="1" t="s">
        <v>74</v>
      </c>
      <c r="AJ508" s="1" t="s">
        <v>74</v>
      </c>
      <c r="AK508" s="1" t="s">
        <v>74</v>
      </c>
      <c r="AL508" s="1" t="s">
        <v>74</v>
      </c>
      <c r="AM508" s="1" t="s">
        <v>74</v>
      </c>
      <c r="AN508" s="1" t="s">
        <v>74</v>
      </c>
      <c r="AO508" s="1" t="s">
        <v>5246</v>
      </c>
      <c r="AP508" s="1" t="s">
        <v>5247</v>
      </c>
      <c r="AQ508" s="1" t="s">
        <v>74</v>
      </c>
      <c r="AR508" s="1" t="s">
        <v>74</v>
      </c>
      <c r="AS508" s="1" t="s">
        <v>74</v>
      </c>
      <c r="AT508" s="1" t="s">
        <v>360</v>
      </c>
      <c r="AU508" s="1">
        <v>2024.0</v>
      </c>
      <c r="AV508" s="1">
        <v>249.0</v>
      </c>
      <c r="AW508" s="1" t="s">
        <v>74</v>
      </c>
      <c r="AX508" s="1" t="s">
        <v>74</v>
      </c>
      <c r="AY508" s="1" t="s">
        <v>74</v>
      </c>
      <c r="AZ508" s="1" t="s">
        <v>74</v>
      </c>
      <c r="BA508" s="1" t="s">
        <v>74</v>
      </c>
      <c r="BB508" s="1" t="s">
        <v>74</v>
      </c>
      <c r="BC508" s="1" t="s">
        <v>74</v>
      </c>
      <c r="BD508" s="1">
        <v>116151.0</v>
      </c>
      <c r="BE508" s="1" t="s">
        <v>5248</v>
      </c>
      <c r="BF508" s="2" t="str">
        <f>HYPERLINK("http://dx.doi.org/10.1016/j.scriptamat.2024.116151","http://dx.doi.org/10.1016/j.scriptamat.2024.116151")</f>
        <v>http://dx.doi.org/10.1016/j.scriptamat.2024.116151</v>
      </c>
      <c r="BG508" s="1" t="s">
        <v>74</v>
      </c>
      <c r="BH508" s="1" t="s">
        <v>4786</v>
      </c>
      <c r="BI508" s="1" t="s">
        <v>74</v>
      </c>
      <c r="BJ508" s="1" t="s">
        <v>74</v>
      </c>
      <c r="BK508" s="1" t="s">
        <v>74</v>
      </c>
      <c r="BL508" s="1" t="s">
        <v>74</v>
      </c>
      <c r="BM508" s="1" t="s">
        <v>74</v>
      </c>
      <c r="BN508" s="1" t="s">
        <v>74</v>
      </c>
      <c r="BO508" s="1" t="s">
        <v>74</v>
      </c>
      <c r="BP508" s="1" t="s">
        <v>74</v>
      </c>
      <c r="BQ508" s="1" t="s">
        <v>74</v>
      </c>
      <c r="BR508" s="1" t="s">
        <v>74</v>
      </c>
      <c r="BS508" s="1" t="s">
        <v>5249</v>
      </c>
      <c r="BT508" s="1" t="str">
        <f>HYPERLINK("https%3A%2F%2Fwww.webofscience.com%2Fwos%2Fwoscc%2Ffull-record%2FWOS:001237138800001","View Full Record in Web of Science")</f>
        <v>View Full Record in Web of Science</v>
      </c>
    </row>
    <row r="509" ht="12.75" customHeight="1">
      <c r="A509" s="1" t="s">
        <v>72</v>
      </c>
      <c r="B509" s="1" t="s">
        <v>5250</v>
      </c>
      <c r="C509" s="1" t="s">
        <v>74</v>
      </c>
      <c r="D509" s="1" t="s">
        <v>74</v>
      </c>
      <c r="E509" s="1" t="s">
        <v>74</v>
      </c>
      <c r="F509" s="1" t="s">
        <v>5251</v>
      </c>
      <c r="G509" s="1" t="s">
        <v>74</v>
      </c>
      <c r="H509" s="1" t="s">
        <v>74</v>
      </c>
      <c r="I509" s="1" t="s">
        <v>5252</v>
      </c>
      <c r="J509" s="1" t="s">
        <v>5253</v>
      </c>
      <c r="K509" s="1" t="s">
        <v>74</v>
      </c>
      <c r="L509" s="1" t="s">
        <v>74</v>
      </c>
      <c r="M509" s="1" t="s">
        <v>74</v>
      </c>
      <c r="N509" s="1" t="s">
        <v>74</v>
      </c>
      <c r="O509" s="1" t="s">
        <v>74</v>
      </c>
      <c r="P509" s="1" t="s">
        <v>74</v>
      </c>
      <c r="Q509" s="1" t="s">
        <v>74</v>
      </c>
      <c r="R509" s="1" t="s">
        <v>74</v>
      </c>
      <c r="S509" s="1" t="s">
        <v>74</v>
      </c>
      <c r="T509" s="1" t="s">
        <v>74</v>
      </c>
      <c r="U509" s="1" t="s">
        <v>74</v>
      </c>
      <c r="V509" s="1" t="s">
        <v>5254</v>
      </c>
      <c r="W509" s="1" t="s">
        <v>74</v>
      </c>
      <c r="X509" s="1" t="s">
        <v>74</v>
      </c>
      <c r="Y509" s="1" t="s">
        <v>74</v>
      </c>
      <c r="Z509" s="1" t="s">
        <v>74</v>
      </c>
      <c r="AA509" s="1" t="s">
        <v>5255</v>
      </c>
      <c r="AB509" s="1" t="s">
        <v>5256</v>
      </c>
      <c r="AC509" s="1" t="s">
        <v>74</v>
      </c>
      <c r="AD509" s="1" t="s">
        <v>74</v>
      </c>
      <c r="AE509" s="1" t="s">
        <v>74</v>
      </c>
      <c r="AF509" s="1" t="s">
        <v>74</v>
      </c>
      <c r="AG509" s="1" t="s">
        <v>74</v>
      </c>
      <c r="AH509" s="1" t="s">
        <v>74</v>
      </c>
      <c r="AI509" s="1" t="s">
        <v>74</v>
      </c>
      <c r="AJ509" s="1" t="s">
        <v>74</v>
      </c>
      <c r="AK509" s="1" t="s">
        <v>74</v>
      </c>
      <c r="AL509" s="1" t="s">
        <v>74</v>
      </c>
      <c r="AM509" s="1" t="s">
        <v>74</v>
      </c>
      <c r="AN509" s="1" t="s">
        <v>74</v>
      </c>
      <c r="AO509" s="1" t="s">
        <v>74</v>
      </c>
      <c r="AP509" s="1" t="s">
        <v>5257</v>
      </c>
      <c r="AQ509" s="1" t="s">
        <v>74</v>
      </c>
      <c r="AR509" s="1" t="s">
        <v>74</v>
      </c>
      <c r="AS509" s="1" t="s">
        <v>74</v>
      </c>
      <c r="AT509" s="1" t="s">
        <v>5258</v>
      </c>
      <c r="AU509" s="1">
        <v>2024.0</v>
      </c>
      <c r="AV509" s="1">
        <v>3.0</v>
      </c>
      <c r="AW509" s="1">
        <v>4.0</v>
      </c>
      <c r="AX509" s="1" t="s">
        <v>74</v>
      </c>
      <c r="AY509" s="1" t="s">
        <v>74</v>
      </c>
      <c r="AZ509" s="1" t="s">
        <v>74</v>
      </c>
      <c r="BA509" s="1" t="s">
        <v>74</v>
      </c>
      <c r="BB509" s="1" t="s">
        <v>74</v>
      </c>
      <c r="BC509" s="1" t="s">
        <v>74</v>
      </c>
      <c r="BD509" s="1" t="s">
        <v>5259</v>
      </c>
      <c r="BE509" s="1" t="s">
        <v>5260</v>
      </c>
      <c r="BF509" s="2" t="str">
        <f>HYPERLINK("http://dx.doi.org/10.1093/pnasnexus/pgae083","http://dx.doi.org/10.1093/pnasnexus/pgae083")</f>
        <v>http://dx.doi.org/10.1093/pnasnexus/pgae083</v>
      </c>
      <c r="BG509" s="1" t="s">
        <v>74</v>
      </c>
      <c r="BH509" s="1" t="s">
        <v>4786</v>
      </c>
      <c r="BI509" s="1" t="s">
        <v>74</v>
      </c>
      <c r="BJ509" s="1" t="s">
        <v>74</v>
      </c>
      <c r="BK509" s="1" t="s">
        <v>74</v>
      </c>
      <c r="BL509" s="1" t="s">
        <v>74</v>
      </c>
      <c r="BM509" s="1" t="s">
        <v>74</v>
      </c>
      <c r="BN509" s="1">
        <v>3.856258E7</v>
      </c>
      <c r="BO509" s="1" t="s">
        <v>74</v>
      </c>
      <c r="BP509" s="1" t="s">
        <v>74</v>
      </c>
      <c r="BQ509" s="1" t="s">
        <v>74</v>
      </c>
      <c r="BR509" s="1" t="s">
        <v>74</v>
      </c>
      <c r="BS509" s="1" t="s">
        <v>5261</v>
      </c>
      <c r="BT509" s="1" t="str">
        <f>HYPERLINK("https%3A%2F%2Fwww.webofscience.com%2Fwos%2Fwoscc%2Ffull-record%2FWOS:001195575800001","View Full Record in Web of Science")</f>
        <v>View Full Record in Web of Science</v>
      </c>
    </row>
    <row r="510" ht="12.75" customHeight="1">
      <c r="A510" s="1" t="s">
        <v>72</v>
      </c>
      <c r="B510" s="1" t="s">
        <v>5262</v>
      </c>
      <c r="C510" s="1" t="s">
        <v>74</v>
      </c>
      <c r="D510" s="1" t="s">
        <v>74</v>
      </c>
      <c r="E510" s="1" t="s">
        <v>74</v>
      </c>
      <c r="F510" s="1" t="s">
        <v>5263</v>
      </c>
      <c r="G510" s="1" t="s">
        <v>74</v>
      </c>
      <c r="H510" s="1" t="s">
        <v>74</v>
      </c>
      <c r="I510" s="1" t="s">
        <v>5264</v>
      </c>
      <c r="J510" s="1" t="s">
        <v>5265</v>
      </c>
      <c r="K510" s="1" t="s">
        <v>74</v>
      </c>
      <c r="L510" s="1" t="s">
        <v>74</v>
      </c>
      <c r="M510" s="1" t="s">
        <v>74</v>
      </c>
      <c r="N510" s="1" t="s">
        <v>74</v>
      </c>
      <c r="O510" s="1" t="s">
        <v>74</v>
      </c>
      <c r="P510" s="1" t="s">
        <v>74</v>
      </c>
      <c r="Q510" s="1" t="s">
        <v>74</v>
      </c>
      <c r="R510" s="1" t="s">
        <v>74</v>
      </c>
      <c r="S510" s="1" t="s">
        <v>74</v>
      </c>
      <c r="T510" s="1" t="s">
        <v>74</v>
      </c>
      <c r="U510" s="1" t="s">
        <v>74</v>
      </c>
      <c r="V510" s="1" t="s">
        <v>5266</v>
      </c>
      <c r="W510" s="1" t="s">
        <v>74</v>
      </c>
      <c r="X510" s="1" t="s">
        <v>74</v>
      </c>
      <c r="Y510" s="1" t="s">
        <v>74</v>
      </c>
      <c r="Z510" s="1" t="s">
        <v>74</v>
      </c>
      <c r="AA510" s="1" t="s">
        <v>5267</v>
      </c>
      <c r="AB510" s="1" t="s">
        <v>74</v>
      </c>
      <c r="AC510" s="1" t="s">
        <v>74</v>
      </c>
      <c r="AD510" s="1" t="s">
        <v>74</v>
      </c>
      <c r="AE510" s="1" t="s">
        <v>74</v>
      </c>
      <c r="AF510" s="1" t="s">
        <v>74</v>
      </c>
      <c r="AG510" s="1" t="s">
        <v>74</v>
      </c>
      <c r="AH510" s="1" t="s">
        <v>74</v>
      </c>
      <c r="AI510" s="1" t="s">
        <v>74</v>
      </c>
      <c r="AJ510" s="1" t="s">
        <v>74</v>
      </c>
      <c r="AK510" s="1" t="s">
        <v>74</v>
      </c>
      <c r="AL510" s="1" t="s">
        <v>74</v>
      </c>
      <c r="AM510" s="1" t="s">
        <v>74</v>
      </c>
      <c r="AN510" s="1" t="s">
        <v>74</v>
      </c>
      <c r="AO510" s="1" t="s">
        <v>5268</v>
      </c>
      <c r="AP510" s="1" t="s">
        <v>5269</v>
      </c>
      <c r="AQ510" s="1" t="s">
        <v>74</v>
      </c>
      <c r="AR510" s="1" t="s">
        <v>74</v>
      </c>
      <c r="AS510" s="1" t="s">
        <v>74</v>
      </c>
      <c r="AT510" s="1" t="s">
        <v>111</v>
      </c>
      <c r="AU510" s="1">
        <v>2023.0</v>
      </c>
      <c r="AV510" s="1">
        <v>31.0</v>
      </c>
      <c r="AW510" s="1">
        <v>2.0</v>
      </c>
      <c r="AX510" s="1" t="s">
        <v>74</v>
      </c>
      <c r="AY510" s="1" t="s">
        <v>74</v>
      </c>
      <c r="AZ510" s="1" t="s">
        <v>74</v>
      </c>
      <c r="BA510" s="1" t="s">
        <v>74</v>
      </c>
      <c r="BB510" s="1">
        <v>236.0</v>
      </c>
      <c r="BC510" s="1">
        <v>242.0</v>
      </c>
      <c r="BD510" s="1" t="s">
        <v>74</v>
      </c>
      <c r="BE510" s="1" t="s">
        <v>5270</v>
      </c>
      <c r="BF510" s="2" t="str">
        <f>HYPERLINK("http://dx.doi.org/10.2478/orhu-2023-0033","http://dx.doi.org/10.2478/orhu-2023-0033")</f>
        <v>http://dx.doi.org/10.2478/orhu-2023-0033</v>
      </c>
      <c r="BG510" s="1" t="s">
        <v>74</v>
      </c>
      <c r="BH510" s="1" t="s">
        <v>74</v>
      </c>
      <c r="BI510" s="1" t="s">
        <v>74</v>
      </c>
      <c r="BJ510" s="1" t="s">
        <v>74</v>
      </c>
      <c r="BK510" s="1" t="s">
        <v>74</v>
      </c>
      <c r="BL510" s="1" t="s">
        <v>74</v>
      </c>
      <c r="BM510" s="1" t="s">
        <v>74</v>
      </c>
      <c r="BN510" s="1" t="s">
        <v>74</v>
      </c>
      <c r="BO510" s="1" t="s">
        <v>74</v>
      </c>
      <c r="BP510" s="1" t="s">
        <v>74</v>
      </c>
      <c r="BQ510" s="1" t="s">
        <v>74</v>
      </c>
      <c r="BR510" s="1" t="s">
        <v>74</v>
      </c>
      <c r="BS510" s="1" t="s">
        <v>5271</v>
      </c>
      <c r="BT510" s="1" t="str">
        <f>HYPERLINK("https%3A%2F%2Fwww.webofscience.com%2Fwos%2Fwoscc%2Ffull-record%2FWOS:001163784800013","View Full Record in Web of Science")</f>
        <v>View Full Record in Web of Science</v>
      </c>
    </row>
    <row r="511" ht="12.75" customHeight="1">
      <c r="A511" s="1" t="s">
        <v>72</v>
      </c>
      <c r="B511" s="1" t="s">
        <v>5272</v>
      </c>
      <c r="C511" s="1" t="s">
        <v>74</v>
      </c>
      <c r="D511" s="1" t="s">
        <v>74</v>
      </c>
      <c r="E511" s="1" t="s">
        <v>74</v>
      </c>
      <c r="F511" s="1" t="s">
        <v>5273</v>
      </c>
      <c r="G511" s="1" t="s">
        <v>74</v>
      </c>
      <c r="H511" s="1" t="s">
        <v>74</v>
      </c>
      <c r="I511" s="1" t="s">
        <v>5274</v>
      </c>
      <c r="J511" s="1" t="s">
        <v>5275</v>
      </c>
      <c r="K511" s="1" t="s">
        <v>74</v>
      </c>
      <c r="L511" s="1" t="s">
        <v>74</v>
      </c>
      <c r="M511" s="1" t="s">
        <v>74</v>
      </c>
      <c r="N511" s="1" t="s">
        <v>74</v>
      </c>
      <c r="O511" s="1" t="s">
        <v>74</v>
      </c>
      <c r="P511" s="1" t="s">
        <v>74</v>
      </c>
      <c r="Q511" s="1" t="s">
        <v>74</v>
      </c>
      <c r="R511" s="1" t="s">
        <v>74</v>
      </c>
      <c r="S511" s="1" t="s">
        <v>74</v>
      </c>
      <c r="T511" s="1" t="s">
        <v>74</v>
      </c>
      <c r="U511" s="1" t="s">
        <v>74</v>
      </c>
      <c r="V511" s="1" t="s">
        <v>5276</v>
      </c>
      <c r="W511" s="1" t="s">
        <v>74</v>
      </c>
      <c r="X511" s="1" t="s">
        <v>74</v>
      </c>
      <c r="Y511" s="1" t="s">
        <v>74</v>
      </c>
      <c r="Z511" s="1" t="s">
        <v>74</v>
      </c>
      <c r="AA511" s="1" t="s">
        <v>5277</v>
      </c>
      <c r="AB511" s="1" t="s">
        <v>5278</v>
      </c>
      <c r="AC511" s="1" t="s">
        <v>74</v>
      </c>
      <c r="AD511" s="1" t="s">
        <v>74</v>
      </c>
      <c r="AE511" s="1" t="s">
        <v>74</v>
      </c>
      <c r="AF511" s="1" t="s">
        <v>74</v>
      </c>
      <c r="AG511" s="1" t="s">
        <v>74</v>
      </c>
      <c r="AH511" s="1" t="s">
        <v>74</v>
      </c>
      <c r="AI511" s="1" t="s">
        <v>74</v>
      </c>
      <c r="AJ511" s="1" t="s">
        <v>74</v>
      </c>
      <c r="AK511" s="1" t="s">
        <v>74</v>
      </c>
      <c r="AL511" s="1" t="s">
        <v>74</v>
      </c>
      <c r="AM511" s="1" t="s">
        <v>74</v>
      </c>
      <c r="AN511" s="1" t="s">
        <v>74</v>
      </c>
      <c r="AO511" s="1" t="s">
        <v>5279</v>
      </c>
      <c r="AP511" s="1" t="s">
        <v>5280</v>
      </c>
      <c r="AQ511" s="1" t="s">
        <v>74</v>
      </c>
      <c r="AR511" s="1" t="s">
        <v>74</v>
      </c>
      <c r="AS511" s="1" t="s">
        <v>74</v>
      </c>
      <c r="AT511" s="1" t="s">
        <v>5281</v>
      </c>
      <c r="AU511" s="1">
        <v>2023.0</v>
      </c>
      <c r="AV511" s="1" t="s">
        <v>74</v>
      </c>
      <c r="AW511" s="1" t="s">
        <v>74</v>
      </c>
      <c r="AX511" s="1" t="s">
        <v>74</v>
      </c>
      <c r="AY511" s="1" t="s">
        <v>74</v>
      </c>
      <c r="AZ511" s="1" t="s">
        <v>74</v>
      </c>
      <c r="BA511" s="1" t="s">
        <v>74</v>
      </c>
      <c r="BB511" s="1" t="s">
        <v>74</v>
      </c>
      <c r="BC511" s="1" t="s">
        <v>74</v>
      </c>
      <c r="BD511" s="1" t="s">
        <v>74</v>
      </c>
      <c r="BE511" s="1" t="s">
        <v>5282</v>
      </c>
      <c r="BF511" s="2" t="str">
        <f>HYPERLINK("http://dx.doi.org/10.1002/anie.202315146","http://dx.doi.org/10.1002/anie.202315146")</f>
        <v>http://dx.doi.org/10.1002/anie.202315146</v>
      </c>
      <c r="BG511" s="1" t="s">
        <v>74</v>
      </c>
      <c r="BH511" s="1" t="s">
        <v>2385</v>
      </c>
      <c r="BI511" s="1" t="s">
        <v>74</v>
      </c>
      <c r="BJ511" s="1" t="s">
        <v>74</v>
      </c>
      <c r="BK511" s="1" t="s">
        <v>74</v>
      </c>
      <c r="BL511" s="1" t="s">
        <v>74</v>
      </c>
      <c r="BM511" s="1" t="s">
        <v>74</v>
      </c>
      <c r="BN511" s="1">
        <v>3.7953459E7</v>
      </c>
      <c r="BO511" s="1" t="s">
        <v>74</v>
      </c>
      <c r="BP511" s="1" t="s">
        <v>74</v>
      </c>
      <c r="BQ511" s="1" t="s">
        <v>74</v>
      </c>
      <c r="BR511" s="1" t="s">
        <v>74</v>
      </c>
      <c r="BS511" s="1" t="s">
        <v>5283</v>
      </c>
      <c r="BT511" s="1" t="str">
        <f>HYPERLINK("https%3A%2F%2Fwww.webofscience.com%2Fwos%2Fwoscc%2Ffull-record%2FWOS:001105956300001","View Full Record in Web of Science")</f>
        <v>View Full Record in Web of Science</v>
      </c>
    </row>
    <row r="512" ht="12.75" customHeight="1">
      <c r="A512" s="1" t="s">
        <v>72</v>
      </c>
      <c r="B512" s="1" t="s">
        <v>5284</v>
      </c>
      <c r="C512" s="1" t="s">
        <v>74</v>
      </c>
      <c r="D512" s="1" t="s">
        <v>74</v>
      </c>
      <c r="E512" s="1" t="s">
        <v>74</v>
      </c>
      <c r="F512" s="1" t="s">
        <v>5285</v>
      </c>
      <c r="G512" s="1" t="s">
        <v>74</v>
      </c>
      <c r="H512" s="1" t="s">
        <v>74</v>
      </c>
      <c r="I512" s="1" t="s">
        <v>5286</v>
      </c>
      <c r="J512" s="1" t="s">
        <v>5287</v>
      </c>
      <c r="K512" s="1" t="s">
        <v>74</v>
      </c>
      <c r="L512" s="1" t="s">
        <v>74</v>
      </c>
      <c r="M512" s="1" t="s">
        <v>74</v>
      </c>
      <c r="N512" s="1" t="s">
        <v>74</v>
      </c>
      <c r="O512" s="1" t="s">
        <v>74</v>
      </c>
      <c r="P512" s="1" t="s">
        <v>74</v>
      </c>
      <c r="Q512" s="1" t="s">
        <v>74</v>
      </c>
      <c r="R512" s="1" t="s">
        <v>74</v>
      </c>
      <c r="S512" s="1" t="s">
        <v>74</v>
      </c>
      <c r="T512" s="1" t="s">
        <v>74</v>
      </c>
      <c r="U512" s="1" t="s">
        <v>74</v>
      </c>
      <c r="V512" s="1" t="s">
        <v>5288</v>
      </c>
      <c r="W512" s="1" t="s">
        <v>74</v>
      </c>
      <c r="X512" s="1" t="s">
        <v>74</v>
      </c>
      <c r="Y512" s="1" t="s">
        <v>74</v>
      </c>
      <c r="Z512" s="1" t="s">
        <v>74</v>
      </c>
      <c r="AA512" s="1" t="s">
        <v>5289</v>
      </c>
      <c r="AB512" s="1" t="s">
        <v>5290</v>
      </c>
      <c r="AC512" s="1" t="s">
        <v>74</v>
      </c>
      <c r="AD512" s="1" t="s">
        <v>74</v>
      </c>
      <c r="AE512" s="1" t="s">
        <v>74</v>
      </c>
      <c r="AF512" s="1" t="s">
        <v>74</v>
      </c>
      <c r="AG512" s="1" t="s">
        <v>74</v>
      </c>
      <c r="AH512" s="1" t="s">
        <v>74</v>
      </c>
      <c r="AI512" s="1" t="s">
        <v>74</v>
      </c>
      <c r="AJ512" s="1" t="s">
        <v>74</v>
      </c>
      <c r="AK512" s="1" t="s">
        <v>74</v>
      </c>
      <c r="AL512" s="1" t="s">
        <v>74</v>
      </c>
      <c r="AM512" s="1" t="s">
        <v>74</v>
      </c>
      <c r="AN512" s="1" t="s">
        <v>74</v>
      </c>
      <c r="AO512" s="1" t="s">
        <v>5291</v>
      </c>
      <c r="AP512" s="1" t="s">
        <v>5292</v>
      </c>
      <c r="AQ512" s="1" t="s">
        <v>74</v>
      </c>
      <c r="AR512" s="1" t="s">
        <v>74</v>
      </c>
      <c r="AS512" s="1" t="s">
        <v>74</v>
      </c>
      <c r="AT512" s="1" t="s">
        <v>123</v>
      </c>
      <c r="AU512" s="1">
        <v>2023.0</v>
      </c>
      <c r="AV512" s="1">
        <v>321.0</v>
      </c>
      <c r="AW512" s="1" t="s">
        <v>74</v>
      </c>
      <c r="AX512" s="1" t="s">
        <v>74</v>
      </c>
      <c r="AY512" s="1" t="s">
        <v>74</v>
      </c>
      <c r="AZ512" s="1" t="s">
        <v>74</v>
      </c>
      <c r="BA512" s="1" t="s">
        <v>74</v>
      </c>
      <c r="BB512" s="1" t="s">
        <v>74</v>
      </c>
      <c r="BC512" s="1" t="s">
        <v>74</v>
      </c>
      <c r="BD512" s="1">
        <v>121139.0</v>
      </c>
      <c r="BE512" s="1" t="s">
        <v>5293</v>
      </c>
      <c r="BF512" s="2" t="str">
        <f>HYPERLINK("http://dx.doi.org/10.1016/j.envpol.2023.121139","http://dx.doi.org/10.1016/j.envpol.2023.121139")</f>
        <v>http://dx.doi.org/10.1016/j.envpol.2023.121139</v>
      </c>
      <c r="BG512" s="1" t="s">
        <v>74</v>
      </c>
      <c r="BH512" s="1" t="s">
        <v>5294</v>
      </c>
      <c r="BI512" s="1" t="s">
        <v>74</v>
      </c>
      <c r="BJ512" s="1" t="s">
        <v>74</v>
      </c>
      <c r="BK512" s="1" t="s">
        <v>74</v>
      </c>
      <c r="BL512" s="1" t="s">
        <v>74</v>
      </c>
      <c r="BM512" s="1" t="s">
        <v>74</v>
      </c>
      <c r="BN512" s="1">
        <v>3.6702434E7</v>
      </c>
      <c r="BO512" s="1" t="s">
        <v>74</v>
      </c>
      <c r="BP512" s="1" t="s">
        <v>74</v>
      </c>
      <c r="BQ512" s="1" t="s">
        <v>74</v>
      </c>
      <c r="BR512" s="1" t="s">
        <v>74</v>
      </c>
      <c r="BS512" s="1" t="s">
        <v>5295</v>
      </c>
      <c r="BT512" s="1" t="str">
        <f>HYPERLINK("https%3A%2F%2Fwww.webofscience.com%2Fwos%2Fwoscc%2Ffull-record%2FWOS:000927456500001","View Full Record in Web of Science")</f>
        <v>View Full Record in Web of Science</v>
      </c>
    </row>
    <row r="513" ht="12.75" customHeight="1">
      <c r="A513" s="1" t="s">
        <v>72</v>
      </c>
      <c r="B513" s="1" t="s">
        <v>5296</v>
      </c>
      <c r="C513" s="1" t="s">
        <v>74</v>
      </c>
      <c r="D513" s="1" t="s">
        <v>74</v>
      </c>
      <c r="E513" s="1" t="s">
        <v>74</v>
      </c>
      <c r="F513" s="1" t="s">
        <v>5297</v>
      </c>
      <c r="G513" s="1" t="s">
        <v>74</v>
      </c>
      <c r="H513" s="1" t="s">
        <v>74</v>
      </c>
      <c r="I513" s="1" t="s">
        <v>5298</v>
      </c>
      <c r="J513" s="1" t="s">
        <v>5299</v>
      </c>
      <c r="K513" s="1" t="s">
        <v>74</v>
      </c>
      <c r="L513" s="1" t="s">
        <v>74</v>
      </c>
      <c r="M513" s="1" t="s">
        <v>74</v>
      </c>
      <c r="N513" s="1" t="s">
        <v>74</v>
      </c>
      <c r="O513" s="1" t="s">
        <v>74</v>
      </c>
      <c r="P513" s="1" t="s">
        <v>74</v>
      </c>
      <c r="Q513" s="1" t="s">
        <v>74</v>
      </c>
      <c r="R513" s="1" t="s">
        <v>74</v>
      </c>
      <c r="S513" s="1" t="s">
        <v>74</v>
      </c>
      <c r="T513" s="1" t="s">
        <v>74</v>
      </c>
      <c r="U513" s="1" t="s">
        <v>74</v>
      </c>
      <c r="V513" s="1" t="s">
        <v>5300</v>
      </c>
      <c r="W513" s="1" t="s">
        <v>74</v>
      </c>
      <c r="X513" s="1" t="s">
        <v>74</v>
      </c>
      <c r="Y513" s="1" t="s">
        <v>74</v>
      </c>
      <c r="Z513" s="1" t="s">
        <v>74</v>
      </c>
      <c r="AA513" s="1" t="s">
        <v>5301</v>
      </c>
      <c r="AB513" s="1" t="s">
        <v>5302</v>
      </c>
      <c r="AC513" s="1" t="s">
        <v>74</v>
      </c>
      <c r="AD513" s="1" t="s">
        <v>74</v>
      </c>
      <c r="AE513" s="1" t="s">
        <v>74</v>
      </c>
      <c r="AF513" s="1" t="s">
        <v>74</v>
      </c>
      <c r="AG513" s="1" t="s">
        <v>74</v>
      </c>
      <c r="AH513" s="1" t="s">
        <v>74</v>
      </c>
      <c r="AI513" s="1" t="s">
        <v>74</v>
      </c>
      <c r="AJ513" s="1" t="s">
        <v>74</v>
      </c>
      <c r="AK513" s="1" t="s">
        <v>74</v>
      </c>
      <c r="AL513" s="1" t="s">
        <v>74</v>
      </c>
      <c r="AM513" s="1" t="s">
        <v>74</v>
      </c>
      <c r="AN513" s="1" t="s">
        <v>74</v>
      </c>
      <c r="AO513" s="1" t="s">
        <v>74</v>
      </c>
      <c r="AP513" s="1" t="s">
        <v>5303</v>
      </c>
      <c r="AQ513" s="1" t="s">
        <v>74</v>
      </c>
      <c r="AR513" s="1" t="s">
        <v>74</v>
      </c>
      <c r="AS513" s="1" t="s">
        <v>74</v>
      </c>
      <c r="AT513" s="1" t="s">
        <v>5304</v>
      </c>
      <c r="AU513" s="1">
        <v>2022.0</v>
      </c>
      <c r="AV513" s="1">
        <v>9.0</v>
      </c>
      <c r="AW513" s="1" t="s">
        <v>74</v>
      </c>
      <c r="AX513" s="1" t="s">
        <v>74</v>
      </c>
      <c r="AY513" s="1" t="s">
        <v>74</v>
      </c>
      <c r="AZ513" s="1" t="s">
        <v>74</v>
      </c>
      <c r="BA513" s="1" t="s">
        <v>74</v>
      </c>
      <c r="BB513" s="1" t="s">
        <v>74</v>
      </c>
      <c r="BC513" s="1" t="s">
        <v>74</v>
      </c>
      <c r="BD513" s="1">
        <v>780801.0</v>
      </c>
      <c r="BE513" s="1" t="s">
        <v>5305</v>
      </c>
      <c r="BF513" s="2" t="str">
        <f>HYPERLINK("http://dx.doi.org/10.3389/fpubh.2021.780801","http://dx.doi.org/10.3389/fpubh.2021.780801")</f>
        <v>http://dx.doi.org/10.3389/fpubh.2021.780801</v>
      </c>
      <c r="BG513" s="1" t="s">
        <v>74</v>
      </c>
      <c r="BH513" s="1" t="s">
        <v>74</v>
      </c>
      <c r="BI513" s="1" t="s">
        <v>74</v>
      </c>
      <c r="BJ513" s="1" t="s">
        <v>74</v>
      </c>
      <c r="BK513" s="1" t="s">
        <v>74</v>
      </c>
      <c r="BL513" s="1" t="s">
        <v>74</v>
      </c>
      <c r="BM513" s="1" t="s">
        <v>74</v>
      </c>
      <c r="BN513" s="1">
        <v>3.5047474E7</v>
      </c>
      <c r="BO513" s="1" t="s">
        <v>74</v>
      </c>
      <c r="BP513" s="1" t="s">
        <v>74</v>
      </c>
      <c r="BQ513" s="1" t="s">
        <v>74</v>
      </c>
      <c r="BR513" s="1" t="s">
        <v>74</v>
      </c>
      <c r="BS513" s="1" t="s">
        <v>5306</v>
      </c>
      <c r="BT513" s="1" t="str">
        <f>HYPERLINK("https%3A%2F%2Fwww.webofscience.com%2Fwos%2Fwoscc%2Ffull-record%2FWOS:000745677800001","View Full Record in Web of Science")</f>
        <v>View Full Record in Web of Science</v>
      </c>
    </row>
    <row r="514" ht="12.75" customHeight="1">
      <c r="A514" s="1" t="s">
        <v>72</v>
      </c>
      <c r="B514" s="1" t="s">
        <v>5307</v>
      </c>
      <c r="C514" s="1" t="s">
        <v>74</v>
      </c>
      <c r="D514" s="1" t="s">
        <v>74</v>
      </c>
      <c r="E514" s="1" t="s">
        <v>74</v>
      </c>
      <c r="F514" s="1" t="s">
        <v>5308</v>
      </c>
      <c r="G514" s="1" t="s">
        <v>74</v>
      </c>
      <c r="H514" s="1" t="s">
        <v>74</v>
      </c>
      <c r="I514" s="1" t="s">
        <v>5309</v>
      </c>
      <c r="J514" s="1" t="s">
        <v>2123</v>
      </c>
      <c r="K514" s="1" t="s">
        <v>74</v>
      </c>
      <c r="L514" s="1" t="s">
        <v>74</v>
      </c>
      <c r="M514" s="1" t="s">
        <v>74</v>
      </c>
      <c r="N514" s="1" t="s">
        <v>74</v>
      </c>
      <c r="O514" s="1" t="s">
        <v>74</v>
      </c>
      <c r="P514" s="1" t="s">
        <v>74</v>
      </c>
      <c r="Q514" s="1" t="s">
        <v>74</v>
      </c>
      <c r="R514" s="1" t="s">
        <v>74</v>
      </c>
      <c r="S514" s="1" t="s">
        <v>74</v>
      </c>
      <c r="T514" s="1" t="s">
        <v>74</v>
      </c>
      <c r="U514" s="1" t="s">
        <v>74</v>
      </c>
      <c r="V514" s="1" t="s">
        <v>5310</v>
      </c>
      <c r="W514" s="1" t="s">
        <v>74</v>
      </c>
      <c r="X514" s="1" t="s">
        <v>74</v>
      </c>
      <c r="Y514" s="1" t="s">
        <v>74</v>
      </c>
      <c r="Z514" s="1" t="s">
        <v>74</v>
      </c>
      <c r="AA514" s="1" t="s">
        <v>386</v>
      </c>
      <c r="AB514" s="1" t="s">
        <v>2539</v>
      </c>
      <c r="AC514" s="1" t="s">
        <v>74</v>
      </c>
      <c r="AD514" s="1" t="s">
        <v>74</v>
      </c>
      <c r="AE514" s="1" t="s">
        <v>74</v>
      </c>
      <c r="AF514" s="1" t="s">
        <v>74</v>
      </c>
      <c r="AG514" s="1" t="s">
        <v>74</v>
      </c>
      <c r="AH514" s="1" t="s">
        <v>74</v>
      </c>
      <c r="AI514" s="1" t="s">
        <v>74</v>
      </c>
      <c r="AJ514" s="1" t="s">
        <v>74</v>
      </c>
      <c r="AK514" s="1" t="s">
        <v>74</v>
      </c>
      <c r="AL514" s="1" t="s">
        <v>74</v>
      </c>
      <c r="AM514" s="1" t="s">
        <v>74</v>
      </c>
      <c r="AN514" s="1" t="s">
        <v>74</v>
      </c>
      <c r="AO514" s="1" t="s">
        <v>74</v>
      </c>
      <c r="AP514" s="1" t="s">
        <v>2127</v>
      </c>
      <c r="AQ514" s="1" t="s">
        <v>74</v>
      </c>
      <c r="AR514" s="1" t="s">
        <v>74</v>
      </c>
      <c r="AS514" s="1" t="s">
        <v>74</v>
      </c>
      <c r="AT514" s="1" t="s">
        <v>5311</v>
      </c>
      <c r="AU514" s="1">
        <v>2021.0</v>
      </c>
      <c r="AV514" s="1">
        <v>9.0</v>
      </c>
      <c r="AW514" s="1" t="s">
        <v>74</v>
      </c>
      <c r="AX514" s="1" t="s">
        <v>74</v>
      </c>
      <c r="AY514" s="1" t="s">
        <v>74</v>
      </c>
      <c r="AZ514" s="1" t="s">
        <v>74</v>
      </c>
      <c r="BA514" s="1" t="s">
        <v>74</v>
      </c>
      <c r="BB514" s="1" t="s">
        <v>74</v>
      </c>
      <c r="BC514" s="1" t="s">
        <v>74</v>
      </c>
      <c r="BD514" s="1">
        <v>706730.0</v>
      </c>
      <c r="BE514" s="1" t="s">
        <v>5312</v>
      </c>
      <c r="BF514" s="2" t="str">
        <f>HYPERLINK("http://dx.doi.org/10.3389/fenvs.2021.706730","http://dx.doi.org/10.3389/fenvs.2021.706730")</f>
        <v>http://dx.doi.org/10.3389/fenvs.2021.706730</v>
      </c>
      <c r="BG514" s="1" t="s">
        <v>74</v>
      </c>
      <c r="BH514" s="1" t="s">
        <v>74</v>
      </c>
      <c r="BI514" s="1" t="s">
        <v>74</v>
      </c>
      <c r="BJ514" s="1" t="s">
        <v>74</v>
      </c>
      <c r="BK514" s="1" t="s">
        <v>74</v>
      </c>
      <c r="BL514" s="1" t="s">
        <v>74</v>
      </c>
      <c r="BM514" s="1" t="s">
        <v>74</v>
      </c>
      <c r="BN514" s="1" t="s">
        <v>74</v>
      </c>
      <c r="BO514" s="1" t="s">
        <v>74</v>
      </c>
      <c r="BP514" s="1" t="s">
        <v>74</v>
      </c>
      <c r="BQ514" s="1" t="s">
        <v>74</v>
      </c>
      <c r="BR514" s="1" t="s">
        <v>74</v>
      </c>
      <c r="BS514" s="1" t="s">
        <v>5313</v>
      </c>
      <c r="BT514" s="1" t="str">
        <f>HYPERLINK("https%3A%2F%2Fwww.webofscience.com%2Fwos%2Fwoscc%2Ffull-record%2FWOS:000730841600001","View Full Record in Web of Science")</f>
        <v>View Full Record in Web of Science</v>
      </c>
    </row>
    <row r="515" ht="12.75" customHeight="1">
      <c r="A515" s="1" t="s">
        <v>72</v>
      </c>
      <c r="B515" s="1" t="s">
        <v>5314</v>
      </c>
      <c r="C515" s="1" t="s">
        <v>74</v>
      </c>
      <c r="D515" s="1" t="s">
        <v>74</v>
      </c>
      <c r="E515" s="1" t="s">
        <v>74</v>
      </c>
      <c r="F515" s="1" t="s">
        <v>5315</v>
      </c>
      <c r="G515" s="1" t="s">
        <v>74</v>
      </c>
      <c r="H515" s="1" t="s">
        <v>74</v>
      </c>
      <c r="I515" s="1" t="s">
        <v>5316</v>
      </c>
      <c r="J515" s="1" t="s">
        <v>5317</v>
      </c>
      <c r="K515" s="1" t="s">
        <v>74</v>
      </c>
      <c r="L515" s="1" t="s">
        <v>74</v>
      </c>
      <c r="M515" s="1" t="s">
        <v>74</v>
      </c>
      <c r="N515" s="1" t="s">
        <v>74</v>
      </c>
      <c r="O515" s="1" t="s">
        <v>74</v>
      </c>
      <c r="P515" s="1" t="s">
        <v>74</v>
      </c>
      <c r="Q515" s="1" t="s">
        <v>74</v>
      </c>
      <c r="R515" s="1" t="s">
        <v>74</v>
      </c>
      <c r="S515" s="1" t="s">
        <v>74</v>
      </c>
      <c r="T515" s="1" t="s">
        <v>74</v>
      </c>
      <c r="U515" s="1" t="s">
        <v>74</v>
      </c>
      <c r="V515" s="1" t="s">
        <v>5318</v>
      </c>
      <c r="W515" s="1" t="s">
        <v>74</v>
      </c>
      <c r="X515" s="1" t="s">
        <v>74</v>
      </c>
      <c r="Y515" s="1" t="s">
        <v>74</v>
      </c>
      <c r="Z515" s="1" t="s">
        <v>74</v>
      </c>
      <c r="AA515" s="1" t="s">
        <v>5319</v>
      </c>
      <c r="AB515" s="1" t="s">
        <v>5320</v>
      </c>
      <c r="AC515" s="1" t="s">
        <v>74</v>
      </c>
      <c r="AD515" s="1" t="s">
        <v>74</v>
      </c>
      <c r="AE515" s="1" t="s">
        <v>74</v>
      </c>
      <c r="AF515" s="1" t="s">
        <v>74</v>
      </c>
      <c r="AG515" s="1" t="s">
        <v>74</v>
      </c>
      <c r="AH515" s="1" t="s">
        <v>74</v>
      </c>
      <c r="AI515" s="1" t="s">
        <v>74</v>
      </c>
      <c r="AJ515" s="1" t="s">
        <v>74</v>
      </c>
      <c r="AK515" s="1" t="s">
        <v>74</v>
      </c>
      <c r="AL515" s="1" t="s">
        <v>74</v>
      </c>
      <c r="AM515" s="1" t="s">
        <v>74</v>
      </c>
      <c r="AN515" s="1" t="s">
        <v>74</v>
      </c>
      <c r="AO515" s="1" t="s">
        <v>5321</v>
      </c>
      <c r="AP515" s="1" t="s">
        <v>5322</v>
      </c>
      <c r="AQ515" s="1" t="s">
        <v>74</v>
      </c>
      <c r="AR515" s="1" t="s">
        <v>74</v>
      </c>
      <c r="AS515" s="1" t="s">
        <v>74</v>
      </c>
      <c r="AT515" s="1" t="s">
        <v>939</v>
      </c>
      <c r="AU515" s="1">
        <v>2021.0</v>
      </c>
      <c r="AV515" s="1">
        <v>63.0</v>
      </c>
      <c r="AW515" s="1" t="s">
        <v>74</v>
      </c>
      <c r="AX515" s="1" t="s">
        <v>74</v>
      </c>
      <c r="AY515" s="1" t="s">
        <v>74</v>
      </c>
      <c r="AZ515" s="1" t="s">
        <v>74</v>
      </c>
      <c r="BA515" s="1" t="s">
        <v>74</v>
      </c>
      <c r="BB515" s="1">
        <v>260.0</v>
      </c>
      <c r="BC515" s="1">
        <v>263.0</v>
      </c>
      <c r="BD515" s="1" t="s">
        <v>74</v>
      </c>
      <c r="BE515" s="1" t="s">
        <v>5323</v>
      </c>
      <c r="BF515" s="2" t="str">
        <f>HYPERLINK("http://dx.doi.org/10.1016/j.jcrc.2021.01.008","http://dx.doi.org/10.1016/j.jcrc.2021.01.008")</f>
        <v>http://dx.doi.org/10.1016/j.jcrc.2021.01.008</v>
      </c>
      <c r="BG515" s="1" t="s">
        <v>74</v>
      </c>
      <c r="BH515" s="1" t="s">
        <v>3049</v>
      </c>
      <c r="BI515" s="1" t="s">
        <v>74</v>
      </c>
      <c r="BJ515" s="1" t="s">
        <v>74</v>
      </c>
      <c r="BK515" s="1" t="s">
        <v>74</v>
      </c>
      <c r="BL515" s="1" t="s">
        <v>74</v>
      </c>
      <c r="BM515" s="1" t="s">
        <v>74</v>
      </c>
      <c r="BN515" s="1">
        <v>3.3583631E7</v>
      </c>
      <c r="BO515" s="1" t="s">
        <v>74</v>
      </c>
      <c r="BP515" s="1" t="s">
        <v>74</v>
      </c>
      <c r="BQ515" s="1" t="s">
        <v>74</v>
      </c>
      <c r="BR515" s="1" t="s">
        <v>74</v>
      </c>
      <c r="BS515" s="1" t="s">
        <v>5324</v>
      </c>
      <c r="BT515" s="1" t="str">
        <f>HYPERLINK("https%3A%2F%2Fwww.webofscience.com%2Fwos%2Fwoscc%2Ffull-record%2FWOS:000642399900044","View Full Record in Web of Science")</f>
        <v>View Full Record in Web of Science</v>
      </c>
    </row>
    <row r="516" ht="12.75" customHeight="1">
      <c r="A516" s="1" t="s">
        <v>72</v>
      </c>
      <c r="B516" s="1" t="s">
        <v>5325</v>
      </c>
      <c r="C516" s="1" t="s">
        <v>74</v>
      </c>
      <c r="D516" s="1" t="s">
        <v>74</v>
      </c>
      <c r="E516" s="1" t="s">
        <v>74</v>
      </c>
      <c r="F516" s="1" t="s">
        <v>5326</v>
      </c>
      <c r="G516" s="1" t="s">
        <v>74</v>
      </c>
      <c r="H516" s="1" t="s">
        <v>74</v>
      </c>
      <c r="I516" s="1" t="s">
        <v>5327</v>
      </c>
      <c r="J516" s="1" t="s">
        <v>229</v>
      </c>
      <c r="K516" s="1" t="s">
        <v>74</v>
      </c>
      <c r="L516" s="1" t="s">
        <v>74</v>
      </c>
      <c r="M516" s="1" t="s">
        <v>74</v>
      </c>
      <c r="N516" s="1" t="s">
        <v>74</v>
      </c>
      <c r="O516" s="1" t="s">
        <v>74</v>
      </c>
      <c r="P516" s="1" t="s">
        <v>74</v>
      </c>
      <c r="Q516" s="1" t="s">
        <v>74</v>
      </c>
      <c r="R516" s="1" t="s">
        <v>74</v>
      </c>
      <c r="S516" s="1" t="s">
        <v>74</v>
      </c>
      <c r="T516" s="1" t="s">
        <v>74</v>
      </c>
      <c r="U516" s="1" t="s">
        <v>74</v>
      </c>
      <c r="V516" s="1" t="s">
        <v>5328</v>
      </c>
      <c r="W516" s="1" t="s">
        <v>74</v>
      </c>
      <c r="X516" s="1" t="s">
        <v>74</v>
      </c>
      <c r="Y516" s="1" t="s">
        <v>74</v>
      </c>
      <c r="Z516" s="1" t="s">
        <v>74</v>
      </c>
      <c r="AA516" s="1" t="s">
        <v>74</v>
      </c>
      <c r="AB516" s="1" t="s">
        <v>74</v>
      </c>
      <c r="AC516" s="1" t="s">
        <v>74</v>
      </c>
      <c r="AD516" s="1" t="s">
        <v>74</v>
      </c>
      <c r="AE516" s="1" t="s">
        <v>74</v>
      </c>
      <c r="AF516" s="1" t="s">
        <v>74</v>
      </c>
      <c r="AG516" s="1" t="s">
        <v>74</v>
      </c>
      <c r="AH516" s="1" t="s">
        <v>74</v>
      </c>
      <c r="AI516" s="1" t="s">
        <v>74</v>
      </c>
      <c r="AJ516" s="1" t="s">
        <v>74</v>
      </c>
      <c r="AK516" s="1" t="s">
        <v>74</v>
      </c>
      <c r="AL516" s="1" t="s">
        <v>74</v>
      </c>
      <c r="AM516" s="1" t="s">
        <v>74</v>
      </c>
      <c r="AN516" s="1" t="s">
        <v>74</v>
      </c>
      <c r="AO516" s="1" t="s">
        <v>233</v>
      </c>
      <c r="AP516" s="1" t="s">
        <v>234</v>
      </c>
      <c r="AQ516" s="1" t="s">
        <v>74</v>
      </c>
      <c r="AR516" s="1" t="s">
        <v>74</v>
      </c>
      <c r="AS516" s="1" t="s">
        <v>74</v>
      </c>
      <c r="AT516" s="1" t="s">
        <v>307</v>
      </c>
      <c r="AU516" s="1">
        <v>2018.0</v>
      </c>
      <c r="AV516" s="1">
        <v>36.0</v>
      </c>
      <c r="AW516" s="1">
        <v>4.0</v>
      </c>
      <c r="AX516" s="1" t="s">
        <v>74</v>
      </c>
      <c r="AY516" s="1" t="s">
        <v>74</v>
      </c>
      <c r="AZ516" s="1" t="s">
        <v>74</v>
      </c>
      <c r="BA516" s="1" t="s">
        <v>74</v>
      </c>
      <c r="BB516" s="1">
        <v>1280.0</v>
      </c>
      <c r="BC516" s="1">
        <v>1284.0</v>
      </c>
      <c r="BD516" s="1" t="s">
        <v>74</v>
      </c>
      <c r="BE516" s="1" t="s">
        <v>74</v>
      </c>
      <c r="BF516" s="1" t="s">
        <v>74</v>
      </c>
      <c r="BG516" s="1" t="s">
        <v>74</v>
      </c>
      <c r="BH516" s="1" t="s">
        <v>74</v>
      </c>
      <c r="BI516" s="1" t="s">
        <v>74</v>
      </c>
      <c r="BJ516" s="1" t="s">
        <v>74</v>
      </c>
      <c r="BK516" s="1" t="s">
        <v>74</v>
      </c>
      <c r="BL516" s="1" t="s">
        <v>74</v>
      </c>
      <c r="BM516" s="1" t="s">
        <v>74</v>
      </c>
      <c r="BN516" s="1" t="s">
        <v>74</v>
      </c>
      <c r="BO516" s="1" t="s">
        <v>74</v>
      </c>
      <c r="BP516" s="1" t="s">
        <v>74</v>
      </c>
      <c r="BQ516" s="1" t="s">
        <v>74</v>
      </c>
      <c r="BR516" s="1" t="s">
        <v>74</v>
      </c>
      <c r="BS516" s="1" t="s">
        <v>5329</v>
      </c>
      <c r="BT516" s="1" t="str">
        <f>HYPERLINK("https%3A%2F%2Fwww.webofscience.com%2Fwos%2Fwoscc%2Ffull-record%2FWOS:000454335600022","View Full Record in Web of Science")</f>
        <v>View Full Record in Web of Science</v>
      </c>
    </row>
    <row r="517" ht="12.75" customHeight="1">
      <c r="A517" s="1" t="s">
        <v>72</v>
      </c>
      <c r="B517" s="1" t="s">
        <v>5330</v>
      </c>
      <c r="C517" s="1" t="s">
        <v>74</v>
      </c>
      <c r="D517" s="1" t="s">
        <v>74</v>
      </c>
      <c r="E517" s="1" t="s">
        <v>74</v>
      </c>
      <c r="F517" s="1" t="s">
        <v>5331</v>
      </c>
      <c r="G517" s="1" t="s">
        <v>74</v>
      </c>
      <c r="H517" s="1" t="s">
        <v>74</v>
      </c>
      <c r="I517" s="1" t="s">
        <v>5332</v>
      </c>
      <c r="J517" s="1" t="s">
        <v>5333</v>
      </c>
      <c r="K517" s="1" t="s">
        <v>74</v>
      </c>
      <c r="L517" s="1" t="s">
        <v>74</v>
      </c>
      <c r="M517" s="1" t="s">
        <v>74</v>
      </c>
      <c r="N517" s="1" t="s">
        <v>74</v>
      </c>
      <c r="O517" s="1" t="s">
        <v>74</v>
      </c>
      <c r="P517" s="1" t="s">
        <v>74</v>
      </c>
      <c r="Q517" s="1" t="s">
        <v>74</v>
      </c>
      <c r="R517" s="1" t="s">
        <v>74</v>
      </c>
      <c r="S517" s="1" t="s">
        <v>74</v>
      </c>
      <c r="T517" s="1" t="s">
        <v>74</v>
      </c>
      <c r="U517" s="1" t="s">
        <v>74</v>
      </c>
      <c r="V517" s="1" t="s">
        <v>5334</v>
      </c>
      <c r="W517" s="1" t="s">
        <v>74</v>
      </c>
      <c r="X517" s="1" t="s">
        <v>74</v>
      </c>
      <c r="Y517" s="1" t="s">
        <v>74</v>
      </c>
      <c r="Z517" s="1" t="s">
        <v>74</v>
      </c>
      <c r="AA517" s="1" t="s">
        <v>5335</v>
      </c>
      <c r="AB517" s="1" t="s">
        <v>3979</v>
      </c>
      <c r="AC517" s="1" t="s">
        <v>74</v>
      </c>
      <c r="AD517" s="1" t="s">
        <v>74</v>
      </c>
      <c r="AE517" s="1" t="s">
        <v>74</v>
      </c>
      <c r="AF517" s="1" t="s">
        <v>74</v>
      </c>
      <c r="AG517" s="1" t="s">
        <v>74</v>
      </c>
      <c r="AH517" s="1" t="s">
        <v>74</v>
      </c>
      <c r="AI517" s="1" t="s">
        <v>74</v>
      </c>
      <c r="AJ517" s="1" t="s">
        <v>74</v>
      </c>
      <c r="AK517" s="1" t="s">
        <v>74</v>
      </c>
      <c r="AL517" s="1" t="s">
        <v>74</v>
      </c>
      <c r="AM517" s="1" t="s">
        <v>74</v>
      </c>
      <c r="AN517" s="1" t="s">
        <v>74</v>
      </c>
      <c r="AO517" s="1" t="s">
        <v>5336</v>
      </c>
      <c r="AP517" s="1" t="s">
        <v>5337</v>
      </c>
      <c r="AQ517" s="1" t="s">
        <v>74</v>
      </c>
      <c r="AR517" s="1" t="s">
        <v>74</v>
      </c>
      <c r="AS517" s="1" t="s">
        <v>74</v>
      </c>
      <c r="AT517" s="1" t="s">
        <v>307</v>
      </c>
      <c r="AU517" s="1">
        <v>2018.0</v>
      </c>
      <c r="AV517" s="1">
        <v>100.0</v>
      </c>
      <c r="AW517" s="1" t="s">
        <v>74</v>
      </c>
      <c r="AX517" s="1" t="s">
        <v>74</v>
      </c>
      <c r="AY517" s="1" t="s">
        <v>74</v>
      </c>
      <c r="AZ517" s="1" t="s">
        <v>74</v>
      </c>
      <c r="BA517" s="1" t="s">
        <v>74</v>
      </c>
      <c r="BB517" s="1">
        <v>130.0</v>
      </c>
      <c r="BC517" s="1">
        <v>138.0</v>
      </c>
      <c r="BD517" s="1" t="s">
        <v>74</v>
      </c>
      <c r="BE517" s="1" t="s">
        <v>5338</v>
      </c>
      <c r="BF517" s="2" t="str">
        <f>HYPERLINK("http://dx.doi.org/10.1016/j.jas.2018.10.010","http://dx.doi.org/10.1016/j.jas.2018.10.010")</f>
        <v>http://dx.doi.org/10.1016/j.jas.2018.10.010</v>
      </c>
      <c r="BG517" s="1" t="s">
        <v>74</v>
      </c>
      <c r="BH517" s="1" t="s">
        <v>74</v>
      </c>
      <c r="BI517" s="1" t="s">
        <v>74</v>
      </c>
      <c r="BJ517" s="1" t="s">
        <v>74</v>
      </c>
      <c r="BK517" s="1" t="s">
        <v>74</v>
      </c>
      <c r="BL517" s="1" t="s">
        <v>74</v>
      </c>
      <c r="BM517" s="1" t="s">
        <v>74</v>
      </c>
      <c r="BN517" s="1" t="s">
        <v>74</v>
      </c>
      <c r="BO517" s="1" t="s">
        <v>74</v>
      </c>
      <c r="BP517" s="1" t="s">
        <v>74</v>
      </c>
      <c r="BQ517" s="1" t="s">
        <v>74</v>
      </c>
      <c r="BR517" s="1" t="s">
        <v>74</v>
      </c>
      <c r="BS517" s="1" t="s">
        <v>5339</v>
      </c>
      <c r="BT517" s="1" t="str">
        <f>HYPERLINK("https%3A%2F%2Fwww.webofscience.com%2Fwos%2Fwoscc%2Ffull-record%2FWOS:000452580000011","View Full Record in Web of Science")</f>
        <v>View Full Record in Web of Science</v>
      </c>
    </row>
    <row r="518" ht="12.75" customHeight="1">
      <c r="A518" s="1" t="s">
        <v>72</v>
      </c>
      <c r="B518" s="1" t="s">
        <v>5340</v>
      </c>
      <c r="C518" s="1" t="s">
        <v>74</v>
      </c>
      <c r="D518" s="1" t="s">
        <v>74</v>
      </c>
      <c r="E518" s="1" t="s">
        <v>74</v>
      </c>
      <c r="F518" s="1" t="s">
        <v>5341</v>
      </c>
      <c r="G518" s="1" t="s">
        <v>74</v>
      </c>
      <c r="H518" s="1" t="s">
        <v>74</v>
      </c>
      <c r="I518" s="1" t="s">
        <v>5342</v>
      </c>
      <c r="J518" s="1" t="s">
        <v>2030</v>
      </c>
      <c r="K518" s="1" t="s">
        <v>74</v>
      </c>
      <c r="L518" s="1" t="s">
        <v>74</v>
      </c>
      <c r="M518" s="1" t="s">
        <v>74</v>
      </c>
      <c r="N518" s="1" t="s">
        <v>74</v>
      </c>
      <c r="O518" s="1" t="s">
        <v>74</v>
      </c>
      <c r="P518" s="1" t="s">
        <v>74</v>
      </c>
      <c r="Q518" s="1" t="s">
        <v>74</v>
      </c>
      <c r="R518" s="1" t="s">
        <v>74</v>
      </c>
      <c r="S518" s="1" t="s">
        <v>74</v>
      </c>
      <c r="T518" s="1" t="s">
        <v>74</v>
      </c>
      <c r="U518" s="1" t="s">
        <v>74</v>
      </c>
      <c r="V518" s="1" t="s">
        <v>5343</v>
      </c>
      <c r="W518" s="1" t="s">
        <v>74</v>
      </c>
      <c r="X518" s="1" t="s">
        <v>74</v>
      </c>
      <c r="Y518" s="1" t="s">
        <v>74</v>
      </c>
      <c r="Z518" s="1" t="s">
        <v>74</v>
      </c>
      <c r="AA518" s="1" t="s">
        <v>5344</v>
      </c>
      <c r="AB518" s="1" t="s">
        <v>5345</v>
      </c>
      <c r="AC518" s="1" t="s">
        <v>74</v>
      </c>
      <c r="AD518" s="1" t="s">
        <v>74</v>
      </c>
      <c r="AE518" s="1" t="s">
        <v>74</v>
      </c>
      <c r="AF518" s="1" t="s">
        <v>74</v>
      </c>
      <c r="AG518" s="1" t="s">
        <v>74</v>
      </c>
      <c r="AH518" s="1" t="s">
        <v>74</v>
      </c>
      <c r="AI518" s="1" t="s">
        <v>74</v>
      </c>
      <c r="AJ518" s="1" t="s">
        <v>74</v>
      </c>
      <c r="AK518" s="1" t="s">
        <v>74</v>
      </c>
      <c r="AL518" s="1" t="s">
        <v>74</v>
      </c>
      <c r="AM518" s="1" t="s">
        <v>74</v>
      </c>
      <c r="AN518" s="1" t="s">
        <v>74</v>
      </c>
      <c r="AO518" s="1" t="s">
        <v>74</v>
      </c>
      <c r="AP518" s="1" t="s">
        <v>2034</v>
      </c>
      <c r="AQ518" s="1" t="s">
        <v>74</v>
      </c>
      <c r="AR518" s="1" t="s">
        <v>74</v>
      </c>
      <c r="AS518" s="1" t="s">
        <v>74</v>
      </c>
      <c r="AT518" s="1" t="s">
        <v>164</v>
      </c>
      <c r="AU518" s="1">
        <v>2018.0</v>
      </c>
      <c r="AV518" s="1">
        <v>10.0</v>
      </c>
      <c r="AW518" s="1">
        <v>7.0</v>
      </c>
      <c r="AX518" s="1" t="s">
        <v>74</v>
      </c>
      <c r="AY518" s="1" t="s">
        <v>74</v>
      </c>
      <c r="AZ518" s="1" t="s">
        <v>74</v>
      </c>
      <c r="BA518" s="1" t="s">
        <v>74</v>
      </c>
      <c r="BB518" s="1" t="s">
        <v>74</v>
      </c>
      <c r="BC518" s="1" t="s">
        <v>74</v>
      </c>
      <c r="BD518" s="1">
        <v>2312.0</v>
      </c>
      <c r="BE518" s="1" t="s">
        <v>5346</v>
      </c>
      <c r="BF518" s="2" t="str">
        <f>HYPERLINK("http://dx.doi.org/10.3390/su10072312","http://dx.doi.org/10.3390/su10072312")</f>
        <v>http://dx.doi.org/10.3390/su10072312</v>
      </c>
      <c r="BG518" s="1" t="s">
        <v>74</v>
      </c>
      <c r="BH518" s="1" t="s">
        <v>74</v>
      </c>
      <c r="BI518" s="1" t="s">
        <v>74</v>
      </c>
      <c r="BJ518" s="1" t="s">
        <v>74</v>
      </c>
      <c r="BK518" s="1" t="s">
        <v>74</v>
      </c>
      <c r="BL518" s="1" t="s">
        <v>74</v>
      </c>
      <c r="BM518" s="1" t="s">
        <v>74</v>
      </c>
      <c r="BN518" s="1" t="s">
        <v>74</v>
      </c>
      <c r="BO518" s="1" t="s">
        <v>74</v>
      </c>
      <c r="BP518" s="1" t="s">
        <v>74</v>
      </c>
      <c r="BQ518" s="1" t="s">
        <v>74</v>
      </c>
      <c r="BR518" s="1" t="s">
        <v>74</v>
      </c>
      <c r="BS518" s="1" t="s">
        <v>5347</v>
      </c>
      <c r="BT518" s="1" t="str">
        <f>HYPERLINK("https%3A%2F%2Fwww.webofscience.com%2Fwos%2Fwoscc%2Ffull-record%2FWOS:000440947600203","View Full Record in Web of Science")</f>
        <v>View Full Record in Web of Science</v>
      </c>
    </row>
    <row r="519" ht="12.75" customHeight="1">
      <c r="A519" s="1" t="s">
        <v>72</v>
      </c>
      <c r="B519" s="1" t="s">
        <v>5348</v>
      </c>
      <c r="C519" s="1" t="s">
        <v>74</v>
      </c>
      <c r="D519" s="1" t="s">
        <v>74</v>
      </c>
      <c r="E519" s="1" t="s">
        <v>74</v>
      </c>
      <c r="F519" s="1" t="s">
        <v>5349</v>
      </c>
      <c r="G519" s="1" t="s">
        <v>74</v>
      </c>
      <c r="H519" s="1" t="s">
        <v>74</v>
      </c>
      <c r="I519" s="1" t="s">
        <v>5350</v>
      </c>
      <c r="J519" s="1" t="s">
        <v>5351</v>
      </c>
      <c r="K519" s="1" t="s">
        <v>74</v>
      </c>
      <c r="L519" s="1" t="s">
        <v>74</v>
      </c>
      <c r="M519" s="1" t="s">
        <v>74</v>
      </c>
      <c r="N519" s="1" t="s">
        <v>74</v>
      </c>
      <c r="O519" s="1" t="s">
        <v>74</v>
      </c>
      <c r="P519" s="1" t="s">
        <v>74</v>
      </c>
      <c r="Q519" s="1" t="s">
        <v>74</v>
      </c>
      <c r="R519" s="1" t="s">
        <v>74</v>
      </c>
      <c r="S519" s="1" t="s">
        <v>74</v>
      </c>
      <c r="T519" s="1" t="s">
        <v>74</v>
      </c>
      <c r="U519" s="1" t="s">
        <v>74</v>
      </c>
      <c r="V519" s="1" t="s">
        <v>5352</v>
      </c>
      <c r="W519" s="1" t="s">
        <v>74</v>
      </c>
      <c r="X519" s="1" t="s">
        <v>74</v>
      </c>
      <c r="Y519" s="1" t="s">
        <v>74</v>
      </c>
      <c r="Z519" s="1" t="s">
        <v>74</v>
      </c>
      <c r="AA519" s="1" t="s">
        <v>5030</v>
      </c>
      <c r="AB519" s="1" t="s">
        <v>5353</v>
      </c>
      <c r="AC519" s="1" t="s">
        <v>74</v>
      </c>
      <c r="AD519" s="1" t="s">
        <v>74</v>
      </c>
      <c r="AE519" s="1" t="s">
        <v>74</v>
      </c>
      <c r="AF519" s="1" t="s">
        <v>74</v>
      </c>
      <c r="AG519" s="1" t="s">
        <v>74</v>
      </c>
      <c r="AH519" s="1" t="s">
        <v>74</v>
      </c>
      <c r="AI519" s="1" t="s">
        <v>74</v>
      </c>
      <c r="AJ519" s="1" t="s">
        <v>74</v>
      </c>
      <c r="AK519" s="1" t="s">
        <v>74</v>
      </c>
      <c r="AL519" s="1" t="s">
        <v>74</v>
      </c>
      <c r="AM519" s="1" t="s">
        <v>74</v>
      </c>
      <c r="AN519" s="1" t="s">
        <v>74</v>
      </c>
      <c r="AO519" s="1" t="s">
        <v>5354</v>
      </c>
      <c r="AP519" s="1" t="s">
        <v>5355</v>
      </c>
      <c r="AQ519" s="1" t="s">
        <v>74</v>
      </c>
      <c r="AR519" s="1" t="s">
        <v>74</v>
      </c>
      <c r="AS519" s="1" t="s">
        <v>74</v>
      </c>
      <c r="AT519" s="1" t="s">
        <v>74</v>
      </c>
      <c r="AU519" s="1">
        <v>2018.0</v>
      </c>
      <c r="AV519" s="1">
        <v>26.0</v>
      </c>
      <c r="AW519" s="1">
        <v>1.0</v>
      </c>
      <c r="AX519" s="1" t="s">
        <v>74</v>
      </c>
      <c r="AY519" s="1" t="s">
        <v>74</v>
      </c>
      <c r="AZ519" s="1" t="s">
        <v>74</v>
      </c>
      <c r="BA519" s="1" t="s">
        <v>74</v>
      </c>
      <c r="BB519" s="1">
        <v>42.0</v>
      </c>
      <c r="BC519" s="1">
        <v>60.0</v>
      </c>
      <c r="BD519" s="1" t="s">
        <v>74</v>
      </c>
      <c r="BE519" s="1" t="s">
        <v>5356</v>
      </c>
      <c r="BF519" s="2" t="str">
        <f>HYPERLINK("http://dx.doi.org/10.1080/10494820.2017.1282878","http://dx.doi.org/10.1080/10494820.2017.1282878")</f>
        <v>http://dx.doi.org/10.1080/10494820.2017.1282878</v>
      </c>
      <c r="BG519" s="1" t="s">
        <v>74</v>
      </c>
      <c r="BH519" s="1" t="s">
        <v>74</v>
      </c>
      <c r="BI519" s="1" t="s">
        <v>74</v>
      </c>
      <c r="BJ519" s="1" t="s">
        <v>74</v>
      </c>
      <c r="BK519" s="1" t="s">
        <v>74</v>
      </c>
      <c r="BL519" s="1" t="s">
        <v>74</v>
      </c>
      <c r="BM519" s="1" t="s">
        <v>74</v>
      </c>
      <c r="BN519" s="1" t="s">
        <v>74</v>
      </c>
      <c r="BO519" s="1" t="s">
        <v>74</v>
      </c>
      <c r="BP519" s="1" t="s">
        <v>74</v>
      </c>
      <c r="BQ519" s="1" t="s">
        <v>74</v>
      </c>
      <c r="BR519" s="1" t="s">
        <v>74</v>
      </c>
      <c r="BS519" s="1" t="s">
        <v>5357</v>
      </c>
      <c r="BT519" s="1" t="str">
        <f>HYPERLINK("https%3A%2F%2Fwww.webofscience.com%2Fwos%2Fwoscc%2Ffull-record%2FWOS:000427555700004","View Full Record in Web of Science")</f>
        <v>View Full Record in Web of Science</v>
      </c>
    </row>
    <row r="520" ht="12.75" customHeight="1">
      <c r="A520" s="1" t="s">
        <v>72</v>
      </c>
      <c r="B520" s="1" t="s">
        <v>5358</v>
      </c>
      <c r="C520" s="1" t="s">
        <v>74</v>
      </c>
      <c r="D520" s="1" t="s">
        <v>74</v>
      </c>
      <c r="E520" s="1" t="s">
        <v>74</v>
      </c>
      <c r="F520" s="1" t="s">
        <v>5359</v>
      </c>
      <c r="G520" s="1" t="s">
        <v>74</v>
      </c>
      <c r="H520" s="1" t="s">
        <v>74</v>
      </c>
      <c r="I520" s="1" t="s">
        <v>5360</v>
      </c>
      <c r="J520" s="1" t="s">
        <v>5361</v>
      </c>
      <c r="K520" s="1" t="s">
        <v>74</v>
      </c>
      <c r="L520" s="1" t="s">
        <v>74</v>
      </c>
      <c r="M520" s="1" t="s">
        <v>74</v>
      </c>
      <c r="N520" s="1" t="s">
        <v>74</v>
      </c>
      <c r="O520" s="1" t="s">
        <v>74</v>
      </c>
      <c r="P520" s="1" t="s">
        <v>74</v>
      </c>
      <c r="Q520" s="1" t="s">
        <v>74</v>
      </c>
      <c r="R520" s="1" t="s">
        <v>74</v>
      </c>
      <c r="S520" s="1" t="s">
        <v>74</v>
      </c>
      <c r="T520" s="1" t="s">
        <v>74</v>
      </c>
      <c r="U520" s="1" t="s">
        <v>74</v>
      </c>
      <c r="V520" s="1" t="s">
        <v>5362</v>
      </c>
      <c r="W520" s="1" t="s">
        <v>74</v>
      </c>
      <c r="X520" s="1" t="s">
        <v>74</v>
      </c>
      <c r="Y520" s="1" t="s">
        <v>74</v>
      </c>
      <c r="Z520" s="1" t="s">
        <v>74</v>
      </c>
      <c r="AA520" s="1" t="s">
        <v>5363</v>
      </c>
      <c r="AB520" s="1" t="s">
        <v>5364</v>
      </c>
      <c r="AC520" s="1" t="s">
        <v>74</v>
      </c>
      <c r="AD520" s="1" t="s">
        <v>74</v>
      </c>
      <c r="AE520" s="1" t="s">
        <v>74</v>
      </c>
      <c r="AF520" s="1" t="s">
        <v>74</v>
      </c>
      <c r="AG520" s="1" t="s">
        <v>74</v>
      </c>
      <c r="AH520" s="1" t="s">
        <v>74</v>
      </c>
      <c r="AI520" s="1" t="s">
        <v>74</v>
      </c>
      <c r="AJ520" s="1" t="s">
        <v>74</v>
      </c>
      <c r="AK520" s="1" t="s">
        <v>74</v>
      </c>
      <c r="AL520" s="1" t="s">
        <v>74</v>
      </c>
      <c r="AM520" s="1" t="s">
        <v>74</v>
      </c>
      <c r="AN520" s="1" t="s">
        <v>74</v>
      </c>
      <c r="AO520" s="1" t="s">
        <v>5365</v>
      </c>
      <c r="AP520" s="1" t="s">
        <v>74</v>
      </c>
      <c r="AQ520" s="1" t="s">
        <v>74</v>
      </c>
      <c r="AR520" s="1" t="s">
        <v>74</v>
      </c>
      <c r="AS520" s="1" t="s">
        <v>74</v>
      </c>
      <c r="AT520" s="1" t="s">
        <v>74</v>
      </c>
      <c r="AU520" s="1">
        <v>2018.0</v>
      </c>
      <c r="AV520" s="1">
        <v>212.0</v>
      </c>
      <c r="AW520" s="1" t="s">
        <v>74</v>
      </c>
      <c r="AX520" s="1" t="s">
        <v>74</v>
      </c>
      <c r="AY520" s="1" t="s">
        <v>74</v>
      </c>
      <c r="AZ520" s="1" t="s">
        <v>74</v>
      </c>
      <c r="BA520" s="1" t="s">
        <v>74</v>
      </c>
      <c r="BB520" s="1">
        <v>67.0</v>
      </c>
      <c r="BC520" s="1">
        <v>74.0</v>
      </c>
      <c r="BD520" s="1" t="s">
        <v>74</v>
      </c>
      <c r="BE520" s="1" t="s">
        <v>5366</v>
      </c>
      <c r="BF520" s="2" t="str">
        <f>HYPERLINK("http://dx.doi.org/10.1016/j.micres.2018.05.005","http://dx.doi.org/10.1016/j.micres.2018.05.005")</f>
        <v>http://dx.doi.org/10.1016/j.micres.2018.05.005</v>
      </c>
      <c r="BG520" s="1" t="s">
        <v>74</v>
      </c>
      <c r="BH520" s="1" t="s">
        <v>74</v>
      </c>
      <c r="BI520" s="1" t="s">
        <v>74</v>
      </c>
      <c r="BJ520" s="1" t="s">
        <v>74</v>
      </c>
      <c r="BK520" s="1" t="s">
        <v>74</v>
      </c>
      <c r="BL520" s="1" t="s">
        <v>74</v>
      </c>
      <c r="BM520" s="1" t="s">
        <v>74</v>
      </c>
      <c r="BN520" s="1">
        <v>2.9853169E7</v>
      </c>
      <c r="BO520" s="1" t="s">
        <v>74</v>
      </c>
      <c r="BP520" s="1" t="s">
        <v>74</v>
      </c>
      <c r="BQ520" s="1" t="s">
        <v>74</v>
      </c>
      <c r="BR520" s="1" t="s">
        <v>74</v>
      </c>
      <c r="BS520" s="1" t="s">
        <v>5367</v>
      </c>
      <c r="BT520" s="1" t="str">
        <f>HYPERLINK("https%3A%2F%2Fwww.webofscience.com%2Fwos%2Fwoscc%2Ffull-record%2FWOS:000438320100007","View Full Record in Web of Science")</f>
        <v>View Full Record in Web of Science</v>
      </c>
    </row>
    <row r="521" ht="12.75" customHeight="1">
      <c r="A521" s="1" t="s">
        <v>72</v>
      </c>
      <c r="B521" s="1" t="s">
        <v>5368</v>
      </c>
      <c r="C521" s="1" t="s">
        <v>74</v>
      </c>
      <c r="D521" s="1" t="s">
        <v>74</v>
      </c>
      <c r="E521" s="1" t="s">
        <v>74</v>
      </c>
      <c r="F521" s="1" t="s">
        <v>5369</v>
      </c>
      <c r="G521" s="1" t="s">
        <v>74</v>
      </c>
      <c r="H521" s="1" t="s">
        <v>74</v>
      </c>
      <c r="I521" s="1" t="s">
        <v>5370</v>
      </c>
      <c r="J521" s="1" t="s">
        <v>354</v>
      </c>
      <c r="K521" s="1" t="s">
        <v>74</v>
      </c>
      <c r="L521" s="1" t="s">
        <v>74</v>
      </c>
      <c r="M521" s="1" t="s">
        <v>74</v>
      </c>
      <c r="N521" s="1" t="s">
        <v>74</v>
      </c>
      <c r="O521" s="1" t="s">
        <v>74</v>
      </c>
      <c r="P521" s="1" t="s">
        <v>74</v>
      </c>
      <c r="Q521" s="1" t="s">
        <v>74</v>
      </c>
      <c r="R521" s="1" t="s">
        <v>74</v>
      </c>
      <c r="S521" s="1" t="s">
        <v>74</v>
      </c>
      <c r="T521" s="1" t="s">
        <v>74</v>
      </c>
      <c r="U521" s="1" t="s">
        <v>74</v>
      </c>
      <c r="V521" s="1" t="s">
        <v>5371</v>
      </c>
      <c r="W521" s="1" t="s">
        <v>74</v>
      </c>
      <c r="X521" s="1" t="s">
        <v>74</v>
      </c>
      <c r="Y521" s="1" t="s">
        <v>74</v>
      </c>
      <c r="Z521" s="1" t="s">
        <v>74</v>
      </c>
      <c r="AA521" s="1" t="s">
        <v>5372</v>
      </c>
      <c r="AB521" s="1" t="s">
        <v>5373</v>
      </c>
      <c r="AC521" s="1" t="s">
        <v>74</v>
      </c>
      <c r="AD521" s="1" t="s">
        <v>74</v>
      </c>
      <c r="AE521" s="1" t="s">
        <v>74</v>
      </c>
      <c r="AF521" s="1" t="s">
        <v>74</v>
      </c>
      <c r="AG521" s="1" t="s">
        <v>74</v>
      </c>
      <c r="AH521" s="1" t="s">
        <v>74</v>
      </c>
      <c r="AI521" s="1" t="s">
        <v>74</v>
      </c>
      <c r="AJ521" s="1" t="s">
        <v>74</v>
      </c>
      <c r="AK521" s="1" t="s">
        <v>74</v>
      </c>
      <c r="AL521" s="1" t="s">
        <v>74</v>
      </c>
      <c r="AM521" s="1" t="s">
        <v>74</v>
      </c>
      <c r="AN521" s="1" t="s">
        <v>74</v>
      </c>
      <c r="AO521" s="1" t="s">
        <v>358</v>
      </c>
      <c r="AP521" s="1" t="s">
        <v>359</v>
      </c>
      <c r="AQ521" s="1" t="s">
        <v>74</v>
      </c>
      <c r="AR521" s="1" t="s">
        <v>74</v>
      </c>
      <c r="AS521" s="1" t="s">
        <v>74</v>
      </c>
      <c r="AT521" s="1" t="s">
        <v>212</v>
      </c>
      <c r="AU521" s="1">
        <v>2017.0</v>
      </c>
      <c r="AV521" s="1">
        <v>247.0</v>
      </c>
      <c r="AW521" s="1" t="s">
        <v>74</v>
      </c>
      <c r="AX521" s="1" t="s">
        <v>74</v>
      </c>
      <c r="AY521" s="1" t="s">
        <v>74</v>
      </c>
      <c r="AZ521" s="1" t="s">
        <v>74</v>
      </c>
      <c r="BA521" s="1" t="s">
        <v>74</v>
      </c>
      <c r="BB521" s="1">
        <v>71.0</v>
      </c>
      <c r="BC521" s="1">
        <v>79.0</v>
      </c>
      <c r="BD521" s="1" t="s">
        <v>74</v>
      </c>
      <c r="BE521" s="1" t="s">
        <v>5374</v>
      </c>
      <c r="BF521" s="2" t="str">
        <f>HYPERLINK("http://dx.doi.org/10.1016/j.electacta.2017.06.127","http://dx.doi.org/10.1016/j.electacta.2017.06.127")</f>
        <v>http://dx.doi.org/10.1016/j.electacta.2017.06.127</v>
      </c>
      <c r="BG521" s="1" t="s">
        <v>74</v>
      </c>
      <c r="BH521" s="1" t="s">
        <v>74</v>
      </c>
      <c r="BI521" s="1" t="s">
        <v>74</v>
      </c>
      <c r="BJ521" s="1" t="s">
        <v>74</v>
      </c>
      <c r="BK521" s="1" t="s">
        <v>74</v>
      </c>
      <c r="BL521" s="1" t="s">
        <v>74</v>
      </c>
      <c r="BM521" s="1" t="s">
        <v>74</v>
      </c>
      <c r="BN521" s="1" t="s">
        <v>74</v>
      </c>
      <c r="BO521" s="1" t="s">
        <v>74</v>
      </c>
      <c r="BP521" s="1" t="s">
        <v>74</v>
      </c>
      <c r="BQ521" s="1" t="s">
        <v>74</v>
      </c>
      <c r="BR521" s="1" t="s">
        <v>74</v>
      </c>
      <c r="BS521" s="1" t="s">
        <v>5375</v>
      </c>
      <c r="BT521" s="1" t="str">
        <f>HYPERLINK("https%3A%2F%2Fwww.webofscience.com%2Fwos%2Fwoscc%2Ffull-record%2FWOS:000408582300008","View Full Record in Web of Science")</f>
        <v>View Full Record in Web of Science</v>
      </c>
    </row>
    <row r="522" ht="12.75" customHeight="1">
      <c r="A522" s="1" t="s">
        <v>72</v>
      </c>
      <c r="B522" s="1" t="s">
        <v>5376</v>
      </c>
      <c r="C522" s="1" t="s">
        <v>74</v>
      </c>
      <c r="D522" s="1" t="s">
        <v>74</v>
      </c>
      <c r="E522" s="1" t="s">
        <v>74</v>
      </c>
      <c r="F522" s="1" t="s">
        <v>5377</v>
      </c>
      <c r="G522" s="1" t="s">
        <v>74</v>
      </c>
      <c r="H522" s="1" t="s">
        <v>74</v>
      </c>
      <c r="I522" s="1" t="s">
        <v>5378</v>
      </c>
      <c r="J522" s="1" t="s">
        <v>5379</v>
      </c>
      <c r="K522" s="1" t="s">
        <v>74</v>
      </c>
      <c r="L522" s="1" t="s">
        <v>74</v>
      </c>
      <c r="M522" s="1" t="s">
        <v>74</v>
      </c>
      <c r="N522" s="1" t="s">
        <v>74</v>
      </c>
      <c r="O522" s="1" t="s">
        <v>74</v>
      </c>
      <c r="P522" s="1" t="s">
        <v>74</v>
      </c>
      <c r="Q522" s="1" t="s">
        <v>74</v>
      </c>
      <c r="R522" s="1" t="s">
        <v>74</v>
      </c>
      <c r="S522" s="1" t="s">
        <v>74</v>
      </c>
      <c r="T522" s="1" t="s">
        <v>74</v>
      </c>
      <c r="U522" s="1" t="s">
        <v>74</v>
      </c>
      <c r="V522" s="1" t="s">
        <v>5380</v>
      </c>
      <c r="W522" s="1" t="s">
        <v>74</v>
      </c>
      <c r="X522" s="1" t="s">
        <v>74</v>
      </c>
      <c r="Y522" s="1" t="s">
        <v>74</v>
      </c>
      <c r="Z522" s="1" t="s">
        <v>74</v>
      </c>
      <c r="AA522" s="1" t="s">
        <v>5381</v>
      </c>
      <c r="AB522" s="1" t="s">
        <v>5382</v>
      </c>
      <c r="AC522" s="1" t="s">
        <v>74</v>
      </c>
      <c r="AD522" s="1" t="s">
        <v>74</v>
      </c>
      <c r="AE522" s="1" t="s">
        <v>74</v>
      </c>
      <c r="AF522" s="1" t="s">
        <v>74</v>
      </c>
      <c r="AG522" s="1" t="s">
        <v>74</v>
      </c>
      <c r="AH522" s="1" t="s">
        <v>74</v>
      </c>
      <c r="AI522" s="1" t="s">
        <v>74</v>
      </c>
      <c r="AJ522" s="1" t="s">
        <v>74</v>
      </c>
      <c r="AK522" s="1" t="s">
        <v>74</v>
      </c>
      <c r="AL522" s="1" t="s">
        <v>74</v>
      </c>
      <c r="AM522" s="1" t="s">
        <v>74</v>
      </c>
      <c r="AN522" s="1" t="s">
        <v>74</v>
      </c>
      <c r="AO522" s="1" t="s">
        <v>5383</v>
      </c>
      <c r="AP522" s="1" t="s">
        <v>5384</v>
      </c>
      <c r="AQ522" s="1" t="s">
        <v>74</v>
      </c>
      <c r="AR522" s="1" t="s">
        <v>74</v>
      </c>
      <c r="AS522" s="1" t="s">
        <v>74</v>
      </c>
      <c r="AT522" s="1" t="s">
        <v>485</v>
      </c>
      <c r="AU522" s="1">
        <v>2017.0</v>
      </c>
      <c r="AV522" s="1">
        <v>37.0</v>
      </c>
      <c r="AW522" s="1">
        <v>5.0</v>
      </c>
      <c r="AX522" s="1" t="s">
        <v>74</v>
      </c>
      <c r="AY522" s="1" t="s">
        <v>74</v>
      </c>
      <c r="AZ522" s="1" t="s">
        <v>74</v>
      </c>
      <c r="BA522" s="1" t="s">
        <v>74</v>
      </c>
      <c r="BB522" s="1">
        <v>2455.0</v>
      </c>
      <c r="BC522" s="1">
        <v>2482.0</v>
      </c>
      <c r="BD522" s="1" t="s">
        <v>74</v>
      </c>
      <c r="BE522" s="1" t="s">
        <v>5385</v>
      </c>
      <c r="BF522" s="2" t="str">
        <f>HYPERLINK("http://dx.doi.org/10.3934/dcds.2017106","http://dx.doi.org/10.3934/dcds.2017106")</f>
        <v>http://dx.doi.org/10.3934/dcds.2017106</v>
      </c>
      <c r="BG522" s="1" t="s">
        <v>74</v>
      </c>
      <c r="BH522" s="1" t="s">
        <v>74</v>
      </c>
      <c r="BI522" s="1" t="s">
        <v>74</v>
      </c>
      <c r="BJ522" s="1" t="s">
        <v>74</v>
      </c>
      <c r="BK522" s="1" t="s">
        <v>74</v>
      </c>
      <c r="BL522" s="1" t="s">
        <v>74</v>
      </c>
      <c r="BM522" s="1" t="s">
        <v>74</v>
      </c>
      <c r="BN522" s="1" t="s">
        <v>74</v>
      </c>
      <c r="BO522" s="1" t="s">
        <v>74</v>
      </c>
      <c r="BP522" s="1" t="s">
        <v>74</v>
      </c>
      <c r="BQ522" s="1" t="s">
        <v>74</v>
      </c>
      <c r="BR522" s="1" t="s">
        <v>74</v>
      </c>
      <c r="BS522" s="1" t="s">
        <v>5386</v>
      </c>
      <c r="BT522" s="1" t="str">
        <f>HYPERLINK("https%3A%2F%2Fwww.webofscience.com%2Fwos%2Fwoscc%2Ffull-record%2FWOS:000394281900009","View Full Record in Web of Science")</f>
        <v>View Full Record in Web of Science</v>
      </c>
    </row>
    <row r="523" ht="12.75" customHeight="1">
      <c r="A523" s="1" t="s">
        <v>72</v>
      </c>
      <c r="B523" s="1" t="s">
        <v>5387</v>
      </c>
      <c r="C523" s="1" t="s">
        <v>74</v>
      </c>
      <c r="D523" s="1" t="s">
        <v>74</v>
      </c>
      <c r="E523" s="1" t="s">
        <v>74</v>
      </c>
      <c r="F523" s="1" t="s">
        <v>5388</v>
      </c>
      <c r="G523" s="1" t="s">
        <v>74</v>
      </c>
      <c r="H523" s="1" t="s">
        <v>74</v>
      </c>
      <c r="I523" s="1" t="s">
        <v>5389</v>
      </c>
      <c r="J523" s="1" t="s">
        <v>1596</v>
      </c>
      <c r="K523" s="1" t="s">
        <v>74</v>
      </c>
      <c r="L523" s="1" t="s">
        <v>74</v>
      </c>
      <c r="M523" s="1" t="s">
        <v>74</v>
      </c>
      <c r="N523" s="1" t="s">
        <v>74</v>
      </c>
      <c r="O523" s="1" t="s">
        <v>74</v>
      </c>
      <c r="P523" s="1" t="s">
        <v>74</v>
      </c>
      <c r="Q523" s="1" t="s">
        <v>74</v>
      </c>
      <c r="R523" s="1" t="s">
        <v>74</v>
      </c>
      <c r="S523" s="1" t="s">
        <v>74</v>
      </c>
      <c r="T523" s="1" t="s">
        <v>74</v>
      </c>
      <c r="U523" s="1" t="s">
        <v>74</v>
      </c>
      <c r="V523" s="1" t="s">
        <v>5390</v>
      </c>
      <c r="W523" s="1" t="s">
        <v>74</v>
      </c>
      <c r="X523" s="1" t="s">
        <v>74</v>
      </c>
      <c r="Y523" s="1" t="s">
        <v>74</v>
      </c>
      <c r="Z523" s="1" t="s">
        <v>74</v>
      </c>
      <c r="AA523" s="1" t="s">
        <v>5391</v>
      </c>
      <c r="AB523" s="1" t="s">
        <v>5392</v>
      </c>
      <c r="AC523" s="1" t="s">
        <v>74</v>
      </c>
      <c r="AD523" s="1" t="s">
        <v>74</v>
      </c>
      <c r="AE523" s="1" t="s">
        <v>74</v>
      </c>
      <c r="AF523" s="1" t="s">
        <v>74</v>
      </c>
      <c r="AG523" s="1" t="s">
        <v>74</v>
      </c>
      <c r="AH523" s="1" t="s">
        <v>74</v>
      </c>
      <c r="AI523" s="1" t="s">
        <v>74</v>
      </c>
      <c r="AJ523" s="1" t="s">
        <v>74</v>
      </c>
      <c r="AK523" s="1" t="s">
        <v>74</v>
      </c>
      <c r="AL523" s="1" t="s">
        <v>74</v>
      </c>
      <c r="AM523" s="1" t="s">
        <v>74</v>
      </c>
      <c r="AN523" s="1" t="s">
        <v>74</v>
      </c>
      <c r="AO523" s="1" t="s">
        <v>1600</v>
      </c>
      <c r="AP523" s="1" t="s">
        <v>74</v>
      </c>
      <c r="AQ523" s="1" t="s">
        <v>74</v>
      </c>
      <c r="AR523" s="1" t="s">
        <v>74</v>
      </c>
      <c r="AS523" s="1" t="s">
        <v>74</v>
      </c>
      <c r="AT523" s="1" t="s">
        <v>307</v>
      </c>
      <c r="AU523" s="1">
        <v>2016.0</v>
      </c>
      <c r="AV523" s="1">
        <v>61.0</v>
      </c>
      <c r="AW523" s="1">
        <v>4.0</v>
      </c>
      <c r="AX523" s="1" t="s">
        <v>74</v>
      </c>
      <c r="AY523" s="1" t="s">
        <v>74</v>
      </c>
      <c r="AZ523" s="1" t="s">
        <v>74</v>
      </c>
      <c r="BA523" s="1" t="s">
        <v>74</v>
      </c>
      <c r="BB523" s="1">
        <v>3211.0</v>
      </c>
      <c r="BC523" s="1">
        <v>3213.0</v>
      </c>
      <c r="BD523" s="1" t="s">
        <v>74</v>
      </c>
      <c r="BE523" s="1" t="s">
        <v>5393</v>
      </c>
      <c r="BF523" s="2" t="str">
        <f>HYPERLINK("http://dx.doi.org/10.4067/S0717-97072016000400012","http://dx.doi.org/10.4067/S0717-97072016000400012")</f>
        <v>http://dx.doi.org/10.4067/S0717-97072016000400012</v>
      </c>
      <c r="BG523" s="1" t="s">
        <v>74</v>
      </c>
      <c r="BH523" s="1" t="s">
        <v>74</v>
      </c>
      <c r="BI523" s="1" t="s">
        <v>74</v>
      </c>
      <c r="BJ523" s="1" t="s">
        <v>74</v>
      </c>
      <c r="BK523" s="1" t="s">
        <v>74</v>
      </c>
      <c r="BL523" s="1" t="s">
        <v>74</v>
      </c>
      <c r="BM523" s="1" t="s">
        <v>74</v>
      </c>
      <c r="BN523" s="1" t="s">
        <v>74</v>
      </c>
      <c r="BO523" s="1" t="s">
        <v>74</v>
      </c>
      <c r="BP523" s="1" t="s">
        <v>74</v>
      </c>
      <c r="BQ523" s="1" t="s">
        <v>74</v>
      </c>
      <c r="BR523" s="1" t="s">
        <v>74</v>
      </c>
      <c r="BS523" s="1" t="s">
        <v>5394</v>
      </c>
      <c r="BT523" s="1" t="str">
        <f>HYPERLINK("https%3A%2F%2Fwww.webofscience.com%2Fwos%2Fwoscc%2Ffull-record%2FWOS:000393079900012","View Full Record in Web of Science")</f>
        <v>View Full Record in Web of Science</v>
      </c>
    </row>
    <row r="524" ht="12.75" customHeight="1">
      <c r="A524" s="1" t="s">
        <v>72</v>
      </c>
      <c r="B524" s="1" t="s">
        <v>5395</v>
      </c>
      <c r="C524" s="1" t="s">
        <v>74</v>
      </c>
      <c r="D524" s="1" t="s">
        <v>74</v>
      </c>
      <c r="E524" s="1" t="s">
        <v>74</v>
      </c>
      <c r="F524" s="1" t="s">
        <v>5396</v>
      </c>
      <c r="G524" s="1" t="s">
        <v>74</v>
      </c>
      <c r="H524" s="1" t="s">
        <v>74</v>
      </c>
      <c r="I524" s="1" t="s">
        <v>5397</v>
      </c>
      <c r="J524" s="1" t="s">
        <v>5398</v>
      </c>
      <c r="K524" s="1" t="s">
        <v>74</v>
      </c>
      <c r="L524" s="1" t="s">
        <v>74</v>
      </c>
      <c r="M524" s="1" t="s">
        <v>74</v>
      </c>
      <c r="N524" s="1" t="s">
        <v>74</v>
      </c>
      <c r="O524" s="1" t="s">
        <v>74</v>
      </c>
      <c r="P524" s="1" t="s">
        <v>74</v>
      </c>
      <c r="Q524" s="1" t="s">
        <v>74</v>
      </c>
      <c r="R524" s="1" t="s">
        <v>74</v>
      </c>
      <c r="S524" s="1" t="s">
        <v>74</v>
      </c>
      <c r="T524" s="1" t="s">
        <v>74</v>
      </c>
      <c r="U524" s="1" t="s">
        <v>74</v>
      </c>
      <c r="V524" s="1" t="s">
        <v>5399</v>
      </c>
      <c r="W524" s="1" t="s">
        <v>74</v>
      </c>
      <c r="X524" s="1" t="s">
        <v>74</v>
      </c>
      <c r="Y524" s="1" t="s">
        <v>74</v>
      </c>
      <c r="Z524" s="1" t="s">
        <v>74</v>
      </c>
      <c r="AA524" s="1" t="s">
        <v>4948</v>
      </c>
      <c r="AB524" s="1" t="s">
        <v>4949</v>
      </c>
      <c r="AC524" s="1" t="s">
        <v>74</v>
      </c>
      <c r="AD524" s="1" t="s">
        <v>74</v>
      </c>
      <c r="AE524" s="1" t="s">
        <v>74</v>
      </c>
      <c r="AF524" s="1" t="s">
        <v>74</v>
      </c>
      <c r="AG524" s="1" t="s">
        <v>74</v>
      </c>
      <c r="AH524" s="1" t="s">
        <v>74</v>
      </c>
      <c r="AI524" s="1" t="s">
        <v>74</v>
      </c>
      <c r="AJ524" s="1" t="s">
        <v>74</v>
      </c>
      <c r="AK524" s="1" t="s">
        <v>74</v>
      </c>
      <c r="AL524" s="1" t="s">
        <v>74</v>
      </c>
      <c r="AM524" s="1" t="s">
        <v>74</v>
      </c>
      <c r="AN524" s="1" t="s">
        <v>74</v>
      </c>
      <c r="AO524" s="1" t="s">
        <v>5400</v>
      </c>
      <c r="AP524" s="1" t="s">
        <v>5401</v>
      </c>
      <c r="AQ524" s="1" t="s">
        <v>74</v>
      </c>
      <c r="AR524" s="1" t="s">
        <v>74</v>
      </c>
      <c r="AS524" s="1" t="s">
        <v>74</v>
      </c>
      <c r="AT524" s="1" t="s">
        <v>348</v>
      </c>
      <c r="AU524" s="1">
        <v>2016.0</v>
      </c>
      <c r="AV524" s="1">
        <v>40.0</v>
      </c>
      <c r="AW524" s="1" t="s">
        <v>5402</v>
      </c>
      <c r="AX524" s="1" t="s">
        <v>74</v>
      </c>
      <c r="AY524" s="1" t="s">
        <v>74</v>
      </c>
      <c r="AZ524" s="1" t="s">
        <v>1416</v>
      </c>
      <c r="BA524" s="1" t="s">
        <v>74</v>
      </c>
      <c r="BB524" s="1">
        <v>7977.0</v>
      </c>
      <c r="BC524" s="1">
        <v>7987.0</v>
      </c>
      <c r="BD524" s="1" t="s">
        <v>74</v>
      </c>
      <c r="BE524" s="1" t="s">
        <v>5403</v>
      </c>
      <c r="BF524" s="2" t="str">
        <f>HYPERLINK("http://dx.doi.org/10.1016/j.apm.2016.04.020","http://dx.doi.org/10.1016/j.apm.2016.04.020")</f>
        <v>http://dx.doi.org/10.1016/j.apm.2016.04.020</v>
      </c>
      <c r="BG524" s="1" t="s">
        <v>74</v>
      </c>
      <c r="BH524" s="1" t="s">
        <v>74</v>
      </c>
      <c r="BI524" s="1" t="s">
        <v>74</v>
      </c>
      <c r="BJ524" s="1" t="s">
        <v>74</v>
      </c>
      <c r="BK524" s="1" t="s">
        <v>74</v>
      </c>
      <c r="BL524" s="1" t="s">
        <v>74</v>
      </c>
      <c r="BM524" s="1" t="s">
        <v>74</v>
      </c>
      <c r="BN524" s="1" t="s">
        <v>74</v>
      </c>
      <c r="BO524" s="1" t="s">
        <v>74</v>
      </c>
      <c r="BP524" s="1" t="s">
        <v>74</v>
      </c>
      <c r="BQ524" s="1" t="s">
        <v>74</v>
      </c>
      <c r="BR524" s="1" t="s">
        <v>74</v>
      </c>
      <c r="BS524" s="1" t="s">
        <v>5404</v>
      </c>
      <c r="BT524" s="1" t="str">
        <f>HYPERLINK("https%3A%2F%2Fwww.webofscience.com%2Fwos%2Fwoscc%2Ffull-record%2FWOS:000381541100037","View Full Record in Web of Science")</f>
        <v>View Full Record in Web of Science</v>
      </c>
    </row>
    <row r="525" ht="12.75" customHeight="1">
      <c r="A525" s="1" t="s">
        <v>72</v>
      </c>
      <c r="B525" s="1" t="s">
        <v>5405</v>
      </c>
      <c r="C525" s="1" t="s">
        <v>74</v>
      </c>
      <c r="D525" s="1" t="s">
        <v>74</v>
      </c>
      <c r="E525" s="1" t="s">
        <v>74</v>
      </c>
      <c r="F525" s="1" t="s">
        <v>5406</v>
      </c>
      <c r="G525" s="1" t="s">
        <v>74</v>
      </c>
      <c r="H525" s="1" t="s">
        <v>74</v>
      </c>
      <c r="I525" s="1" t="s">
        <v>5407</v>
      </c>
      <c r="J525" s="1" t="s">
        <v>5408</v>
      </c>
      <c r="K525" s="1" t="s">
        <v>74</v>
      </c>
      <c r="L525" s="1" t="s">
        <v>74</v>
      </c>
      <c r="M525" s="1" t="s">
        <v>74</v>
      </c>
      <c r="N525" s="1" t="s">
        <v>74</v>
      </c>
      <c r="O525" s="1" t="s">
        <v>74</v>
      </c>
      <c r="P525" s="1" t="s">
        <v>74</v>
      </c>
      <c r="Q525" s="1" t="s">
        <v>74</v>
      </c>
      <c r="R525" s="1" t="s">
        <v>74</v>
      </c>
      <c r="S525" s="1" t="s">
        <v>74</v>
      </c>
      <c r="T525" s="1" t="s">
        <v>74</v>
      </c>
      <c r="U525" s="1" t="s">
        <v>74</v>
      </c>
      <c r="V525" s="1" t="s">
        <v>5409</v>
      </c>
      <c r="W525" s="1" t="s">
        <v>74</v>
      </c>
      <c r="X525" s="1" t="s">
        <v>74</v>
      </c>
      <c r="Y525" s="1" t="s">
        <v>74</v>
      </c>
      <c r="Z525" s="1" t="s">
        <v>74</v>
      </c>
      <c r="AA525" s="1" t="s">
        <v>5410</v>
      </c>
      <c r="AB525" s="1" t="s">
        <v>5411</v>
      </c>
      <c r="AC525" s="1" t="s">
        <v>74</v>
      </c>
      <c r="AD525" s="1" t="s">
        <v>74</v>
      </c>
      <c r="AE525" s="1" t="s">
        <v>74</v>
      </c>
      <c r="AF525" s="1" t="s">
        <v>74</v>
      </c>
      <c r="AG525" s="1" t="s">
        <v>74</v>
      </c>
      <c r="AH525" s="1" t="s">
        <v>74</v>
      </c>
      <c r="AI525" s="1" t="s">
        <v>74</v>
      </c>
      <c r="AJ525" s="1" t="s">
        <v>74</v>
      </c>
      <c r="AK525" s="1" t="s">
        <v>74</v>
      </c>
      <c r="AL525" s="1" t="s">
        <v>74</v>
      </c>
      <c r="AM525" s="1" t="s">
        <v>74</v>
      </c>
      <c r="AN525" s="1" t="s">
        <v>74</v>
      </c>
      <c r="AO525" s="1" t="s">
        <v>5412</v>
      </c>
      <c r="AP525" s="1" t="s">
        <v>5413</v>
      </c>
      <c r="AQ525" s="1" t="s">
        <v>74</v>
      </c>
      <c r="AR525" s="1" t="s">
        <v>74</v>
      </c>
      <c r="AS525" s="1" t="s">
        <v>74</v>
      </c>
      <c r="AT525" s="1" t="s">
        <v>164</v>
      </c>
      <c r="AU525" s="1">
        <v>2016.0</v>
      </c>
      <c r="AV525" s="1">
        <v>67.0</v>
      </c>
      <c r="AW525" s="1">
        <v>7.0</v>
      </c>
      <c r="AX525" s="1" t="s">
        <v>74</v>
      </c>
      <c r="AY525" s="1" t="s">
        <v>74</v>
      </c>
      <c r="AZ525" s="1" t="s">
        <v>74</v>
      </c>
      <c r="BA525" s="1" t="s">
        <v>74</v>
      </c>
      <c r="BB525" s="1">
        <v>1607.0</v>
      </c>
      <c r="BC525" s="1">
        <v>1623.0</v>
      </c>
      <c r="BD525" s="1" t="s">
        <v>74</v>
      </c>
      <c r="BE525" s="1" t="s">
        <v>5414</v>
      </c>
      <c r="BF525" s="2" t="str">
        <f>HYPERLINK("http://dx.doi.org/10.1002/asi.23484","http://dx.doi.org/10.1002/asi.23484")</f>
        <v>http://dx.doi.org/10.1002/asi.23484</v>
      </c>
      <c r="BG525" s="1" t="s">
        <v>74</v>
      </c>
      <c r="BH525" s="1" t="s">
        <v>74</v>
      </c>
      <c r="BI525" s="1" t="s">
        <v>74</v>
      </c>
      <c r="BJ525" s="1" t="s">
        <v>74</v>
      </c>
      <c r="BK525" s="1" t="s">
        <v>74</v>
      </c>
      <c r="BL525" s="1" t="s">
        <v>74</v>
      </c>
      <c r="BM525" s="1" t="s">
        <v>74</v>
      </c>
      <c r="BN525" s="1" t="s">
        <v>74</v>
      </c>
      <c r="BO525" s="1" t="s">
        <v>74</v>
      </c>
      <c r="BP525" s="1" t="s">
        <v>74</v>
      </c>
      <c r="BQ525" s="1" t="s">
        <v>74</v>
      </c>
      <c r="BR525" s="1" t="s">
        <v>74</v>
      </c>
      <c r="BS525" s="1" t="s">
        <v>5415</v>
      </c>
      <c r="BT525" s="1" t="str">
        <f>HYPERLINK("https%3A%2F%2Fwww.webofscience.com%2Fwos%2Fwoscc%2Ffull-record%2FWOS:000378644700006","View Full Record in Web of Science")</f>
        <v>View Full Record in Web of Science</v>
      </c>
    </row>
    <row r="526" ht="12.75" customHeight="1">
      <c r="A526" s="1" t="s">
        <v>72</v>
      </c>
      <c r="B526" s="1" t="s">
        <v>5416</v>
      </c>
      <c r="C526" s="1" t="s">
        <v>74</v>
      </c>
      <c r="D526" s="1" t="s">
        <v>74</v>
      </c>
      <c r="E526" s="1" t="s">
        <v>74</v>
      </c>
      <c r="F526" s="1" t="s">
        <v>5417</v>
      </c>
      <c r="G526" s="1" t="s">
        <v>74</v>
      </c>
      <c r="H526" s="1" t="s">
        <v>74</v>
      </c>
      <c r="I526" s="1" t="s">
        <v>5418</v>
      </c>
      <c r="J526" s="1" t="s">
        <v>5419</v>
      </c>
      <c r="K526" s="1" t="s">
        <v>74</v>
      </c>
      <c r="L526" s="1" t="s">
        <v>74</v>
      </c>
      <c r="M526" s="1" t="s">
        <v>74</v>
      </c>
      <c r="N526" s="1" t="s">
        <v>74</v>
      </c>
      <c r="O526" s="1" t="s">
        <v>74</v>
      </c>
      <c r="P526" s="1" t="s">
        <v>74</v>
      </c>
      <c r="Q526" s="1" t="s">
        <v>74</v>
      </c>
      <c r="R526" s="1" t="s">
        <v>74</v>
      </c>
      <c r="S526" s="1" t="s">
        <v>74</v>
      </c>
      <c r="T526" s="1" t="s">
        <v>74</v>
      </c>
      <c r="U526" s="1" t="s">
        <v>74</v>
      </c>
      <c r="V526" s="1" t="s">
        <v>5420</v>
      </c>
      <c r="W526" s="1" t="s">
        <v>74</v>
      </c>
      <c r="X526" s="1" t="s">
        <v>74</v>
      </c>
      <c r="Y526" s="1" t="s">
        <v>74</v>
      </c>
      <c r="Z526" s="1" t="s">
        <v>74</v>
      </c>
      <c r="AA526" s="1" t="s">
        <v>4948</v>
      </c>
      <c r="AB526" s="1" t="s">
        <v>4949</v>
      </c>
      <c r="AC526" s="1" t="s">
        <v>74</v>
      </c>
      <c r="AD526" s="1" t="s">
        <v>74</v>
      </c>
      <c r="AE526" s="1" t="s">
        <v>74</v>
      </c>
      <c r="AF526" s="1" t="s">
        <v>74</v>
      </c>
      <c r="AG526" s="1" t="s">
        <v>74</v>
      </c>
      <c r="AH526" s="1" t="s">
        <v>74</v>
      </c>
      <c r="AI526" s="1" t="s">
        <v>74</v>
      </c>
      <c r="AJ526" s="1" t="s">
        <v>74</v>
      </c>
      <c r="AK526" s="1" t="s">
        <v>74</v>
      </c>
      <c r="AL526" s="1" t="s">
        <v>74</v>
      </c>
      <c r="AM526" s="1" t="s">
        <v>74</v>
      </c>
      <c r="AN526" s="1" t="s">
        <v>74</v>
      </c>
      <c r="AO526" s="1" t="s">
        <v>5421</v>
      </c>
      <c r="AP526" s="1" t="s">
        <v>5422</v>
      </c>
      <c r="AQ526" s="1" t="s">
        <v>74</v>
      </c>
      <c r="AR526" s="1" t="s">
        <v>74</v>
      </c>
      <c r="AS526" s="1" t="s">
        <v>74</v>
      </c>
      <c r="AT526" s="1" t="s">
        <v>2530</v>
      </c>
      <c r="AU526" s="1">
        <v>2016.0</v>
      </c>
      <c r="AV526" s="1">
        <v>173.0</v>
      </c>
      <c r="AW526" s="1" t="s">
        <v>74</v>
      </c>
      <c r="AX526" s="1" t="s">
        <v>74</v>
      </c>
      <c r="AY526" s="1" t="s">
        <v>74</v>
      </c>
      <c r="AZ526" s="1" t="s">
        <v>74</v>
      </c>
      <c r="BA526" s="1" t="s">
        <v>74</v>
      </c>
      <c r="BB526" s="1">
        <v>283.0</v>
      </c>
      <c r="BC526" s="1">
        <v>295.0</v>
      </c>
      <c r="BD526" s="1" t="s">
        <v>74</v>
      </c>
      <c r="BE526" s="1" t="s">
        <v>5423</v>
      </c>
      <c r="BF526" s="2" t="str">
        <f>HYPERLINK("http://dx.doi.org/10.1016/j.apenergy.2016.04.004","http://dx.doi.org/10.1016/j.apenergy.2016.04.004")</f>
        <v>http://dx.doi.org/10.1016/j.apenergy.2016.04.004</v>
      </c>
      <c r="BG526" s="1" t="s">
        <v>74</v>
      </c>
      <c r="BH526" s="1" t="s">
        <v>74</v>
      </c>
      <c r="BI526" s="1" t="s">
        <v>74</v>
      </c>
      <c r="BJ526" s="1" t="s">
        <v>74</v>
      </c>
      <c r="BK526" s="1" t="s">
        <v>74</v>
      </c>
      <c r="BL526" s="1" t="s">
        <v>74</v>
      </c>
      <c r="BM526" s="1" t="s">
        <v>74</v>
      </c>
      <c r="BN526" s="1" t="s">
        <v>74</v>
      </c>
      <c r="BO526" s="1" t="s">
        <v>74</v>
      </c>
      <c r="BP526" s="1" t="s">
        <v>74</v>
      </c>
      <c r="BQ526" s="1" t="s">
        <v>74</v>
      </c>
      <c r="BR526" s="1" t="s">
        <v>74</v>
      </c>
      <c r="BS526" s="1" t="s">
        <v>5424</v>
      </c>
      <c r="BT526" s="1" t="str">
        <f>HYPERLINK("https%3A%2F%2Fwww.webofscience.com%2Fwos%2Fwoscc%2Ffull-record%2FWOS:000377235200025","View Full Record in Web of Science")</f>
        <v>View Full Record in Web of Science</v>
      </c>
    </row>
    <row r="527" ht="12.75" customHeight="1">
      <c r="A527" s="1" t="s">
        <v>72</v>
      </c>
      <c r="B527" s="1" t="s">
        <v>5425</v>
      </c>
      <c r="C527" s="1" t="s">
        <v>74</v>
      </c>
      <c r="D527" s="1" t="s">
        <v>74</v>
      </c>
      <c r="E527" s="1" t="s">
        <v>74</v>
      </c>
      <c r="F527" s="1" t="s">
        <v>5426</v>
      </c>
      <c r="G527" s="1" t="s">
        <v>74</v>
      </c>
      <c r="H527" s="1" t="s">
        <v>74</v>
      </c>
      <c r="I527" s="1" t="s">
        <v>5427</v>
      </c>
      <c r="J527" s="1" t="s">
        <v>5428</v>
      </c>
      <c r="K527" s="1" t="s">
        <v>74</v>
      </c>
      <c r="L527" s="1" t="s">
        <v>74</v>
      </c>
      <c r="M527" s="1" t="s">
        <v>74</v>
      </c>
      <c r="N527" s="1" t="s">
        <v>74</v>
      </c>
      <c r="O527" s="1" t="s">
        <v>74</v>
      </c>
      <c r="P527" s="1" t="s">
        <v>74</v>
      </c>
      <c r="Q527" s="1" t="s">
        <v>74</v>
      </c>
      <c r="R527" s="1" t="s">
        <v>74</v>
      </c>
      <c r="S527" s="1" t="s">
        <v>74</v>
      </c>
      <c r="T527" s="1" t="s">
        <v>74</v>
      </c>
      <c r="U527" s="1" t="s">
        <v>74</v>
      </c>
      <c r="V527" s="1" t="s">
        <v>5429</v>
      </c>
      <c r="W527" s="1" t="s">
        <v>74</v>
      </c>
      <c r="X527" s="1" t="s">
        <v>74</v>
      </c>
      <c r="Y527" s="1" t="s">
        <v>74</v>
      </c>
      <c r="Z527" s="1" t="s">
        <v>74</v>
      </c>
      <c r="AA527" s="1" t="s">
        <v>5430</v>
      </c>
      <c r="AB527" s="1" t="s">
        <v>5431</v>
      </c>
      <c r="AC527" s="1" t="s">
        <v>74</v>
      </c>
      <c r="AD527" s="1" t="s">
        <v>74</v>
      </c>
      <c r="AE527" s="1" t="s">
        <v>74</v>
      </c>
      <c r="AF527" s="1" t="s">
        <v>74</v>
      </c>
      <c r="AG527" s="1" t="s">
        <v>74</v>
      </c>
      <c r="AH527" s="1" t="s">
        <v>74</v>
      </c>
      <c r="AI527" s="1" t="s">
        <v>74</v>
      </c>
      <c r="AJ527" s="1" t="s">
        <v>74</v>
      </c>
      <c r="AK527" s="1" t="s">
        <v>74</v>
      </c>
      <c r="AL527" s="1" t="s">
        <v>74</v>
      </c>
      <c r="AM527" s="1" t="s">
        <v>74</v>
      </c>
      <c r="AN527" s="1" t="s">
        <v>74</v>
      </c>
      <c r="AO527" s="1" t="s">
        <v>5432</v>
      </c>
      <c r="AP527" s="1" t="s">
        <v>5433</v>
      </c>
      <c r="AQ527" s="1" t="s">
        <v>74</v>
      </c>
      <c r="AR527" s="1" t="s">
        <v>74</v>
      </c>
      <c r="AS527" s="1" t="s">
        <v>74</v>
      </c>
      <c r="AT527" s="1" t="s">
        <v>74</v>
      </c>
      <c r="AU527" s="1">
        <v>2014.0</v>
      </c>
      <c r="AV527" s="1">
        <v>131.0</v>
      </c>
      <c r="AW527" s="1">
        <v>1.0</v>
      </c>
      <c r="AX527" s="1" t="s">
        <v>74</v>
      </c>
      <c r="AY527" s="1" t="s">
        <v>74</v>
      </c>
      <c r="AZ527" s="1" t="s">
        <v>74</v>
      </c>
      <c r="BA527" s="1" t="s">
        <v>74</v>
      </c>
      <c r="BB527" s="1">
        <v>139.0</v>
      </c>
      <c r="BC527" s="1">
        <v>166.0</v>
      </c>
      <c r="BD527" s="1" t="s">
        <v>74</v>
      </c>
      <c r="BE527" s="1" t="s">
        <v>5434</v>
      </c>
      <c r="BF527" s="2" t="str">
        <f>HYPERLINK("http://dx.doi.org/10.3233/FI-2014-1007","http://dx.doi.org/10.3233/FI-2014-1007")</f>
        <v>http://dx.doi.org/10.3233/FI-2014-1007</v>
      </c>
      <c r="BG527" s="1" t="s">
        <v>74</v>
      </c>
      <c r="BH527" s="1" t="s">
        <v>74</v>
      </c>
      <c r="BI527" s="1" t="s">
        <v>74</v>
      </c>
      <c r="BJ527" s="1" t="s">
        <v>74</v>
      </c>
      <c r="BK527" s="1" t="s">
        <v>74</v>
      </c>
      <c r="BL527" s="1" t="s">
        <v>74</v>
      </c>
      <c r="BM527" s="1" t="s">
        <v>74</v>
      </c>
      <c r="BN527" s="1" t="s">
        <v>74</v>
      </c>
      <c r="BO527" s="1" t="s">
        <v>74</v>
      </c>
      <c r="BP527" s="1" t="s">
        <v>74</v>
      </c>
      <c r="BQ527" s="1" t="s">
        <v>74</v>
      </c>
      <c r="BR527" s="1" t="s">
        <v>74</v>
      </c>
      <c r="BS527" s="1" t="s">
        <v>5435</v>
      </c>
      <c r="BT527" s="1" t="str">
        <f>HYPERLINK("https%3A%2F%2Fwww.webofscience.com%2Fwos%2Fwoscc%2Ffull-record%2FWOS:000333421900007","View Full Record in Web of Science")</f>
        <v>View Full Record in Web of Science</v>
      </c>
    </row>
    <row r="528" ht="12.75" customHeight="1">
      <c r="A528" s="1" t="s">
        <v>72</v>
      </c>
      <c r="B528" s="1" t="s">
        <v>5436</v>
      </c>
      <c r="C528" s="1" t="s">
        <v>74</v>
      </c>
      <c r="D528" s="1" t="s">
        <v>74</v>
      </c>
      <c r="E528" s="1" t="s">
        <v>74</v>
      </c>
      <c r="F528" s="1" t="s">
        <v>5437</v>
      </c>
      <c r="G528" s="1" t="s">
        <v>74</v>
      </c>
      <c r="H528" s="1" t="s">
        <v>74</v>
      </c>
      <c r="I528" s="1" t="s">
        <v>5438</v>
      </c>
      <c r="J528" s="1" t="s">
        <v>1291</v>
      </c>
      <c r="K528" s="1" t="s">
        <v>74</v>
      </c>
      <c r="L528" s="1" t="s">
        <v>74</v>
      </c>
      <c r="M528" s="1" t="s">
        <v>74</v>
      </c>
      <c r="N528" s="1" t="s">
        <v>74</v>
      </c>
      <c r="O528" s="1" t="s">
        <v>74</v>
      </c>
      <c r="P528" s="1" t="s">
        <v>74</v>
      </c>
      <c r="Q528" s="1" t="s">
        <v>74</v>
      </c>
      <c r="R528" s="1" t="s">
        <v>74</v>
      </c>
      <c r="S528" s="1" t="s">
        <v>74</v>
      </c>
      <c r="T528" s="1" t="s">
        <v>74</v>
      </c>
      <c r="U528" s="1" t="s">
        <v>74</v>
      </c>
      <c r="V528" s="1" t="s">
        <v>5439</v>
      </c>
      <c r="W528" s="1" t="s">
        <v>74</v>
      </c>
      <c r="X528" s="1" t="s">
        <v>74</v>
      </c>
      <c r="Y528" s="1" t="s">
        <v>74</v>
      </c>
      <c r="Z528" s="1" t="s">
        <v>74</v>
      </c>
      <c r="AA528" s="1" t="s">
        <v>5440</v>
      </c>
      <c r="AB528" s="1" t="s">
        <v>5441</v>
      </c>
      <c r="AC528" s="1" t="s">
        <v>74</v>
      </c>
      <c r="AD528" s="1" t="s">
        <v>74</v>
      </c>
      <c r="AE528" s="1" t="s">
        <v>74</v>
      </c>
      <c r="AF528" s="1" t="s">
        <v>74</v>
      </c>
      <c r="AG528" s="1" t="s">
        <v>74</v>
      </c>
      <c r="AH528" s="1" t="s">
        <v>74</v>
      </c>
      <c r="AI528" s="1" t="s">
        <v>74</v>
      </c>
      <c r="AJ528" s="1" t="s">
        <v>74</v>
      </c>
      <c r="AK528" s="1" t="s">
        <v>74</v>
      </c>
      <c r="AL528" s="1" t="s">
        <v>74</v>
      </c>
      <c r="AM528" s="1" t="s">
        <v>74</v>
      </c>
      <c r="AN528" s="1" t="s">
        <v>74</v>
      </c>
      <c r="AO528" s="1" t="s">
        <v>1294</v>
      </c>
      <c r="AP528" s="1" t="s">
        <v>74</v>
      </c>
      <c r="AQ528" s="1" t="s">
        <v>74</v>
      </c>
      <c r="AR528" s="1" t="s">
        <v>74</v>
      </c>
      <c r="AS528" s="1" t="s">
        <v>74</v>
      </c>
      <c r="AT528" s="1" t="s">
        <v>5442</v>
      </c>
      <c r="AU528" s="1">
        <v>2013.0</v>
      </c>
      <c r="AV528" s="1">
        <v>62.0</v>
      </c>
      <c r="AW528" s="1" t="s">
        <v>74</v>
      </c>
      <c r="AX528" s="1" t="s">
        <v>74</v>
      </c>
      <c r="AY528" s="1" t="s">
        <v>74</v>
      </c>
      <c r="AZ528" s="1" t="s">
        <v>74</v>
      </c>
      <c r="BA528" s="1" t="s">
        <v>74</v>
      </c>
      <c r="BB528" s="1">
        <v>66.0</v>
      </c>
      <c r="BC528" s="1">
        <v>74.0</v>
      </c>
      <c r="BD528" s="1" t="s">
        <v>74</v>
      </c>
      <c r="BE528" s="1" t="s">
        <v>5443</v>
      </c>
      <c r="BF528" s="2" t="str">
        <f>HYPERLINK("http://dx.doi.org/10.1016/j.poly.2013.06.020","http://dx.doi.org/10.1016/j.poly.2013.06.020")</f>
        <v>http://dx.doi.org/10.1016/j.poly.2013.06.020</v>
      </c>
      <c r="BG528" s="1" t="s">
        <v>74</v>
      </c>
      <c r="BH528" s="1" t="s">
        <v>74</v>
      </c>
      <c r="BI528" s="1" t="s">
        <v>74</v>
      </c>
      <c r="BJ528" s="1" t="s">
        <v>74</v>
      </c>
      <c r="BK528" s="1" t="s">
        <v>74</v>
      </c>
      <c r="BL528" s="1" t="s">
        <v>74</v>
      </c>
      <c r="BM528" s="1" t="s">
        <v>74</v>
      </c>
      <c r="BN528" s="1" t="s">
        <v>74</v>
      </c>
      <c r="BO528" s="1" t="s">
        <v>74</v>
      </c>
      <c r="BP528" s="1" t="s">
        <v>74</v>
      </c>
      <c r="BQ528" s="1" t="s">
        <v>74</v>
      </c>
      <c r="BR528" s="1" t="s">
        <v>74</v>
      </c>
      <c r="BS528" s="1" t="s">
        <v>5444</v>
      </c>
      <c r="BT528" s="1" t="str">
        <f>HYPERLINK("https%3A%2F%2Fwww.webofscience.com%2Fwos%2Fwoscc%2Ffull-record%2FWOS:000324226200009","View Full Record in Web of Science")</f>
        <v>View Full Record in Web of Science</v>
      </c>
    </row>
    <row r="529" ht="12.75" customHeight="1">
      <c r="A529" s="1" t="s">
        <v>72</v>
      </c>
      <c r="B529" s="1" t="s">
        <v>5445</v>
      </c>
      <c r="C529" s="1" t="s">
        <v>74</v>
      </c>
      <c r="D529" s="1" t="s">
        <v>74</v>
      </c>
      <c r="E529" s="1" t="s">
        <v>74</v>
      </c>
      <c r="F529" s="1" t="s">
        <v>5446</v>
      </c>
      <c r="G529" s="1" t="s">
        <v>74</v>
      </c>
      <c r="H529" s="1" t="s">
        <v>74</v>
      </c>
      <c r="I529" s="1" t="s">
        <v>5447</v>
      </c>
      <c r="J529" s="1" t="s">
        <v>5448</v>
      </c>
      <c r="K529" s="1" t="s">
        <v>74</v>
      </c>
      <c r="L529" s="1" t="s">
        <v>74</v>
      </c>
      <c r="M529" s="1" t="s">
        <v>74</v>
      </c>
      <c r="N529" s="1" t="s">
        <v>74</v>
      </c>
      <c r="O529" s="1" t="s">
        <v>74</v>
      </c>
      <c r="P529" s="1" t="s">
        <v>74</v>
      </c>
      <c r="Q529" s="1" t="s">
        <v>74</v>
      </c>
      <c r="R529" s="1" t="s">
        <v>74</v>
      </c>
      <c r="S529" s="1" t="s">
        <v>74</v>
      </c>
      <c r="T529" s="1" t="s">
        <v>74</v>
      </c>
      <c r="U529" s="1" t="s">
        <v>74</v>
      </c>
      <c r="V529" s="1" t="s">
        <v>5449</v>
      </c>
      <c r="W529" s="1" t="s">
        <v>74</v>
      </c>
      <c r="X529" s="1" t="s">
        <v>74</v>
      </c>
      <c r="Y529" s="1" t="s">
        <v>74</v>
      </c>
      <c r="Z529" s="1" t="s">
        <v>74</v>
      </c>
      <c r="AA529" s="1" t="s">
        <v>5450</v>
      </c>
      <c r="AB529" s="1" t="s">
        <v>74</v>
      </c>
      <c r="AC529" s="1" t="s">
        <v>74</v>
      </c>
      <c r="AD529" s="1" t="s">
        <v>74</v>
      </c>
      <c r="AE529" s="1" t="s">
        <v>74</v>
      </c>
      <c r="AF529" s="1" t="s">
        <v>74</v>
      </c>
      <c r="AG529" s="1" t="s">
        <v>74</v>
      </c>
      <c r="AH529" s="1" t="s">
        <v>74</v>
      </c>
      <c r="AI529" s="1" t="s">
        <v>74</v>
      </c>
      <c r="AJ529" s="1" t="s">
        <v>74</v>
      </c>
      <c r="AK529" s="1" t="s">
        <v>74</v>
      </c>
      <c r="AL529" s="1" t="s">
        <v>74</v>
      </c>
      <c r="AM529" s="1" t="s">
        <v>74</v>
      </c>
      <c r="AN529" s="1" t="s">
        <v>74</v>
      </c>
      <c r="AO529" s="1" t="s">
        <v>74</v>
      </c>
      <c r="AP529" s="1" t="s">
        <v>5451</v>
      </c>
      <c r="AQ529" s="1" t="s">
        <v>74</v>
      </c>
      <c r="AR529" s="1" t="s">
        <v>74</v>
      </c>
      <c r="AS529" s="1" t="s">
        <v>74</v>
      </c>
      <c r="AT529" s="1" t="s">
        <v>1213</v>
      </c>
      <c r="AU529" s="1">
        <v>2013.0</v>
      </c>
      <c r="AV529" s="1">
        <v>3.0</v>
      </c>
      <c r="AW529" s="1">
        <v>1.0</v>
      </c>
      <c r="AX529" s="1" t="s">
        <v>74</v>
      </c>
      <c r="AY529" s="1" t="s">
        <v>74</v>
      </c>
      <c r="AZ529" s="1" t="s">
        <v>74</v>
      </c>
      <c r="BA529" s="1" t="s">
        <v>74</v>
      </c>
      <c r="BB529" s="1">
        <v>126.0</v>
      </c>
      <c r="BC529" s="1">
        <v>140.0</v>
      </c>
      <c r="BD529" s="1" t="s">
        <v>74</v>
      </c>
      <c r="BE529" s="1" t="s">
        <v>5452</v>
      </c>
      <c r="BF529" s="2" t="str">
        <f>HYPERLINK("http://dx.doi.org/10.3390/nano3010126","http://dx.doi.org/10.3390/nano3010126")</f>
        <v>http://dx.doi.org/10.3390/nano3010126</v>
      </c>
      <c r="BG529" s="1" t="s">
        <v>74</v>
      </c>
      <c r="BH529" s="1" t="s">
        <v>74</v>
      </c>
      <c r="BI529" s="1" t="s">
        <v>74</v>
      </c>
      <c r="BJ529" s="1" t="s">
        <v>74</v>
      </c>
      <c r="BK529" s="1" t="s">
        <v>74</v>
      </c>
      <c r="BL529" s="1" t="s">
        <v>74</v>
      </c>
      <c r="BM529" s="1" t="s">
        <v>74</v>
      </c>
      <c r="BN529" s="1">
        <v>2.8348326E7</v>
      </c>
      <c r="BO529" s="1" t="s">
        <v>74</v>
      </c>
      <c r="BP529" s="1" t="s">
        <v>74</v>
      </c>
      <c r="BQ529" s="1" t="s">
        <v>74</v>
      </c>
      <c r="BR529" s="1" t="s">
        <v>74</v>
      </c>
      <c r="BS529" s="1" t="s">
        <v>5453</v>
      </c>
      <c r="BT529" s="1" t="str">
        <f>HYPERLINK("https%3A%2F%2Fwww.webofscience.com%2Fwos%2Fwoscc%2Ffull-record%2FWOS:000342199900008","View Full Record in Web of Science")</f>
        <v>View Full Record in Web of Science</v>
      </c>
    </row>
    <row r="530" ht="12.75" customHeight="1">
      <c r="A530" s="1" t="s">
        <v>72</v>
      </c>
      <c r="B530" s="1" t="s">
        <v>5454</v>
      </c>
      <c r="C530" s="1" t="s">
        <v>74</v>
      </c>
      <c r="D530" s="1" t="s">
        <v>74</v>
      </c>
      <c r="E530" s="1" t="s">
        <v>74</v>
      </c>
      <c r="F530" s="1" t="s">
        <v>5455</v>
      </c>
      <c r="G530" s="1" t="s">
        <v>74</v>
      </c>
      <c r="H530" s="1" t="s">
        <v>74</v>
      </c>
      <c r="I530" s="1" t="s">
        <v>5456</v>
      </c>
      <c r="J530" s="1" t="s">
        <v>5457</v>
      </c>
      <c r="K530" s="1" t="s">
        <v>74</v>
      </c>
      <c r="L530" s="1" t="s">
        <v>74</v>
      </c>
      <c r="M530" s="1" t="s">
        <v>74</v>
      </c>
      <c r="N530" s="1" t="s">
        <v>74</v>
      </c>
      <c r="O530" s="1" t="s">
        <v>74</v>
      </c>
      <c r="P530" s="1" t="s">
        <v>74</v>
      </c>
      <c r="Q530" s="1" t="s">
        <v>74</v>
      </c>
      <c r="R530" s="1" t="s">
        <v>74</v>
      </c>
      <c r="S530" s="1" t="s">
        <v>74</v>
      </c>
      <c r="T530" s="1" t="s">
        <v>74</v>
      </c>
      <c r="U530" s="1" t="s">
        <v>74</v>
      </c>
      <c r="V530" s="1" t="s">
        <v>5458</v>
      </c>
      <c r="W530" s="1" t="s">
        <v>74</v>
      </c>
      <c r="X530" s="1" t="s">
        <v>74</v>
      </c>
      <c r="Y530" s="1" t="s">
        <v>74</v>
      </c>
      <c r="Z530" s="1" t="s">
        <v>74</v>
      </c>
      <c r="AA530" s="1" t="s">
        <v>5459</v>
      </c>
      <c r="AB530" s="1" t="s">
        <v>5460</v>
      </c>
      <c r="AC530" s="1" t="s">
        <v>74</v>
      </c>
      <c r="AD530" s="1" t="s">
        <v>74</v>
      </c>
      <c r="AE530" s="1" t="s">
        <v>74</v>
      </c>
      <c r="AF530" s="1" t="s">
        <v>74</v>
      </c>
      <c r="AG530" s="1" t="s">
        <v>74</v>
      </c>
      <c r="AH530" s="1" t="s">
        <v>74</v>
      </c>
      <c r="AI530" s="1" t="s">
        <v>74</v>
      </c>
      <c r="AJ530" s="1" t="s">
        <v>74</v>
      </c>
      <c r="AK530" s="1" t="s">
        <v>74</v>
      </c>
      <c r="AL530" s="1" t="s">
        <v>74</v>
      </c>
      <c r="AM530" s="1" t="s">
        <v>74</v>
      </c>
      <c r="AN530" s="1" t="s">
        <v>74</v>
      </c>
      <c r="AO530" s="1" t="s">
        <v>5461</v>
      </c>
      <c r="AP530" s="1" t="s">
        <v>5462</v>
      </c>
      <c r="AQ530" s="1" t="s">
        <v>74</v>
      </c>
      <c r="AR530" s="1" t="s">
        <v>74</v>
      </c>
      <c r="AS530" s="1" t="s">
        <v>74</v>
      </c>
      <c r="AT530" s="1" t="s">
        <v>995</v>
      </c>
      <c r="AU530" s="1">
        <v>2012.0</v>
      </c>
      <c r="AV530" s="1">
        <v>23.0</v>
      </c>
      <c r="AW530" s="1">
        <v>49.0</v>
      </c>
      <c r="AX530" s="1" t="s">
        <v>74</v>
      </c>
      <c r="AY530" s="1" t="s">
        <v>74</v>
      </c>
      <c r="AZ530" s="1" t="s">
        <v>74</v>
      </c>
      <c r="BA530" s="1" t="s">
        <v>74</v>
      </c>
      <c r="BB530" s="1" t="s">
        <v>74</v>
      </c>
      <c r="BC530" s="1" t="s">
        <v>74</v>
      </c>
      <c r="BD530" s="1">
        <v>495718.0</v>
      </c>
      <c r="BE530" s="1" t="s">
        <v>5463</v>
      </c>
      <c r="BF530" s="2" t="str">
        <f>HYPERLINK("http://dx.doi.org/10.1088/0957-4484/23/49/495718","http://dx.doi.org/10.1088/0957-4484/23/49/495718")</f>
        <v>http://dx.doi.org/10.1088/0957-4484/23/49/495718</v>
      </c>
      <c r="BG530" s="1" t="s">
        <v>74</v>
      </c>
      <c r="BH530" s="1" t="s">
        <v>74</v>
      </c>
      <c r="BI530" s="1" t="s">
        <v>74</v>
      </c>
      <c r="BJ530" s="1" t="s">
        <v>74</v>
      </c>
      <c r="BK530" s="1" t="s">
        <v>74</v>
      </c>
      <c r="BL530" s="1" t="s">
        <v>74</v>
      </c>
      <c r="BM530" s="1" t="s">
        <v>74</v>
      </c>
      <c r="BN530" s="1">
        <v>2.3164751E7</v>
      </c>
      <c r="BO530" s="1" t="s">
        <v>74</v>
      </c>
      <c r="BP530" s="1" t="s">
        <v>74</v>
      </c>
      <c r="BQ530" s="1" t="s">
        <v>74</v>
      </c>
      <c r="BR530" s="1" t="s">
        <v>74</v>
      </c>
      <c r="BS530" s="1" t="s">
        <v>5464</v>
      </c>
      <c r="BT530" s="1" t="str">
        <f>HYPERLINK("https%3A%2F%2Fwww.webofscience.com%2Fwos%2Fwoscc%2Ffull-record%2FWOS:000311431400040","View Full Record in Web of Science")</f>
        <v>View Full Record in Web of Science</v>
      </c>
    </row>
    <row r="531" ht="12.75" customHeight="1">
      <c r="A531" s="1" t="s">
        <v>72</v>
      </c>
      <c r="B531" s="1" t="s">
        <v>5465</v>
      </c>
      <c r="C531" s="1" t="s">
        <v>74</v>
      </c>
      <c r="D531" s="1" t="s">
        <v>74</v>
      </c>
      <c r="E531" s="1" t="s">
        <v>74</v>
      </c>
      <c r="F531" s="1" t="s">
        <v>5466</v>
      </c>
      <c r="G531" s="1" t="s">
        <v>74</v>
      </c>
      <c r="H531" s="1" t="s">
        <v>74</v>
      </c>
      <c r="I531" s="1" t="s">
        <v>5467</v>
      </c>
      <c r="J531" s="1" t="s">
        <v>666</v>
      </c>
      <c r="K531" s="1" t="s">
        <v>74</v>
      </c>
      <c r="L531" s="1" t="s">
        <v>74</v>
      </c>
      <c r="M531" s="1" t="s">
        <v>74</v>
      </c>
      <c r="N531" s="1" t="s">
        <v>74</v>
      </c>
      <c r="O531" s="1" t="s">
        <v>74</v>
      </c>
      <c r="P531" s="1" t="s">
        <v>74</v>
      </c>
      <c r="Q531" s="1" t="s">
        <v>74</v>
      </c>
      <c r="R531" s="1" t="s">
        <v>74</v>
      </c>
      <c r="S531" s="1" t="s">
        <v>74</v>
      </c>
      <c r="T531" s="1" t="s">
        <v>74</v>
      </c>
      <c r="U531" s="1" t="s">
        <v>74</v>
      </c>
      <c r="V531" s="1" t="s">
        <v>5468</v>
      </c>
      <c r="W531" s="1" t="s">
        <v>74</v>
      </c>
      <c r="X531" s="1" t="s">
        <v>74</v>
      </c>
      <c r="Y531" s="1" t="s">
        <v>74</v>
      </c>
      <c r="Z531" s="1" t="s">
        <v>74</v>
      </c>
      <c r="AA531" s="1" t="s">
        <v>5469</v>
      </c>
      <c r="AB531" s="1" t="s">
        <v>5470</v>
      </c>
      <c r="AC531" s="1" t="s">
        <v>74</v>
      </c>
      <c r="AD531" s="1" t="s">
        <v>74</v>
      </c>
      <c r="AE531" s="1" t="s">
        <v>74</v>
      </c>
      <c r="AF531" s="1" t="s">
        <v>74</v>
      </c>
      <c r="AG531" s="1" t="s">
        <v>74</v>
      </c>
      <c r="AH531" s="1" t="s">
        <v>74</v>
      </c>
      <c r="AI531" s="1" t="s">
        <v>74</v>
      </c>
      <c r="AJ531" s="1" t="s">
        <v>74</v>
      </c>
      <c r="AK531" s="1" t="s">
        <v>74</v>
      </c>
      <c r="AL531" s="1" t="s">
        <v>74</v>
      </c>
      <c r="AM531" s="1" t="s">
        <v>74</v>
      </c>
      <c r="AN531" s="1" t="s">
        <v>74</v>
      </c>
      <c r="AO531" s="1" t="s">
        <v>670</v>
      </c>
      <c r="AP531" s="1" t="s">
        <v>671</v>
      </c>
      <c r="AQ531" s="1" t="s">
        <v>74</v>
      </c>
      <c r="AR531" s="1" t="s">
        <v>74</v>
      </c>
      <c r="AS531" s="1" t="s">
        <v>74</v>
      </c>
      <c r="AT531" s="1" t="s">
        <v>2436</v>
      </c>
      <c r="AU531" s="1">
        <v>2012.0</v>
      </c>
      <c r="AV531" s="1">
        <v>407.0</v>
      </c>
      <c r="AW531" s="1">
        <v>16.0</v>
      </c>
      <c r="AX531" s="1" t="s">
        <v>74</v>
      </c>
      <c r="AY531" s="1" t="s">
        <v>74</v>
      </c>
      <c r="AZ531" s="1" t="s">
        <v>74</v>
      </c>
      <c r="BA531" s="1" t="s">
        <v>74</v>
      </c>
      <c r="BB531" s="1">
        <v>3178.0</v>
      </c>
      <c r="BC531" s="1">
        <v>3180.0</v>
      </c>
      <c r="BD531" s="1" t="s">
        <v>74</v>
      </c>
      <c r="BE531" s="1" t="s">
        <v>5471</v>
      </c>
      <c r="BF531" s="2" t="str">
        <f>HYPERLINK("http://dx.doi.org/10.1016/j.physb.2011.12.058","http://dx.doi.org/10.1016/j.physb.2011.12.058")</f>
        <v>http://dx.doi.org/10.1016/j.physb.2011.12.058</v>
      </c>
      <c r="BG531" s="1" t="s">
        <v>74</v>
      </c>
      <c r="BH531" s="1" t="s">
        <v>74</v>
      </c>
      <c r="BI531" s="1" t="s">
        <v>74</v>
      </c>
      <c r="BJ531" s="1" t="s">
        <v>74</v>
      </c>
      <c r="BK531" s="1" t="s">
        <v>74</v>
      </c>
      <c r="BL531" s="1" t="s">
        <v>74</v>
      </c>
      <c r="BM531" s="1" t="s">
        <v>74</v>
      </c>
      <c r="BN531" s="1" t="s">
        <v>74</v>
      </c>
      <c r="BO531" s="1" t="s">
        <v>74</v>
      </c>
      <c r="BP531" s="1" t="s">
        <v>74</v>
      </c>
      <c r="BQ531" s="1" t="s">
        <v>74</v>
      </c>
      <c r="BR531" s="1" t="s">
        <v>74</v>
      </c>
      <c r="BS531" s="1" t="s">
        <v>5472</v>
      </c>
      <c r="BT531" s="1" t="str">
        <f>HYPERLINK("https%3A%2F%2Fwww.webofscience.com%2Fwos%2Fwoscc%2Ffull-record%2FWOS:000305791000033","View Full Record in Web of Science")</f>
        <v>View Full Record in Web of Science</v>
      </c>
    </row>
    <row r="532" ht="12.75" customHeight="1">
      <c r="A532" s="1" t="s">
        <v>72</v>
      </c>
      <c r="B532" s="1" t="s">
        <v>5473</v>
      </c>
      <c r="C532" s="1" t="s">
        <v>74</v>
      </c>
      <c r="D532" s="1" t="s">
        <v>74</v>
      </c>
      <c r="E532" s="1" t="s">
        <v>74</v>
      </c>
      <c r="F532" s="1" t="s">
        <v>5474</v>
      </c>
      <c r="G532" s="1" t="s">
        <v>74</v>
      </c>
      <c r="H532" s="1" t="s">
        <v>74</v>
      </c>
      <c r="I532" s="1" t="s">
        <v>5475</v>
      </c>
      <c r="J532" s="1" t="s">
        <v>5476</v>
      </c>
      <c r="K532" s="1" t="s">
        <v>74</v>
      </c>
      <c r="L532" s="1" t="s">
        <v>74</v>
      </c>
      <c r="M532" s="1" t="s">
        <v>74</v>
      </c>
      <c r="N532" s="1" t="s">
        <v>74</v>
      </c>
      <c r="O532" s="1" t="s">
        <v>74</v>
      </c>
      <c r="P532" s="1" t="s">
        <v>74</v>
      </c>
      <c r="Q532" s="1" t="s">
        <v>74</v>
      </c>
      <c r="R532" s="1" t="s">
        <v>74</v>
      </c>
      <c r="S532" s="1" t="s">
        <v>74</v>
      </c>
      <c r="T532" s="1" t="s">
        <v>74</v>
      </c>
      <c r="U532" s="1" t="s">
        <v>74</v>
      </c>
      <c r="V532" s="1" t="s">
        <v>5477</v>
      </c>
      <c r="W532" s="1" t="s">
        <v>74</v>
      </c>
      <c r="X532" s="1" t="s">
        <v>74</v>
      </c>
      <c r="Y532" s="1" t="s">
        <v>74</v>
      </c>
      <c r="Z532" s="1" t="s">
        <v>74</v>
      </c>
      <c r="AA532" s="1" t="s">
        <v>5478</v>
      </c>
      <c r="AB532" s="1" t="s">
        <v>5479</v>
      </c>
      <c r="AC532" s="1" t="s">
        <v>74</v>
      </c>
      <c r="AD532" s="1" t="s">
        <v>74</v>
      </c>
      <c r="AE532" s="1" t="s">
        <v>74</v>
      </c>
      <c r="AF532" s="1" t="s">
        <v>74</v>
      </c>
      <c r="AG532" s="1" t="s">
        <v>74</v>
      </c>
      <c r="AH532" s="1" t="s">
        <v>74</v>
      </c>
      <c r="AI532" s="1" t="s">
        <v>74</v>
      </c>
      <c r="AJ532" s="1" t="s">
        <v>74</v>
      </c>
      <c r="AK532" s="1" t="s">
        <v>74</v>
      </c>
      <c r="AL532" s="1" t="s">
        <v>74</v>
      </c>
      <c r="AM532" s="1" t="s">
        <v>74</v>
      </c>
      <c r="AN532" s="1" t="s">
        <v>74</v>
      </c>
      <c r="AO532" s="1" t="s">
        <v>5480</v>
      </c>
      <c r="AP532" s="1" t="s">
        <v>5481</v>
      </c>
      <c r="AQ532" s="1" t="s">
        <v>74</v>
      </c>
      <c r="AR532" s="1" t="s">
        <v>74</v>
      </c>
      <c r="AS532" s="1" t="s">
        <v>74</v>
      </c>
      <c r="AT532" s="1" t="s">
        <v>4496</v>
      </c>
      <c r="AU532" s="1">
        <v>2011.0</v>
      </c>
      <c r="AV532" s="1">
        <v>375.0</v>
      </c>
      <c r="AW532" s="1">
        <v>16.0</v>
      </c>
      <c r="AX532" s="1" t="s">
        <v>74</v>
      </c>
      <c r="AY532" s="1" t="s">
        <v>74</v>
      </c>
      <c r="AZ532" s="1" t="s">
        <v>74</v>
      </c>
      <c r="BA532" s="1" t="s">
        <v>74</v>
      </c>
      <c r="BB532" s="1">
        <v>1756.0</v>
      </c>
      <c r="BC532" s="1">
        <v>1759.0</v>
      </c>
      <c r="BD532" s="1" t="s">
        <v>74</v>
      </c>
      <c r="BE532" s="1" t="s">
        <v>5482</v>
      </c>
      <c r="BF532" s="2" t="str">
        <f>HYPERLINK("http://dx.doi.org/10.1016/j.physleta.2011.02.063","http://dx.doi.org/10.1016/j.physleta.2011.02.063")</f>
        <v>http://dx.doi.org/10.1016/j.physleta.2011.02.063</v>
      </c>
      <c r="BG532" s="1" t="s">
        <v>74</v>
      </c>
      <c r="BH532" s="1" t="s">
        <v>74</v>
      </c>
      <c r="BI532" s="1" t="s">
        <v>74</v>
      </c>
      <c r="BJ532" s="1" t="s">
        <v>74</v>
      </c>
      <c r="BK532" s="1" t="s">
        <v>74</v>
      </c>
      <c r="BL532" s="1" t="s">
        <v>74</v>
      </c>
      <c r="BM532" s="1" t="s">
        <v>74</v>
      </c>
      <c r="BN532" s="1" t="s">
        <v>74</v>
      </c>
      <c r="BO532" s="1" t="s">
        <v>74</v>
      </c>
      <c r="BP532" s="1" t="s">
        <v>74</v>
      </c>
      <c r="BQ532" s="1" t="s">
        <v>74</v>
      </c>
      <c r="BR532" s="1" t="s">
        <v>74</v>
      </c>
      <c r="BS532" s="1" t="s">
        <v>5483</v>
      </c>
      <c r="BT532" s="1" t="str">
        <f>HYPERLINK("https%3A%2F%2Fwww.webofscience.com%2Fwos%2Fwoscc%2Ffull-record%2FWOS:000289811300012","View Full Record in Web of Science")</f>
        <v>View Full Record in Web of Science</v>
      </c>
    </row>
    <row r="533" ht="12.75" customHeight="1">
      <c r="A533" s="1" t="s">
        <v>72</v>
      </c>
      <c r="B533" s="1" t="s">
        <v>5484</v>
      </c>
      <c r="C533" s="1" t="s">
        <v>74</v>
      </c>
      <c r="D533" s="1" t="s">
        <v>74</v>
      </c>
      <c r="E533" s="1" t="s">
        <v>74</v>
      </c>
      <c r="F533" s="1" t="s">
        <v>5485</v>
      </c>
      <c r="G533" s="1" t="s">
        <v>74</v>
      </c>
      <c r="H533" s="1" t="s">
        <v>74</v>
      </c>
      <c r="I533" s="1" t="s">
        <v>5486</v>
      </c>
      <c r="J533" s="1" t="s">
        <v>5487</v>
      </c>
      <c r="K533" s="1" t="s">
        <v>74</v>
      </c>
      <c r="L533" s="1" t="s">
        <v>74</v>
      </c>
      <c r="M533" s="1" t="s">
        <v>74</v>
      </c>
      <c r="N533" s="1" t="s">
        <v>74</v>
      </c>
      <c r="O533" s="1" t="s">
        <v>74</v>
      </c>
      <c r="P533" s="1" t="s">
        <v>74</v>
      </c>
      <c r="Q533" s="1" t="s">
        <v>74</v>
      </c>
      <c r="R533" s="1" t="s">
        <v>74</v>
      </c>
      <c r="S533" s="1" t="s">
        <v>74</v>
      </c>
      <c r="T533" s="1" t="s">
        <v>74</v>
      </c>
      <c r="U533" s="1" t="s">
        <v>74</v>
      </c>
      <c r="V533" s="1" t="s">
        <v>5488</v>
      </c>
      <c r="W533" s="1" t="s">
        <v>74</v>
      </c>
      <c r="X533" s="1" t="s">
        <v>74</v>
      </c>
      <c r="Y533" s="1" t="s">
        <v>74</v>
      </c>
      <c r="Z533" s="1" t="s">
        <v>74</v>
      </c>
      <c r="AA533" s="1" t="s">
        <v>5489</v>
      </c>
      <c r="AB533" s="1" t="s">
        <v>5490</v>
      </c>
      <c r="AC533" s="1" t="s">
        <v>74</v>
      </c>
      <c r="AD533" s="1" t="s">
        <v>74</v>
      </c>
      <c r="AE533" s="1" t="s">
        <v>74</v>
      </c>
      <c r="AF533" s="1" t="s">
        <v>74</v>
      </c>
      <c r="AG533" s="1" t="s">
        <v>74</v>
      </c>
      <c r="AH533" s="1" t="s">
        <v>74</v>
      </c>
      <c r="AI533" s="1" t="s">
        <v>74</v>
      </c>
      <c r="AJ533" s="1" t="s">
        <v>74</v>
      </c>
      <c r="AK533" s="1" t="s">
        <v>74</v>
      </c>
      <c r="AL533" s="1" t="s">
        <v>74</v>
      </c>
      <c r="AM533" s="1" t="s">
        <v>74</v>
      </c>
      <c r="AN533" s="1" t="s">
        <v>74</v>
      </c>
      <c r="AO533" s="1" t="s">
        <v>5491</v>
      </c>
      <c r="AP533" s="1" t="s">
        <v>5492</v>
      </c>
      <c r="AQ533" s="1" t="s">
        <v>74</v>
      </c>
      <c r="AR533" s="1" t="s">
        <v>74</v>
      </c>
      <c r="AS533" s="1" t="s">
        <v>74</v>
      </c>
      <c r="AT533" s="1" t="s">
        <v>1213</v>
      </c>
      <c r="AU533" s="1">
        <v>2011.0</v>
      </c>
      <c r="AV533" s="1">
        <v>26.0</v>
      </c>
      <c r="AW533" s="1">
        <v>1.0</v>
      </c>
      <c r="AX533" s="1" t="s">
        <v>74</v>
      </c>
      <c r="AY533" s="1" t="s">
        <v>74</v>
      </c>
      <c r="AZ533" s="1" t="s">
        <v>74</v>
      </c>
      <c r="BA533" s="1" t="s">
        <v>74</v>
      </c>
      <c r="BB533" s="1">
        <v>204.0</v>
      </c>
      <c r="BC533" s="1">
        <v>215.0</v>
      </c>
      <c r="BD533" s="1" t="s">
        <v>74</v>
      </c>
      <c r="BE533" s="1" t="s">
        <v>5493</v>
      </c>
      <c r="BF533" s="2" t="str">
        <f>HYPERLINK("http://dx.doi.org/10.1109/TEC.2010.2083666","http://dx.doi.org/10.1109/TEC.2010.2083666")</f>
        <v>http://dx.doi.org/10.1109/TEC.2010.2083666</v>
      </c>
      <c r="BG533" s="1" t="s">
        <v>74</v>
      </c>
      <c r="BH533" s="1" t="s">
        <v>74</v>
      </c>
      <c r="BI533" s="1" t="s">
        <v>74</v>
      </c>
      <c r="BJ533" s="1" t="s">
        <v>74</v>
      </c>
      <c r="BK533" s="1" t="s">
        <v>74</v>
      </c>
      <c r="BL533" s="1" t="s">
        <v>74</v>
      </c>
      <c r="BM533" s="1" t="s">
        <v>74</v>
      </c>
      <c r="BN533" s="1" t="s">
        <v>74</v>
      </c>
      <c r="BO533" s="1" t="s">
        <v>74</v>
      </c>
      <c r="BP533" s="1" t="s">
        <v>74</v>
      </c>
      <c r="BQ533" s="1" t="s">
        <v>74</v>
      </c>
      <c r="BR533" s="1" t="s">
        <v>74</v>
      </c>
      <c r="BS533" s="1" t="s">
        <v>5494</v>
      </c>
      <c r="BT533" s="1" t="str">
        <f>HYPERLINK("https%3A%2F%2Fwww.webofscience.com%2Fwos%2Fwoscc%2Ffull-record%2FWOS:000287660500022","View Full Record in Web of Science")</f>
        <v>View Full Record in Web of Science</v>
      </c>
    </row>
    <row r="534" ht="12.75" customHeight="1">
      <c r="A534" s="1" t="s">
        <v>72</v>
      </c>
      <c r="B534" s="1" t="s">
        <v>5495</v>
      </c>
      <c r="C534" s="1" t="s">
        <v>74</v>
      </c>
      <c r="D534" s="1" t="s">
        <v>74</v>
      </c>
      <c r="E534" s="1" t="s">
        <v>74</v>
      </c>
      <c r="F534" s="1" t="s">
        <v>5495</v>
      </c>
      <c r="G534" s="1" t="s">
        <v>74</v>
      </c>
      <c r="H534" s="1" t="s">
        <v>74</v>
      </c>
      <c r="I534" s="1" t="s">
        <v>5496</v>
      </c>
      <c r="J534" s="1" t="s">
        <v>5497</v>
      </c>
      <c r="K534" s="1" t="s">
        <v>74</v>
      </c>
      <c r="L534" s="1" t="s">
        <v>74</v>
      </c>
      <c r="M534" s="1" t="s">
        <v>74</v>
      </c>
      <c r="N534" s="1" t="s">
        <v>74</v>
      </c>
      <c r="O534" s="1" t="s">
        <v>74</v>
      </c>
      <c r="P534" s="1" t="s">
        <v>74</v>
      </c>
      <c r="Q534" s="1" t="s">
        <v>74</v>
      </c>
      <c r="R534" s="1" t="s">
        <v>74</v>
      </c>
      <c r="S534" s="1" t="s">
        <v>74</v>
      </c>
      <c r="T534" s="1" t="s">
        <v>74</v>
      </c>
      <c r="U534" s="1" t="s">
        <v>74</v>
      </c>
      <c r="V534" s="1" t="s">
        <v>5498</v>
      </c>
      <c r="W534" s="1" t="s">
        <v>74</v>
      </c>
      <c r="X534" s="1" t="s">
        <v>74</v>
      </c>
      <c r="Y534" s="1" t="s">
        <v>74</v>
      </c>
      <c r="Z534" s="1" t="s">
        <v>74</v>
      </c>
      <c r="AA534" s="1" t="s">
        <v>5499</v>
      </c>
      <c r="AB534" s="1" t="s">
        <v>5500</v>
      </c>
      <c r="AC534" s="1" t="s">
        <v>74</v>
      </c>
      <c r="AD534" s="1" t="s">
        <v>74</v>
      </c>
      <c r="AE534" s="1" t="s">
        <v>74</v>
      </c>
      <c r="AF534" s="1" t="s">
        <v>74</v>
      </c>
      <c r="AG534" s="1" t="s">
        <v>74</v>
      </c>
      <c r="AH534" s="1" t="s">
        <v>74</v>
      </c>
      <c r="AI534" s="1" t="s">
        <v>74</v>
      </c>
      <c r="AJ534" s="1" t="s">
        <v>74</v>
      </c>
      <c r="AK534" s="1" t="s">
        <v>74</v>
      </c>
      <c r="AL534" s="1" t="s">
        <v>74</v>
      </c>
      <c r="AM534" s="1" t="s">
        <v>74</v>
      </c>
      <c r="AN534" s="1" t="s">
        <v>74</v>
      </c>
      <c r="AO534" s="1" t="s">
        <v>5501</v>
      </c>
      <c r="AP534" s="1" t="s">
        <v>5502</v>
      </c>
      <c r="AQ534" s="1" t="s">
        <v>74</v>
      </c>
      <c r="AR534" s="1" t="s">
        <v>74</v>
      </c>
      <c r="AS534" s="1" t="s">
        <v>74</v>
      </c>
      <c r="AT534" s="1" t="s">
        <v>5503</v>
      </c>
      <c r="AU534" s="1">
        <v>2005.0</v>
      </c>
      <c r="AV534" s="1">
        <v>50.0</v>
      </c>
      <c r="AW534" s="1">
        <v>17.0</v>
      </c>
      <c r="AX534" s="1" t="s">
        <v>74</v>
      </c>
      <c r="AY534" s="1" t="s">
        <v>74</v>
      </c>
      <c r="AZ534" s="1" t="s">
        <v>74</v>
      </c>
      <c r="BA534" s="1" t="s">
        <v>74</v>
      </c>
      <c r="BB534" s="1">
        <v>4225.0</v>
      </c>
      <c r="BC534" s="1">
        <v>4241.0</v>
      </c>
      <c r="BD534" s="1" t="s">
        <v>74</v>
      </c>
      <c r="BE534" s="1" t="s">
        <v>5504</v>
      </c>
      <c r="BF534" s="2" t="str">
        <f>HYPERLINK("http://dx.doi.org/10.1088/0031-9155/50/17/021","http://dx.doi.org/10.1088/0031-9155/50/17/021")</f>
        <v>http://dx.doi.org/10.1088/0031-9155/50/17/021</v>
      </c>
      <c r="BG534" s="1" t="s">
        <v>74</v>
      </c>
      <c r="BH534" s="1" t="s">
        <v>74</v>
      </c>
      <c r="BI534" s="1" t="s">
        <v>74</v>
      </c>
      <c r="BJ534" s="1" t="s">
        <v>74</v>
      </c>
      <c r="BK534" s="1" t="s">
        <v>74</v>
      </c>
      <c r="BL534" s="1" t="s">
        <v>74</v>
      </c>
      <c r="BM534" s="1" t="s">
        <v>74</v>
      </c>
      <c r="BN534" s="1">
        <v>1.6177541E7</v>
      </c>
      <c r="BO534" s="1" t="s">
        <v>74</v>
      </c>
      <c r="BP534" s="1" t="s">
        <v>74</v>
      </c>
      <c r="BQ534" s="1" t="s">
        <v>74</v>
      </c>
      <c r="BR534" s="1" t="s">
        <v>74</v>
      </c>
      <c r="BS534" s="1" t="s">
        <v>5505</v>
      </c>
      <c r="BT534" s="1" t="str">
        <f>HYPERLINK("https%3A%2F%2Fwww.webofscience.com%2Fwos%2Fwoscc%2Ffull-record%2FWOS:000232112400021","View Full Record in Web of Science")</f>
        <v>View Full Record in Web of Science</v>
      </c>
    </row>
    <row r="535" ht="12.75" customHeight="1">
      <c r="A535" s="1" t="s">
        <v>72</v>
      </c>
      <c r="B535" s="1" t="s">
        <v>3993</v>
      </c>
      <c r="C535" s="1" t="s">
        <v>74</v>
      </c>
      <c r="D535" s="1" t="s">
        <v>74</v>
      </c>
      <c r="E535" s="1" t="s">
        <v>74</v>
      </c>
      <c r="F535" s="1" t="s">
        <v>3993</v>
      </c>
      <c r="G535" s="1" t="s">
        <v>74</v>
      </c>
      <c r="H535" s="1" t="s">
        <v>74</v>
      </c>
      <c r="I535" s="1" t="s">
        <v>5506</v>
      </c>
      <c r="J535" s="1" t="s">
        <v>2186</v>
      </c>
      <c r="K535" s="1" t="s">
        <v>74</v>
      </c>
      <c r="L535" s="1" t="s">
        <v>74</v>
      </c>
      <c r="M535" s="1" t="s">
        <v>74</v>
      </c>
      <c r="N535" s="1" t="s">
        <v>74</v>
      </c>
      <c r="O535" s="1" t="s">
        <v>74</v>
      </c>
      <c r="P535" s="1" t="s">
        <v>74</v>
      </c>
      <c r="Q535" s="1" t="s">
        <v>74</v>
      </c>
      <c r="R535" s="1" t="s">
        <v>74</v>
      </c>
      <c r="S535" s="1" t="s">
        <v>74</v>
      </c>
      <c r="T535" s="1" t="s">
        <v>74</v>
      </c>
      <c r="U535" s="1" t="s">
        <v>74</v>
      </c>
      <c r="V535" s="1" t="s">
        <v>5507</v>
      </c>
      <c r="W535" s="1" t="s">
        <v>74</v>
      </c>
      <c r="X535" s="1" t="s">
        <v>74</v>
      </c>
      <c r="Y535" s="1" t="s">
        <v>74</v>
      </c>
      <c r="Z535" s="1" t="s">
        <v>74</v>
      </c>
      <c r="AA535" s="1" t="s">
        <v>3997</v>
      </c>
      <c r="AB535" s="1" t="s">
        <v>5508</v>
      </c>
      <c r="AC535" s="1" t="s">
        <v>74</v>
      </c>
      <c r="AD535" s="1" t="s">
        <v>74</v>
      </c>
      <c r="AE535" s="1" t="s">
        <v>74</v>
      </c>
      <c r="AF535" s="1" t="s">
        <v>74</v>
      </c>
      <c r="AG535" s="1" t="s">
        <v>74</v>
      </c>
      <c r="AH535" s="1" t="s">
        <v>74</v>
      </c>
      <c r="AI535" s="1" t="s">
        <v>74</v>
      </c>
      <c r="AJ535" s="1" t="s">
        <v>74</v>
      </c>
      <c r="AK535" s="1" t="s">
        <v>74</v>
      </c>
      <c r="AL535" s="1" t="s">
        <v>74</v>
      </c>
      <c r="AM535" s="1" t="s">
        <v>74</v>
      </c>
      <c r="AN535" s="1" t="s">
        <v>74</v>
      </c>
      <c r="AO535" s="1" t="s">
        <v>2190</v>
      </c>
      <c r="AP535" s="1" t="s">
        <v>2191</v>
      </c>
      <c r="AQ535" s="1" t="s">
        <v>74</v>
      </c>
      <c r="AR535" s="1" t="s">
        <v>74</v>
      </c>
      <c r="AS535" s="1" t="s">
        <v>74</v>
      </c>
      <c r="AT535" s="1" t="s">
        <v>1213</v>
      </c>
      <c r="AU535" s="1">
        <v>2005.0</v>
      </c>
      <c r="AV535" s="1">
        <v>71.0</v>
      </c>
      <c r="AW535" s="1">
        <v>6.0</v>
      </c>
      <c r="AX535" s="1" t="s">
        <v>74</v>
      </c>
      <c r="AY535" s="1" t="s">
        <v>74</v>
      </c>
      <c r="AZ535" s="1" t="s">
        <v>74</v>
      </c>
      <c r="BA535" s="1" t="s">
        <v>74</v>
      </c>
      <c r="BB535" s="1" t="s">
        <v>74</v>
      </c>
      <c r="BC535" s="1" t="s">
        <v>74</v>
      </c>
      <c r="BD535" s="1">
        <v>65015.0</v>
      </c>
      <c r="BE535" s="1" t="s">
        <v>5509</v>
      </c>
      <c r="BF535" s="2" t="str">
        <f>HYPERLINK("http://dx.doi.org/10.1103/PhysRevD.71.065015","http://dx.doi.org/10.1103/PhysRevD.71.065015")</f>
        <v>http://dx.doi.org/10.1103/PhysRevD.71.065015</v>
      </c>
      <c r="BG535" s="1" t="s">
        <v>74</v>
      </c>
      <c r="BH535" s="1" t="s">
        <v>74</v>
      </c>
      <c r="BI535" s="1" t="s">
        <v>74</v>
      </c>
      <c r="BJ535" s="1" t="s">
        <v>74</v>
      </c>
      <c r="BK535" s="1" t="s">
        <v>74</v>
      </c>
      <c r="BL535" s="1" t="s">
        <v>74</v>
      </c>
      <c r="BM535" s="1" t="s">
        <v>74</v>
      </c>
      <c r="BN535" s="1" t="s">
        <v>74</v>
      </c>
      <c r="BO535" s="1" t="s">
        <v>74</v>
      </c>
      <c r="BP535" s="1" t="s">
        <v>74</v>
      </c>
      <c r="BQ535" s="1" t="s">
        <v>74</v>
      </c>
      <c r="BR535" s="1" t="s">
        <v>74</v>
      </c>
      <c r="BS535" s="1" t="s">
        <v>5510</v>
      </c>
      <c r="BT535" s="1" t="str">
        <f>HYPERLINK("https%3A%2F%2Fwww.webofscience.com%2Fwos%2Fwoscc%2Ffull-record%2FWOS:000228490100090","View Full Record in Web of Science")</f>
        <v>View Full Record in Web of Science</v>
      </c>
    </row>
    <row r="536" ht="12.75" customHeight="1">
      <c r="A536" s="1" t="s">
        <v>72</v>
      </c>
      <c r="B536" s="1" t="s">
        <v>5511</v>
      </c>
      <c r="C536" s="1" t="s">
        <v>74</v>
      </c>
      <c r="D536" s="1" t="s">
        <v>74</v>
      </c>
      <c r="E536" s="1" t="s">
        <v>74</v>
      </c>
      <c r="F536" s="1" t="s">
        <v>5511</v>
      </c>
      <c r="G536" s="1" t="s">
        <v>74</v>
      </c>
      <c r="H536" s="1" t="s">
        <v>74</v>
      </c>
      <c r="I536" s="1" t="s">
        <v>5512</v>
      </c>
      <c r="J536" s="1" t="s">
        <v>5513</v>
      </c>
      <c r="K536" s="1" t="s">
        <v>74</v>
      </c>
      <c r="L536" s="1" t="s">
        <v>74</v>
      </c>
      <c r="M536" s="1" t="s">
        <v>74</v>
      </c>
      <c r="N536" s="1" t="s">
        <v>74</v>
      </c>
      <c r="O536" s="1" t="s">
        <v>74</v>
      </c>
      <c r="P536" s="1" t="s">
        <v>74</v>
      </c>
      <c r="Q536" s="1" t="s">
        <v>74</v>
      </c>
      <c r="R536" s="1" t="s">
        <v>74</v>
      </c>
      <c r="S536" s="1" t="s">
        <v>74</v>
      </c>
      <c r="T536" s="1" t="s">
        <v>74</v>
      </c>
      <c r="U536" s="1" t="s">
        <v>74</v>
      </c>
      <c r="V536" s="1" t="s">
        <v>5514</v>
      </c>
      <c r="W536" s="1" t="s">
        <v>74</v>
      </c>
      <c r="X536" s="1" t="s">
        <v>74</v>
      </c>
      <c r="Y536" s="1" t="s">
        <v>74</v>
      </c>
      <c r="Z536" s="1" t="s">
        <v>74</v>
      </c>
      <c r="AA536" s="1" t="s">
        <v>5515</v>
      </c>
      <c r="AB536" s="1" t="s">
        <v>5516</v>
      </c>
      <c r="AC536" s="1" t="s">
        <v>74</v>
      </c>
      <c r="AD536" s="1" t="s">
        <v>74</v>
      </c>
      <c r="AE536" s="1" t="s">
        <v>74</v>
      </c>
      <c r="AF536" s="1" t="s">
        <v>74</v>
      </c>
      <c r="AG536" s="1" t="s">
        <v>74</v>
      </c>
      <c r="AH536" s="1" t="s">
        <v>74</v>
      </c>
      <c r="AI536" s="1" t="s">
        <v>74</v>
      </c>
      <c r="AJ536" s="1" t="s">
        <v>74</v>
      </c>
      <c r="AK536" s="1" t="s">
        <v>74</v>
      </c>
      <c r="AL536" s="1" t="s">
        <v>74</v>
      </c>
      <c r="AM536" s="1" t="s">
        <v>74</v>
      </c>
      <c r="AN536" s="1" t="s">
        <v>74</v>
      </c>
      <c r="AO536" s="1" t="s">
        <v>5517</v>
      </c>
      <c r="AP536" s="1" t="s">
        <v>74</v>
      </c>
      <c r="AQ536" s="1" t="s">
        <v>74</v>
      </c>
      <c r="AR536" s="1" t="s">
        <v>74</v>
      </c>
      <c r="AS536" s="1" t="s">
        <v>74</v>
      </c>
      <c r="AT536" s="1" t="s">
        <v>1213</v>
      </c>
      <c r="AU536" s="1">
        <v>2003.0</v>
      </c>
      <c r="AV536" s="1" t="s">
        <v>74</v>
      </c>
      <c r="AW536" s="1">
        <v>3.0</v>
      </c>
      <c r="AX536" s="1" t="s">
        <v>74</v>
      </c>
      <c r="AY536" s="1" t="s">
        <v>74</v>
      </c>
      <c r="AZ536" s="1" t="s">
        <v>74</v>
      </c>
      <c r="BA536" s="1" t="s">
        <v>74</v>
      </c>
      <c r="BB536" s="1" t="s">
        <v>74</v>
      </c>
      <c r="BC536" s="1" t="s">
        <v>74</v>
      </c>
      <c r="BD536" s="1">
        <v>58.0</v>
      </c>
      <c r="BE536" s="1" t="s">
        <v>74</v>
      </c>
      <c r="BF536" s="1" t="s">
        <v>74</v>
      </c>
      <c r="BG536" s="1" t="s">
        <v>74</v>
      </c>
      <c r="BH536" s="1" t="s">
        <v>74</v>
      </c>
      <c r="BI536" s="1" t="s">
        <v>74</v>
      </c>
      <c r="BJ536" s="1" t="s">
        <v>74</v>
      </c>
      <c r="BK536" s="1" t="s">
        <v>74</v>
      </c>
      <c r="BL536" s="1" t="s">
        <v>74</v>
      </c>
      <c r="BM536" s="1" t="s">
        <v>74</v>
      </c>
      <c r="BN536" s="1" t="s">
        <v>74</v>
      </c>
      <c r="BO536" s="1" t="s">
        <v>74</v>
      </c>
      <c r="BP536" s="1" t="s">
        <v>74</v>
      </c>
      <c r="BQ536" s="1" t="s">
        <v>74</v>
      </c>
      <c r="BR536" s="1" t="s">
        <v>74</v>
      </c>
      <c r="BS536" s="1" t="s">
        <v>5518</v>
      </c>
      <c r="BT536" s="1" t="str">
        <f>HYPERLINK("https%3A%2F%2Fwww.webofscience.com%2Fwos%2Fwoscc%2Ffull-record%2FWOS:000182939300058","View Full Record in Web of Science")</f>
        <v>View Full Record in Web of Science</v>
      </c>
    </row>
    <row r="537" ht="12.75" customHeight="1">
      <c r="A537" s="1" t="s">
        <v>72</v>
      </c>
      <c r="B537" s="1" t="s">
        <v>5519</v>
      </c>
      <c r="C537" s="1" t="s">
        <v>74</v>
      </c>
      <c r="D537" s="1" t="s">
        <v>74</v>
      </c>
      <c r="E537" s="1" t="s">
        <v>74</v>
      </c>
      <c r="F537" s="1" t="s">
        <v>5519</v>
      </c>
      <c r="G537" s="1" t="s">
        <v>74</v>
      </c>
      <c r="H537" s="1" t="s">
        <v>74</v>
      </c>
      <c r="I537" s="1" t="s">
        <v>5520</v>
      </c>
      <c r="J537" s="1" t="s">
        <v>5521</v>
      </c>
      <c r="K537" s="1" t="s">
        <v>74</v>
      </c>
      <c r="L537" s="1" t="s">
        <v>74</v>
      </c>
      <c r="M537" s="1" t="s">
        <v>74</v>
      </c>
      <c r="N537" s="1" t="s">
        <v>74</v>
      </c>
      <c r="O537" s="1" t="s">
        <v>74</v>
      </c>
      <c r="P537" s="1" t="s">
        <v>74</v>
      </c>
      <c r="Q537" s="1" t="s">
        <v>74</v>
      </c>
      <c r="R537" s="1" t="s">
        <v>74</v>
      </c>
      <c r="S537" s="1" t="s">
        <v>74</v>
      </c>
      <c r="T537" s="1" t="s">
        <v>74</v>
      </c>
      <c r="U537" s="1" t="s">
        <v>74</v>
      </c>
      <c r="V537" s="1" t="s">
        <v>5522</v>
      </c>
      <c r="W537" s="1" t="s">
        <v>74</v>
      </c>
      <c r="X537" s="1" t="s">
        <v>74</v>
      </c>
      <c r="Y537" s="1" t="s">
        <v>74</v>
      </c>
      <c r="Z537" s="1" t="s">
        <v>74</v>
      </c>
      <c r="AA537" s="1" t="s">
        <v>74</v>
      </c>
      <c r="AB537" s="1" t="s">
        <v>74</v>
      </c>
      <c r="AC537" s="1" t="s">
        <v>74</v>
      </c>
      <c r="AD537" s="1" t="s">
        <v>74</v>
      </c>
      <c r="AE537" s="1" t="s">
        <v>74</v>
      </c>
      <c r="AF537" s="1" t="s">
        <v>74</v>
      </c>
      <c r="AG537" s="1" t="s">
        <v>74</v>
      </c>
      <c r="AH537" s="1" t="s">
        <v>74</v>
      </c>
      <c r="AI537" s="1" t="s">
        <v>74</v>
      </c>
      <c r="AJ537" s="1" t="s">
        <v>74</v>
      </c>
      <c r="AK537" s="1" t="s">
        <v>74</v>
      </c>
      <c r="AL537" s="1" t="s">
        <v>74</v>
      </c>
      <c r="AM537" s="1" t="s">
        <v>74</v>
      </c>
      <c r="AN537" s="1" t="s">
        <v>74</v>
      </c>
      <c r="AO537" s="1" t="s">
        <v>5523</v>
      </c>
      <c r="AP537" s="1" t="s">
        <v>5524</v>
      </c>
      <c r="AQ537" s="1" t="s">
        <v>74</v>
      </c>
      <c r="AR537" s="1" t="s">
        <v>74</v>
      </c>
      <c r="AS537" s="1" t="s">
        <v>74</v>
      </c>
      <c r="AT537" s="1" t="s">
        <v>74</v>
      </c>
      <c r="AU537" s="1">
        <v>1997.0</v>
      </c>
      <c r="AV537" s="1">
        <v>28.0</v>
      </c>
      <c r="AW537" s="1" t="s">
        <v>5525</v>
      </c>
      <c r="AX537" s="1" t="s">
        <v>74</v>
      </c>
      <c r="AY537" s="1" t="s">
        <v>74</v>
      </c>
      <c r="AZ537" s="1" t="s">
        <v>74</v>
      </c>
      <c r="BA537" s="1" t="s">
        <v>74</v>
      </c>
      <c r="BB537" s="1">
        <v>727.0</v>
      </c>
      <c r="BC537" s="1">
        <v>737.0</v>
      </c>
      <c r="BD537" s="1" t="s">
        <v>74</v>
      </c>
      <c r="BE537" s="1" t="s">
        <v>5526</v>
      </c>
      <c r="BF537" s="2" t="str">
        <f>HYPERLINK("http://dx.doi.org/10.1080/00103629709369825","http://dx.doi.org/10.1080/00103629709369825")</f>
        <v>http://dx.doi.org/10.1080/00103629709369825</v>
      </c>
      <c r="BG537" s="1" t="s">
        <v>74</v>
      </c>
      <c r="BH537" s="1" t="s">
        <v>74</v>
      </c>
      <c r="BI537" s="1" t="s">
        <v>74</v>
      </c>
      <c r="BJ537" s="1" t="s">
        <v>74</v>
      </c>
      <c r="BK537" s="1" t="s">
        <v>74</v>
      </c>
      <c r="BL537" s="1" t="s">
        <v>74</v>
      </c>
      <c r="BM537" s="1" t="s">
        <v>74</v>
      </c>
      <c r="BN537" s="1" t="s">
        <v>74</v>
      </c>
      <c r="BO537" s="1" t="s">
        <v>74</v>
      </c>
      <c r="BP537" s="1" t="s">
        <v>74</v>
      </c>
      <c r="BQ537" s="1" t="s">
        <v>74</v>
      </c>
      <c r="BR537" s="1" t="s">
        <v>74</v>
      </c>
      <c r="BS537" s="1" t="s">
        <v>5527</v>
      </c>
      <c r="BT537" s="1" t="str">
        <f>HYPERLINK("https%3A%2F%2Fwww.webofscience.com%2Fwos%2Fwoscc%2Ffull-record%2FWOS:A1997XE92700008","View Full Record in Web of Science")</f>
        <v>View Full Record in Web of Science</v>
      </c>
    </row>
    <row r="538" ht="12.75" customHeight="1">
      <c r="A538" s="1" t="s">
        <v>72</v>
      </c>
      <c r="B538" s="1" t="s">
        <v>5528</v>
      </c>
      <c r="C538" s="1" t="s">
        <v>74</v>
      </c>
      <c r="D538" s="1" t="s">
        <v>74</v>
      </c>
      <c r="E538" s="1" t="s">
        <v>74</v>
      </c>
      <c r="F538" s="1" t="s">
        <v>5529</v>
      </c>
      <c r="G538" s="1" t="s">
        <v>74</v>
      </c>
      <c r="H538" s="1" t="s">
        <v>74</v>
      </c>
      <c r="I538" s="1" t="s">
        <v>5530</v>
      </c>
      <c r="J538" s="1" t="s">
        <v>3933</v>
      </c>
      <c r="K538" s="1" t="s">
        <v>74</v>
      </c>
      <c r="L538" s="1" t="s">
        <v>74</v>
      </c>
      <c r="M538" s="1" t="s">
        <v>74</v>
      </c>
      <c r="N538" s="1" t="s">
        <v>74</v>
      </c>
      <c r="O538" s="1" t="s">
        <v>74</v>
      </c>
      <c r="P538" s="1" t="s">
        <v>74</v>
      </c>
      <c r="Q538" s="1" t="s">
        <v>74</v>
      </c>
      <c r="R538" s="1" t="s">
        <v>74</v>
      </c>
      <c r="S538" s="1" t="s">
        <v>74</v>
      </c>
      <c r="T538" s="1" t="s">
        <v>74</v>
      </c>
      <c r="U538" s="1" t="s">
        <v>74</v>
      </c>
      <c r="V538" s="1" t="s">
        <v>5531</v>
      </c>
      <c r="W538" s="1" t="s">
        <v>74</v>
      </c>
      <c r="X538" s="1" t="s">
        <v>74</v>
      </c>
      <c r="Y538" s="1" t="s">
        <v>74</v>
      </c>
      <c r="Z538" s="1" t="s">
        <v>74</v>
      </c>
      <c r="AA538" s="1" t="s">
        <v>74</v>
      </c>
      <c r="AB538" s="1" t="s">
        <v>74</v>
      </c>
      <c r="AC538" s="1" t="s">
        <v>74</v>
      </c>
      <c r="AD538" s="1" t="s">
        <v>74</v>
      </c>
      <c r="AE538" s="1" t="s">
        <v>74</v>
      </c>
      <c r="AF538" s="1" t="s">
        <v>74</v>
      </c>
      <c r="AG538" s="1" t="s">
        <v>74</v>
      </c>
      <c r="AH538" s="1" t="s">
        <v>74</v>
      </c>
      <c r="AI538" s="1" t="s">
        <v>74</v>
      </c>
      <c r="AJ538" s="1" t="s">
        <v>74</v>
      </c>
      <c r="AK538" s="1" t="s">
        <v>74</v>
      </c>
      <c r="AL538" s="1" t="s">
        <v>74</v>
      </c>
      <c r="AM538" s="1" t="s">
        <v>74</v>
      </c>
      <c r="AN538" s="1" t="s">
        <v>74</v>
      </c>
      <c r="AO538" s="1" t="s">
        <v>3937</v>
      </c>
      <c r="AP538" s="1" t="s">
        <v>3938</v>
      </c>
      <c r="AQ538" s="1" t="s">
        <v>74</v>
      </c>
      <c r="AR538" s="1" t="s">
        <v>74</v>
      </c>
      <c r="AS538" s="1" t="s">
        <v>74</v>
      </c>
      <c r="AT538" s="1" t="s">
        <v>5532</v>
      </c>
      <c r="AU538" s="1">
        <v>2025.0</v>
      </c>
      <c r="AV538" s="1" t="s">
        <v>74</v>
      </c>
      <c r="AW538" s="1" t="s">
        <v>74</v>
      </c>
      <c r="AX538" s="1" t="s">
        <v>74</v>
      </c>
      <c r="AY538" s="1" t="s">
        <v>74</v>
      </c>
      <c r="AZ538" s="1" t="s">
        <v>74</v>
      </c>
      <c r="BA538" s="1" t="s">
        <v>74</v>
      </c>
      <c r="BB538" s="1" t="s">
        <v>74</v>
      </c>
      <c r="BC538" s="1" t="s">
        <v>74</v>
      </c>
      <c r="BD538" s="1" t="s">
        <v>74</v>
      </c>
      <c r="BE538" s="1" t="s">
        <v>5533</v>
      </c>
      <c r="BF538" s="2" t="str">
        <f>HYPERLINK("http://dx.doi.org/10.1039/d5cp00508f","http://dx.doi.org/10.1039/d5cp00508f")</f>
        <v>http://dx.doi.org/10.1039/d5cp00508f</v>
      </c>
      <c r="BG538" s="1" t="s">
        <v>74</v>
      </c>
      <c r="BH538" s="1" t="s">
        <v>5534</v>
      </c>
      <c r="BI538" s="1" t="s">
        <v>74</v>
      </c>
      <c r="BJ538" s="1" t="s">
        <v>74</v>
      </c>
      <c r="BK538" s="1" t="s">
        <v>74</v>
      </c>
      <c r="BL538" s="1" t="s">
        <v>74</v>
      </c>
      <c r="BM538" s="1" t="s">
        <v>74</v>
      </c>
      <c r="BN538" s="1">
        <v>4.0289667E7</v>
      </c>
      <c r="BO538" s="1" t="s">
        <v>74</v>
      </c>
      <c r="BP538" s="1" t="s">
        <v>74</v>
      </c>
      <c r="BQ538" s="1" t="s">
        <v>74</v>
      </c>
      <c r="BR538" s="1" t="s">
        <v>74</v>
      </c>
      <c r="BS538" s="1" t="s">
        <v>5535</v>
      </c>
      <c r="BT538" s="1" t="str">
        <f>HYPERLINK("https%3A%2F%2Fwww.webofscience.com%2Fwos%2Fwoscc%2Ffull-record%2FWOS:001477349400001","View Full Record in Web of Science")</f>
        <v>View Full Record in Web of Science</v>
      </c>
    </row>
    <row r="539" ht="12.75" customHeight="1">
      <c r="A539" s="1" t="s">
        <v>72</v>
      </c>
      <c r="B539" s="1" t="s">
        <v>5536</v>
      </c>
      <c r="C539" s="1" t="s">
        <v>74</v>
      </c>
      <c r="D539" s="1" t="s">
        <v>74</v>
      </c>
      <c r="E539" s="1" t="s">
        <v>74</v>
      </c>
      <c r="F539" s="1" t="s">
        <v>5537</v>
      </c>
      <c r="G539" s="1" t="s">
        <v>74</v>
      </c>
      <c r="H539" s="1" t="s">
        <v>74</v>
      </c>
      <c r="I539" s="1" t="s">
        <v>5538</v>
      </c>
      <c r="J539" s="1" t="s">
        <v>5448</v>
      </c>
      <c r="K539" s="1" t="s">
        <v>74</v>
      </c>
      <c r="L539" s="1" t="s">
        <v>74</v>
      </c>
      <c r="M539" s="1" t="s">
        <v>74</v>
      </c>
      <c r="N539" s="1" t="s">
        <v>74</v>
      </c>
      <c r="O539" s="1" t="s">
        <v>74</v>
      </c>
      <c r="P539" s="1" t="s">
        <v>74</v>
      </c>
      <c r="Q539" s="1" t="s">
        <v>74</v>
      </c>
      <c r="R539" s="1" t="s">
        <v>74</v>
      </c>
      <c r="S539" s="1" t="s">
        <v>74</v>
      </c>
      <c r="T539" s="1" t="s">
        <v>74</v>
      </c>
      <c r="U539" s="1" t="s">
        <v>74</v>
      </c>
      <c r="V539" s="1" t="s">
        <v>5539</v>
      </c>
      <c r="W539" s="1" t="s">
        <v>74</v>
      </c>
      <c r="X539" s="1" t="s">
        <v>74</v>
      </c>
      <c r="Y539" s="1" t="s">
        <v>74</v>
      </c>
      <c r="Z539" s="1" t="s">
        <v>74</v>
      </c>
      <c r="AA539" s="1" t="s">
        <v>5540</v>
      </c>
      <c r="AB539" s="1" t="s">
        <v>5541</v>
      </c>
      <c r="AC539" s="1" t="s">
        <v>74</v>
      </c>
      <c r="AD539" s="1" t="s">
        <v>74</v>
      </c>
      <c r="AE539" s="1" t="s">
        <v>74</v>
      </c>
      <c r="AF539" s="1" t="s">
        <v>74</v>
      </c>
      <c r="AG539" s="1" t="s">
        <v>74</v>
      </c>
      <c r="AH539" s="1" t="s">
        <v>74</v>
      </c>
      <c r="AI539" s="1" t="s">
        <v>74</v>
      </c>
      <c r="AJ539" s="1" t="s">
        <v>74</v>
      </c>
      <c r="AK539" s="1" t="s">
        <v>74</v>
      </c>
      <c r="AL539" s="1" t="s">
        <v>74</v>
      </c>
      <c r="AM539" s="1" t="s">
        <v>74</v>
      </c>
      <c r="AN539" s="1" t="s">
        <v>74</v>
      </c>
      <c r="AO539" s="1" t="s">
        <v>74</v>
      </c>
      <c r="AP539" s="1" t="s">
        <v>5451</v>
      </c>
      <c r="AQ539" s="1" t="s">
        <v>74</v>
      </c>
      <c r="AR539" s="1" t="s">
        <v>74</v>
      </c>
      <c r="AS539" s="1" t="s">
        <v>74</v>
      </c>
      <c r="AT539" s="1" t="s">
        <v>201</v>
      </c>
      <c r="AU539" s="1">
        <v>2024.0</v>
      </c>
      <c r="AV539" s="1">
        <v>14.0</v>
      </c>
      <c r="AW539" s="1">
        <v>20.0</v>
      </c>
      <c r="AX539" s="1" t="s">
        <v>74</v>
      </c>
      <c r="AY539" s="1" t="s">
        <v>74</v>
      </c>
      <c r="AZ539" s="1" t="s">
        <v>74</v>
      </c>
      <c r="BA539" s="1" t="s">
        <v>74</v>
      </c>
      <c r="BB539" s="1" t="s">
        <v>74</v>
      </c>
      <c r="BC539" s="1" t="s">
        <v>74</v>
      </c>
      <c r="BD539" s="1">
        <v>1658.0</v>
      </c>
      <c r="BE539" s="1" t="s">
        <v>5542</v>
      </c>
      <c r="BF539" s="2" t="str">
        <f>HYPERLINK("http://dx.doi.org/10.3390/nano14201658","http://dx.doi.org/10.3390/nano14201658")</f>
        <v>http://dx.doi.org/10.3390/nano14201658</v>
      </c>
      <c r="BG539" s="1" t="s">
        <v>74</v>
      </c>
      <c r="BH539" s="1" t="s">
        <v>74</v>
      </c>
      <c r="BI539" s="1" t="s">
        <v>74</v>
      </c>
      <c r="BJ539" s="1" t="s">
        <v>74</v>
      </c>
      <c r="BK539" s="1" t="s">
        <v>74</v>
      </c>
      <c r="BL539" s="1" t="s">
        <v>74</v>
      </c>
      <c r="BM539" s="1" t="s">
        <v>74</v>
      </c>
      <c r="BN539" s="1">
        <v>3.9452994E7</v>
      </c>
      <c r="BO539" s="1" t="s">
        <v>74</v>
      </c>
      <c r="BP539" s="1" t="s">
        <v>74</v>
      </c>
      <c r="BQ539" s="1" t="s">
        <v>74</v>
      </c>
      <c r="BR539" s="1" t="s">
        <v>74</v>
      </c>
      <c r="BS539" s="1" t="s">
        <v>5543</v>
      </c>
      <c r="BT539" s="1" t="str">
        <f>HYPERLINK("https%3A%2F%2Fwww.webofscience.com%2Fwos%2Fwoscc%2Ffull-record%2FWOS:001342624900001","View Full Record in Web of Science")</f>
        <v>View Full Record in Web of Science</v>
      </c>
    </row>
    <row r="540" ht="12.75" customHeight="1">
      <c r="A540" s="1" t="s">
        <v>72</v>
      </c>
      <c r="B540" s="1" t="s">
        <v>5544</v>
      </c>
      <c r="C540" s="1" t="s">
        <v>74</v>
      </c>
      <c r="D540" s="1" t="s">
        <v>74</v>
      </c>
      <c r="E540" s="1" t="s">
        <v>74</v>
      </c>
      <c r="F540" s="1" t="s">
        <v>5545</v>
      </c>
      <c r="G540" s="1" t="s">
        <v>74</v>
      </c>
      <c r="H540" s="1" t="s">
        <v>74</v>
      </c>
      <c r="I540" s="1" t="s">
        <v>5546</v>
      </c>
      <c r="J540" s="1" t="s">
        <v>2573</v>
      </c>
      <c r="K540" s="1" t="s">
        <v>74</v>
      </c>
      <c r="L540" s="1" t="s">
        <v>74</v>
      </c>
      <c r="M540" s="1" t="s">
        <v>74</v>
      </c>
      <c r="N540" s="1" t="s">
        <v>74</v>
      </c>
      <c r="O540" s="1" t="s">
        <v>74</v>
      </c>
      <c r="P540" s="1" t="s">
        <v>74</v>
      </c>
      <c r="Q540" s="1" t="s">
        <v>74</v>
      </c>
      <c r="R540" s="1" t="s">
        <v>74</v>
      </c>
      <c r="S540" s="1" t="s">
        <v>74</v>
      </c>
      <c r="T540" s="1" t="s">
        <v>74</v>
      </c>
      <c r="U540" s="1" t="s">
        <v>74</v>
      </c>
      <c r="V540" s="1" t="s">
        <v>5547</v>
      </c>
      <c r="W540" s="1" t="s">
        <v>74</v>
      </c>
      <c r="X540" s="1" t="s">
        <v>74</v>
      </c>
      <c r="Y540" s="1" t="s">
        <v>74</v>
      </c>
      <c r="Z540" s="1" t="s">
        <v>74</v>
      </c>
      <c r="AA540" s="1" t="s">
        <v>5548</v>
      </c>
      <c r="AB540" s="1" t="s">
        <v>5549</v>
      </c>
      <c r="AC540" s="1" t="s">
        <v>74</v>
      </c>
      <c r="AD540" s="1" t="s">
        <v>74</v>
      </c>
      <c r="AE540" s="1" t="s">
        <v>74</v>
      </c>
      <c r="AF540" s="1" t="s">
        <v>74</v>
      </c>
      <c r="AG540" s="1" t="s">
        <v>74</v>
      </c>
      <c r="AH540" s="1" t="s">
        <v>74</v>
      </c>
      <c r="AI540" s="1" t="s">
        <v>74</v>
      </c>
      <c r="AJ540" s="1" t="s">
        <v>74</v>
      </c>
      <c r="AK540" s="1" t="s">
        <v>74</v>
      </c>
      <c r="AL540" s="1" t="s">
        <v>74</v>
      </c>
      <c r="AM540" s="1" t="s">
        <v>74</v>
      </c>
      <c r="AN540" s="1" t="s">
        <v>74</v>
      </c>
      <c r="AO540" s="1" t="s">
        <v>2577</v>
      </c>
      <c r="AP540" s="1" t="s">
        <v>74</v>
      </c>
      <c r="AQ540" s="1" t="s">
        <v>74</v>
      </c>
      <c r="AR540" s="1" t="s">
        <v>74</v>
      </c>
      <c r="AS540" s="1" t="s">
        <v>74</v>
      </c>
      <c r="AT540" s="1" t="s">
        <v>348</v>
      </c>
      <c r="AU540" s="1">
        <v>2024.0</v>
      </c>
      <c r="AV540" s="1">
        <v>23.0</v>
      </c>
      <c r="AW540" s="1">
        <v>5.0</v>
      </c>
      <c r="AX540" s="1" t="s">
        <v>74</v>
      </c>
      <c r="AY540" s="1" t="s">
        <v>74</v>
      </c>
      <c r="AZ540" s="1" t="s">
        <v>74</v>
      </c>
      <c r="BA540" s="1" t="s">
        <v>74</v>
      </c>
      <c r="BB540" s="1">
        <v>749.0</v>
      </c>
      <c r="BC540" s="1">
        <v>759.0</v>
      </c>
      <c r="BD540" s="1" t="s">
        <v>74</v>
      </c>
      <c r="BE540" s="1" t="s">
        <v>5550</v>
      </c>
      <c r="BF540" s="2" t="str">
        <f>HYPERLINK("http://dx.doi.org/10.37360/blacpma.24.23.5.47","http://dx.doi.org/10.37360/blacpma.24.23.5.47")</f>
        <v>http://dx.doi.org/10.37360/blacpma.24.23.5.47</v>
      </c>
      <c r="BG540" s="1" t="s">
        <v>74</v>
      </c>
      <c r="BH540" s="1" t="s">
        <v>74</v>
      </c>
      <c r="BI540" s="1" t="s">
        <v>74</v>
      </c>
      <c r="BJ540" s="1" t="s">
        <v>74</v>
      </c>
      <c r="BK540" s="1" t="s">
        <v>74</v>
      </c>
      <c r="BL540" s="1" t="s">
        <v>74</v>
      </c>
      <c r="BM540" s="1" t="s">
        <v>74</v>
      </c>
      <c r="BN540" s="1" t="s">
        <v>74</v>
      </c>
      <c r="BO540" s="1" t="s">
        <v>74</v>
      </c>
      <c r="BP540" s="1" t="s">
        <v>74</v>
      </c>
      <c r="BQ540" s="1" t="s">
        <v>74</v>
      </c>
      <c r="BR540" s="1" t="s">
        <v>74</v>
      </c>
      <c r="BS540" s="1" t="s">
        <v>5551</v>
      </c>
      <c r="BT540" s="1" t="str">
        <f>HYPERLINK("https%3A%2F%2Fwww.webofscience.com%2Fwos%2Fwoscc%2Ffull-record%2FWOS:001234153100002","View Full Record in Web of Science")</f>
        <v>View Full Record in Web of Science</v>
      </c>
    </row>
    <row r="541" ht="12.75" customHeight="1">
      <c r="A541" s="1" t="s">
        <v>72</v>
      </c>
      <c r="B541" s="1" t="s">
        <v>5552</v>
      </c>
      <c r="C541" s="1" t="s">
        <v>74</v>
      </c>
      <c r="D541" s="1" t="s">
        <v>74</v>
      </c>
      <c r="E541" s="1" t="s">
        <v>74</v>
      </c>
      <c r="F541" s="1" t="s">
        <v>5553</v>
      </c>
      <c r="G541" s="1" t="s">
        <v>74</v>
      </c>
      <c r="H541" s="1" t="s">
        <v>74</v>
      </c>
      <c r="I541" s="1" t="s">
        <v>5554</v>
      </c>
      <c r="J541" s="1" t="s">
        <v>5555</v>
      </c>
      <c r="K541" s="1" t="s">
        <v>74</v>
      </c>
      <c r="L541" s="1" t="s">
        <v>74</v>
      </c>
      <c r="M541" s="1" t="s">
        <v>74</v>
      </c>
      <c r="N541" s="1" t="s">
        <v>74</v>
      </c>
      <c r="O541" s="1" t="s">
        <v>74</v>
      </c>
      <c r="P541" s="1" t="s">
        <v>74</v>
      </c>
      <c r="Q541" s="1" t="s">
        <v>74</v>
      </c>
      <c r="R541" s="1" t="s">
        <v>74</v>
      </c>
      <c r="S541" s="1" t="s">
        <v>74</v>
      </c>
      <c r="T541" s="1" t="s">
        <v>74</v>
      </c>
      <c r="U541" s="1" t="s">
        <v>74</v>
      </c>
      <c r="V541" s="1" t="s">
        <v>5556</v>
      </c>
      <c r="W541" s="1" t="s">
        <v>74</v>
      </c>
      <c r="X541" s="1" t="s">
        <v>74</v>
      </c>
      <c r="Y541" s="1" t="s">
        <v>74</v>
      </c>
      <c r="Z541" s="1" t="s">
        <v>74</v>
      </c>
      <c r="AA541" s="1" t="s">
        <v>5557</v>
      </c>
      <c r="AB541" s="1" t="s">
        <v>74</v>
      </c>
      <c r="AC541" s="1" t="s">
        <v>74</v>
      </c>
      <c r="AD541" s="1" t="s">
        <v>74</v>
      </c>
      <c r="AE541" s="1" t="s">
        <v>74</v>
      </c>
      <c r="AF541" s="1" t="s">
        <v>74</v>
      </c>
      <c r="AG541" s="1" t="s">
        <v>74</v>
      </c>
      <c r="AH541" s="1" t="s">
        <v>74</v>
      </c>
      <c r="AI541" s="1" t="s">
        <v>74</v>
      </c>
      <c r="AJ541" s="1" t="s">
        <v>74</v>
      </c>
      <c r="AK541" s="1" t="s">
        <v>74</v>
      </c>
      <c r="AL541" s="1" t="s">
        <v>74</v>
      </c>
      <c r="AM541" s="1" t="s">
        <v>74</v>
      </c>
      <c r="AN541" s="1" t="s">
        <v>74</v>
      </c>
      <c r="AO541" s="1" t="s">
        <v>5558</v>
      </c>
      <c r="AP541" s="1" t="s">
        <v>5559</v>
      </c>
      <c r="AQ541" s="1" t="s">
        <v>74</v>
      </c>
      <c r="AR541" s="1" t="s">
        <v>74</v>
      </c>
      <c r="AS541" s="1" t="s">
        <v>74</v>
      </c>
      <c r="AT541" s="1" t="s">
        <v>164</v>
      </c>
      <c r="AU541" s="1">
        <v>2024.0</v>
      </c>
      <c r="AV541" s="1">
        <v>94.0</v>
      </c>
      <c r="AW541" s="1" t="s">
        <v>74</v>
      </c>
      <c r="AX541" s="1" t="s">
        <v>74</v>
      </c>
      <c r="AY541" s="1" t="s">
        <v>74</v>
      </c>
      <c r="AZ541" s="1" t="s">
        <v>74</v>
      </c>
      <c r="BA541" s="1" t="s">
        <v>74</v>
      </c>
      <c r="BB541" s="1" t="s">
        <v>74</v>
      </c>
      <c r="BC541" s="1" t="s">
        <v>74</v>
      </c>
      <c r="BD541" s="1">
        <v>103319.0</v>
      </c>
      <c r="BE541" s="1" t="s">
        <v>5560</v>
      </c>
      <c r="BF541" s="2" t="str">
        <f>HYPERLINK("http://dx.doi.org/10.1016/j.irfa.2024.103319","http://dx.doi.org/10.1016/j.irfa.2024.103319")</f>
        <v>http://dx.doi.org/10.1016/j.irfa.2024.103319</v>
      </c>
      <c r="BG541" s="1" t="s">
        <v>74</v>
      </c>
      <c r="BH541" s="1" t="s">
        <v>4786</v>
      </c>
      <c r="BI541" s="1" t="s">
        <v>74</v>
      </c>
      <c r="BJ541" s="1" t="s">
        <v>74</v>
      </c>
      <c r="BK541" s="1" t="s">
        <v>74</v>
      </c>
      <c r="BL541" s="1" t="s">
        <v>74</v>
      </c>
      <c r="BM541" s="1" t="s">
        <v>74</v>
      </c>
      <c r="BN541" s="1" t="s">
        <v>74</v>
      </c>
      <c r="BO541" s="1" t="s">
        <v>74</v>
      </c>
      <c r="BP541" s="1" t="s">
        <v>74</v>
      </c>
      <c r="BQ541" s="1" t="s">
        <v>74</v>
      </c>
      <c r="BR541" s="1" t="s">
        <v>74</v>
      </c>
      <c r="BS541" s="1" t="s">
        <v>5561</v>
      </c>
      <c r="BT541" s="1" t="str">
        <f>HYPERLINK("https%3A%2F%2Fwww.webofscience.com%2Fwos%2Fwoscc%2Ffull-record%2FWOS:001237075000001","View Full Record in Web of Science")</f>
        <v>View Full Record in Web of Science</v>
      </c>
    </row>
    <row r="542" ht="12.75" customHeight="1">
      <c r="A542" s="1" t="s">
        <v>72</v>
      </c>
      <c r="B542" s="1" t="s">
        <v>5562</v>
      </c>
      <c r="C542" s="1" t="s">
        <v>74</v>
      </c>
      <c r="D542" s="1" t="s">
        <v>74</v>
      </c>
      <c r="E542" s="1" t="s">
        <v>74</v>
      </c>
      <c r="F542" s="1" t="s">
        <v>5563</v>
      </c>
      <c r="G542" s="1" t="s">
        <v>74</v>
      </c>
      <c r="H542" s="1" t="s">
        <v>74</v>
      </c>
      <c r="I542" s="1" t="s">
        <v>5564</v>
      </c>
      <c r="J542" s="1" t="s">
        <v>5565</v>
      </c>
      <c r="K542" s="1" t="s">
        <v>74</v>
      </c>
      <c r="L542" s="1" t="s">
        <v>74</v>
      </c>
      <c r="M542" s="1" t="s">
        <v>74</v>
      </c>
      <c r="N542" s="1" t="s">
        <v>74</v>
      </c>
      <c r="O542" s="1" t="s">
        <v>74</v>
      </c>
      <c r="P542" s="1" t="s">
        <v>74</v>
      </c>
      <c r="Q542" s="1" t="s">
        <v>74</v>
      </c>
      <c r="R542" s="1" t="s">
        <v>74</v>
      </c>
      <c r="S542" s="1" t="s">
        <v>74</v>
      </c>
      <c r="T542" s="1" t="s">
        <v>74</v>
      </c>
      <c r="U542" s="1" t="s">
        <v>74</v>
      </c>
      <c r="V542" s="1" t="s">
        <v>5566</v>
      </c>
      <c r="W542" s="1" t="s">
        <v>74</v>
      </c>
      <c r="X542" s="1" t="s">
        <v>74</v>
      </c>
      <c r="Y542" s="1" t="s">
        <v>74</v>
      </c>
      <c r="Z542" s="1" t="s">
        <v>74</v>
      </c>
      <c r="AA542" s="1" t="s">
        <v>5567</v>
      </c>
      <c r="AB542" s="1" t="s">
        <v>5568</v>
      </c>
      <c r="AC542" s="1" t="s">
        <v>74</v>
      </c>
      <c r="AD542" s="1" t="s">
        <v>74</v>
      </c>
      <c r="AE542" s="1" t="s">
        <v>74</v>
      </c>
      <c r="AF542" s="1" t="s">
        <v>74</v>
      </c>
      <c r="AG542" s="1" t="s">
        <v>74</v>
      </c>
      <c r="AH542" s="1" t="s">
        <v>74</v>
      </c>
      <c r="AI542" s="1" t="s">
        <v>74</v>
      </c>
      <c r="AJ542" s="1" t="s">
        <v>74</v>
      </c>
      <c r="AK542" s="1" t="s">
        <v>74</v>
      </c>
      <c r="AL542" s="1" t="s">
        <v>74</v>
      </c>
      <c r="AM542" s="1" t="s">
        <v>74</v>
      </c>
      <c r="AN542" s="1" t="s">
        <v>74</v>
      </c>
      <c r="AO542" s="1" t="s">
        <v>5569</v>
      </c>
      <c r="AP542" s="1" t="s">
        <v>5570</v>
      </c>
      <c r="AQ542" s="1" t="s">
        <v>74</v>
      </c>
      <c r="AR542" s="1" t="s">
        <v>74</v>
      </c>
      <c r="AS542" s="1" t="s">
        <v>74</v>
      </c>
      <c r="AT542" s="1" t="s">
        <v>74</v>
      </c>
      <c r="AU542" s="1">
        <v>2024.0</v>
      </c>
      <c r="AV542" s="1">
        <v>88.0</v>
      </c>
      <c r="AW542" s="1">
        <v>1.0</v>
      </c>
      <c r="AX542" s="1" t="s">
        <v>74</v>
      </c>
      <c r="AY542" s="1" t="s">
        <v>74</v>
      </c>
      <c r="AZ542" s="1" t="s">
        <v>74</v>
      </c>
      <c r="BA542" s="1" t="s">
        <v>74</v>
      </c>
      <c r="BB542" s="1">
        <v>17.0</v>
      </c>
      <c r="BC542" s="1">
        <v>21.0</v>
      </c>
      <c r="BD542" s="1" t="s">
        <v>74</v>
      </c>
      <c r="BE542" s="1" t="s">
        <v>74</v>
      </c>
      <c r="BF542" s="1" t="s">
        <v>74</v>
      </c>
      <c r="BG542" s="1" t="s">
        <v>74</v>
      </c>
      <c r="BH542" s="1" t="s">
        <v>74</v>
      </c>
      <c r="BI542" s="1" t="s">
        <v>74</v>
      </c>
      <c r="BJ542" s="1" t="s">
        <v>74</v>
      </c>
      <c r="BK542" s="1" t="s">
        <v>74</v>
      </c>
      <c r="BL542" s="1" t="s">
        <v>74</v>
      </c>
      <c r="BM542" s="1" t="s">
        <v>74</v>
      </c>
      <c r="BN542" s="1" t="s">
        <v>74</v>
      </c>
      <c r="BO542" s="1" t="s">
        <v>74</v>
      </c>
      <c r="BP542" s="1" t="s">
        <v>74</v>
      </c>
      <c r="BQ542" s="1" t="s">
        <v>74</v>
      </c>
      <c r="BR542" s="1" t="s">
        <v>74</v>
      </c>
      <c r="BS542" s="1" t="s">
        <v>5571</v>
      </c>
      <c r="BT542" s="1" t="str">
        <f>HYPERLINK("https%3A%2F%2Fwww.webofscience.com%2Fwos%2Fwoscc%2Ffull-record%2FWOS:001273380600003","View Full Record in Web of Science")</f>
        <v>View Full Record in Web of Science</v>
      </c>
    </row>
    <row r="543" ht="12.75" customHeight="1">
      <c r="A543" s="1" t="s">
        <v>72</v>
      </c>
      <c r="B543" s="1" t="s">
        <v>5572</v>
      </c>
      <c r="C543" s="1" t="s">
        <v>74</v>
      </c>
      <c r="D543" s="1" t="s">
        <v>74</v>
      </c>
      <c r="E543" s="1" t="s">
        <v>74</v>
      </c>
      <c r="F543" s="1" t="s">
        <v>5573</v>
      </c>
      <c r="G543" s="1" t="s">
        <v>74</v>
      </c>
      <c r="H543" s="1" t="s">
        <v>74</v>
      </c>
      <c r="I543" s="1" t="s">
        <v>5574</v>
      </c>
      <c r="J543" s="1" t="s">
        <v>5575</v>
      </c>
      <c r="K543" s="1" t="s">
        <v>74</v>
      </c>
      <c r="L543" s="1" t="s">
        <v>74</v>
      </c>
      <c r="M543" s="1" t="s">
        <v>74</v>
      </c>
      <c r="N543" s="1" t="s">
        <v>74</v>
      </c>
      <c r="O543" s="1" t="s">
        <v>74</v>
      </c>
      <c r="P543" s="1" t="s">
        <v>74</v>
      </c>
      <c r="Q543" s="1" t="s">
        <v>74</v>
      </c>
      <c r="R543" s="1" t="s">
        <v>74</v>
      </c>
      <c r="S543" s="1" t="s">
        <v>74</v>
      </c>
      <c r="T543" s="1" t="s">
        <v>74</v>
      </c>
      <c r="U543" s="1" t="s">
        <v>74</v>
      </c>
      <c r="V543" s="1" t="s">
        <v>5576</v>
      </c>
      <c r="W543" s="1" t="s">
        <v>74</v>
      </c>
      <c r="X543" s="1" t="s">
        <v>74</v>
      </c>
      <c r="Y543" s="1" t="s">
        <v>74</v>
      </c>
      <c r="Z543" s="1" t="s">
        <v>74</v>
      </c>
      <c r="AA543" s="1" t="s">
        <v>5577</v>
      </c>
      <c r="AB543" s="1" t="s">
        <v>5578</v>
      </c>
      <c r="AC543" s="1" t="s">
        <v>74</v>
      </c>
      <c r="AD543" s="1" t="s">
        <v>74</v>
      </c>
      <c r="AE543" s="1" t="s">
        <v>74</v>
      </c>
      <c r="AF543" s="1" t="s">
        <v>74</v>
      </c>
      <c r="AG543" s="1" t="s">
        <v>74</v>
      </c>
      <c r="AH543" s="1" t="s">
        <v>74</v>
      </c>
      <c r="AI543" s="1" t="s">
        <v>74</v>
      </c>
      <c r="AJ543" s="1" t="s">
        <v>74</v>
      </c>
      <c r="AK543" s="1" t="s">
        <v>74</v>
      </c>
      <c r="AL543" s="1" t="s">
        <v>74</v>
      </c>
      <c r="AM543" s="1" t="s">
        <v>74</v>
      </c>
      <c r="AN543" s="1" t="s">
        <v>74</v>
      </c>
      <c r="AO543" s="1" t="s">
        <v>5579</v>
      </c>
      <c r="AP543" s="1" t="s">
        <v>5580</v>
      </c>
      <c r="AQ543" s="1" t="s">
        <v>74</v>
      </c>
      <c r="AR543" s="1" t="s">
        <v>74</v>
      </c>
      <c r="AS543" s="1" t="s">
        <v>74</v>
      </c>
      <c r="AT543" s="1" t="s">
        <v>1702</v>
      </c>
      <c r="AU543" s="1">
        <v>2024.0</v>
      </c>
      <c r="AV543" s="1">
        <v>191.0</v>
      </c>
      <c r="AW543" s="1" t="s">
        <v>74</v>
      </c>
      <c r="AX543" s="1" t="s">
        <v>74</v>
      </c>
      <c r="AY543" s="1" t="s">
        <v>74</v>
      </c>
      <c r="AZ543" s="1" t="s">
        <v>74</v>
      </c>
      <c r="BA543" s="1" t="s">
        <v>74</v>
      </c>
      <c r="BB543" s="1" t="s">
        <v>74</v>
      </c>
      <c r="BC543" s="1" t="s">
        <v>74</v>
      </c>
      <c r="BD543" s="1">
        <v>115583.0</v>
      </c>
      <c r="BE543" s="1" t="s">
        <v>5581</v>
      </c>
      <c r="BF543" s="2" t="str">
        <f>HYPERLINK("http://dx.doi.org/10.1016/j.lwt.2023.115583","http://dx.doi.org/10.1016/j.lwt.2023.115583")</f>
        <v>http://dx.doi.org/10.1016/j.lwt.2023.115583</v>
      </c>
      <c r="BG543" s="1" t="s">
        <v>74</v>
      </c>
      <c r="BH543" s="1" t="s">
        <v>2385</v>
      </c>
      <c r="BI543" s="1" t="s">
        <v>74</v>
      </c>
      <c r="BJ543" s="1" t="s">
        <v>74</v>
      </c>
      <c r="BK543" s="1" t="s">
        <v>74</v>
      </c>
      <c r="BL543" s="1" t="s">
        <v>74</v>
      </c>
      <c r="BM543" s="1" t="s">
        <v>74</v>
      </c>
      <c r="BN543" s="1" t="s">
        <v>74</v>
      </c>
      <c r="BO543" s="1" t="s">
        <v>74</v>
      </c>
      <c r="BP543" s="1" t="s">
        <v>74</v>
      </c>
      <c r="BQ543" s="1" t="s">
        <v>74</v>
      </c>
      <c r="BR543" s="1" t="s">
        <v>74</v>
      </c>
      <c r="BS543" s="1" t="s">
        <v>5582</v>
      </c>
      <c r="BT543" s="1" t="str">
        <f>HYPERLINK("https%3A%2F%2Fwww.webofscience.com%2Fwos%2Fwoscc%2Ffull-record%2FWOS:001128375400001","View Full Record in Web of Science")</f>
        <v>View Full Record in Web of Science</v>
      </c>
    </row>
    <row r="544" ht="12.75" customHeight="1">
      <c r="A544" s="1" t="s">
        <v>72</v>
      </c>
      <c r="B544" s="1" t="s">
        <v>5583</v>
      </c>
      <c r="C544" s="1" t="s">
        <v>74</v>
      </c>
      <c r="D544" s="1" t="s">
        <v>74</v>
      </c>
      <c r="E544" s="1" t="s">
        <v>74</v>
      </c>
      <c r="F544" s="1" t="s">
        <v>5584</v>
      </c>
      <c r="G544" s="1" t="s">
        <v>74</v>
      </c>
      <c r="H544" s="1" t="s">
        <v>74</v>
      </c>
      <c r="I544" s="1" t="s">
        <v>5585</v>
      </c>
      <c r="J544" s="1" t="s">
        <v>5586</v>
      </c>
      <c r="K544" s="1" t="s">
        <v>74</v>
      </c>
      <c r="L544" s="1" t="s">
        <v>74</v>
      </c>
      <c r="M544" s="1" t="s">
        <v>74</v>
      </c>
      <c r="N544" s="1" t="s">
        <v>74</v>
      </c>
      <c r="O544" s="1" t="s">
        <v>74</v>
      </c>
      <c r="P544" s="1" t="s">
        <v>74</v>
      </c>
      <c r="Q544" s="1" t="s">
        <v>74</v>
      </c>
      <c r="R544" s="1" t="s">
        <v>74</v>
      </c>
      <c r="S544" s="1" t="s">
        <v>74</v>
      </c>
      <c r="T544" s="1" t="s">
        <v>74</v>
      </c>
      <c r="U544" s="1" t="s">
        <v>74</v>
      </c>
      <c r="V544" s="1" t="s">
        <v>5587</v>
      </c>
      <c r="W544" s="1" t="s">
        <v>74</v>
      </c>
      <c r="X544" s="1" t="s">
        <v>74</v>
      </c>
      <c r="Y544" s="1" t="s">
        <v>74</v>
      </c>
      <c r="Z544" s="1" t="s">
        <v>74</v>
      </c>
      <c r="AA544" s="1" t="s">
        <v>5588</v>
      </c>
      <c r="AB544" s="1" t="s">
        <v>74</v>
      </c>
      <c r="AC544" s="1" t="s">
        <v>74</v>
      </c>
      <c r="AD544" s="1" t="s">
        <v>74</v>
      </c>
      <c r="AE544" s="1" t="s">
        <v>74</v>
      </c>
      <c r="AF544" s="1" t="s">
        <v>74</v>
      </c>
      <c r="AG544" s="1" t="s">
        <v>74</v>
      </c>
      <c r="AH544" s="1" t="s">
        <v>74</v>
      </c>
      <c r="AI544" s="1" t="s">
        <v>74</v>
      </c>
      <c r="AJ544" s="1" t="s">
        <v>74</v>
      </c>
      <c r="AK544" s="1" t="s">
        <v>74</v>
      </c>
      <c r="AL544" s="1" t="s">
        <v>74</v>
      </c>
      <c r="AM544" s="1" t="s">
        <v>74</v>
      </c>
      <c r="AN544" s="1" t="s">
        <v>74</v>
      </c>
      <c r="AO544" s="1" t="s">
        <v>74</v>
      </c>
      <c r="AP544" s="1" t="s">
        <v>5589</v>
      </c>
      <c r="AQ544" s="1" t="s">
        <v>74</v>
      </c>
      <c r="AR544" s="1" t="s">
        <v>74</v>
      </c>
      <c r="AS544" s="1" t="s">
        <v>74</v>
      </c>
      <c r="AT544" s="1" t="s">
        <v>1018</v>
      </c>
      <c r="AU544" s="1">
        <v>2023.0</v>
      </c>
      <c r="AV544" s="1">
        <v>9.0</v>
      </c>
      <c r="AW544" s="1">
        <v>8.0</v>
      </c>
      <c r="AX544" s="1" t="s">
        <v>74</v>
      </c>
      <c r="AY544" s="1" t="s">
        <v>74</v>
      </c>
      <c r="AZ544" s="1" t="s">
        <v>74</v>
      </c>
      <c r="BA544" s="1" t="s">
        <v>74</v>
      </c>
      <c r="BB544" s="1" t="s">
        <v>74</v>
      </c>
      <c r="BC544" s="1" t="s">
        <v>74</v>
      </c>
      <c r="BD544" s="1">
        <v>202.0</v>
      </c>
      <c r="BE544" s="1" t="s">
        <v>5590</v>
      </c>
      <c r="BF544" s="2" t="str">
        <f>HYPERLINK("http://dx.doi.org/10.3390/magnetochemistry9080202","http://dx.doi.org/10.3390/magnetochemistry9080202")</f>
        <v>http://dx.doi.org/10.3390/magnetochemistry9080202</v>
      </c>
      <c r="BG544" s="1" t="s">
        <v>74</v>
      </c>
      <c r="BH544" s="1" t="s">
        <v>74</v>
      </c>
      <c r="BI544" s="1" t="s">
        <v>74</v>
      </c>
      <c r="BJ544" s="1" t="s">
        <v>74</v>
      </c>
      <c r="BK544" s="1" t="s">
        <v>74</v>
      </c>
      <c r="BL544" s="1" t="s">
        <v>74</v>
      </c>
      <c r="BM544" s="1" t="s">
        <v>74</v>
      </c>
      <c r="BN544" s="1" t="s">
        <v>74</v>
      </c>
      <c r="BO544" s="1" t="s">
        <v>74</v>
      </c>
      <c r="BP544" s="1" t="s">
        <v>74</v>
      </c>
      <c r="BQ544" s="1" t="s">
        <v>74</v>
      </c>
      <c r="BR544" s="1" t="s">
        <v>74</v>
      </c>
      <c r="BS544" s="1" t="s">
        <v>5591</v>
      </c>
      <c r="BT544" s="1" t="str">
        <f>HYPERLINK("https%3A%2F%2Fwww.webofscience.com%2Fwos%2Fwoscc%2Ffull-record%2FWOS:001055863200001","View Full Record in Web of Science")</f>
        <v>View Full Record in Web of Science</v>
      </c>
    </row>
    <row r="545" ht="12.75" customHeight="1">
      <c r="A545" s="1" t="s">
        <v>72</v>
      </c>
      <c r="B545" s="1" t="s">
        <v>5592</v>
      </c>
      <c r="C545" s="1" t="s">
        <v>74</v>
      </c>
      <c r="D545" s="1" t="s">
        <v>74</v>
      </c>
      <c r="E545" s="1" t="s">
        <v>74</v>
      </c>
      <c r="F545" s="1" t="s">
        <v>5593</v>
      </c>
      <c r="G545" s="1" t="s">
        <v>74</v>
      </c>
      <c r="H545" s="1" t="s">
        <v>74</v>
      </c>
      <c r="I545" s="1" t="s">
        <v>5594</v>
      </c>
      <c r="J545" s="1" t="s">
        <v>5595</v>
      </c>
      <c r="K545" s="1" t="s">
        <v>74</v>
      </c>
      <c r="L545" s="1" t="s">
        <v>74</v>
      </c>
      <c r="M545" s="1" t="s">
        <v>74</v>
      </c>
      <c r="N545" s="1" t="s">
        <v>74</v>
      </c>
      <c r="O545" s="1" t="s">
        <v>74</v>
      </c>
      <c r="P545" s="1" t="s">
        <v>74</v>
      </c>
      <c r="Q545" s="1" t="s">
        <v>74</v>
      </c>
      <c r="R545" s="1" t="s">
        <v>74</v>
      </c>
      <c r="S545" s="1" t="s">
        <v>74</v>
      </c>
      <c r="T545" s="1" t="s">
        <v>74</v>
      </c>
      <c r="U545" s="1" t="s">
        <v>74</v>
      </c>
      <c r="V545" s="1" t="s">
        <v>5596</v>
      </c>
      <c r="W545" s="1" t="s">
        <v>74</v>
      </c>
      <c r="X545" s="1" t="s">
        <v>74</v>
      </c>
      <c r="Y545" s="1" t="s">
        <v>74</v>
      </c>
      <c r="Z545" s="1" t="s">
        <v>74</v>
      </c>
      <c r="AA545" s="1" t="s">
        <v>5597</v>
      </c>
      <c r="AB545" s="1" t="s">
        <v>5598</v>
      </c>
      <c r="AC545" s="1" t="s">
        <v>74</v>
      </c>
      <c r="AD545" s="1" t="s">
        <v>74</v>
      </c>
      <c r="AE545" s="1" t="s">
        <v>74</v>
      </c>
      <c r="AF545" s="1" t="s">
        <v>74</v>
      </c>
      <c r="AG545" s="1" t="s">
        <v>74</v>
      </c>
      <c r="AH545" s="1" t="s">
        <v>74</v>
      </c>
      <c r="AI545" s="1" t="s">
        <v>74</v>
      </c>
      <c r="AJ545" s="1" t="s">
        <v>74</v>
      </c>
      <c r="AK545" s="1" t="s">
        <v>74</v>
      </c>
      <c r="AL545" s="1" t="s">
        <v>74</v>
      </c>
      <c r="AM545" s="1" t="s">
        <v>74</v>
      </c>
      <c r="AN545" s="1" t="s">
        <v>74</v>
      </c>
      <c r="AO545" s="1" t="s">
        <v>5599</v>
      </c>
      <c r="AP545" s="1" t="s">
        <v>74</v>
      </c>
      <c r="AQ545" s="1" t="s">
        <v>74</v>
      </c>
      <c r="AR545" s="1" t="s">
        <v>74</v>
      </c>
      <c r="AS545" s="1" t="s">
        <v>74</v>
      </c>
      <c r="AT545" s="1" t="s">
        <v>4743</v>
      </c>
      <c r="AU545" s="1">
        <v>2023.0</v>
      </c>
      <c r="AV545" s="1">
        <v>10.0</v>
      </c>
      <c r="AW545" s="1">
        <v>4.0</v>
      </c>
      <c r="AX545" s="1" t="s">
        <v>74</v>
      </c>
      <c r="AY545" s="1" t="s">
        <v>74</v>
      </c>
      <c r="AZ545" s="1" t="s">
        <v>74</v>
      </c>
      <c r="BA545" s="1" t="s">
        <v>74</v>
      </c>
      <c r="BB545" s="1">
        <v>1809.0</v>
      </c>
      <c r="BC545" s="1">
        <v>1821.0</v>
      </c>
      <c r="BD545" s="1" t="s">
        <v>74</v>
      </c>
      <c r="BE545" s="1" t="s">
        <v>5600</v>
      </c>
      <c r="BF545" s="2" t="str">
        <f>HYPERLINK("http://dx.doi.org/10.1109/TNSE.2023.3235303","http://dx.doi.org/10.1109/TNSE.2023.3235303")</f>
        <v>http://dx.doi.org/10.1109/TNSE.2023.3235303</v>
      </c>
      <c r="BG545" s="1" t="s">
        <v>74</v>
      </c>
      <c r="BH545" s="1" t="s">
        <v>74</v>
      </c>
      <c r="BI545" s="1" t="s">
        <v>74</v>
      </c>
      <c r="BJ545" s="1" t="s">
        <v>74</v>
      </c>
      <c r="BK545" s="1" t="s">
        <v>74</v>
      </c>
      <c r="BL545" s="1" t="s">
        <v>74</v>
      </c>
      <c r="BM545" s="1" t="s">
        <v>74</v>
      </c>
      <c r="BN545" s="1" t="s">
        <v>74</v>
      </c>
      <c r="BO545" s="1" t="s">
        <v>74</v>
      </c>
      <c r="BP545" s="1" t="s">
        <v>74</v>
      </c>
      <c r="BQ545" s="1" t="s">
        <v>74</v>
      </c>
      <c r="BR545" s="1" t="s">
        <v>74</v>
      </c>
      <c r="BS545" s="1" t="s">
        <v>5601</v>
      </c>
      <c r="BT545" s="1" t="str">
        <f>HYPERLINK("https%3A%2F%2Fwww.webofscience.com%2Fwos%2Fwoscc%2Ffull-record%2FWOS:001018711800002","View Full Record in Web of Science")</f>
        <v>View Full Record in Web of Science</v>
      </c>
    </row>
    <row r="546" ht="12.75" customHeight="1">
      <c r="A546" s="1" t="s">
        <v>72</v>
      </c>
      <c r="B546" s="1" t="s">
        <v>5602</v>
      </c>
      <c r="C546" s="1" t="s">
        <v>74</v>
      </c>
      <c r="D546" s="1" t="s">
        <v>74</v>
      </c>
      <c r="E546" s="1" t="s">
        <v>74</v>
      </c>
      <c r="F546" s="1" t="s">
        <v>5603</v>
      </c>
      <c r="G546" s="1" t="s">
        <v>74</v>
      </c>
      <c r="H546" s="1" t="s">
        <v>74</v>
      </c>
      <c r="I546" s="1" t="s">
        <v>5604</v>
      </c>
      <c r="J546" s="1" t="s">
        <v>5605</v>
      </c>
      <c r="K546" s="1" t="s">
        <v>74</v>
      </c>
      <c r="L546" s="1" t="s">
        <v>74</v>
      </c>
      <c r="M546" s="1" t="s">
        <v>74</v>
      </c>
      <c r="N546" s="1" t="s">
        <v>74</v>
      </c>
      <c r="O546" s="1" t="s">
        <v>74</v>
      </c>
      <c r="P546" s="1" t="s">
        <v>74</v>
      </c>
      <c r="Q546" s="1" t="s">
        <v>74</v>
      </c>
      <c r="R546" s="1" t="s">
        <v>74</v>
      </c>
      <c r="S546" s="1" t="s">
        <v>74</v>
      </c>
      <c r="T546" s="1" t="s">
        <v>74</v>
      </c>
      <c r="U546" s="1" t="s">
        <v>74</v>
      </c>
      <c r="V546" s="1" t="s">
        <v>5606</v>
      </c>
      <c r="W546" s="1" t="s">
        <v>74</v>
      </c>
      <c r="X546" s="1" t="s">
        <v>74</v>
      </c>
      <c r="Y546" s="1" t="s">
        <v>74</v>
      </c>
      <c r="Z546" s="1" t="s">
        <v>74</v>
      </c>
      <c r="AA546" s="1" t="s">
        <v>5607</v>
      </c>
      <c r="AB546" s="1" t="s">
        <v>5608</v>
      </c>
      <c r="AC546" s="1" t="s">
        <v>74</v>
      </c>
      <c r="AD546" s="1" t="s">
        <v>74</v>
      </c>
      <c r="AE546" s="1" t="s">
        <v>74</v>
      </c>
      <c r="AF546" s="1" t="s">
        <v>74</v>
      </c>
      <c r="AG546" s="1" t="s">
        <v>74</v>
      </c>
      <c r="AH546" s="1" t="s">
        <v>74</v>
      </c>
      <c r="AI546" s="1" t="s">
        <v>74</v>
      </c>
      <c r="AJ546" s="1" t="s">
        <v>74</v>
      </c>
      <c r="AK546" s="1" t="s">
        <v>74</v>
      </c>
      <c r="AL546" s="1" t="s">
        <v>74</v>
      </c>
      <c r="AM546" s="1" t="s">
        <v>74</v>
      </c>
      <c r="AN546" s="1" t="s">
        <v>74</v>
      </c>
      <c r="AO546" s="1" t="s">
        <v>5609</v>
      </c>
      <c r="AP546" s="1" t="s">
        <v>74</v>
      </c>
      <c r="AQ546" s="1" t="s">
        <v>74</v>
      </c>
      <c r="AR546" s="1" t="s">
        <v>74</v>
      </c>
      <c r="AS546" s="1" t="s">
        <v>74</v>
      </c>
      <c r="AT546" s="1" t="s">
        <v>153</v>
      </c>
      <c r="AU546" s="1">
        <v>2023.0</v>
      </c>
      <c r="AV546" s="1">
        <v>138.0</v>
      </c>
      <c r="AW546" s="1">
        <v>5.0</v>
      </c>
      <c r="AX546" s="1" t="s">
        <v>74</v>
      </c>
      <c r="AY546" s="1" t="s">
        <v>74</v>
      </c>
      <c r="AZ546" s="1" t="s">
        <v>74</v>
      </c>
      <c r="BA546" s="1" t="s">
        <v>74</v>
      </c>
      <c r="BB546" s="1" t="s">
        <v>74</v>
      </c>
      <c r="BC546" s="1" t="s">
        <v>74</v>
      </c>
      <c r="BD546" s="1">
        <v>411.0</v>
      </c>
      <c r="BE546" s="1" t="s">
        <v>5610</v>
      </c>
      <c r="BF546" s="2" t="str">
        <f>HYPERLINK("http://dx.doi.org/10.1140/epjp/s13360-023-04041-x","http://dx.doi.org/10.1140/epjp/s13360-023-04041-x")</f>
        <v>http://dx.doi.org/10.1140/epjp/s13360-023-04041-x</v>
      </c>
      <c r="BG546" s="1" t="s">
        <v>74</v>
      </c>
      <c r="BH546" s="1" t="s">
        <v>74</v>
      </c>
      <c r="BI546" s="1" t="s">
        <v>74</v>
      </c>
      <c r="BJ546" s="1" t="s">
        <v>74</v>
      </c>
      <c r="BK546" s="1" t="s">
        <v>74</v>
      </c>
      <c r="BL546" s="1" t="s">
        <v>74</v>
      </c>
      <c r="BM546" s="1" t="s">
        <v>74</v>
      </c>
      <c r="BN546" s="1" t="s">
        <v>74</v>
      </c>
      <c r="BO546" s="1" t="s">
        <v>74</v>
      </c>
      <c r="BP546" s="1" t="s">
        <v>74</v>
      </c>
      <c r="BQ546" s="1" t="s">
        <v>74</v>
      </c>
      <c r="BR546" s="1" t="s">
        <v>74</v>
      </c>
      <c r="BS546" s="1" t="s">
        <v>5611</v>
      </c>
      <c r="BT546" s="1" t="str">
        <f>HYPERLINK("https%3A%2F%2Fwww.webofscience.com%2Fwos%2Fwoscc%2Ffull-record%2FWOS:000988016800001","View Full Record in Web of Science")</f>
        <v>View Full Record in Web of Science</v>
      </c>
    </row>
    <row r="547" ht="12.75" customHeight="1">
      <c r="A547" s="1" t="s">
        <v>72</v>
      </c>
      <c r="B547" s="1" t="s">
        <v>5612</v>
      </c>
      <c r="C547" s="1" t="s">
        <v>74</v>
      </c>
      <c r="D547" s="1" t="s">
        <v>74</v>
      </c>
      <c r="E547" s="1" t="s">
        <v>74</v>
      </c>
      <c r="F547" s="1" t="s">
        <v>5613</v>
      </c>
      <c r="G547" s="1" t="s">
        <v>74</v>
      </c>
      <c r="H547" s="1" t="s">
        <v>74</v>
      </c>
      <c r="I547" s="1" t="s">
        <v>5614</v>
      </c>
      <c r="J547" s="1" t="s">
        <v>1353</v>
      </c>
      <c r="K547" s="1" t="s">
        <v>74</v>
      </c>
      <c r="L547" s="1" t="s">
        <v>74</v>
      </c>
      <c r="M547" s="1" t="s">
        <v>74</v>
      </c>
      <c r="N547" s="1" t="s">
        <v>74</v>
      </c>
      <c r="O547" s="1" t="s">
        <v>74</v>
      </c>
      <c r="P547" s="1" t="s">
        <v>74</v>
      </c>
      <c r="Q547" s="1" t="s">
        <v>74</v>
      </c>
      <c r="R547" s="1" t="s">
        <v>74</v>
      </c>
      <c r="S547" s="1" t="s">
        <v>74</v>
      </c>
      <c r="T547" s="1" t="s">
        <v>74</v>
      </c>
      <c r="U547" s="1" t="s">
        <v>74</v>
      </c>
      <c r="V547" s="1" t="s">
        <v>5615</v>
      </c>
      <c r="W547" s="1" t="s">
        <v>74</v>
      </c>
      <c r="X547" s="1" t="s">
        <v>74</v>
      </c>
      <c r="Y547" s="1" t="s">
        <v>74</v>
      </c>
      <c r="Z547" s="1" t="s">
        <v>74</v>
      </c>
      <c r="AA547" s="1" t="s">
        <v>74</v>
      </c>
      <c r="AB547" s="1" t="s">
        <v>5616</v>
      </c>
      <c r="AC547" s="1" t="s">
        <v>74</v>
      </c>
      <c r="AD547" s="1" t="s">
        <v>74</v>
      </c>
      <c r="AE547" s="1" t="s">
        <v>74</v>
      </c>
      <c r="AF547" s="1" t="s">
        <v>74</v>
      </c>
      <c r="AG547" s="1" t="s">
        <v>74</v>
      </c>
      <c r="AH547" s="1" t="s">
        <v>74</v>
      </c>
      <c r="AI547" s="1" t="s">
        <v>74</v>
      </c>
      <c r="AJ547" s="1" t="s">
        <v>74</v>
      </c>
      <c r="AK547" s="1" t="s">
        <v>74</v>
      </c>
      <c r="AL547" s="1" t="s">
        <v>74</v>
      </c>
      <c r="AM547" s="1" t="s">
        <v>74</v>
      </c>
      <c r="AN547" s="1" t="s">
        <v>74</v>
      </c>
      <c r="AO547" s="1" t="s">
        <v>1357</v>
      </c>
      <c r="AP547" s="1" t="s">
        <v>1358</v>
      </c>
      <c r="AQ547" s="1" t="s">
        <v>74</v>
      </c>
      <c r="AR547" s="1" t="s">
        <v>74</v>
      </c>
      <c r="AS547" s="1" t="s">
        <v>74</v>
      </c>
      <c r="AT547" s="1" t="s">
        <v>3465</v>
      </c>
      <c r="AU547" s="1">
        <v>2023.0</v>
      </c>
      <c r="AV547" s="1">
        <v>24.0</v>
      </c>
      <c r="AW547" s="1">
        <v>9.0</v>
      </c>
      <c r="AX547" s="1" t="s">
        <v>74</v>
      </c>
      <c r="AY547" s="1" t="s">
        <v>74</v>
      </c>
      <c r="AZ547" s="1" t="s">
        <v>74</v>
      </c>
      <c r="BA547" s="1" t="s">
        <v>74</v>
      </c>
      <c r="BB547" s="1" t="s">
        <v>74</v>
      </c>
      <c r="BC547" s="1" t="s">
        <v>74</v>
      </c>
      <c r="BD547" s="1">
        <v>8359.0</v>
      </c>
      <c r="BE547" s="1" t="s">
        <v>5617</v>
      </c>
      <c r="BF547" s="2" t="str">
        <f>HYPERLINK("http://dx.doi.org/10.3390/ijms24098359","http://dx.doi.org/10.3390/ijms24098359")</f>
        <v>http://dx.doi.org/10.3390/ijms24098359</v>
      </c>
      <c r="BG547" s="1" t="s">
        <v>74</v>
      </c>
      <c r="BH547" s="1" t="s">
        <v>74</v>
      </c>
      <c r="BI547" s="1" t="s">
        <v>74</v>
      </c>
      <c r="BJ547" s="1" t="s">
        <v>74</v>
      </c>
      <c r="BK547" s="1" t="s">
        <v>74</v>
      </c>
      <c r="BL547" s="1" t="s">
        <v>74</v>
      </c>
      <c r="BM547" s="1" t="s">
        <v>74</v>
      </c>
      <c r="BN547" s="1">
        <v>3.7176065E7</v>
      </c>
      <c r="BO547" s="1" t="s">
        <v>74</v>
      </c>
      <c r="BP547" s="1" t="s">
        <v>74</v>
      </c>
      <c r="BQ547" s="1" t="s">
        <v>74</v>
      </c>
      <c r="BR547" s="1" t="s">
        <v>74</v>
      </c>
      <c r="BS547" s="1" t="s">
        <v>5618</v>
      </c>
      <c r="BT547" s="1" t="str">
        <f>HYPERLINK("https%3A%2F%2Fwww.webofscience.com%2Fwos%2Fwoscc%2Ffull-record%2FWOS:000987344000001","View Full Record in Web of Science")</f>
        <v>View Full Record in Web of Science</v>
      </c>
    </row>
    <row r="548" ht="12.75" customHeight="1">
      <c r="A548" s="1" t="s">
        <v>72</v>
      </c>
      <c r="B548" s="1" t="s">
        <v>5619</v>
      </c>
      <c r="C548" s="1" t="s">
        <v>74</v>
      </c>
      <c r="D548" s="1" t="s">
        <v>74</v>
      </c>
      <c r="E548" s="1" t="s">
        <v>74</v>
      </c>
      <c r="F548" s="1" t="s">
        <v>5620</v>
      </c>
      <c r="G548" s="1" t="s">
        <v>74</v>
      </c>
      <c r="H548" s="1" t="s">
        <v>74</v>
      </c>
      <c r="I548" s="1" t="s">
        <v>5621</v>
      </c>
      <c r="J548" s="1" t="s">
        <v>4493</v>
      </c>
      <c r="K548" s="1" t="s">
        <v>74</v>
      </c>
      <c r="L548" s="1" t="s">
        <v>74</v>
      </c>
      <c r="M548" s="1" t="s">
        <v>74</v>
      </c>
      <c r="N548" s="1" t="s">
        <v>74</v>
      </c>
      <c r="O548" s="1" t="s">
        <v>74</v>
      </c>
      <c r="P548" s="1" t="s">
        <v>74</v>
      </c>
      <c r="Q548" s="1" t="s">
        <v>74</v>
      </c>
      <c r="R548" s="1" t="s">
        <v>74</v>
      </c>
      <c r="S548" s="1" t="s">
        <v>74</v>
      </c>
      <c r="T548" s="1" t="s">
        <v>74</v>
      </c>
      <c r="U548" s="1" t="s">
        <v>74</v>
      </c>
      <c r="V548" s="1" t="s">
        <v>5622</v>
      </c>
      <c r="W548" s="1" t="s">
        <v>74</v>
      </c>
      <c r="X548" s="1" t="s">
        <v>74</v>
      </c>
      <c r="Y548" s="1" t="s">
        <v>74</v>
      </c>
      <c r="Z548" s="1" t="s">
        <v>74</v>
      </c>
      <c r="AA548" s="1" t="s">
        <v>5623</v>
      </c>
      <c r="AB548" s="1" t="s">
        <v>5624</v>
      </c>
      <c r="AC548" s="1" t="s">
        <v>74</v>
      </c>
      <c r="AD548" s="1" t="s">
        <v>74</v>
      </c>
      <c r="AE548" s="1" t="s">
        <v>74</v>
      </c>
      <c r="AF548" s="1" t="s">
        <v>74</v>
      </c>
      <c r="AG548" s="1" t="s">
        <v>74</v>
      </c>
      <c r="AH548" s="1" t="s">
        <v>74</v>
      </c>
      <c r="AI548" s="1" t="s">
        <v>74</v>
      </c>
      <c r="AJ548" s="1" t="s">
        <v>74</v>
      </c>
      <c r="AK548" s="1" t="s">
        <v>74</v>
      </c>
      <c r="AL548" s="1" t="s">
        <v>74</v>
      </c>
      <c r="AM548" s="1" t="s">
        <v>74</v>
      </c>
      <c r="AN548" s="1" t="s">
        <v>74</v>
      </c>
      <c r="AO548" s="1" t="s">
        <v>4495</v>
      </c>
      <c r="AP548" s="1" t="s">
        <v>74</v>
      </c>
      <c r="AQ548" s="1" t="s">
        <v>74</v>
      </c>
      <c r="AR548" s="1" t="s">
        <v>74</v>
      </c>
      <c r="AS548" s="1" t="s">
        <v>74</v>
      </c>
      <c r="AT548" s="1" t="s">
        <v>5625</v>
      </c>
      <c r="AU548" s="1">
        <v>2022.0</v>
      </c>
      <c r="AV548" s="1">
        <v>12.0</v>
      </c>
      <c r="AW548" s="1">
        <v>1.0</v>
      </c>
      <c r="AX548" s="1" t="s">
        <v>74</v>
      </c>
      <c r="AY548" s="1" t="s">
        <v>74</v>
      </c>
      <c r="AZ548" s="1" t="s">
        <v>74</v>
      </c>
      <c r="BA548" s="1" t="s">
        <v>74</v>
      </c>
      <c r="BB548" s="1" t="s">
        <v>74</v>
      </c>
      <c r="BC548" s="1" t="s">
        <v>74</v>
      </c>
      <c r="BD548" s="1">
        <v>3790.0</v>
      </c>
      <c r="BE548" s="1" t="s">
        <v>5626</v>
      </c>
      <c r="BF548" s="2" t="str">
        <f>HYPERLINK("http://dx.doi.org/10.1038/s41598-022-07616-3","http://dx.doi.org/10.1038/s41598-022-07616-3")</f>
        <v>http://dx.doi.org/10.1038/s41598-022-07616-3</v>
      </c>
      <c r="BG548" s="1" t="s">
        <v>74</v>
      </c>
      <c r="BH548" s="1" t="s">
        <v>74</v>
      </c>
      <c r="BI548" s="1" t="s">
        <v>74</v>
      </c>
      <c r="BJ548" s="1" t="s">
        <v>74</v>
      </c>
      <c r="BK548" s="1" t="s">
        <v>74</v>
      </c>
      <c r="BL548" s="1" t="s">
        <v>74</v>
      </c>
      <c r="BM548" s="1" t="s">
        <v>74</v>
      </c>
      <c r="BN548" s="1">
        <v>3.5260626E7</v>
      </c>
      <c r="BO548" s="1" t="s">
        <v>74</v>
      </c>
      <c r="BP548" s="1" t="s">
        <v>74</v>
      </c>
      <c r="BQ548" s="1" t="s">
        <v>74</v>
      </c>
      <c r="BR548" s="1" t="s">
        <v>74</v>
      </c>
      <c r="BS548" s="1" t="s">
        <v>5627</v>
      </c>
      <c r="BT548" s="1" t="str">
        <f>HYPERLINK("https%3A%2F%2Fwww.webofscience.com%2Fwos%2Fwoscc%2Ffull-record%2FWOS:000826474600045","View Full Record in Web of Science")</f>
        <v>View Full Record in Web of Science</v>
      </c>
    </row>
    <row r="549" ht="12.75" customHeight="1">
      <c r="A549" s="1" t="s">
        <v>86</v>
      </c>
      <c r="B549" s="1" t="s">
        <v>5628</v>
      </c>
      <c r="C549" s="1" t="s">
        <v>74</v>
      </c>
      <c r="D549" s="1" t="s">
        <v>74</v>
      </c>
      <c r="E549" s="1" t="s">
        <v>248</v>
      </c>
      <c r="F549" s="1" t="s">
        <v>5629</v>
      </c>
      <c r="G549" s="1" t="s">
        <v>74</v>
      </c>
      <c r="H549" s="1" t="s">
        <v>74</v>
      </c>
      <c r="I549" s="1" t="s">
        <v>5630</v>
      </c>
      <c r="J549" s="1" t="s">
        <v>5631</v>
      </c>
      <c r="K549" s="1" t="s">
        <v>5632</v>
      </c>
      <c r="L549" s="1" t="s">
        <v>74</v>
      </c>
      <c r="M549" s="1" t="s">
        <v>74</v>
      </c>
      <c r="N549" s="1" t="s">
        <v>74</v>
      </c>
      <c r="O549" s="1" t="s">
        <v>5633</v>
      </c>
      <c r="P549" s="1" t="s">
        <v>5634</v>
      </c>
      <c r="Q549" s="1" t="s">
        <v>5635</v>
      </c>
      <c r="R549" s="1" t="s">
        <v>248</v>
      </c>
      <c r="S549" s="1" t="s">
        <v>74</v>
      </c>
      <c r="T549" s="1" t="s">
        <v>74</v>
      </c>
      <c r="U549" s="1" t="s">
        <v>74</v>
      </c>
      <c r="V549" s="1" t="s">
        <v>5636</v>
      </c>
      <c r="W549" s="1" t="s">
        <v>74</v>
      </c>
      <c r="X549" s="1" t="s">
        <v>74</v>
      </c>
      <c r="Y549" s="1" t="s">
        <v>74</v>
      </c>
      <c r="Z549" s="1" t="s">
        <v>74</v>
      </c>
      <c r="AA549" s="1" t="s">
        <v>5637</v>
      </c>
      <c r="AB549" s="1" t="s">
        <v>74</v>
      </c>
      <c r="AC549" s="1" t="s">
        <v>74</v>
      </c>
      <c r="AD549" s="1" t="s">
        <v>74</v>
      </c>
      <c r="AE549" s="1" t="s">
        <v>74</v>
      </c>
      <c r="AF549" s="1" t="s">
        <v>74</v>
      </c>
      <c r="AG549" s="1" t="s">
        <v>74</v>
      </c>
      <c r="AH549" s="1" t="s">
        <v>74</v>
      </c>
      <c r="AI549" s="1" t="s">
        <v>74</v>
      </c>
      <c r="AJ549" s="1" t="s">
        <v>74</v>
      </c>
      <c r="AK549" s="1" t="s">
        <v>74</v>
      </c>
      <c r="AL549" s="1" t="s">
        <v>74</v>
      </c>
      <c r="AM549" s="1" t="s">
        <v>74</v>
      </c>
      <c r="AN549" s="1" t="s">
        <v>74</v>
      </c>
      <c r="AO549" s="1" t="s">
        <v>5638</v>
      </c>
      <c r="AP549" s="1" t="s">
        <v>74</v>
      </c>
      <c r="AQ549" s="1" t="s">
        <v>5639</v>
      </c>
      <c r="AR549" s="1" t="s">
        <v>74</v>
      </c>
      <c r="AS549" s="1" t="s">
        <v>74</v>
      </c>
      <c r="AT549" s="1" t="s">
        <v>74</v>
      </c>
      <c r="AU549" s="1">
        <v>2022.0</v>
      </c>
      <c r="AV549" s="1" t="s">
        <v>74</v>
      </c>
      <c r="AW549" s="1" t="s">
        <v>74</v>
      </c>
      <c r="AX549" s="1" t="s">
        <v>74</v>
      </c>
      <c r="AY549" s="1" t="s">
        <v>74</v>
      </c>
      <c r="AZ549" s="1" t="s">
        <v>74</v>
      </c>
      <c r="BA549" s="1" t="s">
        <v>74</v>
      </c>
      <c r="BB549" s="1">
        <v>471.0</v>
      </c>
      <c r="BC549" s="1">
        <v>476.0</v>
      </c>
      <c r="BD549" s="1" t="s">
        <v>74</v>
      </c>
      <c r="BE549" s="1" t="s">
        <v>5640</v>
      </c>
      <c r="BF549" s="2" t="str">
        <f>HYPERLINK("http://dx.doi.org/10.1109/WCNC51071.2022.9771776","http://dx.doi.org/10.1109/WCNC51071.2022.9771776")</f>
        <v>http://dx.doi.org/10.1109/WCNC51071.2022.9771776</v>
      </c>
      <c r="BG549" s="1" t="s">
        <v>74</v>
      </c>
      <c r="BH549" s="1" t="s">
        <v>74</v>
      </c>
      <c r="BI549" s="1" t="s">
        <v>74</v>
      </c>
      <c r="BJ549" s="1" t="s">
        <v>74</v>
      </c>
      <c r="BK549" s="1" t="s">
        <v>74</v>
      </c>
      <c r="BL549" s="1" t="s">
        <v>74</v>
      </c>
      <c r="BM549" s="1" t="s">
        <v>74</v>
      </c>
      <c r="BN549" s="1" t="s">
        <v>74</v>
      </c>
      <c r="BO549" s="1" t="s">
        <v>74</v>
      </c>
      <c r="BP549" s="1" t="s">
        <v>74</v>
      </c>
      <c r="BQ549" s="1" t="s">
        <v>74</v>
      </c>
      <c r="BR549" s="1" t="s">
        <v>74</v>
      </c>
      <c r="BS549" s="1" t="s">
        <v>5641</v>
      </c>
      <c r="BT549" s="1" t="str">
        <f>HYPERLINK("https%3A%2F%2Fwww.webofscience.com%2Fwos%2Fwoscc%2Ffull-record%2FWOS:000819473100081","View Full Record in Web of Science")</f>
        <v>View Full Record in Web of Science</v>
      </c>
    </row>
    <row r="550" ht="12.75" customHeight="1">
      <c r="A550" s="1" t="s">
        <v>72</v>
      </c>
      <c r="B550" s="1" t="s">
        <v>5642</v>
      </c>
      <c r="C550" s="1" t="s">
        <v>74</v>
      </c>
      <c r="D550" s="1" t="s">
        <v>74</v>
      </c>
      <c r="E550" s="1" t="s">
        <v>74</v>
      </c>
      <c r="F550" s="1" t="s">
        <v>5643</v>
      </c>
      <c r="G550" s="1" t="s">
        <v>74</v>
      </c>
      <c r="H550" s="1" t="s">
        <v>74</v>
      </c>
      <c r="I550" s="1" t="s">
        <v>5644</v>
      </c>
      <c r="J550" s="1" t="s">
        <v>5645</v>
      </c>
      <c r="K550" s="1" t="s">
        <v>74</v>
      </c>
      <c r="L550" s="1" t="s">
        <v>74</v>
      </c>
      <c r="M550" s="1" t="s">
        <v>74</v>
      </c>
      <c r="N550" s="1" t="s">
        <v>74</v>
      </c>
      <c r="O550" s="1" t="s">
        <v>74</v>
      </c>
      <c r="P550" s="1" t="s">
        <v>74</v>
      </c>
      <c r="Q550" s="1" t="s">
        <v>74</v>
      </c>
      <c r="R550" s="1" t="s">
        <v>74</v>
      </c>
      <c r="S550" s="1" t="s">
        <v>74</v>
      </c>
      <c r="T550" s="1" t="s">
        <v>74</v>
      </c>
      <c r="U550" s="1" t="s">
        <v>74</v>
      </c>
      <c r="V550" s="1" t="s">
        <v>5646</v>
      </c>
      <c r="W550" s="1" t="s">
        <v>74</v>
      </c>
      <c r="X550" s="1" t="s">
        <v>74</v>
      </c>
      <c r="Y550" s="1" t="s">
        <v>74</v>
      </c>
      <c r="Z550" s="1" t="s">
        <v>74</v>
      </c>
      <c r="AA550" s="1" t="s">
        <v>5647</v>
      </c>
      <c r="AB550" s="1" t="s">
        <v>5648</v>
      </c>
      <c r="AC550" s="1" t="s">
        <v>74</v>
      </c>
      <c r="AD550" s="1" t="s">
        <v>74</v>
      </c>
      <c r="AE550" s="1" t="s">
        <v>74</v>
      </c>
      <c r="AF550" s="1" t="s">
        <v>74</v>
      </c>
      <c r="AG550" s="1" t="s">
        <v>74</v>
      </c>
      <c r="AH550" s="1" t="s">
        <v>74</v>
      </c>
      <c r="AI550" s="1" t="s">
        <v>74</v>
      </c>
      <c r="AJ550" s="1" t="s">
        <v>74</v>
      </c>
      <c r="AK550" s="1" t="s">
        <v>74</v>
      </c>
      <c r="AL550" s="1" t="s">
        <v>74</v>
      </c>
      <c r="AM550" s="1" t="s">
        <v>74</v>
      </c>
      <c r="AN550" s="1" t="s">
        <v>74</v>
      </c>
      <c r="AO550" s="1" t="s">
        <v>5649</v>
      </c>
      <c r="AP550" s="1" t="s">
        <v>5650</v>
      </c>
      <c r="AQ550" s="1" t="s">
        <v>74</v>
      </c>
      <c r="AR550" s="1" t="s">
        <v>74</v>
      </c>
      <c r="AS550" s="1" t="s">
        <v>74</v>
      </c>
      <c r="AT550" s="1" t="s">
        <v>307</v>
      </c>
      <c r="AU550" s="1">
        <v>2021.0</v>
      </c>
      <c r="AV550" s="1">
        <v>29.0</v>
      </c>
      <c r="AW550" s="1">
        <v>8.0</v>
      </c>
      <c r="AX550" s="1" t="s">
        <v>74</v>
      </c>
      <c r="AY550" s="1" t="s">
        <v>74</v>
      </c>
      <c r="AZ550" s="1" t="s">
        <v>74</v>
      </c>
      <c r="BA550" s="1" t="s">
        <v>74</v>
      </c>
      <c r="BB550" s="1" t="s">
        <v>74</v>
      </c>
      <c r="BC550" s="1" t="s">
        <v>74</v>
      </c>
      <c r="BD550" s="1">
        <v>2102003.0</v>
      </c>
      <c r="BE550" s="1" t="s">
        <v>5651</v>
      </c>
      <c r="BF550" s="2" t="str">
        <f>HYPERLINK("http://dx.doi.org/10.1142/S0218348X21020035","http://dx.doi.org/10.1142/S0218348X21020035")</f>
        <v>http://dx.doi.org/10.1142/S0218348X21020035</v>
      </c>
      <c r="BG550" s="1" t="s">
        <v>74</v>
      </c>
      <c r="BH550" s="1" t="s">
        <v>74</v>
      </c>
      <c r="BI550" s="1" t="s">
        <v>74</v>
      </c>
      <c r="BJ550" s="1" t="s">
        <v>74</v>
      </c>
      <c r="BK550" s="1" t="s">
        <v>74</v>
      </c>
      <c r="BL550" s="1" t="s">
        <v>74</v>
      </c>
      <c r="BM550" s="1" t="s">
        <v>74</v>
      </c>
      <c r="BN550" s="1" t="s">
        <v>74</v>
      </c>
      <c r="BO550" s="1" t="s">
        <v>74</v>
      </c>
      <c r="BP550" s="1" t="s">
        <v>74</v>
      </c>
      <c r="BQ550" s="1" t="s">
        <v>74</v>
      </c>
      <c r="BR550" s="1" t="s">
        <v>74</v>
      </c>
      <c r="BS550" s="1" t="s">
        <v>5652</v>
      </c>
      <c r="BT550" s="1" t="str">
        <f>HYPERLINK("https%3A%2F%2Fwww.webofscience.com%2Fwos%2Fwoscc%2Ffull-record%2FWOS:000755102900044","View Full Record in Web of Science")</f>
        <v>View Full Record in Web of Science</v>
      </c>
    </row>
    <row r="551" ht="12.75" customHeight="1">
      <c r="A551" s="1" t="s">
        <v>72</v>
      </c>
      <c r="B551" s="1" t="s">
        <v>5653</v>
      </c>
      <c r="C551" s="1" t="s">
        <v>74</v>
      </c>
      <c r="D551" s="1" t="s">
        <v>74</v>
      </c>
      <c r="E551" s="1" t="s">
        <v>74</v>
      </c>
      <c r="F551" s="1" t="s">
        <v>5654</v>
      </c>
      <c r="G551" s="1" t="s">
        <v>74</v>
      </c>
      <c r="H551" s="1" t="s">
        <v>74</v>
      </c>
      <c r="I551" s="1" t="s">
        <v>5655</v>
      </c>
      <c r="J551" s="1" t="s">
        <v>5656</v>
      </c>
      <c r="K551" s="1" t="s">
        <v>74</v>
      </c>
      <c r="L551" s="1" t="s">
        <v>74</v>
      </c>
      <c r="M551" s="1" t="s">
        <v>74</v>
      </c>
      <c r="N551" s="1" t="s">
        <v>74</v>
      </c>
      <c r="O551" s="1" t="s">
        <v>74</v>
      </c>
      <c r="P551" s="1" t="s">
        <v>74</v>
      </c>
      <c r="Q551" s="1" t="s">
        <v>74</v>
      </c>
      <c r="R551" s="1" t="s">
        <v>74</v>
      </c>
      <c r="S551" s="1" t="s">
        <v>74</v>
      </c>
      <c r="T551" s="1" t="s">
        <v>74</v>
      </c>
      <c r="U551" s="1" t="s">
        <v>74</v>
      </c>
      <c r="V551" s="1" t="s">
        <v>5657</v>
      </c>
      <c r="W551" s="1" t="s">
        <v>74</v>
      </c>
      <c r="X551" s="1" t="s">
        <v>74</v>
      </c>
      <c r="Y551" s="1" t="s">
        <v>74</v>
      </c>
      <c r="Z551" s="1" t="s">
        <v>74</v>
      </c>
      <c r="AA551" s="1" t="s">
        <v>5658</v>
      </c>
      <c r="AB551" s="1" t="s">
        <v>693</v>
      </c>
      <c r="AC551" s="1" t="s">
        <v>74</v>
      </c>
      <c r="AD551" s="1" t="s">
        <v>74</v>
      </c>
      <c r="AE551" s="1" t="s">
        <v>74</v>
      </c>
      <c r="AF551" s="1" t="s">
        <v>74</v>
      </c>
      <c r="AG551" s="1" t="s">
        <v>74</v>
      </c>
      <c r="AH551" s="1" t="s">
        <v>74</v>
      </c>
      <c r="AI551" s="1" t="s">
        <v>74</v>
      </c>
      <c r="AJ551" s="1" t="s">
        <v>74</v>
      </c>
      <c r="AK551" s="1" t="s">
        <v>74</v>
      </c>
      <c r="AL551" s="1" t="s">
        <v>74</v>
      </c>
      <c r="AM551" s="1" t="s">
        <v>74</v>
      </c>
      <c r="AN551" s="1" t="s">
        <v>74</v>
      </c>
      <c r="AO551" s="1" t="s">
        <v>5659</v>
      </c>
      <c r="AP551" s="1" t="s">
        <v>5660</v>
      </c>
      <c r="AQ551" s="1" t="s">
        <v>74</v>
      </c>
      <c r="AR551" s="1" t="s">
        <v>74</v>
      </c>
      <c r="AS551" s="1" t="s">
        <v>74</v>
      </c>
      <c r="AT551" s="1" t="s">
        <v>422</v>
      </c>
      <c r="AU551" s="1">
        <v>2021.0</v>
      </c>
      <c r="AV551" s="1">
        <v>137.0</v>
      </c>
      <c r="AW551" s="1" t="s">
        <v>74</v>
      </c>
      <c r="AX551" s="1" t="s">
        <v>74</v>
      </c>
      <c r="AY551" s="1" t="s">
        <v>74</v>
      </c>
      <c r="AZ551" s="1" t="s">
        <v>74</v>
      </c>
      <c r="BA551" s="1" t="s">
        <v>74</v>
      </c>
      <c r="BB551" s="1" t="s">
        <v>74</v>
      </c>
      <c r="BC551" s="1" t="s">
        <v>74</v>
      </c>
      <c r="BD551" s="1">
        <v>105180.0</v>
      </c>
      <c r="BE551" s="1" t="s">
        <v>5661</v>
      </c>
      <c r="BF551" s="2" t="str">
        <f>HYPERLINK("http://dx.doi.org/10.1016/j.worlddev.2020.105180","http://dx.doi.org/10.1016/j.worlddev.2020.105180")</f>
        <v>http://dx.doi.org/10.1016/j.worlddev.2020.105180</v>
      </c>
      <c r="BG551" s="1" t="s">
        <v>74</v>
      </c>
      <c r="BH551" s="1" t="s">
        <v>74</v>
      </c>
      <c r="BI551" s="1" t="s">
        <v>74</v>
      </c>
      <c r="BJ551" s="1" t="s">
        <v>74</v>
      </c>
      <c r="BK551" s="1" t="s">
        <v>74</v>
      </c>
      <c r="BL551" s="1" t="s">
        <v>74</v>
      </c>
      <c r="BM551" s="1" t="s">
        <v>74</v>
      </c>
      <c r="BN551" s="1">
        <v>3.2921879E7</v>
      </c>
      <c r="BO551" s="1" t="s">
        <v>74</v>
      </c>
      <c r="BP551" s="1" t="s">
        <v>74</v>
      </c>
      <c r="BQ551" s="1" t="s">
        <v>74</v>
      </c>
      <c r="BR551" s="1" t="s">
        <v>74</v>
      </c>
      <c r="BS551" s="1" t="s">
        <v>5662</v>
      </c>
      <c r="BT551" s="1" t="str">
        <f>HYPERLINK("https%3A%2F%2Fwww.webofscience.com%2Fwos%2Fwoscc%2Ffull-record%2FWOS:000584399200027","View Full Record in Web of Science")</f>
        <v>View Full Record in Web of Science</v>
      </c>
    </row>
    <row r="552" ht="12.75" customHeight="1">
      <c r="A552" s="1" t="s">
        <v>72</v>
      </c>
      <c r="B552" s="1" t="s">
        <v>5663</v>
      </c>
      <c r="C552" s="1" t="s">
        <v>74</v>
      </c>
      <c r="D552" s="1" t="s">
        <v>74</v>
      </c>
      <c r="E552" s="1" t="s">
        <v>74</v>
      </c>
      <c r="F552" s="1" t="s">
        <v>5664</v>
      </c>
      <c r="G552" s="1" t="s">
        <v>74</v>
      </c>
      <c r="H552" s="1" t="s">
        <v>74</v>
      </c>
      <c r="I552" s="1" t="s">
        <v>5665</v>
      </c>
      <c r="J552" s="1" t="s">
        <v>2323</v>
      </c>
      <c r="K552" s="1" t="s">
        <v>74</v>
      </c>
      <c r="L552" s="1" t="s">
        <v>74</v>
      </c>
      <c r="M552" s="1" t="s">
        <v>74</v>
      </c>
      <c r="N552" s="1" t="s">
        <v>74</v>
      </c>
      <c r="O552" s="1" t="s">
        <v>74</v>
      </c>
      <c r="P552" s="1" t="s">
        <v>74</v>
      </c>
      <c r="Q552" s="1" t="s">
        <v>74</v>
      </c>
      <c r="R552" s="1" t="s">
        <v>74</v>
      </c>
      <c r="S552" s="1" t="s">
        <v>74</v>
      </c>
      <c r="T552" s="1" t="s">
        <v>74</v>
      </c>
      <c r="U552" s="1" t="s">
        <v>74</v>
      </c>
      <c r="V552" s="1" t="s">
        <v>5666</v>
      </c>
      <c r="W552" s="1" t="s">
        <v>74</v>
      </c>
      <c r="X552" s="1" t="s">
        <v>74</v>
      </c>
      <c r="Y552" s="1" t="s">
        <v>74</v>
      </c>
      <c r="Z552" s="1" t="s">
        <v>74</v>
      </c>
      <c r="AA552" s="1" t="s">
        <v>74</v>
      </c>
      <c r="AB552" s="1" t="s">
        <v>5667</v>
      </c>
      <c r="AC552" s="1" t="s">
        <v>74</v>
      </c>
      <c r="AD552" s="1" t="s">
        <v>74</v>
      </c>
      <c r="AE552" s="1" t="s">
        <v>74</v>
      </c>
      <c r="AF552" s="1" t="s">
        <v>74</v>
      </c>
      <c r="AG552" s="1" t="s">
        <v>74</v>
      </c>
      <c r="AH552" s="1" t="s">
        <v>74</v>
      </c>
      <c r="AI552" s="1" t="s">
        <v>74</v>
      </c>
      <c r="AJ552" s="1" t="s">
        <v>74</v>
      </c>
      <c r="AK552" s="1" t="s">
        <v>74</v>
      </c>
      <c r="AL552" s="1" t="s">
        <v>74</v>
      </c>
      <c r="AM552" s="1" t="s">
        <v>74</v>
      </c>
      <c r="AN552" s="1" t="s">
        <v>74</v>
      </c>
      <c r="AO552" s="1" t="s">
        <v>2327</v>
      </c>
      <c r="AP552" s="1" t="s">
        <v>4523</v>
      </c>
      <c r="AQ552" s="1" t="s">
        <v>74</v>
      </c>
      <c r="AR552" s="1" t="s">
        <v>74</v>
      </c>
      <c r="AS552" s="1" t="s">
        <v>74</v>
      </c>
      <c r="AT552" s="1" t="s">
        <v>5668</v>
      </c>
      <c r="AU552" s="1">
        <v>2020.0</v>
      </c>
      <c r="AV552" s="1">
        <v>213.0</v>
      </c>
      <c r="AW552" s="1" t="s">
        <v>74</v>
      </c>
      <c r="AX552" s="1" t="s">
        <v>74</v>
      </c>
      <c r="AY552" s="1" t="s">
        <v>74</v>
      </c>
      <c r="AZ552" s="1" t="s">
        <v>74</v>
      </c>
      <c r="BA552" s="1" t="s">
        <v>74</v>
      </c>
      <c r="BB552" s="1" t="s">
        <v>74</v>
      </c>
      <c r="BC552" s="1" t="s">
        <v>74</v>
      </c>
      <c r="BD552" s="1">
        <v>115318.0</v>
      </c>
      <c r="BE552" s="1" t="s">
        <v>5669</v>
      </c>
      <c r="BF552" s="2" t="str">
        <f>HYPERLINK("http://dx.doi.org/10.1016/j.ces.2019.115318","http://dx.doi.org/10.1016/j.ces.2019.115318")</f>
        <v>http://dx.doi.org/10.1016/j.ces.2019.115318</v>
      </c>
      <c r="BG552" s="1" t="s">
        <v>74</v>
      </c>
      <c r="BH552" s="1" t="s">
        <v>74</v>
      </c>
      <c r="BI552" s="1" t="s">
        <v>74</v>
      </c>
      <c r="BJ552" s="1" t="s">
        <v>74</v>
      </c>
      <c r="BK552" s="1" t="s">
        <v>74</v>
      </c>
      <c r="BL552" s="1" t="s">
        <v>74</v>
      </c>
      <c r="BM552" s="1" t="s">
        <v>74</v>
      </c>
      <c r="BN552" s="1" t="s">
        <v>74</v>
      </c>
      <c r="BO552" s="1" t="s">
        <v>74</v>
      </c>
      <c r="BP552" s="1" t="s">
        <v>74</v>
      </c>
      <c r="BQ552" s="1" t="s">
        <v>74</v>
      </c>
      <c r="BR552" s="1" t="s">
        <v>74</v>
      </c>
      <c r="BS552" s="1" t="s">
        <v>5670</v>
      </c>
      <c r="BT552" s="1" t="str">
        <f>HYPERLINK("https%3A%2F%2Fwww.webofscience.com%2Fwos%2Fwoscc%2Ffull-record%2FWOS:000509467600001","View Full Record in Web of Science")</f>
        <v>View Full Record in Web of Science</v>
      </c>
    </row>
    <row r="553" ht="12.75" customHeight="1">
      <c r="A553" s="1" t="s">
        <v>72</v>
      </c>
      <c r="B553" s="1" t="s">
        <v>5671</v>
      </c>
      <c r="C553" s="1" t="s">
        <v>74</v>
      </c>
      <c r="D553" s="1" t="s">
        <v>74</v>
      </c>
      <c r="E553" s="1" t="s">
        <v>74</v>
      </c>
      <c r="F553" s="1" t="s">
        <v>5672</v>
      </c>
      <c r="G553" s="1" t="s">
        <v>74</v>
      </c>
      <c r="H553" s="1" t="s">
        <v>74</v>
      </c>
      <c r="I553" s="1" t="s">
        <v>5673</v>
      </c>
      <c r="J553" s="1" t="s">
        <v>5674</v>
      </c>
      <c r="K553" s="1" t="s">
        <v>74</v>
      </c>
      <c r="L553" s="1" t="s">
        <v>74</v>
      </c>
      <c r="M553" s="1" t="s">
        <v>74</v>
      </c>
      <c r="N553" s="1" t="s">
        <v>74</v>
      </c>
      <c r="O553" s="1" t="s">
        <v>74</v>
      </c>
      <c r="P553" s="1" t="s">
        <v>74</v>
      </c>
      <c r="Q553" s="1" t="s">
        <v>74</v>
      </c>
      <c r="R553" s="1" t="s">
        <v>74</v>
      </c>
      <c r="S553" s="1" t="s">
        <v>74</v>
      </c>
      <c r="T553" s="1" t="s">
        <v>74</v>
      </c>
      <c r="U553" s="1" t="s">
        <v>74</v>
      </c>
      <c r="V553" s="1" t="s">
        <v>5675</v>
      </c>
      <c r="W553" s="1" t="s">
        <v>74</v>
      </c>
      <c r="X553" s="1" t="s">
        <v>74</v>
      </c>
      <c r="Y553" s="1" t="s">
        <v>74</v>
      </c>
      <c r="Z553" s="1" t="s">
        <v>74</v>
      </c>
      <c r="AA553" s="1" t="s">
        <v>5676</v>
      </c>
      <c r="AB553" s="1" t="s">
        <v>5677</v>
      </c>
      <c r="AC553" s="1" t="s">
        <v>74</v>
      </c>
      <c r="AD553" s="1" t="s">
        <v>74</v>
      </c>
      <c r="AE553" s="1" t="s">
        <v>74</v>
      </c>
      <c r="AF553" s="1" t="s">
        <v>74</v>
      </c>
      <c r="AG553" s="1" t="s">
        <v>74</v>
      </c>
      <c r="AH553" s="1" t="s">
        <v>74</v>
      </c>
      <c r="AI553" s="1" t="s">
        <v>74</v>
      </c>
      <c r="AJ553" s="1" t="s">
        <v>74</v>
      </c>
      <c r="AK553" s="1" t="s">
        <v>74</v>
      </c>
      <c r="AL553" s="1" t="s">
        <v>74</v>
      </c>
      <c r="AM553" s="1" t="s">
        <v>74</v>
      </c>
      <c r="AN553" s="1" t="s">
        <v>74</v>
      </c>
      <c r="AO553" s="1" t="s">
        <v>5678</v>
      </c>
      <c r="AP553" s="1" t="s">
        <v>5679</v>
      </c>
      <c r="AQ553" s="1" t="s">
        <v>74</v>
      </c>
      <c r="AR553" s="1" t="s">
        <v>74</v>
      </c>
      <c r="AS553" s="1" t="s">
        <v>74</v>
      </c>
      <c r="AT553" s="1" t="s">
        <v>74</v>
      </c>
      <c r="AU553" s="1">
        <v>2020.0</v>
      </c>
      <c r="AV553" s="1">
        <v>15.0</v>
      </c>
      <c r="AW553" s="1">
        <v>1.0</v>
      </c>
      <c r="AX553" s="1" t="s">
        <v>74</v>
      </c>
      <c r="AY553" s="1" t="s">
        <v>74</v>
      </c>
      <c r="AZ553" s="1" t="s">
        <v>74</v>
      </c>
      <c r="BA553" s="1" t="s">
        <v>74</v>
      </c>
      <c r="BB553" s="1">
        <v>12.0</v>
      </c>
      <c r="BC553" s="1">
        <v>18.0</v>
      </c>
      <c r="BD553" s="1" t="s">
        <v>74</v>
      </c>
      <c r="BE553" s="1" t="s">
        <v>74</v>
      </c>
      <c r="BF553" s="1" t="s">
        <v>74</v>
      </c>
      <c r="BG553" s="1" t="s">
        <v>74</v>
      </c>
      <c r="BH553" s="1" t="s">
        <v>74</v>
      </c>
      <c r="BI553" s="1" t="s">
        <v>74</v>
      </c>
      <c r="BJ553" s="1" t="s">
        <v>74</v>
      </c>
      <c r="BK553" s="1" t="s">
        <v>74</v>
      </c>
      <c r="BL553" s="1" t="s">
        <v>74</v>
      </c>
      <c r="BM553" s="1" t="s">
        <v>74</v>
      </c>
      <c r="BN553" s="1" t="s">
        <v>74</v>
      </c>
      <c r="BO553" s="1" t="s">
        <v>74</v>
      </c>
      <c r="BP553" s="1" t="s">
        <v>74</v>
      </c>
      <c r="BQ553" s="1" t="s">
        <v>74</v>
      </c>
      <c r="BR553" s="1" t="s">
        <v>74</v>
      </c>
      <c r="BS553" s="1" t="s">
        <v>5680</v>
      </c>
      <c r="BT553" s="1" t="str">
        <f>HYPERLINK("https%3A%2F%2Fwww.webofscience.com%2Fwos%2Fwoscc%2Ffull-record%2FWOS:000591375800003","View Full Record in Web of Science")</f>
        <v>View Full Record in Web of Science</v>
      </c>
    </row>
    <row r="554" ht="12.75" customHeight="1">
      <c r="A554" s="1" t="s">
        <v>72</v>
      </c>
      <c r="B554" s="1" t="s">
        <v>5681</v>
      </c>
      <c r="C554" s="1" t="s">
        <v>74</v>
      </c>
      <c r="D554" s="1" t="s">
        <v>74</v>
      </c>
      <c r="E554" s="1" t="s">
        <v>74</v>
      </c>
      <c r="F554" s="1" t="s">
        <v>5682</v>
      </c>
      <c r="G554" s="1" t="s">
        <v>74</v>
      </c>
      <c r="H554" s="1" t="s">
        <v>74</v>
      </c>
      <c r="I554" s="1" t="s">
        <v>5683</v>
      </c>
      <c r="J554" s="1" t="s">
        <v>5684</v>
      </c>
      <c r="K554" s="1" t="s">
        <v>74</v>
      </c>
      <c r="L554" s="1" t="s">
        <v>74</v>
      </c>
      <c r="M554" s="1" t="s">
        <v>74</v>
      </c>
      <c r="N554" s="1" t="s">
        <v>74</v>
      </c>
      <c r="O554" s="1" t="s">
        <v>74</v>
      </c>
      <c r="P554" s="1" t="s">
        <v>74</v>
      </c>
      <c r="Q554" s="1" t="s">
        <v>74</v>
      </c>
      <c r="R554" s="1" t="s">
        <v>74</v>
      </c>
      <c r="S554" s="1" t="s">
        <v>74</v>
      </c>
      <c r="T554" s="1" t="s">
        <v>74</v>
      </c>
      <c r="U554" s="1" t="s">
        <v>74</v>
      </c>
      <c r="V554" s="1" t="s">
        <v>5685</v>
      </c>
      <c r="W554" s="1" t="s">
        <v>74</v>
      </c>
      <c r="X554" s="1" t="s">
        <v>74</v>
      </c>
      <c r="Y554" s="1" t="s">
        <v>74</v>
      </c>
      <c r="Z554" s="1" t="s">
        <v>74</v>
      </c>
      <c r="AA554" s="1" t="s">
        <v>5686</v>
      </c>
      <c r="AB554" s="1" t="s">
        <v>74</v>
      </c>
      <c r="AC554" s="1" t="s">
        <v>74</v>
      </c>
      <c r="AD554" s="1" t="s">
        <v>74</v>
      </c>
      <c r="AE554" s="1" t="s">
        <v>74</v>
      </c>
      <c r="AF554" s="1" t="s">
        <v>74</v>
      </c>
      <c r="AG554" s="1" t="s">
        <v>74</v>
      </c>
      <c r="AH554" s="1" t="s">
        <v>74</v>
      </c>
      <c r="AI554" s="1" t="s">
        <v>74</v>
      </c>
      <c r="AJ554" s="1" t="s">
        <v>74</v>
      </c>
      <c r="AK554" s="1" t="s">
        <v>74</v>
      </c>
      <c r="AL554" s="1" t="s">
        <v>74</v>
      </c>
      <c r="AM554" s="1" t="s">
        <v>74</v>
      </c>
      <c r="AN554" s="1" t="s">
        <v>74</v>
      </c>
      <c r="AO554" s="1" t="s">
        <v>5687</v>
      </c>
      <c r="AP554" s="1" t="s">
        <v>5688</v>
      </c>
      <c r="AQ554" s="1" t="s">
        <v>74</v>
      </c>
      <c r="AR554" s="1" t="s">
        <v>74</v>
      </c>
      <c r="AS554" s="1" t="s">
        <v>74</v>
      </c>
      <c r="AT554" s="1" t="s">
        <v>74</v>
      </c>
      <c r="AU554" s="1">
        <v>2020.0</v>
      </c>
      <c r="AV554" s="1" t="s">
        <v>74</v>
      </c>
      <c r="AW554" s="1">
        <v>37.0</v>
      </c>
      <c r="AX554" s="1" t="s">
        <v>74</v>
      </c>
      <c r="AY554" s="1" t="s">
        <v>74</v>
      </c>
      <c r="AZ554" s="1" t="s">
        <v>74</v>
      </c>
      <c r="BA554" s="1" t="s">
        <v>74</v>
      </c>
      <c r="BB554" s="1">
        <v>605.0</v>
      </c>
      <c r="BC554" s="1">
        <v>612.0</v>
      </c>
      <c r="BD554" s="1" t="s">
        <v>74</v>
      </c>
      <c r="BE554" s="1" t="s">
        <v>74</v>
      </c>
      <c r="BF554" s="1" t="s">
        <v>74</v>
      </c>
      <c r="BG554" s="1" t="s">
        <v>74</v>
      </c>
      <c r="BH554" s="1" t="s">
        <v>74</v>
      </c>
      <c r="BI554" s="1" t="s">
        <v>74</v>
      </c>
      <c r="BJ554" s="1" t="s">
        <v>74</v>
      </c>
      <c r="BK554" s="1" t="s">
        <v>74</v>
      </c>
      <c r="BL554" s="1" t="s">
        <v>74</v>
      </c>
      <c r="BM554" s="1" t="s">
        <v>74</v>
      </c>
      <c r="BN554" s="1" t="s">
        <v>74</v>
      </c>
      <c r="BO554" s="1" t="s">
        <v>74</v>
      </c>
      <c r="BP554" s="1" t="s">
        <v>74</v>
      </c>
      <c r="BQ554" s="1" t="s">
        <v>74</v>
      </c>
      <c r="BR554" s="1" t="s">
        <v>74</v>
      </c>
      <c r="BS554" s="1" t="s">
        <v>5689</v>
      </c>
      <c r="BT554" s="1" t="str">
        <f>HYPERLINK("https%3A%2F%2Fwww.webofscience.com%2Fwos%2Fwoscc%2Ffull-record%2FWOS:000519562000087","View Full Record in Web of Science")</f>
        <v>View Full Record in Web of Science</v>
      </c>
    </row>
    <row r="555" ht="12.75" customHeight="1">
      <c r="A555" s="1" t="s">
        <v>72</v>
      </c>
      <c r="B555" s="1" t="s">
        <v>5690</v>
      </c>
      <c r="C555" s="1" t="s">
        <v>74</v>
      </c>
      <c r="D555" s="1" t="s">
        <v>74</v>
      </c>
      <c r="E555" s="1" t="s">
        <v>74</v>
      </c>
      <c r="F555" s="1" t="s">
        <v>5691</v>
      </c>
      <c r="G555" s="1" t="s">
        <v>74</v>
      </c>
      <c r="H555" s="1" t="s">
        <v>74</v>
      </c>
      <c r="I555" s="1" t="s">
        <v>5692</v>
      </c>
      <c r="J555" s="1" t="s">
        <v>5693</v>
      </c>
      <c r="K555" s="1" t="s">
        <v>74</v>
      </c>
      <c r="L555" s="1" t="s">
        <v>74</v>
      </c>
      <c r="M555" s="1" t="s">
        <v>74</v>
      </c>
      <c r="N555" s="1" t="s">
        <v>74</v>
      </c>
      <c r="O555" s="1" t="s">
        <v>74</v>
      </c>
      <c r="P555" s="1" t="s">
        <v>74</v>
      </c>
      <c r="Q555" s="1" t="s">
        <v>74</v>
      </c>
      <c r="R555" s="1" t="s">
        <v>74</v>
      </c>
      <c r="S555" s="1" t="s">
        <v>74</v>
      </c>
      <c r="T555" s="1" t="s">
        <v>74</v>
      </c>
      <c r="U555" s="1" t="s">
        <v>74</v>
      </c>
      <c r="V555" s="1" t="s">
        <v>5694</v>
      </c>
      <c r="W555" s="1" t="s">
        <v>74</v>
      </c>
      <c r="X555" s="1" t="s">
        <v>74</v>
      </c>
      <c r="Y555" s="1" t="s">
        <v>74</v>
      </c>
      <c r="Z555" s="1" t="s">
        <v>74</v>
      </c>
      <c r="AA555" s="1" t="s">
        <v>5695</v>
      </c>
      <c r="AB555" s="1" t="s">
        <v>5696</v>
      </c>
      <c r="AC555" s="1" t="s">
        <v>74</v>
      </c>
      <c r="AD555" s="1" t="s">
        <v>74</v>
      </c>
      <c r="AE555" s="1" t="s">
        <v>74</v>
      </c>
      <c r="AF555" s="1" t="s">
        <v>74</v>
      </c>
      <c r="AG555" s="1" t="s">
        <v>74</v>
      </c>
      <c r="AH555" s="1" t="s">
        <v>74</v>
      </c>
      <c r="AI555" s="1" t="s">
        <v>74</v>
      </c>
      <c r="AJ555" s="1" t="s">
        <v>74</v>
      </c>
      <c r="AK555" s="1" t="s">
        <v>74</v>
      </c>
      <c r="AL555" s="1" t="s">
        <v>74</v>
      </c>
      <c r="AM555" s="1" t="s">
        <v>74</v>
      </c>
      <c r="AN555" s="1" t="s">
        <v>74</v>
      </c>
      <c r="AO555" s="1" t="s">
        <v>5697</v>
      </c>
      <c r="AP555" s="1" t="s">
        <v>5698</v>
      </c>
      <c r="AQ555" s="1" t="s">
        <v>74</v>
      </c>
      <c r="AR555" s="1" t="s">
        <v>74</v>
      </c>
      <c r="AS555" s="1" t="s">
        <v>74</v>
      </c>
      <c r="AT555" s="1" t="s">
        <v>235</v>
      </c>
      <c r="AU555" s="1">
        <v>2017.0</v>
      </c>
      <c r="AV555" s="1">
        <v>56.0</v>
      </c>
      <c r="AW555" s="1">
        <v>4.0</v>
      </c>
      <c r="AX555" s="1" t="s">
        <v>74</v>
      </c>
      <c r="AY555" s="1" t="s">
        <v>74</v>
      </c>
      <c r="AZ555" s="1" t="s">
        <v>74</v>
      </c>
      <c r="BA555" s="1" t="s">
        <v>74</v>
      </c>
      <c r="BB555" s="1" t="s">
        <v>74</v>
      </c>
      <c r="BC555" s="1" t="s">
        <v>74</v>
      </c>
      <c r="BD555" s="1">
        <v>44103.0</v>
      </c>
      <c r="BE555" s="1" t="s">
        <v>5699</v>
      </c>
      <c r="BF555" s="2" t="str">
        <f>HYPERLINK("http://dx.doi.org/10.1117/1.OE.56.4.044103","http://dx.doi.org/10.1117/1.OE.56.4.044103")</f>
        <v>http://dx.doi.org/10.1117/1.OE.56.4.044103</v>
      </c>
      <c r="BG555" s="1" t="s">
        <v>74</v>
      </c>
      <c r="BH555" s="1" t="s">
        <v>74</v>
      </c>
      <c r="BI555" s="1" t="s">
        <v>74</v>
      </c>
      <c r="BJ555" s="1" t="s">
        <v>74</v>
      </c>
      <c r="BK555" s="1" t="s">
        <v>74</v>
      </c>
      <c r="BL555" s="1" t="s">
        <v>74</v>
      </c>
      <c r="BM555" s="1" t="s">
        <v>74</v>
      </c>
      <c r="BN555" s="1" t="s">
        <v>74</v>
      </c>
      <c r="BO555" s="1" t="s">
        <v>74</v>
      </c>
      <c r="BP555" s="1" t="s">
        <v>74</v>
      </c>
      <c r="BQ555" s="1" t="s">
        <v>74</v>
      </c>
      <c r="BR555" s="1" t="s">
        <v>74</v>
      </c>
      <c r="BS555" s="1" t="s">
        <v>5700</v>
      </c>
      <c r="BT555" s="1" t="str">
        <f>HYPERLINK("https%3A%2F%2Fwww.webofscience.com%2Fwos%2Fwoscc%2Ffull-record%2FWOS:000400897300030","View Full Record in Web of Science")</f>
        <v>View Full Record in Web of Science</v>
      </c>
    </row>
    <row r="556" ht="12.75" customHeight="1">
      <c r="A556" s="1" t="s">
        <v>72</v>
      </c>
      <c r="B556" s="1" t="s">
        <v>5701</v>
      </c>
      <c r="C556" s="1" t="s">
        <v>74</v>
      </c>
      <c r="D556" s="1" t="s">
        <v>74</v>
      </c>
      <c r="E556" s="1" t="s">
        <v>74</v>
      </c>
      <c r="F556" s="1" t="s">
        <v>5702</v>
      </c>
      <c r="G556" s="1" t="s">
        <v>74</v>
      </c>
      <c r="H556" s="1" t="s">
        <v>74</v>
      </c>
      <c r="I556" s="1" t="s">
        <v>5703</v>
      </c>
      <c r="J556" s="1" t="s">
        <v>5704</v>
      </c>
      <c r="K556" s="1" t="s">
        <v>74</v>
      </c>
      <c r="L556" s="1" t="s">
        <v>74</v>
      </c>
      <c r="M556" s="1" t="s">
        <v>74</v>
      </c>
      <c r="N556" s="1" t="s">
        <v>74</v>
      </c>
      <c r="O556" s="1" t="s">
        <v>74</v>
      </c>
      <c r="P556" s="1" t="s">
        <v>74</v>
      </c>
      <c r="Q556" s="1" t="s">
        <v>74</v>
      </c>
      <c r="R556" s="1" t="s">
        <v>74</v>
      </c>
      <c r="S556" s="1" t="s">
        <v>74</v>
      </c>
      <c r="T556" s="1" t="s">
        <v>74</v>
      </c>
      <c r="U556" s="1" t="s">
        <v>74</v>
      </c>
      <c r="V556" s="1" t="s">
        <v>5705</v>
      </c>
      <c r="W556" s="1" t="s">
        <v>74</v>
      </c>
      <c r="X556" s="1" t="s">
        <v>74</v>
      </c>
      <c r="Y556" s="1" t="s">
        <v>74</v>
      </c>
      <c r="Z556" s="1" t="s">
        <v>74</v>
      </c>
      <c r="AA556" s="1" t="s">
        <v>5706</v>
      </c>
      <c r="AB556" s="1" t="s">
        <v>5707</v>
      </c>
      <c r="AC556" s="1" t="s">
        <v>74</v>
      </c>
      <c r="AD556" s="1" t="s">
        <v>74</v>
      </c>
      <c r="AE556" s="1" t="s">
        <v>74</v>
      </c>
      <c r="AF556" s="1" t="s">
        <v>74</v>
      </c>
      <c r="AG556" s="1" t="s">
        <v>74</v>
      </c>
      <c r="AH556" s="1" t="s">
        <v>74</v>
      </c>
      <c r="AI556" s="1" t="s">
        <v>74</v>
      </c>
      <c r="AJ556" s="1" t="s">
        <v>74</v>
      </c>
      <c r="AK556" s="1" t="s">
        <v>74</v>
      </c>
      <c r="AL556" s="1" t="s">
        <v>74</v>
      </c>
      <c r="AM556" s="1" t="s">
        <v>74</v>
      </c>
      <c r="AN556" s="1" t="s">
        <v>74</v>
      </c>
      <c r="AO556" s="1" t="s">
        <v>5708</v>
      </c>
      <c r="AP556" s="1" t="s">
        <v>5709</v>
      </c>
      <c r="AQ556" s="1" t="s">
        <v>74</v>
      </c>
      <c r="AR556" s="1" t="s">
        <v>74</v>
      </c>
      <c r="AS556" s="1" t="s">
        <v>74</v>
      </c>
      <c r="AT556" s="1" t="s">
        <v>5710</v>
      </c>
      <c r="AU556" s="1">
        <v>2017.0</v>
      </c>
      <c r="AV556" s="1">
        <v>122.0</v>
      </c>
      <c r="AW556" s="1">
        <v>5.0</v>
      </c>
      <c r="AX556" s="1" t="s">
        <v>74</v>
      </c>
      <c r="AY556" s="1" t="s">
        <v>74</v>
      </c>
      <c r="AZ556" s="1" t="s">
        <v>74</v>
      </c>
      <c r="BA556" s="1" t="s">
        <v>74</v>
      </c>
      <c r="BB556" s="1">
        <v>3023.0</v>
      </c>
      <c r="BC556" s="1">
        <v>3041.0</v>
      </c>
      <c r="BD556" s="1" t="s">
        <v>74</v>
      </c>
      <c r="BE556" s="1" t="s">
        <v>5711</v>
      </c>
      <c r="BF556" s="2" t="str">
        <f>HYPERLINK("http://dx.doi.org/10.1002/2016JD026094","http://dx.doi.org/10.1002/2016JD026094")</f>
        <v>http://dx.doi.org/10.1002/2016JD026094</v>
      </c>
      <c r="BG556" s="1" t="s">
        <v>74</v>
      </c>
      <c r="BH556" s="1" t="s">
        <v>74</v>
      </c>
      <c r="BI556" s="1" t="s">
        <v>74</v>
      </c>
      <c r="BJ556" s="1" t="s">
        <v>74</v>
      </c>
      <c r="BK556" s="1" t="s">
        <v>74</v>
      </c>
      <c r="BL556" s="1" t="s">
        <v>74</v>
      </c>
      <c r="BM556" s="1" t="s">
        <v>74</v>
      </c>
      <c r="BN556" s="1" t="s">
        <v>74</v>
      </c>
      <c r="BO556" s="1" t="s">
        <v>74</v>
      </c>
      <c r="BP556" s="1" t="s">
        <v>74</v>
      </c>
      <c r="BQ556" s="1" t="s">
        <v>74</v>
      </c>
      <c r="BR556" s="1" t="s">
        <v>74</v>
      </c>
      <c r="BS556" s="1" t="s">
        <v>5712</v>
      </c>
      <c r="BT556" s="1" t="str">
        <f>HYPERLINK("https%3A%2F%2Fwww.webofscience.com%2Fwos%2Fwoscc%2Ffull-record%2FWOS:000398064200028","View Full Record in Web of Science")</f>
        <v>View Full Record in Web of Science</v>
      </c>
    </row>
    <row r="557" ht="12.75" customHeight="1">
      <c r="A557" s="1" t="s">
        <v>72</v>
      </c>
      <c r="B557" s="1" t="s">
        <v>5713</v>
      </c>
      <c r="C557" s="1" t="s">
        <v>74</v>
      </c>
      <c r="D557" s="1" t="s">
        <v>74</v>
      </c>
      <c r="E557" s="1" t="s">
        <v>74</v>
      </c>
      <c r="F557" s="1" t="s">
        <v>5714</v>
      </c>
      <c r="G557" s="1" t="s">
        <v>74</v>
      </c>
      <c r="H557" s="1" t="s">
        <v>74</v>
      </c>
      <c r="I557" s="1" t="s">
        <v>5715</v>
      </c>
      <c r="J557" s="1" t="s">
        <v>5716</v>
      </c>
      <c r="K557" s="1" t="s">
        <v>74</v>
      </c>
      <c r="L557" s="1" t="s">
        <v>74</v>
      </c>
      <c r="M557" s="1" t="s">
        <v>74</v>
      </c>
      <c r="N557" s="1" t="s">
        <v>74</v>
      </c>
      <c r="O557" s="1" t="s">
        <v>74</v>
      </c>
      <c r="P557" s="1" t="s">
        <v>74</v>
      </c>
      <c r="Q557" s="1" t="s">
        <v>74</v>
      </c>
      <c r="R557" s="1" t="s">
        <v>74</v>
      </c>
      <c r="S557" s="1" t="s">
        <v>74</v>
      </c>
      <c r="T557" s="1" t="s">
        <v>74</v>
      </c>
      <c r="U557" s="1" t="s">
        <v>74</v>
      </c>
      <c r="V557" s="1" t="s">
        <v>5717</v>
      </c>
      <c r="W557" s="1" t="s">
        <v>74</v>
      </c>
      <c r="X557" s="1" t="s">
        <v>74</v>
      </c>
      <c r="Y557" s="1" t="s">
        <v>74</v>
      </c>
      <c r="Z557" s="1" t="s">
        <v>74</v>
      </c>
      <c r="AA557" s="1" t="s">
        <v>5718</v>
      </c>
      <c r="AB557" s="1" t="s">
        <v>5719</v>
      </c>
      <c r="AC557" s="1" t="s">
        <v>74</v>
      </c>
      <c r="AD557" s="1" t="s">
        <v>74</v>
      </c>
      <c r="AE557" s="1" t="s">
        <v>74</v>
      </c>
      <c r="AF557" s="1" t="s">
        <v>74</v>
      </c>
      <c r="AG557" s="1" t="s">
        <v>74</v>
      </c>
      <c r="AH557" s="1" t="s">
        <v>74</v>
      </c>
      <c r="AI557" s="1" t="s">
        <v>74</v>
      </c>
      <c r="AJ557" s="1" t="s">
        <v>74</v>
      </c>
      <c r="AK557" s="1" t="s">
        <v>74</v>
      </c>
      <c r="AL557" s="1" t="s">
        <v>74</v>
      </c>
      <c r="AM557" s="1" t="s">
        <v>74</v>
      </c>
      <c r="AN557" s="1" t="s">
        <v>74</v>
      </c>
      <c r="AO557" s="1" t="s">
        <v>5720</v>
      </c>
      <c r="AP557" s="1" t="s">
        <v>5721</v>
      </c>
      <c r="AQ557" s="1" t="s">
        <v>74</v>
      </c>
      <c r="AR557" s="1" t="s">
        <v>74</v>
      </c>
      <c r="AS557" s="1" t="s">
        <v>74</v>
      </c>
      <c r="AT557" s="1" t="s">
        <v>318</v>
      </c>
      <c r="AU557" s="1">
        <v>2016.0</v>
      </c>
      <c r="AV557" s="1">
        <v>44.0</v>
      </c>
      <c r="AW557" s="1" t="s">
        <v>74</v>
      </c>
      <c r="AX557" s="1" t="s">
        <v>74</v>
      </c>
      <c r="AY557" s="1" t="s">
        <v>74</v>
      </c>
      <c r="AZ557" s="1" t="s">
        <v>74</v>
      </c>
      <c r="BA557" s="1" t="s">
        <v>74</v>
      </c>
      <c r="BB557" s="1">
        <v>274.0</v>
      </c>
      <c r="BC557" s="1">
        <v>289.0</v>
      </c>
      <c r="BD557" s="1" t="s">
        <v>74</v>
      </c>
      <c r="BE557" s="1" t="s">
        <v>5722</v>
      </c>
      <c r="BF557" s="2" t="str">
        <f>HYPERLINK("http://dx.doi.org/10.1016/j.csi.2015.08.003","http://dx.doi.org/10.1016/j.csi.2015.08.003")</f>
        <v>http://dx.doi.org/10.1016/j.csi.2015.08.003</v>
      </c>
      <c r="BG557" s="1" t="s">
        <v>74</v>
      </c>
      <c r="BH557" s="1" t="s">
        <v>74</v>
      </c>
      <c r="BI557" s="1" t="s">
        <v>74</v>
      </c>
      <c r="BJ557" s="1" t="s">
        <v>74</v>
      </c>
      <c r="BK557" s="1" t="s">
        <v>74</v>
      </c>
      <c r="BL557" s="1" t="s">
        <v>74</v>
      </c>
      <c r="BM557" s="1" t="s">
        <v>74</v>
      </c>
      <c r="BN557" s="1" t="s">
        <v>74</v>
      </c>
      <c r="BO557" s="1" t="s">
        <v>74</v>
      </c>
      <c r="BP557" s="1" t="s">
        <v>74</v>
      </c>
      <c r="BQ557" s="1" t="s">
        <v>74</v>
      </c>
      <c r="BR557" s="1" t="s">
        <v>74</v>
      </c>
      <c r="BS557" s="1" t="s">
        <v>5723</v>
      </c>
      <c r="BT557" s="1" t="str">
        <f>HYPERLINK("https%3A%2F%2Fwww.webofscience.com%2Fwos%2Fwoscc%2Ffull-record%2FWOS:000366953200026","View Full Record in Web of Science")</f>
        <v>View Full Record in Web of Science</v>
      </c>
    </row>
    <row r="558" ht="12.75" customHeight="1">
      <c r="A558" s="1" t="s">
        <v>72</v>
      </c>
      <c r="B558" s="1" t="s">
        <v>5724</v>
      </c>
      <c r="C558" s="1" t="s">
        <v>74</v>
      </c>
      <c r="D558" s="1" t="s">
        <v>74</v>
      </c>
      <c r="E558" s="1" t="s">
        <v>74</v>
      </c>
      <c r="F558" s="1" t="s">
        <v>5725</v>
      </c>
      <c r="G558" s="1" t="s">
        <v>74</v>
      </c>
      <c r="H558" s="1" t="s">
        <v>74</v>
      </c>
      <c r="I558" s="1" t="s">
        <v>5726</v>
      </c>
      <c r="J558" s="1" t="s">
        <v>5727</v>
      </c>
      <c r="K558" s="1" t="s">
        <v>74</v>
      </c>
      <c r="L558" s="1" t="s">
        <v>74</v>
      </c>
      <c r="M558" s="1" t="s">
        <v>74</v>
      </c>
      <c r="N558" s="1" t="s">
        <v>74</v>
      </c>
      <c r="O558" s="1" t="s">
        <v>74</v>
      </c>
      <c r="P558" s="1" t="s">
        <v>74</v>
      </c>
      <c r="Q558" s="1" t="s">
        <v>74</v>
      </c>
      <c r="R558" s="1" t="s">
        <v>74</v>
      </c>
      <c r="S558" s="1" t="s">
        <v>74</v>
      </c>
      <c r="T558" s="1" t="s">
        <v>74</v>
      </c>
      <c r="U558" s="1" t="s">
        <v>74</v>
      </c>
      <c r="V558" s="1" t="s">
        <v>5728</v>
      </c>
      <c r="W558" s="1" t="s">
        <v>74</v>
      </c>
      <c r="X558" s="1" t="s">
        <v>74</v>
      </c>
      <c r="Y558" s="1" t="s">
        <v>74</v>
      </c>
      <c r="Z558" s="1" t="s">
        <v>74</v>
      </c>
      <c r="AA558" s="1" t="s">
        <v>5729</v>
      </c>
      <c r="AB558" s="1" t="s">
        <v>74</v>
      </c>
      <c r="AC558" s="1" t="s">
        <v>74</v>
      </c>
      <c r="AD558" s="1" t="s">
        <v>74</v>
      </c>
      <c r="AE558" s="1" t="s">
        <v>74</v>
      </c>
      <c r="AF558" s="1" t="s">
        <v>74</v>
      </c>
      <c r="AG558" s="1" t="s">
        <v>74</v>
      </c>
      <c r="AH558" s="1" t="s">
        <v>74</v>
      </c>
      <c r="AI558" s="1" t="s">
        <v>74</v>
      </c>
      <c r="AJ558" s="1" t="s">
        <v>74</v>
      </c>
      <c r="AK558" s="1" t="s">
        <v>74</v>
      </c>
      <c r="AL558" s="1" t="s">
        <v>74</v>
      </c>
      <c r="AM558" s="1" t="s">
        <v>74</v>
      </c>
      <c r="AN558" s="1" t="s">
        <v>74</v>
      </c>
      <c r="AO558" s="1" t="s">
        <v>5730</v>
      </c>
      <c r="AP558" s="1" t="s">
        <v>5731</v>
      </c>
      <c r="AQ558" s="1" t="s">
        <v>74</v>
      </c>
      <c r="AR558" s="1" t="s">
        <v>74</v>
      </c>
      <c r="AS558" s="1" t="s">
        <v>74</v>
      </c>
      <c r="AT558" s="1" t="s">
        <v>939</v>
      </c>
      <c r="AU558" s="1">
        <v>2015.0</v>
      </c>
      <c r="AV558" s="1">
        <v>30.0</v>
      </c>
      <c r="AW558" s="1">
        <v>5.0</v>
      </c>
      <c r="AX558" s="1" t="s">
        <v>74</v>
      </c>
      <c r="AY558" s="1" t="s">
        <v>74</v>
      </c>
      <c r="AZ558" s="1" t="s">
        <v>74</v>
      </c>
      <c r="BA558" s="1" t="s">
        <v>74</v>
      </c>
      <c r="BB558" s="1">
        <v>270.0</v>
      </c>
      <c r="BC558" s="1">
        <v>275.0</v>
      </c>
      <c r="BD558" s="1" t="s">
        <v>74</v>
      </c>
      <c r="BE558" s="1" t="s">
        <v>5732</v>
      </c>
      <c r="BF558" s="2" t="str">
        <f>HYPERLINK("http://dx.doi.org/10.1016/j.nrl.2013.12.024","http://dx.doi.org/10.1016/j.nrl.2013.12.024")</f>
        <v>http://dx.doi.org/10.1016/j.nrl.2013.12.024</v>
      </c>
      <c r="BG558" s="1" t="s">
        <v>74</v>
      </c>
      <c r="BH558" s="1" t="s">
        <v>74</v>
      </c>
      <c r="BI558" s="1" t="s">
        <v>74</v>
      </c>
      <c r="BJ558" s="1" t="s">
        <v>74</v>
      </c>
      <c r="BK558" s="1" t="s">
        <v>74</v>
      </c>
      <c r="BL558" s="1" t="s">
        <v>74</v>
      </c>
      <c r="BM558" s="1" t="s">
        <v>74</v>
      </c>
      <c r="BN558" s="1">
        <v>2.5102827E7</v>
      </c>
      <c r="BO558" s="1" t="s">
        <v>74</v>
      </c>
      <c r="BP558" s="1" t="s">
        <v>74</v>
      </c>
      <c r="BQ558" s="1" t="s">
        <v>74</v>
      </c>
      <c r="BR558" s="1" t="s">
        <v>74</v>
      </c>
      <c r="BS558" s="1" t="s">
        <v>5733</v>
      </c>
      <c r="BT558" s="1" t="str">
        <f>HYPERLINK("https%3A%2F%2Fwww.webofscience.com%2Fwos%2Fwoscc%2Ffull-record%2FWOS:000355888600003","View Full Record in Web of Science")</f>
        <v>View Full Record in Web of Science</v>
      </c>
    </row>
    <row r="559" ht="12.75" customHeight="1">
      <c r="A559" s="1" t="s">
        <v>72</v>
      </c>
      <c r="B559" s="1" t="s">
        <v>5734</v>
      </c>
      <c r="C559" s="1" t="s">
        <v>74</v>
      </c>
      <c r="D559" s="1" t="s">
        <v>74</v>
      </c>
      <c r="E559" s="1" t="s">
        <v>74</v>
      </c>
      <c r="F559" s="1" t="s">
        <v>5735</v>
      </c>
      <c r="G559" s="1" t="s">
        <v>74</v>
      </c>
      <c r="H559" s="1" t="s">
        <v>74</v>
      </c>
      <c r="I559" s="1" t="s">
        <v>5736</v>
      </c>
      <c r="J559" s="1" t="s">
        <v>1936</v>
      </c>
      <c r="K559" s="1" t="s">
        <v>74</v>
      </c>
      <c r="L559" s="1" t="s">
        <v>74</v>
      </c>
      <c r="M559" s="1" t="s">
        <v>74</v>
      </c>
      <c r="N559" s="1" t="s">
        <v>74</v>
      </c>
      <c r="O559" s="1" t="s">
        <v>74</v>
      </c>
      <c r="P559" s="1" t="s">
        <v>74</v>
      </c>
      <c r="Q559" s="1" t="s">
        <v>74</v>
      </c>
      <c r="R559" s="1" t="s">
        <v>74</v>
      </c>
      <c r="S559" s="1" t="s">
        <v>74</v>
      </c>
      <c r="T559" s="1" t="s">
        <v>74</v>
      </c>
      <c r="U559" s="1" t="s">
        <v>74</v>
      </c>
      <c r="V559" s="1" t="s">
        <v>5737</v>
      </c>
      <c r="W559" s="1" t="s">
        <v>74</v>
      </c>
      <c r="X559" s="1" t="s">
        <v>74</v>
      </c>
      <c r="Y559" s="1" t="s">
        <v>74</v>
      </c>
      <c r="Z559" s="1" t="s">
        <v>74</v>
      </c>
      <c r="AA559" s="1" t="s">
        <v>5738</v>
      </c>
      <c r="AB559" s="1" t="s">
        <v>5739</v>
      </c>
      <c r="AC559" s="1" t="s">
        <v>74</v>
      </c>
      <c r="AD559" s="1" t="s">
        <v>74</v>
      </c>
      <c r="AE559" s="1" t="s">
        <v>74</v>
      </c>
      <c r="AF559" s="1" t="s">
        <v>74</v>
      </c>
      <c r="AG559" s="1" t="s">
        <v>74</v>
      </c>
      <c r="AH559" s="1" t="s">
        <v>74</v>
      </c>
      <c r="AI559" s="1" t="s">
        <v>74</v>
      </c>
      <c r="AJ559" s="1" t="s">
        <v>74</v>
      </c>
      <c r="AK559" s="1" t="s">
        <v>74</v>
      </c>
      <c r="AL559" s="1" t="s">
        <v>74</v>
      </c>
      <c r="AM559" s="1" t="s">
        <v>74</v>
      </c>
      <c r="AN559" s="1" t="s">
        <v>74</v>
      </c>
      <c r="AO559" s="1" t="s">
        <v>1940</v>
      </c>
      <c r="AP559" s="1" t="s">
        <v>74</v>
      </c>
      <c r="AQ559" s="1" t="s">
        <v>74</v>
      </c>
      <c r="AR559" s="1" t="s">
        <v>74</v>
      </c>
      <c r="AS559" s="1" t="s">
        <v>74</v>
      </c>
      <c r="AT559" s="1" t="s">
        <v>939</v>
      </c>
      <c r="AU559" s="1">
        <v>2015.0</v>
      </c>
      <c r="AV559" s="1">
        <v>20.0</v>
      </c>
      <c r="AW559" s="1">
        <v>6.0</v>
      </c>
      <c r="AX559" s="1" t="s">
        <v>74</v>
      </c>
      <c r="AY559" s="1" t="s">
        <v>74</v>
      </c>
      <c r="AZ559" s="1" t="s">
        <v>74</v>
      </c>
      <c r="BA559" s="1" t="s">
        <v>74</v>
      </c>
      <c r="BB559" s="1">
        <v>10582.0</v>
      </c>
      <c r="BC559" s="1">
        <v>10593.0</v>
      </c>
      <c r="BD559" s="1" t="s">
        <v>74</v>
      </c>
      <c r="BE559" s="1" t="s">
        <v>5740</v>
      </c>
      <c r="BF559" s="2" t="str">
        <f>HYPERLINK("http://dx.doi.org/10.3390/molecules200610582","http://dx.doi.org/10.3390/molecules200610582")</f>
        <v>http://dx.doi.org/10.3390/molecules200610582</v>
      </c>
      <c r="BG559" s="1" t="s">
        <v>74</v>
      </c>
      <c r="BH559" s="1" t="s">
        <v>74</v>
      </c>
      <c r="BI559" s="1" t="s">
        <v>74</v>
      </c>
      <c r="BJ559" s="1" t="s">
        <v>74</v>
      </c>
      <c r="BK559" s="1" t="s">
        <v>74</v>
      </c>
      <c r="BL559" s="1" t="s">
        <v>74</v>
      </c>
      <c r="BM559" s="1" t="s">
        <v>74</v>
      </c>
      <c r="BN559" s="1">
        <v>2.606092E7</v>
      </c>
      <c r="BO559" s="1" t="s">
        <v>74</v>
      </c>
      <c r="BP559" s="1" t="s">
        <v>74</v>
      </c>
      <c r="BQ559" s="1" t="s">
        <v>74</v>
      </c>
      <c r="BR559" s="1" t="s">
        <v>74</v>
      </c>
      <c r="BS559" s="1" t="s">
        <v>5741</v>
      </c>
      <c r="BT559" s="1" t="str">
        <f>HYPERLINK("https%3A%2F%2Fwww.webofscience.com%2Fwos%2Fwoscc%2Ffull-record%2FWOS:000357992700067","View Full Record in Web of Science")</f>
        <v>View Full Record in Web of Science</v>
      </c>
    </row>
    <row r="560" ht="12.75" customHeight="1">
      <c r="A560" s="1" t="s">
        <v>72</v>
      </c>
      <c r="B560" s="1" t="s">
        <v>5742</v>
      </c>
      <c r="C560" s="1" t="s">
        <v>74</v>
      </c>
      <c r="D560" s="1" t="s">
        <v>74</v>
      </c>
      <c r="E560" s="1" t="s">
        <v>74</v>
      </c>
      <c r="F560" s="1" t="s">
        <v>5743</v>
      </c>
      <c r="G560" s="1" t="s">
        <v>74</v>
      </c>
      <c r="H560" s="1" t="s">
        <v>74</v>
      </c>
      <c r="I560" s="1" t="s">
        <v>5744</v>
      </c>
      <c r="J560" s="1" t="s">
        <v>4383</v>
      </c>
      <c r="K560" s="1" t="s">
        <v>74</v>
      </c>
      <c r="L560" s="1" t="s">
        <v>74</v>
      </c>
      <c r="M560" s="1" t="s">
        <v>74</v>
      </c>
      <c r="N560" s="1" t="s">
        <v>74</v>
      </c>
      <c r="O560" s="1" t="s">
        <v>74</v>
      </c>
      <c r="P560" s="1" t="s">
        <v>74</v>
      </c>
      <c r="Q560" s="1" t="s">
        <v>74</v>
      </c>
      <c r="R560" s="1" t="s">
        <v>74</v>
      </c>
      <c r="S560" s="1" t="s">
        <v>74</v>
      </c>
      <c r="T560" s="1" t="s">
        <v>74</v>
      </c>
      <c r="U560" s="1" t="s">
        <v>74</v>
      </c>
      <c r="V560" s="1" t="s">
        <v>5745</v>
      </c>
      <c r="W560" s="1" t="s">
        <v>74</v>
      </c>
      <c r="X560" s="1" t="s">
        <v>74</v>
      </c>
      <c r="Y560" s="1" t="s">
        <v>74</v>
      </c>
      <c r="Z560" s="1" t="s">
        <v>74</v>
      </c>
      <c r="AA560" s="1" t="s">
        <v>5746</v>
      </c>
      <c r="AB560" s="1" t="s">
        <v>5747</v>
      </c>
      <c r="AC560" s="1" t="s">
        <v>74</v>
      </c>
      <c r="AD560" s="1" t="s">
        <v>74</v>
      </c>
      <c r="AE560" s="1" t="s">
        <v>74</v>
      </c>
      <c r="AF560" s="1" t="s">
        <v>74</v>
      </c>
      <c r="AG560" s="1" t="s">
        <v>74</v>
      </c>
      <c r="AH560" s="1" t="s">
        <v>74</v>
      </c>
      <c r="AI560" s="1" t="s">
        <v>74</v>
      </c>
      <c r="AJ560" s="1" t="s">
        <v>74</v>
      </c>
      <c r="AK560" s="1" t="s">
        <v>74</v>
      </c>
      <c r="AL560" s="1" t="s">
        <v>74</v>
      </c>
      <c r="AM560" s="1" t="s">
        <v>74</v>
      </c>
      <c r="AN560" s="1" t="s">
        <v>74</v>
      </c>
      <c r="AO560" s="1" t="s">
        <v>4387</v>
      </c>
      <c r="AP560" s="1" t="s">
        <v>4388</v>
      </c>
      <c r="AQ560" s="1" t="s">
        <v>74</v>
      </c>
      <c r="AR560" s="1" t="s">
        <v>74</v>
      </c>
      <c r="AS560" s="1" t="s">
        <v>74</v>
      </c>
      <c r="AT560" s="1" t="s">
        <v>3308</v>
      </c>
      <c r="AU560" s="1">
        <v>2013.0</v>
      </c>
      <c r="AV560" s="1">
        <v>444.0</v>
      </c>
      <c r="AW560" s="1" t="s">
        <v>74</v>
      </c>
      <c r="AX560" s="1" t="s">
        <v>74</v>
      </c>
      <c r="AY560" s="1" t="s">
        <v>74</v>
      </c>
      <c r="AZ560" s="1" t="s">
        <v>74</v>
      </c>
      <c r="BA560" s="1" t="s">
        <v>74</v>
      </c>
      <c r="BB560" s="1">
        <v>201.0</v>
      </c>
      <c r="BC560" s="1">
        <v>212.0</v>
      </c>
      <c r="BD560" s="1" t="s">
        <v>74</v>
      </c>
      <c r="BE560" s="1" t="s">
        <v>5748</v>
      </c>
      <c r="BF560" s="2" t="str">
        <f>HYPERLINK("http://dx.doi.org/10.1016/j.memsci.2013.04.034","http://dx.doi.org/10.1016/j.memsci.2013.04.034")</f>
        <v>http://dx.doi.org/10.1016/j.memsci.2013.04.034</v>
      </c>
      <c r="BG560" s="1" t="s">
        <v>74</v>
      </c>
      <c r="BH560" s="1" t="s">
        <v>74</v>
      </c>
      <c r="BI560" s="1" t="s">
        <v>74</v>
      </c>
      <c r="BJ560" s="1" t="s">
        <v>74</v>
      </c>
      <c r="BK560" s="1" t="s">
        <v>74</v>
      </c>
      <c r="BL560" s="1" t="s">
        <v>74</v>
      </c>
      <c r="BM560" s="1" t="s">
        <v>74</v>
      </c>
      <c r="BN560" s="1" t="s">
        <v>74</v>
      </c>
      <c r="BO560" s="1" t="s">
        <v>74</v>
      </c>
      <c r="BP560" s="1" t="s">
        <v>74</v>
      </c>
      <c r="BQ560" s="1" t="s">
        <v>74</v>
      </c>
      <c r="BR560" s="1" t="s">
        <v>74</v>
      </c>
      <c r="BS560" s="1" t="s">
        <v>5749</v>
      </c>
      <c r="BT560" s="1" t="str">
        <f>HYPERLINK("https%3A%2F%2Fwww.webofscience.com%2Fwos%2Fwoscc%2Ffull-record%2FWOS:000321749200023","View Full Record in Web of Science")</f>
        <v>View Full Record in Web of Science</v>
      </c>
    </row>
    <row r="561" ht="12.75" customHeight="1">
      <c r="A561" s="1" t="s">
        <v>72</v>
      </c>
      <c r="B561" s="1" t="s">
        <v>5750</v>
      </c>
      <c r="C561" s="1" t="s">
        <v>74</v>
      </c>
      <c r="D561" s="1" t="s">
        <v>74</v>
      </c>
      <c r="E561" s="1" t="s">
        <v>74</v>
      </c>
      <c r="F561" s="1" t="s">
        <v>5751</v>
      </c>
      <c r="G561" s="1" t="s">
        <v>74</v>
      </c>
      <c r="H561" s="1" t="s">
        <v>74</v>
      </c>
      <c r="I561" s="1" t="s">
        <v>5752</v>
      </c>
      <c r="J561" s="1" t="s">
        <v>5753</v>
      </c>
      <c r="K561" s="1" t="s">
        <v>74</v>
      </c>
      <c r="L561" s="1" t="s">
        <v>74</v>
      </c>
      <c r="M561" s="1" t="s">
        <v>74</v>
      </c>
      <c r="N561" s="1" t="s">
        <v>74</v>
      </c>
      <c r="O561" s="1" t="s">
        <v>5754</v>
      </c>
      <c r="P561" s="1" t="s">
        <v>5755</v>
      </c>
      <c r="Q561" s="1" t="s">
        <v>5756</v>
      </c>
      <c r="R561" s="1" t="s">
        <v>74</v>
      </c>
      <c r="S561" s="1" t="s">
        <v>74</v>
      </c>
      <c r="T561" s="1" t="s">
        <v>74</v>
      </c>
      <c r="U561" s="1" t="s">
        <v>74</v>
      </c>
      <c r="V561" s="1" t="s">
        <v>5757</v>
      </c>
      <c r="W561" s="1" t="s">
        <v>74</v>
      </c>
      <c r="X561" s="1" t="s">
        <v>74</v>
      </c>
      <c r="Y561" s="1" t="s">
        <v>74</v>
      </c>
      <c r="Z561" s="1" t="s">
        <v>74</v>
      </c>
      <c r="AA561" s="1" t="s">
        <v>5758</v>
      </c>
      <c r="AB561" s="1" t="s">
        <v>5759</v>
      </c>
      <c r="AC561" s="1" t="s">
        <v>74</v>
      </c>
      <c r="AD561" s="1" t="s">
        <v>74</v>
      </c>
      <c r="AE561" s="1" t="s">
        <v>74</v>
      </c>
      <c r="AF561" s="1" t="s">
        <v>74</v>
      </c>
      <c r="AG561" s="1" t="s">
        <v>74</v>
      </c>
      <c r="AH561" s="1" t="s">
        <v>74</v>
      </c>
      <c r="AI561" s="1" t="s">
        <v>74</v>
      </c>
      <c r="AJ561" s="1" t="s">
        <v>74</v>
      </c>
      <c r="AK561" s="1" t="s">
        <v>74</v>
      </c>
      <c r="AL561" s="1" t="s">
        <v>74</v>
      </c>
      <c r="AM561" s="1" t="s">
        <v>74</v>
      </c>
      <c r="AN561" s="1" t="s">
        <v>74</v>
      </c>
      <c r="AO561" s="1" t="s">
        <v>5760</v>
      </c>
      <c r="AP561" s="1" t="s">
        <v>5761</v>
      </c>
      <c r="AQ561" s="1" t="s">
        <v>74</v>
      </c>
      <c r="AR561" s="1" t="s">
        <v>74</v>
      </c>
      <c r="AS561" s="1" t="s">
        <v>74</v>
      </c>
      <c r="AT561" s="1" t="s">
        <v>485</v>
      </c>
      <c r="AU561" s="1">
        <v>2010.0</v>
      </c>
      <c r="AV561" s="1">
        <v>4.0</v>
      </c>
      <c r="AW561" s="1">
        <v>2.0</v>
      </c>
      <c r="AX561" s="1" t="s">
        <v>74</v>
      </c>
      <c r="AY561" s="1" t="s">
        <v>74</v>
      </c>
      <c r="AZ561" s="1" t="s">
        <v>1416</v>
      </c>
      <c r="BA561" s="1" t="s">
        <v>74</v>
      </c>
      <c r="BB561" s="1">
        <v>115.0</v>
      </c>
      <c r="BC561" s="1">
        <v>139.0</v>
      </c>
      <c r="BD561" s="1" t="s">
        <v>74</v>
      </c>
      <c r="BE561" s="1" t="s">
        <v>5762</v>
      </c>
      <c r="BF561" s="2" t="str">
        <f>HYPERLINK("http://dx.doi.org/10.3934/amc.2010.4.115","http://dx.doi.org/10.3934/amc.2010.4.115")</f>
        <v>http://dx.doi.org/10.3934/amc.2010.4.115</v>
      </c>
      <c r="BG561" s="1" t="s">
        <v>74</v>
      </c>
      <c r="BH561" s="1" t="s">
        <v>74</v>
      </c>
      <c r="BI561" s="1" t="s">
        <v>74</v>
      </c>
      <c r="BJ561" s="1" t="s">
        <v>74</v>
      </c>
      <c r="BK561" s="1" t="s">
        <v>74</v>
      </c>
      <c r="BL561" s="1" t="s">
        <v>74</v>
      </c>
      <c r="BM561" s="1" t="s">
        <v>74</v>
      </c>
      <c r="BN561" s="1" t="s">
        <v>74</v>
      </c>
      <c r="BO561" s="1" t="s">
        <v>74</v>
      </c>
      <c r="BP561" s="1" t="s">
        <v>74</v>
      </c>
      <c r="BQ561" s="1" t="s">
        <v>74</v>
      </c>
      <c r="BR561" s="1" t="s">
        <v>74</v>
      </c>
      <c r="BS561" s="1" t="s">
        <v>5763</v>
      </c>
      <c r="BT561" s="1" t="str">
        <f>HYPERLINK("https%3A%2F%2Fwww.webofscience.com%2Fwos%2Fwoscc%2Ffull-record%2FWOS:000277821600003","View Full Record in Web of Science")</f>
        <v>View Full Record in Web of Science</v>
      </c>
    </row>
    <row r="562" ht="12.75" customHeight="1">
      <c r="A562" s="1" t="s">
        <v>72</v>
      </c>
      <c r="B562" s="1" t="s">
        <v>5764</v>
      </c>
      <c r="C562" s="1" t="s">
        <v>74</v>
      </c>
      <c r="D562" s="1" t="s">
        <v>74</v>
      </c>
      <c r="E562" s="1" t="s">
        <v>74</v>
      </c>
      <c r="F562" s="1" t="s">
        <v>5764</v>
      </c>
      <c r="G562" s="1" t="s">
        <v>74</v>
      </c>
      <c r="H562" s="1" t="s">
        <v>74</v>
      </c>
      <c r="I562" s="1" t="s">
        <v>5765</v>
      </c>
      <c r="J562" s="1" t="s">
        <v>1291</v>
      </c>
      <c r="K562" s="1" t="s">
        <v>74</v>
      </c>
      <c r="L562" s="1" t="s">
        <v>74</v>
      </c>
      <c r="M562" s="1" t="s">
        <v>74</v>
      </c>
      <c r="N562" s="1" t="s">
        <v>74</v>
      </c>
      <c r="O562" s="1" t="s">
        <v>74</v>
      </c>
      <c r="P562" s="1" t="s">
        <v>74</v>
      </c>
      <c r="Q562" s="1" t="s">
        <v>74</v>
      </c>
      <c r="R562" s="1" t="s">
        <v>74</v>
      </c>
      <c r="S562" s="1" t="s">
        <v>74</v>
      </c>
      <c r="T562" s="1" t="s">
        <v>74</v>
      </c>
      <c r="U562" s="1" t="s">
        <v>74</v>
      </c>
      <c r="V562" s="1" t="s">
        <v>5766</v>
      </c>
      <c r="W562" s="1" t="s">
        <v>74</v>
      </c>
      <c r="X562" s="1" t="s">
        <v>74</v>
      </c>
      <c r="Y562" s="1" t="s">
        <v>74</v>
      </c>
      <c r="Z562" s="1" t="s">
        <v>74</v>
      </c>
      <c r="AA562" s="1" t="s">
        <v>5767</v>
      </c>
      <c r="AB562" s="1" t="s">
        <v>5768</v>
      </c>
      <c r="AC562" s="1" t="s">
        <v>74</v>
      </c>
      <c r="AD562" s="1" t="s">
        <v>74</v>
      </c>
      <c r="AE562" s="1" t="s">
        <v>74</v>
      </c>
      <c r="AF562" s="1" t="s">
        <v>74</v>
      </c>
      <c r="AG562" s="1" t="s">
        <v>74</v>
      </c>
      <c r="AH562" s="1" t="s">
        <v>74</v>
      </c>
      <c r="AI562" s="1" t="s">
        <v>74</v>
      </c>
      <c r="AJ562" s="1" t="s">
        <v>74</v>
      </c>
      <c r="AK562" s="1" t="s">
        <v>74</v>
      </c>
      <c r="AL562" s="1" t="s">
        <v>74</v>
      </c>
      <c r="AM562" s="1" t="s">
        <v>74</v>
      </c>
      <c r="AN562" s="1" t="s">
        <v>74</v>
      </c>
      <c r="AO562" s="1" t="s">
        <v>1294</v>
      </c>
      <c r="AP562" s="1" t="s">
        <v>74</v>
      </c>
      <c r="AQ562" s="1" t="s">
        <v>74</v>
      </c>
      <c r="AR562" s="1" t="s">
        <v>74</v>
      </c>
      <c r="AS562" s="1" t="s">
        <v>74</v>
      </c>
      <c r="AT562" s="1" t="s">
        <v>5769</v>
      </c>
      <c r="AU562" s="1">
        <v>2006.0</v>
      </c>
      <c r="AV562" s="1">
        <v>25.0</v>
      </c>
      <c r="AW562" s="1">
        <v>1.0</v>
      </c>
      <c r="AX562" s="1" t="s">
        <v>74</v>
      </c>
      <c r="AY562" s="1" t="s">
        <v>74</v>
      </c>
      <c r="AZ562" s="1" t="s">
        <v>74</v>
      </c>
      <c r="BA562" s="1" t="s">
        <v>74</v>
      </c>
      <c r="BB562" s="1">
        <v>9.0</v>
      </c>
      <c r="BC562" s="1">
        <v>16.0</v>
      </c>
      <c r="BD562" s="1" t="s">
        <v>74</v>
      </c>
      <c r="BE562" s="1" t="s">
        <v>5770</v>
      </c>
      <c r="BF562" s="2" t="str">
        <f>HYPERLINK("http://dx.doi.org/10.1016/j.poly.2005.05.009","http://dx.doi.org/10.1016/j.poly.2005.05.009")</f>
        <v>http://dx.doi.org/10.1016/j.poly.2005.05.009</v>
      </c>
      <c r="BG562" s="1" t="s">
        <v>74</v>
      </c>
      <c r="BH562" s="1" t="s">
        <v>74</v>
      </c>
      <c r="BI562" s="1" t="s">
        <v>74</v>
      </c>
      <c r="BJ562" s="1" t="s">
        <v>74</v>
      </c>
      <c r="BK562" s="1" t="s">
        <v>74</v>
      </c>
      <c r="BL562" s="1" t="s">
        <v>74</v>
      </c>
      <c r="BM562" s="1" t="s">
        <v>74</v>
      </c>
      <c r="BN562" s="1" t="s">
        <v>74</v>
      </c>
      <c r="BO562" s="1" t="s">
        <v>74</v>
      </c>
      <c r="BP562" s="1" t="s">
        <v>74</v>
      </c>
      <c r="BQ562" s="1" t="s">
        <v>74</v>
      </c>
      <c r="BR562" s="1" t="s">
        <v>74</v>
      </c>
      <c r="BS562" s="1" t="s">
        <v>5771</v>
      </c>
      <c r="BT562" s="1" t="str">
        <f>HYPERLINK("https%3A%2F%2Fwww.webofscience.com%2Fwos%2Fwoscc%2Ffull-record%2FWOS:000234576500002","View Full Record in Web of Science")</f>
        <v>View Full Record in Web of Science</v>
      </c>
    </row>
    <row r="563" ht="12.75" customHeight="1">
      <c r="A563" s="1" t="s">
        <v>72</v>
      </c>
      <c r="B563" s="1" t="s">
        <v>5772</v>
      </c>
      <c r="C563" s="1" t="s">
        <v>74</v>
      </c>
      <c r="D563" s="1" t="s">
        <v>74</v>
      </c>
      <c r="E563" s="1" t="s">
        <v>74</v>
      </c>
      <c r="F563" s="1" t="s">
        <v>5772</v>
      </c>
      <c r="G563" s="1" t="s">
        <v>74</v>
      </c>
      <c r="H563" s="1" t="s">
        <v>74</v>
      </c>
      <c r="I563" s="1" t="s">
        <v>5773</v>
      </c>
      <c r="J563" s="1" t="s">
        <v>2644</v>
      </c>
      <c r="K563" s="1" t="s">
        <v>74</v>
      </c>
      <c r="L563" s="1" t="s">
        <v>74</v>
      </c>
      <c r="M563" s="1" t="s">
        <v>74</v>
      </c>
      <c r="N563" s="1" t="s">
        <v>74</v>
      </c>
      <c r="O563" s="1" t="s">
        <v>74</v>
      </c>
      <c r="P563" s="1" t="s">
        <v>74</v>
      </c>
      <c r="Q563" s="1" t="s">
        <v>74</v>
      </c>
      <c r="R563" s="1" t="s">
        <v>74</v>
      </c>
      <c r="S563" s="1" t="s">
        <v>74</v>
      </c>
      <c r="T563" s="1" t="s">
        <v>74</v>
      </c>
      <c r="U563" s="1" t="s">
        <v>74</v>
      </c>
      <c r="V563" s="1" t="s">
        <v>5774</v>
      </c>
      <c r="W563" s="1" t="s">
        <v>74</v>
      </c>
      <c r="X563" s="1" t="s">
        <v>74</v>
      </c>
      <c r="Y563" s="1" t="s">
        <v>74</v>
      </c>
      <c r="Z563" s="1" t="s">
        <v>74</v>
      </c>
      <c r="AA563" s="1" t="s">
        <v>5775</v>
      </c>
      <c r="AB563" s="1" t="s">
        <v>74</v>
      </c>
      <c r="AC563" s="1" t="s">
        <v>74</v>
      </c>
      <c r="AD563" s="1" t="s">
        <v>74</v>
      </c>
      <c r="AE563" s="1" t="s">
        <v>74</v>
      </c>
      <c r="AF563" s="1" t="s">
        <v>74</v>
      </c>
      <c r="AG563" s="1" t="s">
        <v>74</v>
      </c>
      <c r="AH563" s="1" t="s">
        <v>74</v>
      </c>
      <c r="AI563" s="1" t="s">
        <v>74</v>
      </c>
      <c r="AJ563" s="1" t="s">
        <v>74</v>
      </c>
      <c r="AK563" s="1" t="s">
        <v>74</v>
      </c>
      <c r="AL563" s="1" t="s">
        <v>74</v>
      </c>
      <c r="AM563" s="1" t="s">
        <v>74</v>
      </c>
      <c r="AN563" s="1" t="s">
        <v>74</v>
      </c>
      <c r="AO563" s="1" t="s">
        <v>2645</v>
      </c>
      <c r="AP563" s="1" t="s">
        <v>5776</v>
      </c>
      <c r="AQ563" s="1" t="s">
        <v>74</v>
      </c>
      <c r="AR563" s="1" t="s">
        <v>74</v>
      </c>
      <c r="AS563" s="1" t="s">
        <v>74</v>
      </c>
      <c r="AT563" s="1" t="s">
        <v>1018</v>
      </c>
      <c r="AU563" s="1">
        <v>2003.0</v>
      </c>
      <c r="AV563" s="1">
        <v>22.0</v>
      </c>
      <c r="AW563" s="1">
        <v>8.0</v>
      </c>
      <c r="AX563" s="1" t="s">
        <v>74</v>
      </c>
      <c r="AY563" s="1" t="s">
        <v>74</v>
      </c>
      <c r="AZ563" s="1" t="s">
        <v>74</v>
      </c>
      <c r="BA563" s="1" t="s">
        <v>74</v>
      </c>
      <c r="BB563" s="1">
        <v>831.0</v>
      </c>
      <c r="BC563" s="1">
        <v>835.0</v>
      </c>
      <c r="BD563" s="1" t="s">
        <v>74</v>
      </c>
      <c r="BE563" s="1" t="s">
        <v>5777</v>
      </c>
      <c r="BF563" s="2" t="str">
        <f>HYPERLINK("http://dx.doi.org/10.7863/jum.2003.22.8.831","http://dx.doi.org/10.7863/jum.2003.22.8.831")</f>
        <v>http://dx.doi.org/10.7863/jum.2003.22.8.831</v>
      </c>
      <c r="BG563" s="1" t="s">
        <v>74</v>
      </c>
      <c r="BH563" s="1" t="s">
        <v>74</v>
      </c>
      <c r="BI563" s="1" t="s">
        <v>74</v>
      </c>
      <c r="BJ563" s="1" t="s">
        <v>74</v>
      </c>
      <c r="BK563" s="1" t="s">
        <v>74</v>
      </c>
      <c r="BL563" s="1" t="s">
        <v>74</v>
      </c>
      <c r="BM563" s="1" t="s">
        <v>74</v>
      </c>
      <c r="BN563" s="1">
        <v>1.2901412E7</v>
      </c>
      <c r="BO563" s="1" t="s">
        <v>74</v>
      </c>
      <c r="BP563" s="1" t="s">
        <v>74</v>
      </c>
      <c r="BQ563" s="1" t="s">
        <v>74</v>
      </c>
      <c r="BR563" s="1" t="s">
        <v>74</v>
      </c>
      <c r="BS563" s="1" t="s">
        <v>5778</v>
      </c>
      <c r="BT563" s="1" t="str">
        <f>HYPERLINK("https%3A%2F%2Fwww.webofscience.com%2Fwos%2Fwoscc%2Ffull-record%2FWOS:000184351700012","View Full Record in Web of Science")</f>
        <v>View Full Record in Web of Science</v>
      </c>
    </row>
    <row r="564" ht="12.75" customHeight="1">
      <c r="A564" s="1" t="s">
        <v>72</v>
      </c>
      <c r="B564" s="1" t="s">
        <v>5779</v>
      </c>
      <c r="C564" s="1" t="s">
        <v>74</v>
      </c>
      <c r="D564" s="1" t="s">
        <v>74</v>
      </c>
      <c r="E564" s="1" t="s">
        <v>74</v>
      </c>
      <c r="F564" s="1" t="s">
        <v>5779</v>
      </c>
      <c r="G564" s="1" t="s">
        <v>74</v>
      </c>
      <c r="H564" s="1" t="s">
        <v>74</v>
      </c>
      <c r="I564" s="1" t="s">
        <v>5780</v>
      </c>
      <c r="J564" s="1" t="s">
        <v>5781</v>
      </c>
      <c r="K564" s="1" t="s">
        <v>74</v>
      </c>
      <c r="L564" s="1" t="s">
        <v>74</v>
      </c>
      <c r="M564" s="1" t="s">
        <v>74</v>
      </c>
      <c r="N564" s="1" t="s">
        <v>74</v>
      </c>
      <c r="O564" s="1" t="s">
        <v>74</v>
      </c>
      <c r="P564" s="1" t="s">
        <v>74</v>
      </c>
      <c r="Q564" s="1" t="s">
        <v>74</v>
      </c>
      <c r="R564" s="1" t="s">
        <v>74</v>
      </c>
      <c r="S564" s="1" t="s">
        <v>74</v>
      </c>
      <c r="T564" s="1" t="s">
        <v>74</v>
      </c>
      <c r="U564" s="1" t="s">
        <v>74</v>
      </c>
      <c r="V564" s="1" t="s">
        <v>5782</v>
      </c>
      <c r="W564" s="1" t="s">
        <v>74</v>
      </c>
      <c r="X564" s="1" t="s">
        <v>74</v>
      </c>
      <c r="Y564" s="1" t="s">
        <v>74</v>
      </c>
      <c r="Z564" s="1" t="s">
        <v>74</v>
      </c>
      <c r="AA564" s="1" t="s">
        <v>5783</v>
      </c>
      <c r="AB564" s="1" t="s">
        <v>5784</v>
      </c>
      <c r="AC564" s="1" t="s">
        <v>74</v>
      </c>
      <c r="AD564" s="1" t="s">
        <v>74</v>
      </c>
      <c r="AE564" s="1" t="s">
        <v>74</v>
      </c>
      <c r="AF564" s="1" t="s">
        <v>74</v>
      </c>
      <c r="AG564" s="1" t="s">
        <v>74</v>
      </c>
      <c r="AH564" s="1" t="s">
        <v>74</v>
      </c>
      <c r="AI564" s="1" t="s">
        <v>74</v>
      </c>
      <c r="AJ564" s="1" t="s">
        <v>74</v>
      </c>
      <c r="AK564" s="1" t="s">
        <v>74</v>
      </c>
      <c r="AL564" s="1" t="s">
        <v>74</v>
      </c>
      <c r="AM564" s="1" t="s">
        <v>74</v>
      </c>
      <c r="AN564" s="1" t="s">
        <v>74</v>
      </c>
      <c r="AO564" s="1" t="s">
        <v>5785</v>
      </c>
      <c r="AP564" s="1" t="s">
        <v>74</v>
      </c>
      <c r="AQ564" s="1" t="s">
        <v>74</v>
      </c>
      <c r="AR564" s="1" t="s">
        <v>74</v>
      </c>
      <c r="AS564" s="1" t="s">
        <v>74</v>
      </c>
      <c r="AT564" s="1" t="s">
        <v>307</v>
      </c>
      <c r="AU564" s="1">
        <v>2000.0</v>
      </c>
      <c r="AV564" s="1">
        <v>17.0</v>
      </c>
      <c r="AW564" s="1">
        <v>12.0</v>
      </c>
      <c r="AX564" s="1" t="s">
        <v>74</v>
      </c>
      <c r="AY564" s="1" t="s">
        <v>74</v>
      </c>
      <c r="AZ564" s="1" t="s">
        <v>74</v>
      </c>
      <c r="BA564" s="1" t="s">
        <v>74</v>
      </c>
      <c r="BB564" s="1">
        <v>659.0</v>
      </c>
      <c r="BC564" s="1">
        <v>669.0</v>
      </c>
      <c r="BD564" s="1" t="s">
        <v>74</v>
      </c>
      <c r="BE564" s="1" t="s">
        <v>5786</v>
      </c>
      <c r="BF564" s="2" t="str">
        <f>HYPERLINK("http://dx.doi.org/10.1002/1097-4563(200012)17:12&lt;659::AID-ROB2&gt;3.0.CO;2-N","http://dx.doi.org/10.1002/1097-4563(200012)17:12&lt;659::AID-ROB2&gt;3.0.CO;2-N")</f>
        <v>http://dx.doi.org/10.1002/1097-4563(200012)17:12&lt;659::AID-ROB2&gt;3.0.CO;2-N</v>
      </c>
      <c r="BG564" s="1" t="s">
        <v>74</v>
      </c>
      <c r="BH564" s="1" t="s">
        <v>74</v>
      </c>
      <c r="BI564" s="1" t="s">
        <v>74</v>
      </c>
      <c r="BJ564" s="1" t="s">
        <v>74</v>
      </c>
      <c r="BK564" s="1" t="s">
        <v>74</v>
      </c>
      <c r="BL564" s="1" t="s">
        <v>74</v>
      </c>
      <c r="BM564" s="1" t="s">
        <v>74</v>
      </c>
      <c r="BN564" s="1" t="s">
        <v>74</v>
      </c>
      <c r="BO564" s="1" t="s">
        <v>74</v>
      </c>
      <c r="BP564" s="1" t="s">
        <v>74</v>
      </c>
      <c r="BQ564" s="1" t="s">
        <v>74</v>
      </c>
      <c r="BR564" s="1" t="s">
        <v>74</v>
      </c>
      <c r="BS564" s="1" t="s">
        <v>5787</v>
      </c>
      <c r="BT564" s="1" t="str">
        <f>HYPERLINK("https%3A%2F%2Fwww.webofscience.com%2Fwos%2Fwoscc%2Ffull-record%2FWOS:000165644500002","View Full Record in Web of Science")</f>
        <v>View Full Record in Web of Science</v>
      </c>
    </row>
    <row r="565" ht="12.75" customHeight="1">
      <c r="A565" s="1" t="s">
        <v>72</v>
      </c>
      <c r="B565" s="1" t="s">
        <v>5788</v>
      </c>
      <c r="C565" s="1" t="s">
        <v>74</v>
      </c>
      <c r="D565" s="1" t="s">
        <v>74</v>
      </c>
      <c r="E565" s="1" t="s">
        <v>74</v>
      </c>
      <c r="F565" s="1" t="s">
        <v>5788</v>
      </c>
      <c r="G565" s="1" t="s">
        <v>74</v>
      </c>
      <c r="H565" s="1" t="s">
        <v>74</v>
      </c>
      <c r="I565" s="1" t="s">
        <v>5789</v>
      </c>
      <c r="J565" s="1" t="s">
        <v>169</v>
      </c>
      <c r="K565" s="1" t="s">
        <v>74</v>
      </c>
      <c r="L565" s="1" t="s">
        <v>74</v>
      </c>
      <c r="M565" s="1" t="s">
        <v>74</v>
      </c>
      <c r="N565" s="1" t="s">
        <v>74</v>
      </c>
      <c r="O565" s="1" t="s">
        <v>74</v>
      </c>
      <c r="P565" s="1" t="s">
        <v>74</v>
      </c>
      <c r="Q565" s="1" t="s">
        <v>74</v>
      </c>
      <c r="R565" s="1" t="s">
        <v>74</v>
      </c>
      <c r="S565" s="1" t="s">
        <v>74</v>
      </c>
      <c r="T565" s="1" t="s">
        <v>74</v>
      </c>
      <c r="U565" s="1" t="s">
        <v>74</v>
      </c>
      <c r="V565" s="1" t="s">
        <v>5790</v>
      </c>
      <c r="W565" s="1" t="s">
        <v>74</v>
      </c>
      <c r="X565" s="1" t="s">
        <v>74</v>
      </c>
      <c r="Y565" s="1" t="s">
        <v>74</v>
      </c>
      <c r="Z565" s="1" t="s">
        <v>74</v>
      </c>
      <c r="AA565" s="1" t="s">
        <v>5791</v>
      </c>
      <c r="AB565" s="1" t="s">
        <v>5792</v>
      </c>
      <c r="AC565" s="1" t="s">
        <v>74</v>
      </c>
      <c r="AD565" s="1" t="s">
        <v>74</v>
      </c>
      <c r="AE565" s="1" t="s">
        <v>74</v>
      </c>
      <c r="AF565" s="1" t="s">
        <v>74</v>
      </c>
      <c r="AG565" s="1" t="s">
        <v>74</v>
      </c>
      <c r="AH565" s="1" t="s">
        <v>74</v>
      </c>
      <c r="AI565" s="1" t="s">
        <v>74</v>
      </c>
      <c r="AJ565" s="1" t="s">
        <v>74</v>
      </c>
      <c r="AK565" s="1" t="s">
        <v>74</v>
      </c>
      <c r="AL565" s="1" t="s">
        <v>74</v>
      </c>
      <c r="AM565" s="1" t="s">
        <v>74</v>
      </c>
      <c r="AN565" s="1" t="s">
        <v>74</v>
      </c>
      <c r="AO565" s="1" t="s">
        <v>173</v>
      </c>
      <c r="AP565" s="1" t="s">
        <v>174</v>
      </c>
      <c r="AQ565" s="1" t="s">
        <v>74</v>
      </c>
      <c r="AR565" s="1" t="s">
        <v>74</v>
      </c>
      <c r="AS565" s="1" t="s">
        <v>74</v>
      </c>
      <c r="AT565" s="1" t="s">
        <v>3122</v>
      </c>
      <c r="AU565" s="1">
        <v>1998.0</v>
      </c>
      <c r="AV565" s="1">
        <v>432.0</v>
      </c>
      <c r="AW565" s="1" t="s">
        <v>176</v>
      </c>
      <c r="AX565" s="1" t="s">
        <v>74</v>
      </c>
      <c r="AY565" s="1" t="s">
        <v>74</v>
      </c>
      <c r="AZ565" s="1" t="s">
        <v>74</v>
      </c>
      <c r="BA565" s="1" t="s">
        <v>74</v>
      </c>
      <c r="BB565" s="1">
        <v>397.0</v>
      </c>
      <c r="BC565" s="1">
        <v>401.0</v>
      </c>
      <c r="BD565" s="1" t="s">
        <v>74</v>
      </c>
      <c r="BE565" s="1" t="s">
        <v>5793</v>
      </c>
      <c r="BF565" s="2" t="str">
        <f>HYPERLINK("http://dx.doi.org/10.1016/S0370-2693(98)00694-7","http://dx.doi.org/10.1016/S0370-2693(98)00694-7")</f>
        <v>http://dx.doi.org/10.1016/S0370-2693(98)00694-7</v>
      </c>
      <c r="BG565" s="1" t="s">
        <v>74</v>
      </c>
      <c r="BH565" s="1" t="s">
        <v>74</v>
      </c>
      <c r="BI565" s="1" t="s">
        <v>74</v>
      </c>
      <c r="BJ565" s="1" t="s">
        <v>74</v>
      </c>
      <c r="BK565" s="1" t="s">
        <v>74</v>
      </c>
      <c r="BL565" s="1" t="s">
        <v>74</v>
      </c>
      <c r="BM565" s="1" t="s">
        <v>74</v>
      </c>
      <c r="BN565" s="1" t="s">
        <v>74</v>
      </c>
      <c r="BO565" s="1" t="s">
        <v>74</v>
      </c>
      <c r="BP565" s="1" t="s">
        <v>74</v>
      </c>
      <c r="BQ565" s="1" t="s">
        <v>74</v>
      </c>
      <c r="BR565" s="1" t="s">
        <v>74</v>
      </c>
      <c r="BS565" s="1" t="s">
        <v>5794</v>
      </c>
      <c r="BT565" s="1" t="str">
        <f>HYPERLINK("https%3A%2F%2Fwww.webofscience.com%2Fwos%2Fwoscc%2Ffull-record%2FWOS:000075193100024","View Full Record in Web of Science")</f>
        <v>View Full Record in Web of Science</v>
      </c>
    </row>
    <row r="566" ht="12.75" customHeight="1">
      <c r="A566" s="1" t="s">
        <v>72</v>
      </c>
      <c r="B566" s="1" t="s">
        <v>5795</v>
      </c>
      <c r="C566" s="1" t="s">
        <v>74</v>
      </c>
      <c r="D566" s="1" t="s">
        <v>74</v>
      </c>
      <c r="E566" s="1" t="s">
        <v>74</v>
      </c>
      <c r="F566" s="1" t="s">
        <v>5795</v>
      </c>
      <c r="G566" s="1" t="s">
        <v>74</v>
      </c>
      <c r="H566" s="1" t="s">
        <v>74</v>
      </c>
      <c r="I566" s="1" t="s">
        <v>5796</v>
      </c>
      <c r="J566" s="1" t="s">
        <v>5797</v>
      </c>
      <c r="K566" s="1" t="s">
        <v>74</v>
      </c>
      <c r="L566" s="1" t="s">
        <v>74</v>
      </c>
      <c r="M566" s="1" t="s">
        <v>74</v>
      </c>
      <c r="N566" s="1" t="s">
        <v>74</v>
      </c>
      <c r="O566" s="1" t="s">
        <v>5798</v>
      </c>
      <c r="P566" s="1" t="s">
        <v>5799</v>
      </c>
      <c r="Q566" s="1" t="s">
        <v>5800</v>
      </c>
      <c r="R566" s="1" t="s">
        <v>74</v>
      </c>
      <c r="S566" s="1" t="s">
        <v>74</v>
      </c>
      <c r="T566" s="1" t="s">
        <v>74</v>
      </c>
      <c r="U566" s="1" t="s">
        <v>74</v>
      </c>
      <c r="V566" s="1" t="s">
        <v>5801</v>
      </c>
      <c r="W566" s="1" t="s">
        <v>74</v>
      </c>
      <c r="X566" s="1" t="s">
        <v>74</v>
      </c>
      <c r="Y566" s="1" t="s">
        <v>74</v>
      </c>
      <c r="Z566" s="1" t="s">
        <v>74</v>
      </c>
      <c r="AA566" s="1" t="s">
        <v>74</v>
      </c>
      <c r="AB566" s="1" t="s">
        <v>1293</v>
      </c>
      <c r="AC566" s="1" t="s">
        <v>74</v>
      </c>
      <c r="AD566" s="1" t="s">
        <v>74</v>
      </c>
      <c r="AE566" s="1" t="s">
        <v>74</v>
      </c>
      <c r="AF566" s="1" t="s">
        <v>74</v>
      </c>
      <c r="AG566" s="1" t="s">
        <v>74</v>
      </c>
      <c r="AH566" s="1" t="s">
        <v>74</v>
      </c>
      <c r="AI566" s="1" t="s">
        <v>74</v>
      </c>
      <c r="AJ566" s="1" t="s">
        <v>74</v>
      </c>
      <c r="AK566" s="1" t="s">
        <v>74</v>
      </c>
      <c r="AL566" s="1" t="s">
        <v>74</v>
      </c>
      <c r="AM566" s="1" t="s">
        <v>74</v>
      </c>
      <c r="AN566" s="1" t="s">
        <v>74</v>
      </c>
      <c r="AO566" s="1" t="s">
        <v>5802</v>
      </c>
      <c r="AP566" s="1" t="s">
        <v>74</v>
      </c>
      <c r="AQ566" s="1" t="s">
        <v>74</v>
      </c>
      <c r="AR566" s="1" t="s">
        <v>74</v>
      </c>
      <c r="AS566" s="1" t="s">
        <v>74</v>
      </c>
      <c r="AT566" s="1" t="s">
        <v>553</v>
      </c>
      <c r="AU566" s="1">
        <v>1995.0</v>
      </c>
      <c r="AV566" s="1">
        <v>330.0</v>
      </c>
      <c r="AW566" s="1" t="s">
        <v>74</v>
      </c>
      <c r="AX566" s="1" t="s">
        <v>74</v>
      </c>
      <c r="AY566" s="1" t="s">
        <v>74</v>
      </c>
      <c r="AZ566" s="1" t="s">
        <v>74</v>
      </c>
      <c r="BA566" s="1" t="s">
        <v>74</v>
      </c>
      <c r="BB566" s="1">
        <v>201.0</v>
      </c>
      <c r="BC566" s="1">
        <v>210.0</v>
      </c>
      <c r="BD566" s="1" t="s">
        <v>74</v>
      </c>
      <c r="BE566" s="1" t="s">
        <v>5803</v>
      </c>
      <c r="BF566" s="2" t="str">
        <f>HYPERLINK("http://dx.doi.org/10.1016/0166-1280(94)03840-H","http://dx.doi.org/10.1016/0166-1280(94)03840-H")</f>
        <v>http://dx.doi.org/10.1016/0166-1280(94)03840-H</v>
      </c>
      <c r="BG566" s="1" t="s">
        <v>74</v>
      </c>
      <c r="BH566" s="1" t="s">
        <v>74</v>
      </c>
      <c r="BI566" s="1" t="s">
        <v>74</v>
      </c>
      <c r="BJ566" s="1" t="s">
        <v>74</v>
      </c>
      <c r="BK566" s="1" t="s">
        <v>74</v>
      </c>
      <c r="BL566" s="1" t="s">
        <v>74</v>
      </c>
      <c r="BM566" s="1" t="s">
        <v>74</v>
      </c>
      <c r="BN566" s="1" t="s">
        <v>74</v>
      </c>
      <c r="BO566" s="1" t="s">
        <v>74</v>
      </c>
      <c r="BP566" s="1" t="s">
        <v>74</v>
      </c>
      <c r="BQ566" s="1" t="s">
        <v>74</v>
      </c>
      <c r="BR566" s="1" t="s">
        <v>74</v>
      </c>
      <c r="BS566" s="1" t="s">
        <v>5804</v>
      </c>
      <c r="BT566" s="1" t="str">
        <f>HYPERLINK("https%3A%2F%2Fwww.webofscience.com%2Fwos%2Fwoscc%2Ffull-record%2FWOS:A1995QU08000029","View Full Record in Web of Science")</f>
        <v>View Full Record in Web of Science</v>
      </c>
    </row>
    <row r="567" ht="12.75" customHeight="1">
      <c r="A567" s="1" t="s">
        <v>72</v>
      </c>
      <c r="B567" s="1" t="s">
        <v>5805</v>
      </c>
      <c r="C567" s="1" t="s">
        <v>74</v>
      </c>
      <c r="D567" s="1" t="s">
        <v>74</v>
      </c>
      <c r="E567" s="1" t="s">
        <v>74</v>
      </c>
      <c r="F567" s="1" t="s">
        <v>5805</v>
      </c>
      <c r="G567" s="1" t="s">
        <v>74</v>
      </c>
      <c r="H567" s="1" t="s">
        <v>74</v>
      </c>
      <c r="I567" s="1" t="s">
        <v>5806</v>
      </c>
      <c r="J567" s="1" t="s">
        <v>5807</v>
      </c>
      <c r="K567" s="1" t="s">
        <v>74</v>
      </c>
      <c r="L567" s="1" t="s">
        <v>74</v>
      </c>
      <c r="M567" s="1" t="s">
        <v>74</v>
      </c>
      <c r="N567" s="1" t="s">
        <v>74</v>
      </c>
      <c r="O567" s="1" t="s">
        <v>74</v>
      </c>
      <c r="P567" s="1" t="s">
        <v>74</v>
      </c>
      <c r="Q567" s="1" t="s">
        <v>74</v>
      </c>
      <c r="R567" s="1" t="s">
        <v>74</v>
      </c>
      <c r="S567" s="1" t="s">
        <v>74</v>
      </c>
      <c r="T567" s="1" t="s">
        <v>74</v>
      </c>
      <c r="U567" s="1" t="s">
        <v>74</v>
      </c>
      <c r="V567" s="1" t="s">
        <v>74</v>
      </c>
      <c r="W567" s="1" t="s">
        <v>74</v>
      </c>
      <c r="X567" s="1" t="s">
        <v>74</v>
      </c>
      <c r="Y567" s="1" t="s">
        <v>74</v>
      </c>
      <c r="Z567" s="1" t="s">
        <v>74</v>
      </c>
      <c r="AA567" s="1" t="s">
        <v>1673</v>
      </c>
      <c r="AB567" s="1" t="s">
        <v>5808</v>
      </c>
      <c r="AC567" s="1" t="s">
        <v>74</v>
      </c>
      <c r="AD567" s="1" t="s">
        <v>74</v>
      </c>
      <c r="AE567" s="1" t="s">
        <v>74</v>
      </c>
      <c r="AF567" s="1" t="s">
        <v>74</v>
      </c>
      <c r="AG567" s="1" t="s">
        <v>74</v>
      </c>
      <c r="AH567" s="1" t="s">
        <v>74</v>
      </c>
      <c r="AI567" s="1" t="s">
        <v>74</v>
      </c>
      <c r="AJ567" s="1" t="s">
        <v>74</v>
      </c>
      <c r="AK567" s="1" t="s">
        <v>74</v>
      </c>
      <c r="AL567" s="1" t="s">
        <v>74</v>
      </c>
      <c r="AM567" s="1" t="s">
        <v>74</v>
      </c>
      <c r="AN567" s="1" t="s">
        <v>74</v>
      </c>
      <c r="AO567" s="1" t="s">
        <v>5809</v>
      </c>
      <c r="AP567" s="1" t="s">
        <v>74</v>
      </c>
      <c r="AQ567" s="1" t="s">
        <v>74</v>
      </c>
      <c r="AR567" s="1" t="s">
        <v>74</v>
      </c>
      <c r="AS567" s="1" t="s">
        <v>74</v>
      </c>
      <c r="AT567" s="1" t="s">
        <v>485</v>
      </c>
      <c r="AU567" s="1">
        <v>1986.0</v>
      </c>
      <c r="AV567" s="1">
        <v>33.0</v>
      </c>
      <c r="AW567" s="1">
        <v>2.0</v>
      </c>
      <c r="AX567" s="1" t="s">
        <v>74</v>
      </c>
      <c r="AY567" s="1" t="s">
        <v>74</v>
      </c>
      <c r="AZ567" s="1" t="s">
        <v>74</v>
      </c>
      <c r="BA567" s="1" t="s">
        <v>74</v>
      </c>
      <c r="BB567" s="1">
        <v>229.0</v>
      </c>
      <c r="BC567" s="1">
        <v>236.0</v>
      </c>
      <c r="BD567" s="1" t="s">
        <v>74</v>
      </c>
      <c r="BE567" s="1" t="s">
        <v>5810</v>
      </c>
      <c r="BF567" s="2" t="str">
        <f>HYPERLINK("http://dx.doi.org/10.1016/0047-2670(86)87037-X","http://dx.doi.org/10.1016/0047-2670(86)87037-X")</f>
        <v>http://dx.doi.org/10.1016/0047-2670(86)87037-X</v>
      </c>
      <c r="BG567" s="1" t="s">
        <v>74</v>
      </c>
      <c r="BH567" s="1" t="s">
        <v>74</v>
      </c>
      <c r="BI567" s="1" t="s">
        <v>74</v>
      </c>
      <c r="BJ567" s="1" t="s">
        <v>74</v>
      </c>
      <c r="BK567" s="1" t="s">
        <v>74</v>
      </c>
      <c r="BL567" s="1" t="s">
        <v>74</v>
      </c>
      <c r="BM567" s="1" t="s">
        <v>74</v>
      </c>
      <c r="BN567" s="1" t="s">
        <v>74</v>
      </c>
      <c r="BO567" s="1" t="s">
        <v>74</v>
      </c>
      <c r="BP567" s="1" t="s">
        <v>74</v>
      </c>
      <c r="BQ567" s="1" t="s">
        <v>74</v>
      </c>
      <c r="BR567" s="1" t="s">
        <v>74</v>
      </c>
      <c r="BS567" s="1" t="s">
        <v>5811</v>
      </c>
      <c r="BT567" s="1" t="str">
        <f>HYPERLINK("https%3A%2F%2Fwww.webofscience.com%2Fwos%2Fwoscc%2Ffull-record%2FWOS:A1986C796100010","View Full Record in Web of Science")</f>
        <v>View Full Record in Web of Science</v>
      </c>
    </row>
    <row r="568" ht="12.75" customHeight="1">
      <c r="A568" s="1" t="s">
        <v>72</v>
      </c>
      <c r="B568" s="1" t="s">
        <v>5812</v>
      </c>
      <c r="C568" s="1" t="s">
        <v>74</v>
      </c>
      <c r="D568" s="1" t="s">
        <v>74</v>
      </c>
      <c r="E568" s="1" t="s">
        <v>74</v>
      </c>
      <c r="F568" s="1" t="s">
        <v>5813</v>
      </c>
      <c r="G568" s="1" t="s">
        <v>74</v>
      </c>
      <c r="H568" s="1" t="s">
        <v>74</v>
      </c>
      <c r="I568" s="1" t="s">
        <v>5814</v>
      </c>
      <c r="J568" s="1" t="s">
        <v>107</v>
      </c>
      <c r="K568" s="1" t="s">
        <v>74</v>
      </c>
      <c r="L568" s="1" t="s">
        <v>74</v>
      </c>
      <c r="M568" s="1" t="s">
        <v>74</v>
      </c>
      <c r="N568" s="1" t="s">
        <v>74</v>
      </c>
      <c r="O568" s="1" t="s">
        <v>74</v>
      </c>
      <c r="P568" s="1" t="s">
        <v>74</v>
      </c>
      <c r="Q568" s="1" t="s">
        <v>74</v>
      </c>
      <c r="R568" s="1" t="s">
        <v>74</v>
      </c>
      <c r="S568" s="1" t="s">
        <v>74</v>
      </c>
      <c r="T568" s="1" t="s">
        <v>74</v>
      </c>
      <c r="U568" s="1" t="s">
        <v>74</v>
      </c>
      <c r="V568" s="1" t="s">
        <v>5815</v>
      </c>
      <c r="W568" s="1" t="s">
        <v>74</v>
      </c>
      <c r="X568" s="1" t="s">
        <v>74</v>
      </c>
      <c r="Y568" s="1" t="s">
        <v>74</v>
      </c>
      <c r="Z568" s="1" t="s">
        <v>74</v>
      </c>
      <c r="AA568" s="1" t="s">
        <v>5816</v>
      </c>
      <c r="AB568" s="1" t="s">
        <v>74</v>
      </c>
      <c r="AC568" s="1" t="s">
        <v>74</v>
      </c>
      <c r="AD568" s="1" t="s">
        <v>74</v>
      </c>
      <c r="AE568" s="1" t="s">
        <v>74</v>
      </c>
      <c r="AF568" s="1" t="s">
        <v>74</v>
      </c>
      <c r="AG568" s="1" t="s">
        <v>74</v>
      </c>
      <c r="AH568" s="1" t="s">
        <v>74</v>
      </c>
      <c r="AI568" s="1" t="s">
        <v>74</v>
      </c>
      <c r="AJ568" s="1" t="s">
        <v>74</v>
      </c>
      <c r="AK568" s="1" t="s">
        <v>74</v>
      </c>
      <c r="AL568" s="1" t="s">
        <v>74</v>
      </c>
      <c r="AM568" s="1" t="s">
        <v>74</v>
      </c>
      <c r="AN568" s="1" t="s">
        <v>74</v>
      </c>
      <c r="AO568" s="1" t="s">
        <v>110</v>
      </c>
      <c r="AP568" s="1" t="s">
        <v>563</v>
      </c>
      <c r="AQ568" s="1" t="s">
        <v>74</v>
      </c>
      <c r="AR568" s="1" t="s">
        <v>74</v>
      </c>
      <c r="AS568" s="1" t="s">
        <v>74</v>
      </c>
      <c r="AT568" s="1" t="s">
        <v>153</v>
      </c>
      <c r="AU568" s="1">
        <v>2025.0</v>
      </c>
      <c r="AV568" s="1">
        <v>474.0</v>
      </c>
      <c r="AW568" s="1" t="s">
        <v>74</v>
      </c>
      <c r="AX568" s="1" t="s">
        <v>74</v>
      </c>
      <c r="AY568" s="1" t="s">
        <v>74</v>
      </c>
      <c r="AZ568" s="1" t="s">
        <v>74</v>
      </c>
      <c r="BA568" s="1" t="s">
        <v>74</v>
      </c>
      <c r="BB568" s="1" t="s">
        <v>74</v>
      </c>
      <c r="BC568" s="1" t="s">
        <v>74</v>
      </c>
      <c r="BD568" s="1">
        <v>143187.0</v>
      </c>
      <c r="BE568" s="1" t="s">
        <v>5817</v>
      </c>
      <c r="BF568" s="2" t="str">
        <f>HYPERLINK("http://dx.doi.org/10.1016/j.foodchem.2025.143187","http://dx.doi.org/10.1016/j.foodchem.2025.143187")</f>
        <v>http://dx.doi.org/10.1016/j.foodchem.2025.143187</v>
      </c>
      <c r="BG568" s="1" t="s">
        <v>74</v>
      </c>
      <c r="BH568" s="1" t="s">
        <v>4230</v>
      </c>
      <c r="BI568" s="1" t="s">
        <v>74</v>
      </c>
      <c r="BJ568" s="1" t="s">
        <v>74</v>
      </c>
      <c r="BK568" s="1" t="s">
        <v>74</v>
      </c>
      <c r="BL568" s="1" t="s">
        <v>74</v>
      </c>
      <c r="BM568" s="1" t="s">
        <v>74</v>
      </c>
      <c r="BN568" s="1">
        <v>3.9914354E7</v>
      </c>
      <c r="BO568" s="1" t="s">
        <v>74</v>
      </c>
      <c r="BP568" s="1" t="s">
        <v>74</v>
      </c>
      <c r="BQ568" s="1" t="s">
        <v>74</v>
      </c>
      <c r="BR568" s="1" t="s">
        <v>74</v>
      </c>
      <c r="BS568" s="1" t="s">
        <v>5818</v>
      </c>
      <c r="BT568" s="1" t="str">
        <f>HYPERLINK("https%3A%2F%2Fwww.webofscience.com%2Fwos%2Fwoscc%2Ffull-record%2FWOS:001423345600001","View Full Record in Web of Science")</f>
        <v>View Full Record in Web of Science</v>
      </c>
    </row>
    <row r="569" ht="12.75" customHeight="1">
      <c r="A569" s="1" t="s">
        <v>72</v>
      </c>
      <c r="B569" s="1" t="s">
        <v>5819</v>
      </c>
      <c r="C569" s="1" t="s">
        <v>74</v>
      </c>
      <c r="D569" s="1" t="s">
        <v>74</v>
      </c>
      <c r="E569" s="1" t="s">
        <v>74</v>
      </c>
      <c r="F569" s="1" t="s">
        <v>5820</v>
      </c>
      <c r="G569" s="1" t="s">
        <v>74</v>
      </c>
      <c r="H569" s="1" t="s">
        <v>74</v>
      </c>
      <c r="I569" s="1" t="s">
        <v>5821</v>
      </c>
      <c r="J569" s="1" t="s">
        <v>5822</v>
      </c>
      <c r="K569" s="1" t="s">
        <v>74</v>
      </c>
      <c r="L569" s="1" t="s">
        <v>74</v>
      </c>
      <c r="M569" s="1" t="s">
        <v>74</v>
      </c>
      <c r="N569" s="1" t="s">
        <v>74</v>
      </c>
      <c r="O569" s="1" t="s">
        <v>74</v>
      </c>
      <c r="P569" s="1" t="s">
        <v>74</v>
      </c>
      <c r="Q569" s="1" t="s">
        <v>74</v>
      </c>
      <c r="R569" s="1" t="s">
        <v>74</v>
      </c>
      <c r="S569" s="1" t="s">
        <v>74</v>
      </c>
      <c r="T569" s="1" t="s">
        <v>74</v>
      </c>
      <c r="U569" s="1" t="s">
        <v>74</v>
      </c>
      <c r="V569" s="1" t="s">
        <v>5823</v>
      </c>
      <c r="W569" s="1" t="s">
        <v>74</v>
      </c>
      <c r="X569" s="1" t="s">
        <v>74</v>
      </c>
      <c r="Y569" s="1" t="s">
        <v>74</v>
      </c>
      <c r="Z569" s="1" t="s">
        <v>74</v>
      </c>
      <c r="AA569" s="1" t="s">
        <v>5824</v>
      </c>
      <c r="AB569" s="1" t="s">
        <v>74</v>
      </c>
      <c r="AC569" s="1" t="s">
        <v>74</v>
      </c>
      <c r="AD569" s="1" t="s">
        <v>74</v>
      </c>
      <c r="AE569" s="1" t="s">
        <v>74</v>
      </c>
      <c r="AF569" s="1" t="s">
        <v>74</v>
      </c>
      <c r="AG569" s="1" t="s">
        <v>74</v>
      </c>
      <c r="AH569" s="1" t="s">
        <v>74</v>
      </c>
      <c r="AI569" s="1" t="s">
        <v>74</v>
      </c>
      <c r="AJ569" s="1" t="s">
        <v>74</v>
      </c>
      <c r="AK569" s="1" t="s">
        <v>74</v>
      </c>
      <c r="AL569" s="1" t="s">
        <v>74</v>
      </c>
      <c r="AM569" s="1" t="s">
        <v>74</v>
      </c>
      <c r="AN569" s="1" t="s">
        <v>74</v>
      </c>
      <c r="AO569" s="1" t="s">
        <v>74</v>
      </c>
      <c r="AP569" s="1" t="s">
        <v>5825</v>
      </c>
      <c r="AQ569" s="1" t="s">
        <v>74</v>
      </c>
      <c r="AR569" s="1" t="s">
        <v>74</v>
      </c>
      <c r="AS569" s="1" t="s">
        <v>74</v>
      </c>
      <c r="AT569" s="1" t="s">
        <v>348</v>
      </c>
      <c r="AU569" s="1">
        <v>2024.0</v>
      </c>
      <c r="AV569" s="1">
        <v>12.0</v>
      </c>
      <c r="AW569" s="1">
        <v>9.0</v>
      </c>
      <c r="AX569" s="1" t="s">
        <v>74</v>
      </c>
      <c r="AY569" s="1" t="s">
        <v>74</v>
      </c>
      <c r="AZ569" s="1" t="s">
        <v>74</v>
      </c>
      <c r="BA569" s="1" t="s">
        <v>74</v>
      </c>
      <c r="BB569" s="1" t="s">
        <v>74</v>
      </c>
      <c r="BC569" s="1" t="s">
        <v>74</v>
      </c>
      <c r="BD569" s="1">
        <v>2.3259671241266604E16</v>
      </c>
      <c r="BE569" s="1" t="s">
        <v>5826</v>
      </c>
      <c r="BF569" s="2" t="str">
        <f>HYPERLINK("http://dx.doi.org/10.1177/23259671241266604","http://dx.doi.org/10.1177/23259671241266604")</f>
        <v>http://dx.doi.org/10.1177/23259671241266604</v>
      </c>
      <c r="BG569" s="1" t="s">
        <v>74</v>
      </c>
      <c r="BH569" s="1" t="s">
        <v>74</v>
      </c>
      <c r="BI569" s="1" t="s">
        <v>74</v>
      </c>
      <c r="BJ569" s="1" t="s">
        <v>74</v>
      </c>
      <c r="BK569" s="1" t="s">
        <v>74</v>
      </c>
      <c r="BL569" s="1" t="s">
        <v>74</v>
      </c>
      <c r="BM569" s="1" t="s">
        <v>74</v>
      </c>
      <c r="BN569" s="1">
        <v>3.9291125E7</v>
      </c>
      <c r="BO569" s="1" t="s">
        <v>74</v>
      </c>
      <c r="BP569" s="1" t="s">
        <v>74</v>
      </c>
      <c r="BQ569" s="1" t="s">
        <v>74</v>
      </c>
      <c r="BR569" s="1" t="s">
        <v>74</v>
      </c>
      <c r="BS569" s="1" t="s">
        <v>5827</v>
      </c>
      <c r="BT569" s="1" t="str">
        <f>HYPERLINK("https%3A%2F%2Fwww.webofscience.com%2Fwos%2Fwoscc%2Ffull-record%2FWOS:001313748500001","View Full Record in Web of Science")</f>
        <v>View Full Record in Web of Science</v>
      </c>
    </row>
    <row r="570" ht="12.75" customHeight="1">
      <c r="A570" s="1" t="s">
        <v>72</v>
      </c>
      <c r="B570" s="1" t="s">
        <v>5828</v>
      </c>
      <c r="C570" s="1" t="s">
        <v>74</v>
      </c>
      <c r="D570" s="1" t="s">
        <v>74</v>
      </c>
      <c r="E570" s="1" t="s">
        <v>74</v>
      </c>
      <c r="F570" s="1" t="s">
        <v>5829</v>
      </c>
      <c r="G570" s="1" t="s">
        <v>74</v>
      </c>
      <c r="H570" s="1" t="s">
        <v>74</v>
      </c>
      <c r="I570" s="1" t="s">
        <v>5830</v>
      </c>
      <c r="J570" s="1" t="s">
        <v>5831</v>
      </c>
      <c r="K570" s="1" t="s">
        <v>74</v>
      </c>
      <c r="L570" s="1" t="s">
        <v>74</v>
      </c>
      <c r="M570" s="1" t="s">
        <v>74</v>
      </c>
      <c r="N570" s="1" t="s">
        <v>74</v>
      </c>
      <c r="O570" s="1" t="s">
        <v>74</v>
      </c>
      <c r="P570" s="1" t="s">
        <v>74</v>
      </c>
      <c r="Q570" s="1" t="s">
        <v>74</v>
      </c>
      <c r="R570" s="1" t="s">
        <v>74</v>
      </c>
      <c r="S570" s="1" t="s">
        <v>74</v>
      </c>
      <c r="T570" s="1" t="s">
        <v>74</v>
      </c>
      <c r="U570" s="1" t="s">
        <v>74</v>
      </c>
      <c r="V570" s="1" t="s">
        <v>5832</v>
      </c>
      <c r="W570" s="1" t="s">
        <v>74</v>
      </c>
      <c r="X570" s="1" t="s">
        <v>74</v>
      </c>
      <c r="Y570" s="1" t="s">
        <v>74</v>
      </c>
      <c r="Z570" s="1" t="s">
        <v>74</v>
      </c>
      <c r="AA570" s="1" t="s">
        <v>5833</v>
      </c>
      <c r="AB570" s="1" t="s">
        <v>5834</v>
      </c>
      <c r="AC570" s="1" t="s">
        <v>74</v>
      </c>
      <c r="AD570" s="1" t="s">
        <v>74</v>
      </c>
      <c r="AE570" s="1" t="s">
        <v>74</v>
      </c>
      <c r="AF570" s="1" t="s">
        <v>74</v>
      </c>
      <c r="AG570" s="1" t="s">
        <v>74</v>
      </c>
      <c r="AH570" s="1" t="s">
        <v>74</v>
      </c>
      <c r="AI570" s="1" t="s">
        <v>74</v>
      </c>
      <c r="AJ570" s="1" t="s">
        <v>74</v>
      </c>
      <c r="AK570" s="1" t="s">
        <v>74</v>
      </c>
      <c r="AL570" s="1" t="s">
        <v>74</v>
      </c>
      <c r="AM570" s="1" t="s">
        <v>74</v>
      </c>
      <c r="AN570" s="1" t="s">
        <v>74</v>
      </c>
      <c r="AO570" s="1" t="s">
        <v>74</v>
      </c>
      <c r="AP570" s="1" t="s">
        <v>5835</v>
      </c>
      <c r="AQ570" s="1" t="s">
        <v>74</v>
      </c>
      <c r="AR570" s="1" t="s">
        <v>74</v>
      </c>
      <c r="AS570" s="1" t="s">
        <v>74</v>
      </c>
      <c r="AT570" s="1" t="s">
        <v>1018</v>
      </c>
      <c r="AU570" s="1">
        <v>2024.0</v>
      </c>
      <c r="AV570" s="1">
        <v>17.0</v>
      </c>
      <c r="AW570" s="1">
        <v>16.0</v>
      </c>
      <c r="AX570" s="1" t="s">
        <v>74</v>
      </c>
      <c r="AY570" s="1" t="s">
        <v>74</v>
      </c>
      <c r="AZ570" s="1" t="s">
        <v>74</v>
      </c>
      <c r="BA570" s="1" t="s">
        <v>74</v>
      </c>
      <c r="BB570" s="1" t="s">
        <v>74</v>
      </c>
      <c r="BC570" s="1" t="s">
        <v>74</v>
      </c>
      <c r="BD570" s="1">
        <v>3996.0</v>
      </c>
      <c r="BE570" s="1" t="s">
        <v>5836</v>
      </c>
      <c r="BF570" s="2" t="str">
        <f>HYPERLINK("http://dx.doi.org/10.3390/ma17163996","http://dx.doi.org/10.3390/ma17163996")</f>
        <v>http://dx.doi.org/10.3390/ma17163996</v>
      </c>
      <c r="BG570" s="1" t="s">
        <v>74</v>
      </c>
      <c r="BH570" s="1" t="s">
        <v>74</v>
      </c>
      <c r="BI570" s="1" t="s">
        <v>74</v>
      </c>
      <c r="BJ570" s="1" t="s">
        <v>74</v>
      </c>
      <c r="BK570" s="1" t="s">
        <v>74</v>
      </c>
      <c r="BL570" s="1" t="s">
        <v>74</v>
      </c>
      <c r="BM570" s="1" t="s">
        <v>74</v>
      </c>
      <c r="BN570" s="1">
        <v>3.9203174E7</v>
      </c>
      <c r="BO570" s="1" t="s">
        <v>74</v>
      </c>
      <c r="BP570" s="1" t="s">
        <v>74</v>
      </c>
      <c r="BQ570" s="1" t="s">
        <v>74</v>
      </c>
      <c r="BR570" s="1" t="s">
        <v>74</v>
      </c>
      <c r="BS570" s="1" t="s">
        <v>5837</v>
      </c>
      <c r="BT570" s="1" t="str">
        <f>HYPERLINK("https%3A%2F%2Fwww.webofscience.com%2Fwos%2Fwoscc%2Ffull-record%2FWOS:001305292100001","View Full Record in Web of Science")</f>
        <v>View Full Record in Web of Science</v>
      </c>
    </row>
    <row r="571" ht="12.75" customHeight="1">
      <c r="A571" s="1" t="s">
        <v>72</v>
      </c>
      <c r="B571" s="1" t="s">
        <v>5838</v>
      </c>
      <c r="C571" s="1" t="s">
        <v>74</v>
      </c>
      <c r="D571" s="1" t="s">
        <v>74</v>
      </c>
      <c r="E571" s="1" t="s">
        <v>74</v>
      </c>
      <c r="F571" s="1" t="s">
        <v>5839</v>
      </c>
      <c r="G571" s="1" t="s">
        <v>74</v>
      </c>
      <c r="H571" s="1" t="s">
        <v>74</v>
      </c>
      <c r="I571" s="1" t="s">
        <v>5840</v>
      </c>
      <c r="J571" s="1" t="s">
        <v>968</v>
      </c>
      <c r="K571" s="1" t="s">
        <v>74</v>
      </c>
      <c r="L571" s="1" t="s">
        <v>74</v>
      </c>
      <c r="M571" s="1" t="s">
        <v>74</v>
      </c>
      <c r="N571" s="1" t="s">
        <v>74</v>
      </c>
      <c r="O571" s="1" t="s">
        <v>74</v>
      </c>
      <c r="P571" s="1" t="s">
        <v>74</v>
      </c>
      <c r="Q571" s="1" t="s">
        <v>74</v>
      </c>
      <c r="R571" s="1" t="s">
        <v>74</v>
      </c>
      <c r="S571" s="1" t="s">
        <v>74</v>
      </c>
      <c r="T571" s="1" t="s">
        <v>74</v>
      </c>
      <c r="U571" s="1" t="s">
        <v>74</v>
      </c>
      <c r="V571" s="1" t="s">
        <v>5841</v>
      </c>
      <c r="W571" s="1" t="s">
        <v>74</v>
      </c>
      <c r="X571" s="1" t="s">
        <v>74</v>
      </c>
      <c r="Y571" s="1" t="s">
        <v>74</v>
      </c>
      <c r="Z571" s="1" t="s">
        <v>74</v>
      </c>
      <c r="AA571" s="1" t="s">
        <v>5842</v>
      </c>
      <c r="AB571" s="1" t="s">
        <v>5843</v>
      </c>
      <c r="AC571" s="1" t="s">
        <v>74</v>
      </c>
      <c r="AD571" s="1" t="s">
        <v>74</v>
      </c>
      <c r="AE571" s="1" t="s">
        <v>74</v>
      </c>
      <c r="AF571" s="1" t="s">
        <v>74</v>
      </c>
      <c r="AG571" s="1" t="s">
        <v>74</v>
      </c>
      <c r="AH571" s="1" t="s">
        <v>74</v>
      </c>
      <c r="AI571" s="1" t="s">
        <v>74</v>
      </c>
      <c r="AJ571" s="1" t="s">
        <v>74</v>
      </c>
      <c r="AK571" s="1" t="s">
        <v>74</v>
      </c>
      <c r="AL571" s="1" t="s">
        <v>74</v>
      </c>
      <c r="AM571" s="1" t="s">
        <v>74</v>
      </c>
      <c r="AN571" s="1" t="s">
        <v>74</v>
      </c>
      <c r="AO571" s="1" t="s">
        <v>74</v>
      </c>
      <c r="AP571" s="1" t="s">
        <v>972</v>
      </c>
      <c r="AQ571" s="1" t="s">
        <v>74</v>
      </c>
      <c r="AR571" s="1" t="s">
        <v>74</v>
      </c>
      <c r="AS571" s="1" t="s">
        <v>74</v>
      </c>
      <c r="AT571" s="1" t="s">
        <v>422</v>
      </c>
      <c r="AU571" s="1">
        <v>2024.0</v>
      </c>
      <c r="AV571" s="1">
        <v>12.0</v>
      </c>
      <c r="AW571" s="1">
        <v>1.0</v>
      </c>
      <c r="AX571" s="1" t="s">
        <v>74</v>
      </c>
      <c r="AY571" s="1" t="s">
        <v>74</v>
      </c>
      <c r="AZ571" s="1" t="s">
        <v>74</v>
      </c>
      <c r="BA571" s="1" t="s">
        <v>74</v>
      </c>
      <c r="BB571" s="1" t="s">
        <v>74</v>
      </c>
      <c r="BC571" s="1" t="s">
        <v>74</v>
      </c>
      <c r="BD571" s="1">
        <v>155.0</v>
      </c>
      <c r="BE571" s="1" t="s">
        <v>5844</v>
      </c>
      <c r="BF571" s="2" t="str">
        <f>HYPERLINK("http://dx.doi.org/10.3390/pr12010155","http://dx.doi.org/10.3390/pr12010155")</f>
        <v>http://dx.doi.org/10.3390/pr12010155</v>
      </c>
      <c r="BG571" s="1" t="s">
        <v>74</v>
      </c>
      <c r="BH571" s="1" t="s">
        <v>74</v>
      </c>
      <c r="BI571" s="1" t="s">
        <v>74</v>
      </c>
      <c r="BJ571" s="1" t="s">
        <v>74</v>
      </c>
      <c r="BK571" s="1" t="s">
        <v>74</v>
      </c>
      <c r="BL571" s="1" t="s">
        <v>74</v>
      </c>
      <c r="BM571" s="1" t="s">
        <v>74</v>
      </c>
      <c r="BN571" s="1" t="s">
        <v>74</v>
      </c>
      <c r="BO571" s="1" t="s">
        <v>74</v>
      </c>
      <c r="BP571" s="1" t="s">
        <v>74</v>
      </c>
      <c r="BQ571" s="1" t="s">
        <v>74</v>
      </c>
      <c r="BR571" s="1" t="s">
        <v>74</v>
      </c>
      <c r="BS571" s="1" t="s">
        <v>5845</v>
      </c>
      <c r="BT571" s="1" t="str">
        <f>HYPERLINK("https%3A%2F%2Fwww.webofscience.com%2Fwos%2Fwoscc%2Ffull-record%2FWOS:001150905500001","View Full Record in Web of Science")</f>
        <v>View Full Record in Web of Science</v>
      </c>
    </row>
    <row r="572" ht="12.75" customHeight="1">
      <c r="A572" s="1" t="s">
        <v>72</v>
      </c>
      <c r="B572" s="1" t="s">
        <v>5846</v>
      </c>
      <c r="C572" s="1" t="s">
        <v>74</v>
      </c>
      <c r="D572" s="1" t="s">
        <v>74</v>
      </c>
      <c r="E572" s="1" t="s">
        <v>74</v>
      </c>
      <c r="F572" s="1" t="s">
        <v>5847</v>
      </c>
      <c r="G572" s="1" t="s">
        <v>74</v>
      </c>
      <c r="H572" s="1" t="s">
        <v>74</v>
      </c>
      <c r="I572" s="1" t="s">
        <v>5848</v>
      </c>
      <c r="J572" s="1" t="s">
        <v>3408</v>
      </c>
      <c r="K572" s="1" t="s">
        <v>74</v>
      </c>
      <c r="L572" s="1" t="s">
        <v>74</v>
      </c>
      <c r="M572" s="1" t="s">
        <v>74</v>
      </c>
      <c r="N572" s="1" t="s">
        <v>74</v>
      </c>
      <c r="O572" s="1" t="s">
        <v>74</v>
      </c>
      <c r="P572" s="1" t="s">
        <v>74</v>
      </c>
      <c r="Q572" s="1" t="s">
        <v>74</v>
      </c>
      <c r="R572" s="1" t="s">
        <v>74</v>
      </c>
      <c r="S572" s="1" t="s">
        <v>74</v>
      </c>
      <c r="T572" s="1" t="s">
        <v>74</v>
      </c>
      <c r="U572" s="1" t="s">
        <v>74</v>
      </c>
      <c r="V572" s="1" t="s">
        <v>5849</v>
      </c>
      <c r="W572" s="1" t="s">
        <v>74</v>
      </c>
      <c r="X572" s="1" t="s">
        <v>74</v>
      </c>
      <c r="Y572" s="1" t="s">
        <v>74</v>
      </c>
      <c r="Z572" s="1" t="s">
        <v>74</v>
      </c>
      <c r="AA572" s="1" t="s">
        <v>5850</v>
      </c>
      <c r="AB572" s="1" t="s">
        <v>5851</v>
      </c>
      <c r="AC572" s="1" t="s">
        <v>74</v>
      </c>
      <c r="AD572" s="1" t="s">
        <v>74</v>
      </c>
      <c r="AE572" s="1" t="s">
        <v>74</v>
      </c>
      <c r="AF572" s="1" t="s">
        <v>74</v>
      </c>
      <c r="AG572" s="1" t="s">
        <v>74</v>
      </c>
      <c r="AH572" s="1" t="s">
        <v>74</v>
      </c>
      <c r="AI572" s="1" t="s">
        <v>74</v>
      </c>
      <c r="AJ572" s="1" t="s">
        <v>74</v>
      </c>
      <c r="AK572" s="1" t="s">
        <v>74</v>
      </c>
      <c r="AL572" s="1" t="s">
        <v>74</v>
      </c>
      <c r="AM572" s="1" t="s">
        <v>74</v>
      </c>
      <c r="AN572" s="1" t="s">
        <v>74</v>
      </c>
      <c r="AO572" s="1" t="s">
        <v>3412</v>
      </c>
      <c r="AP572" s="1" t="s">
        <v>74</v>
      </c>
      <c r="AQ572" s="1" t="s">
        <v>74</v>
      </c>
      <c r="AR572" s="1" t="s">
        <v>74</v>
      </c>
      <c r="AS572" s="1" t="s">
        <v>74</v>
      </c>
      <c r="AT572" s="1" t="s">
        <v>1332</v>
      </c>
      <c r="AU572" s="1">
        <v>2023.0</v>
      </c>
      <c r="AV572" s="1">
        <v>11.0</v>
      </c>
      <c r="AW572" s="1" t="s">
        <v>74</v>
      </c>
      <c r="AX572" s="1" t="s">
        <v>74</v>
      </c>
      <c r="AY572" s="1" t="s">
        <v>74</v>
      </c>
      <c r="AZ572" s="1" t="s">
        <v>74</v>
      </c>
      <c r="BA572" s="1" t="s">
        <v>74</v>
      </c>
      <c r="BB572" s="1" t="s">
        <v>74</v>
      </c>
      <c r="BC572" s="1" t="s">
        <v>74</v>
      </c>
      <c r="BD572" s="1">
        <v>1292541.0</v>
      </c>
      <c r="BE572" s="1" t="s">
        <v>5852</v>
      </c>
      <c r="BF572" s="2" t="str">
        <f>HYPERLINK("http://dx.doi.org/10.3389/fchem.2023.1292541","http://dx.doi.org/10.3389/fchem.2023.1292541")</f>
        <v>http://dx.doi.org/10.3389/fchem.2023.1292541</v>
      </c>
      <c r="BG572" s="1" t="s">
        <v>74</v>
      </c>
      <c r="BH572" s="1" t="s">
        <v>74</v>
      </c>
      <c r="BI572" s="1" t="s">
        <v>74</v>
      </c>
      <c r="BJ572" s="1" t="s">
        <v>74</v>
      </c>
      <c r="BK572" s="1" t="s">
        <v>74</v>
      </c>
      <c r="BL572" s="1" t="s">
        <v>74</v>
      </c>
      <c r="BM572" s="1" t="s">
        <v>74</v>
      </c>
      <c r="BN572" s="1">
        <v>3.8025083E7</v>
      </c>
      <c r="BO572" s="1" t="s">
        <v>74</v>
      </c>
      <c r="BP572" s="1" t="s">
        <v>74</v>
      </c>
      <c r="BQ572" s="1" t="s">
        <v>74</v>
      </c>
      <c r="BR572" s="1" t="s">
        <v>74</v>
      </c>
      <c r="BS572" s="1" t="s">
        <v>5853</v>
      </c>
      <c r="BT572" s="1" t="str">
        <f>HYPERLINK("https%3A%2F%2Fwww.webofscience.com%2Fwos%2Fwoscc%2Ffull-record%2FWOS:001105835900001","View Full Record in Web of Science")</f>
        <v>View Full Record in Web of Science</v>
      </c>
    </row>
    <row r="573" ht="12.75" customHeight="1">
      <c r="A573" s="1" t="s">
        <v>72</v>
      </c>
      <c r="B573" s="1" t="s">
        <v>5854</v>
      </c>
      <c r="C573" s="1" t="s">
        <v>74</v>
      </c>
      <c r="D573" s="1" t="s">
        <v>74</v>
      </c>
      <c r="E573" s="1" t="s">
        <v>74</v>
      </c>
      <c r="F573" s="1" t="s">
        <v>5855</v>
      </c>
      <c r="G573" s="1" t="s">
        <v>74</v>
      </c>
      <c r="H573" s="1" t="s">
        <v>74</v>
      </c>
      <c r="I573" s="1" t="s">
        <v>5856</v>
      </c>
      <c r="J573" s="1" t="s">
        <v>4493</v>
      </c>
      <c r="K573" s="1" t="s">
        <v>74</v>
      </c>
      <c r="L573" s="1" t="s">
        <v>74</v>
      </c>
      <c r="M573" s="1" t="s">
        <v>74</v>
      </c>
      <c r="N573" s="1" t="s">
        <v>74</v>
      </c>
      <c r="O573" s="1" t="s">
        <v>74</v>
      </c>
      <c r="P573" s="1" t="s">
        <v>74</v>
      </c>
      <c r="Q573" s="1" t="s">
        <v>74</v>
      </c>
      <c r="R573" s="1" t="s">
        <v>74</v>
      </c>
      <c r="S573" s="1" t="s">
        <v>74</v>
      </c>
      <c r="T573" s="1" t="s">
        <v>74</v>
      </c>
      <c r="U573" s="1" t="s">
        <v>74</v>
      </c>
      <c r="V573" s="1" t="s">
        <v>5857</v>
      </c>
      <c r="W573" s="1" t="s">
        <v>74</v>
      </c>
      <c r="X573" s="1" t="s">
        <v>74</v>
      </c>
      <c r="Y573" s="1" t="s">
        <v>74</v>
      </c>
      <c r="Z573" s="1" t="s">
        <v>74</v>
      </c>
      <c r="AA573" s="1" t="s">
        <v>5858</v>
      </c>
      <c r="AB573" s="1" t="s">
        <v>5859</v>
      </c>
      <c r="AC573" s="1" t="s">
        <v>74</v>
      </c>
      <c r="AD573" s="1" t="s">
        <v>74</v>
      </c>
      <c r="AE573" s="1" t="s">
        <v>74</v>
      </c>
      <c r="AF573" s="1" t="s">
        <v>74</v>
      </c>
      <c r="AG573" s="1" t="s">
        <v>74</v>
      </c>
      <c r="AH573" s="1" t="s">
        <v>74</v>
      </c>
      <c r="AI573" s="1" t="s">
        <v>74</v>
      </c>
      <c r="AJ573" s="1" t="s">
        <v>74</v>
      </c>
      <c r="AK573" s="1" t="s">
        <v>74</v>
      </c>
      <c r="AL573" s="1" t="s">
        <v>74</v>
      </c>
      <c r="AM573" s="1" t="s">
        <v>74</v>
      </c>
      <c r="AN573" s="1" t="s">
        <v>74</v>
      </c>
      <c r="AO573" s="1" t="s">
        <v>4495</v>
      </c>
      <c r="AP573" s="1" t="s">
        <v>74</v>
      </c>
      <c r="AQ573" s="1" t="s">
        <v>74</v>
      </c>
      <c r="AR573" s="1" t="s">
        <v>74</v>
      </c>
      <c r="AS573" s="1" t="s">
        <v>74</v>
      </c>
      <c r="AT573" s="1" t="s">
        <v>5860</v>
      </c>
      <c r="AU573" s="1">
        <v>2023.0</v>
      </c>
      <c r="AV573" s="1">
        <v>13.0</v>
      </c>
      <c r="AW573" s="1">
        <v>1.0</v>
      </c>
      <c r="AX573" s="1" t="s">
        <v>74</v>
      </c>
      <c r="AY573" s="1" t="s">
        <v>74</v>
      </c>
      <c r="AZ573" s="1" t="s">
        <v>74</v>
      </c>
      <c r="BA573" s="1" t="s">
        <v>74</v>
      </c>
      <c r="BB573" s="1" t="s">
        <v>74</v>
      </c>
      <c r="BC573" s="1" t="s">
        <v>74</v>
      </c>
      <c r="BD573" s="1">
        <v>19377.0</v>
      </c>
      <c r="BE573" s="1" t="s">
        <v>5861</v>
      </c>
      <c r="BF573" s="2" t="str">
        <f>HYPERLINK("http://dx.doi.org/10.1038/s41598-023-45039-w","http://dx.doi.org/10.1038/s41598-023-45039-w")</f>
        <v>http://dx.doi.org/10.1038/s41598-023-45039-w</v>
      </c>
      <c r="BG573" s="1" t="s">
        <v>74</v>
      </c>
      <c r="BH573" s="1" t="s">
        <v>74</v>
      </c>
      <c r="BI573" s="1" t="s">
        <v>74</v>
      </c>
      <c r="BJ573" s="1" t="s">
        <v>74</v>
      </c>
      <c r="BK573" s="1" t="s">
        <v>74</v>
      </c>
      <c r="BL573" s="1" t="s">
        <v>74</v>
      </c>
      <c r="BM573" s="1" t="s">
        <v>74</v>
      </c>
      <c r="BN573" s="1">
        <v>3.7938553E7</v>
      </c>
      <c r="BO573" s="1" t="s">
        <v>74</v>
      </c>
      <c r="BP573" s="1" t="s">
        <v>74</v>
      </c>
      <c r="BQ573" s="1" t="s">
        <v>74</v>
      </c>
      <c r="BR573" s="1" t="s">
        <v>74</v>
      </c>
      <c r="BS573" s="1" t="s">
        <v>5862</v>
      </c>
      <c r="BT573" s="1" t="str">
        <f>HYPERLINK("https%3A%2F%2Fwww.webofscience.com%2Fwos%2Fwoscc%2Ffull-record%2FWOS:001102634800061","View Full Record in Web of Science")</f>
        <v>View Full Record in Web of Science</v>
      </c>
    </row>
    <row r="574" ht="12.75" customHeight="1">
      <c r="A574" s="1" t="s">
        <v>72</v>
      </c>
      <c r="B574" s="1" t="s">
        <v>5863</v>
      </c>
      <c r="C574" s="1" t="s">
        <v>74</v>
      </c>
      <c r="D574" s="1" t="s">
        <v>74</v>
      </c>
      <c r="E574" s="1" t="s">
        <v>74</v>
      </c>
      <c r="F574" s="1" t="s">
        <v>5864</v>
      </c>
      <c r="G574" s="1" t="s">
        <v>74</v>
      </c>
      <c r="H574" s="1" t="s">
        <v>74</v>
      </c>
      <c r="I574" s="1" t="s">
        <v>5865</v>
      </c>
      <c r="J574" s="1" t="s">
        <v>5866</v>
      </c>
      <c r="K574" s="1" t="s">
        <v>74</v>
      </c>
      <c r="L574" s="1" t="s">
        <v>74</v>
      </c>
      <c r="M574" s="1" t="s">
        <v>74</v>
      </c>
      <c r="N574" s="1" t="s">
        <v>74</v>
      </c>
      <c r="O574" s="1" t="s">
        <v>74</v>
      </c>
      <c r="P574" s="1" t="s">
        <v>74</v>
      </c>
      <c r="Q574" s="1" t="s">
        <v>74</v>
      </c>
      <c r="R574" s="1" t="s">
        <v>74</v>
      </c>
      <c r="S574" s="1" t="s">
        <v>74</v>
      </c>
      <c r="T574" s="1" t="s">
        <v>74</v>
      </c>
      <c r="U574" s="1" t="s">
        <v>74</v>
      </c>
      <c r="V574" s="1" t="s">
        <v>5867</v>
      </c>
      <c r="W574" s="1" t="s">
        <v>74</v>
      </c>
      <c r="X574" s="1" t="s">
        <v>74</v>
      </c>
      <c r="Y574" s="1" t="s">
        <v>74</v>
      </c>
      <c r="Z574" s="1" t="s">
        <v>74</v>
      </c>
      <c r="AA574" s="1" t="s">
        <v>5868</v>
      </c>
      <c r="AB574" s="1" t="s">
        <v>74</v>
      </c>
      <c r="AC574" s="1" t="s">
        <v>74</v>
      </c>
      <c r="AD574" s="1" t="s">
        <v>74</v>
      </c>
      <c r="AE574" s="1" t="s">
        <v>74</v>
      </c>
      <c r="AF574" s="1" t="s">
        <v>74</v>
      </c>
      <c r="AG574" s="1" t="s">
        <v>74</v>
      </c>
      <c r="AH574" s="1" t="s">
        <v>74</v>
      </c>
      <c r="AI574" s="1" t="s">
        <v>74</v>
      </c>
      <c r="AJ574" s="1" t="s">
        <v>74</v>
      </c>
      <c r="AK574" s="1" t="s">
        <v>74</v>
      </c>
      <c r="AL574" s="1" t="s">
        <v>74</v>
      </c>
      <c r="AM574" s="1" t="s">
        <v>74</v>
      </c>
      <c r="AN574" s="1" t="s">
        <v>74</v>
      </c>
      <c r="AO574" s="1" t="s">
        <v>5869</v>
      </c>
      <c r="AP574" s="1" t="s">
        <v>5870</v>
      </c>
      <c r="AQ574" s="1" t="s">
        <v>74</v>
      </c>
      <c r="AR574" s="1" t="s">
        <v>74</v>
      </c>
      <c r="AS574" s="1" t="s">
        <v>74</v>
      </c>
      <c r="AT574" s="1" t="s">
        <v>485</v>
      </c>
      <c r="AU574" s="1">
        <v>2024.0</v>
      </c>
      <c r="AV574" s="1">
        <v>49.0</v>
      </c>
      <c r="AW574" s="1">
        <v>5.0</v>
      </c>
      <c r="AX574" s="1" t="s">
        <v>74</v>
      </c>
      <c r="AY574" s="1" t="s">
        <v>74</v>
      </c>
      <c r="AZ574" s="1" t="s">
        <v>74</v>
      </c>
      <c r="BA574" s="1" t="s">
        <v>74</v>
      </c>
      <c r="BB574" s="1">
        <v>6505.0</v>
      </c>
      <c r="BC574" s="1">
        <v>6520.0</v>
      </c>
      <c r="BD574" s="1" t="s">
        <v>74</v>
      </c>
      <c r="BE574" s="1" t="s">
        <v>5871</v>
      </c>
      <c r="BF574" s="2" t="str">
        <f>HYPERLINK("http://dx.doi.org/10.1007/s13369-023-08310-w","http://dx.doi.org/10.1007/s13369-023-08310-w")</f>
        <v>http://dx.doi.org/10.1007/s13369-023-08310-w</v>
      </c>
      <c r="BG574" s="1" t="s">
        <v>74</v>
      </c>
      <c r="BH574" s="1" t="s">
        <v>566</v>
      </c>
      <c r="BI574" s="1" t="s">
        <v>74</v>
      </c>
      <c r="BJ574" s="1" t="s">
        <v>74</v>
      </c>
      <c r="BK574" s="1" t="s">
        <v>74</v>
      </c>
      <c r="BL574" s="1" t="s">
        <v>74</v>
      </c>
      <c r="BM574" s="1" t="s">
        <v>74</v>
      </c>
      <c r="BN574" s="1" t="s">
        <v>74</v>
      </c>
      <c r="BO574" s="1" t="s">
        <v>74</v>
      </c>
      <c r="BP574" s="1" t="s">
        <v>74</v>
      </c>
      <c r="BQ574" s="1" t="s">
        <v>74</v>
      </c>
      <c r="BR574" s="1" t="s">
        <v>74</v>
      </c>
      <c r="BS574" s="1" t="s">
        <v>5872</v>
      </c>
      <c r="BT574" s="1" t="str">
        <f>HYPERLINK("https%3A%2F%2Fwww.webofscience.com%2Fwos%2Fwoscc%2Ffull-record%2FWOS:001075510100002","View Full Record in Web of Science")</f>
        <v>View Full Record in Web of Science</v>
      </c>
    </row>
    <row r="575" ht="12.75" customHeight="1">
      <c r="A575" s="1" t="s">
        <v>72</v>
      </c>
      <c r="B575" s="1" t="s">
        <v>5873</v>
      </c>
      <c r="C575" s="1" t="s">
        <v>74</v>
      </c>
      <c r="D575" s="1" t="s">
        <v>74</v>
      </c>
      <c r="E575" s="1" t="s">
        <v>74</v>
      </c>
      <c r="F575" s="1" t="s">
        <v>5874</v>
      </c>
      <c r="G575" s="1" t="s">
        <v>74</v>
      </c>
      <c r="H575" s="1" t="s">
        <v>74</v>
      </c>
      <c r="I575" s="1" t="s">
        <v>5875</v>
      </c>
      <c r="J575" s="1" t="s">
        <v>5876</v>
      </c>
      <c r="K575" s="1" t="s">
        <v>74</v>
      </c>
      <c r="L575" s="1" t="s">
        <v>74</v>
      </c>
      <c r="M575" s="1" t="s">
        <v>74</v>
      </c>
      <c r="N575" s="1" t="s">
        <v>74</v>
      </c>
      <c r="O575" s="1" t="s">
        <v>74</v>
      </c>
      <c r="P575" s="1" t="s">
        <v>74</v>
      </c>
      <c r="Q575" s="1" t="s">
        <v>74</v>
      </c>
      <c r="R575" s="1" t="s">
        <v>74</v>
      </c>
      <c r="S575" s="1" t="s">
        <v>74</v>
      </c>
      <c r="T575" s="1" t="s">
        <v>74</v>
      </c>
      <c r="U575" s="1" t="s">
        <v>74</v>
      </c>
      <c r="V575" s="1" t="s">
        <v>74</v>
      </c>
      <c r="W575" s="1" t="s">
        <v>74</v>
      </c>
      <c r="X575" s="1" t="s">
        <v>74</v>
      </c>
      <c r="Y575" s="1" t="s">
        <v>74</v>
      </c>
      <c r="Z575" s="1" t="s">
        <v>74</v>
      </c>
      <c r="AA575" s="1" t="s">
        <v>5877</v>
      </c>
      <c r="AB575" s="1" t="s">
        <v>74</v>
      </c>
      <c r="AC575" s="1" t="s">
        <v>74</v>
      </c>
      <c r="AD575" s="1" t="s">
        <v>74</v>
      </c>
      <c r="AE575" s="1" t="s">
        <v>74</v>
      </c>
      <c r="AF575" s="1" t="s">
        <v>74</v>
      </c>
      <c r="AG575" s="1" t="s">
        <v>74</v>
      </c>
      <c r="AH575" s="1" t="s">
        <v>74</v>
      </c>
      <c r="AI575" s="1" t="s">
        <v>74</v>
      </c>
      <c r="AJ575" s="1" t="s">
        <v>74</v>
      </c>
      <c r="AK575" s="1" t="s">
        <v>74</v>
      </c>
      <c r="AL575" s="1" t="s">
        <v>74</v>
      </c>
      <c r="AM575" s="1" t="s">
        <v>74</v>
      </c>
      <c r="AN575" s="1" t="s">
        <v>74</v>
      </c>
      <c r="AO575" s="1" t="s">
        <v>5878</v>
      </c>
      <c r="AP575" s="1" t="s">
        <v>5879</v>
      </c>
      <c r="AQ575" s="1" t="s">
        <v>74</v>
      </c>
      <c r="AR575" s="1" t="s">
        <v>74</v>
      </c>
      <c r="AS575" s="1" t="s">
        <v>74</v>
      </c>
      <c r="AT575" s="1" t="s">
        <v>1018</v>
      </c>
      <c r="AU575" s="1">
        <v>2023.0</v>
      </c>
      <c r="AV575" s="1">
        <v>166.0</v>
      </c>
      <c r="AW575" s="1" t="s">
        <v>74</v>
      </c>
      <c r="AX575" s="1" t="s">
        <v>74</v>
      </c>
      <c r="AY575" s="1">
        <v>1.0</v>
      </c>
      <c r="AZ575" s="1" t="s">
        <v>1416</v>
      </c>
      <c r="BA575" s="1" t="s">
        <v>5880</v>
      </c>
      <c r="BB575" s="1">
        <v>32.0</v>
      </c>
      <c r="BC575" s="1">
        <v>32.0</v>
      </c>
      <c r="BD575" s="1" t="s">
        <v>74</v>
      </c>
      <c r="BE575" s="1" t="s">
        <v>74</v>
      </c>
      <c r="BF575" s="1" t="s">
        <v>74</v>
      </c>
      <c r="BG575" s="1" t="s">
        <v>74</v>
      </c>
      <c r="BH575" s="1" t="s">
        <v>74</v>
      </c>
      <c r="BI575" s="1" t="s">
        <v>74</v>
      </c>
      <c r="BJ575" s="1" t="s">
        <v>74</v>
      </c>
      <c r="BK575" s="1" t="s">
        <v>74</v>
      </c>
      <c r="BL575" s="1" t="s">
        <v>74</v>
      </c>
      <c r="BM575" s="1" t="s">
        <v>74</v>
      </c>
      <c r="BN575" s="1" t="s">
        <v>74</v>
      </c>
      <c r="BO575" s="1" t="s">
        <v>74</v>
      </c>
      <c r="BP575" s="1" t="s">
        <v>74</v>
      </c>
      <c r="BQ575" s="1" t="s">
        <v>74</v>
      </c>
      <c r="BR575" s="1" t="s">
        <v>74</v>
      </c>
      <c r="BS575" s="1" t="s">
        <v>5881</v>
      </c>
      <c r="BT575" s="1" t="str">
        <f>HYPERLINK("https%3A%2F%2Fwww.webofscience.com%2Fwos%2Fwoscc%2Ffull-record%2FWOS:001057599800052","View Full Record in Web of Science")</f>
        <v>View Full Record in Web of Science</v>
      </c>
    </row>
    <row r="576" ht="12.75" customHeight="1">
      <c r="A576" s="1" t="s">
        <v>72</v>
      </c>
      <c r="B576" s="1" t="s">
        <v>5882</v>
      </c>
      <c r="C576" s="1" t="s">
        <v>74</v>
      </c>
      <c r="D576" s="1" t="s">
        <v>74</v>
      </c>
      <c r="E576" s="1" t="s">
        <v>74</v>
      </c>
      <c r="F576" s="1" t="s">
        <v>5883</v>
      </c>
      <c r="G576" s="1" t="s">
        <v>74</v>
      </c>
      <c r="H576" s="1" t="s">
        <v>74</v>
      </c>
      <c r="I576" s="1" t="s">
        <v>5884</v>
      </c>
      <c r="J576" s="1" t="s">
        <v>2114</v>
      </c>
      <c r="K576" s="1" t="s">
        <v>74</v>
      </c>
      <c r="L576" s="1" t="s">
        <v>74</v>
      </c>
      <c r="M576" s="1" t="s">
        <v>74</v>
      </c>
      <c r="N576" s="1" t="s">
        <v>74</v>
      </c>
      <c r="O576" s="1" t="s">
        <v>74</v>
      </c>
      <c r="P576" s="1" t="s">
        <v>74</v>
      </c>
      <c r="Q576" s="1" t="s">
        <v>74</v>
      </c>
      <c r="R576" s="1" t="s">
        <v>74</v>
      </c>
      <c r="S576" s="1" t="s">
        <v>74</v>
      </c>
      <c r="T576" s="1" t="s">
        <v>74</v>
      </c>
      <c r="U576" s="1" t="s">
        <v>74</v>
      </c>
      <c r="V576" s="1" t="s">
        <v>5885</v>
      </c>
      <c r="W576" s="1" t="s">
        <v>74</v>
      </c>
      <c r="X576" s="1" t="s">
        <v>74</v>
      </c>
      <c r="Y576" s="1" t="s">
        <v>74</v>
      </c>
      <c r="Z576" s="1" t="s">
        <v>74</v>
      </c>
      <c r="AA576" s="1" t="s">
        <v>5886</v>
      </c>
      <c r="AB576" s="1" t="s">
        <v>5887</v>
      </c>
      <c r="AC576" s="1" t="s">
        <v>74</v>
      </c>
      <c r="AD576" s="1" t="s">
        <v>74</v>
      </c>
      <c r="AE576" s="1" t="s">
        <v>74</v>
      </c>
      <c r="AF576" s="1" t="s">
        <v>74</v>
      </c>
      <c r="AG576" s="1" t="s">
        <v>74</v>
      </c>
      <c r="AH576" s="1" t="s">
        <v>74</v>
      </c>
      <c r="AI576" s="1" t="s">
        <v>74</v>
      </c>
      <c r="AJ576" s="1" t="s">
        <v>74</v>
      </c>
      <c r="AK576" s="1" t="s">
        <v>74</v>
      </c>
      <c r="AL576" s="1" t="s">
        <v>74</v>
      </c>
      <c r="AM576" s="1" t="s">
        <v>74</v>
      </c>
      <c r="AN576" s="1" t="s">
        <v>74</v>
      </c>
      <c r="AO576" s="1" t="s">
        <v>2117</v>
      </c>
      <c r="AP576" s="1" t="s">
        <v>74</v>
      </c>
      <c r="AQ576" s="1" t="s">
        <v>74</v>
      </c>
      <c r="AR576" s="1" t="s">
        <v>74</v>
      </c>
      <c r="AS576" s="1" t="s">
        <v>74</v>
      </c>
      <c r="AT576" s="1" t="s">
        <v>235</v>
      </c>
      <c r="AU576" s="1">
        <v>2023.0</v>
      </c>
      <c r="AV576" s="1" t="s">
        <v>74</v>
      </c>
      <c r="AW576" s="1">
        <v>4.0</v>
      </c>
      <c r="AX576" s="1" t="s">
        <v>74</v>
      </c>
      <c r="AY576" s="1" t="s">
        <v>74</v>
      </c>
      <c r="AZ576" s="1" t="s">
        <v>74</v>
      </c>
      <c r="BA576" s="1" t="s">
        <v>74</v>
      </c>
      <c r="BB576" s="1" t="s">
        <v>74</v>
      </c>
      <c r="BC576" s="1" t="s">
        <v>74</v>
      </c>
      <c r="BD576" s="1" t="s">
        <v>74</v>
      </c>
      <c r="BE576" s="1" t="s">
        <v>5888</v>
      </c>
      <c r="BF576" s="2" t="str">
        <f>HYPERLINK("http://dx.doi.org/10.1088/1475-7516/2023/04/032","http://dx.doi.org/10.1088/1475-7516/2023/04/032")</f>
        <v>http://dx.doi.org/10.1088/1475-7516/2023/04/032</v>
      </c>
      <c r="BG576" s="1" t="s">
        <v>74</v>
      </c>
      <c r="BH576" s="1" t="s">
        <v>74</v>
      </c>
      <c r="BI576" s="1" t="s">
        <v>74</v>
      </c>
      <c r="BJ576" s="1" t="s">
        <v>74</v>
      </c>
      <c r="BK576" s="1" t="s">
        <v>74</v>
      </c>
      <c r="BL576" s="1" t="s">
        <v>74</v>
      </c>
      <c r="BM576" s="1" t="s">
        <v>74</v>
      </c>
      <c r="BN576" s="1" t="s">
        <v>74</v>
      </c>
      <c r="BO576" s="1" t="s">
        <v>74</v>
      </c>
      <c r="BP576" s="1" t="s">
        <v>74</v>
      </c>
      <c r="BQ576" s="1" t="s">
        <v>74</v>
      </c>
      <c r="BR576" s="1" t="s">
        <v>74</v>
      </c>
      <c r="BS576" s="1" t="s">
        <v>5889</v>
      </c>
      <c r="BT576" s="1" t="str">
        <f>HYPERLINK("https%3A%2F%2Fwww.webofscience.com%2Fwos%2Fwoscc%2Ffull-record%2FWOS:001004513900014","View Full Record in Web of Science")</f>
        <v>View Full Record in Web of Science</v>
      </c>
    </row>
    <row r="577" ht="12.75" customHeight="1">
      <c r="A577" s="1" t="s">
        <v>72</v>
      </c>
      <c r="B577" s="1" t="s">
        <v>5890</v>
      </c>
      <c r="C577" s="1" t="s">
        <v>74</v>
      </c>
      <c r="D577" s="1" t="s">
        <v>74</v>
      </c>
      <c r="E577" s="1" t="s">
        <v>74</v>
      </c>
      <c r="F577" s="1" t="s">
        <v>5891</v>
      </c>
      <c r="G577" s="1" t="s">
        <v>74</v>
      </c>
      <c r="H577" s="1" t="s">
        <v>74</v>
      </c>
      <c r="I577" s="1" t="s">
        <v>5892</v>
      </c>
      <c r="J577" s="1" t="s">
        <v>5513</v>
      </c>
      <c r="K577" s="1" t="s">
        <v>74</v>
      </c>
      <c r="L577" s="1" t="s">
        <v>74</v>
      </c>
      <c r="M577" s="1" t="s">
        <v>74</v>
      </c>
      <c r="N577" s="1" t="s">
        <v>74</v>
      </c>
      <c r="O577" s="1" t="s">
        <v>74</v>
      </c>
      <c r="P577" s="1" t="s">
        <v>74</v>
      </c>
      <c r="Q577" s="1" t="s">
        <v>74</v>
      </c>
      <c r="R577" s="1" t="s">
        <v>74</v>
      </c>
      <c r="S577" s="1" t="s">
        <v>74</v>
      </c>
      <c r="T577" s="1" t="s">
        <v>74</v>
      </c>
      <c r="U577" s="1" t="s">
        <v>74</v>
      </c>
      <c r="V577" s="1" t="s">
        <v>5893</v>
      </c>
      <c r="W577" s="1" t="s">
        <v>74</v>
      </c>
      <c r="X577" s="1" t="s">
        <v>74</v>
      </c>
      <c r="Y577" s="1" t="s">
        <v>74</v>
      </c>
      <c r="Z577" s="1" t="s">
        <v>74</v>
      </c>
      <c r="AA577" s="1" t="s">
        <v>5894</v>
      </c>
      <c r="AB577" s="1" t="s">
        <v>5895</v>
      </c>
      <c r="AC577" s="1" t="s">
        <v>74</v>
      </c>
      <c r="AD577" s="1" t="s">
        <v>74</v>
      </c>
      <c r="AE577" s="1" t="s">
        <v>74</v>
      </c>
      <c r="AF577" s="1" t="s">
        <v>74</v>
      </c>
      <c r="AG577" s="1" t="s">
        <v>74</v>
      </c>
      <c r="AH577" s="1" t="s">
        <v>74</v>
      </c>
      <c r="AI577" s="1" t="s">
        <v>74</v>
      </c>
      <c r="AJ577" s="1" t="s">
        <v>74</v>
      </c>
      <c r="AK577" s="1" t="s">
        <v>74</v>
      </c>
      <c r="AL577" s="1" t="s">
        <v>74</v>
      </c>
      <c r="AM577" s="1" t="s">
        <v>74</v>
      </c>
      <c r="AN577" s="1" t="s">
        <v>74</v>
      </c>
      <c r="AO577" s="1" t="s">
        <v>5517</v>
      </c>
      <c r="AP577" s="1" t="s">
        <v>74</v>
      </c>
      <c r="AQ577" s="1" t="s">
        <v>74</v>
      </c>
      <c r="AR577" s="1" t="s">
        <v>74</v>
      </c>
      <c r="AS577" s="1" t="s">
        <v>74</v>
      </c>
      <c r="AT577" s="1" t="s">
        <v>5896</v>
      </c>
      <c r="AU577" s="1">
        <v>2023.0</v>
      </c>
      <c r="AV577" s="1" t="s">
        <v>74</v>
      </c>
      <c r="AW577" s="1">
        <v>2.0</v>
      </c>
      <c r="AX577" s="1" t="s">
        <v>74</v>
      </c>
      <c r="AY577" s="1" t="s">
        <v>74</v>
      </c>
      <c r="AZ577" s="1" t="s">
        <v>74</v>
      </c>
      <c r="BA577" s="1" t="s">
        <v>74</v>
      </c>
      <c r="BB577" s="1" t="s">
        <v>74</v>
      </c>
      <c r="BC577" s="1" t="s">
        <v>74</v>
      </c>
      <c r="BD577" s="1">
        <v>58.0</v>
      </c>
      <c r="BE577" s="1" t="s">
        <v>5897</v>
      </c>
      <c r="BF577" s="2" t="str">
        <f>HYPERLINK("http://dx.doi.org/10.1007/JHEP02(2023)058","http://dx.doi.org/10.1007/JHEP02(2023)058")</f>
        <v>http://dx.doi.org/10.1007/JHEP02(2023)058</v>
      </c>
      <c r="BG577" s="1" t="s">
        <v>74</v>
      </c>
      <c r="BH577" s="1" t="s">
        <v>74</v>
      </c>
      <c r="BI577" s="1" t="s">
        <v>74</v>
      </c>
      <c r="BJ577" s="1" t="s">
        <v>74</v>
      </c>
      <c r="BK577" s="1" t="s">
        <v>74</v>
      </c>
      <c r="BL577" s="1" t="s">
        <v>74</v>
      </c>
      <c r="BM577" s="1" t="s">
        <v>74</v>
      </c>
      <c r="BN577" s="1" t="s">
        <v>74</v>
      </c>
      <c r="BO577" s="1" t="s">
        <v>74</v>
      </c>
      <c r="BP577" s="1" t="s">
        <v>74</v>
      </c>
      <c r="BQ577" s="1" t="s">
        <v>74</v>
      </c>
      <c r="BR577" s="1" t="s">
        <v>74</v>
      </c>
      <c r="BS577" s="1" t="s">
        <v>5898</v>
      </c>
      <c r="BT577" s="1" t="str">
        <f>HYPERLINK("https%3A%2F%2Fwww.webofscience.com%2Fwos%2Fwoscc%2Ffull-record%2FWOS:000930798800004","View Full Record in Web of Science")</f>
        <v>View Full Record in Web of Science</v>
      </c>
    </row>
    <row r="578" ht="12.75" customHeight="1">
      <c r="A578" s="1" t="s">
        <v>72</v>
      </c>
      <c r="B578" s="1" t="s">
        <v>5899</v>
      </c>
      <c r="C578" s="1" t="s">
        <v>74</v>
      </c>
      <c r="D578" s="1" t="s">
        <v>74</v>
      </c>
      <c r="E578" s="1" t="s">
        <v>74</v>
      </c>
      <c r="F578" s="1" t="s">
        <v>5900</v>
      </c>
      <c r="G578" s="1" t="s">
        <v>74</v>
      </c>
      <c r="H578" s="1" t="s">
        <v>74</v>
      </c>
      <c r="I578" s="1" t="s">
        <v>5901</v>
      </c>
      <c r="J578" s="1" t="s">
        <v>5902</v>
      </c>
      <c r="K578" s="1" t="s">
        <v>74</v>
      </c>
      <c r="L578" s="1" t="s">
        <v>74</v>
      </c>
      <c r="M578" s="1" t="s">
        <v>74</v>
      </c>
      <c r="N578" s="1" t="s">
        <v>74</v>
      </c>
      <c r="O578" s="1" t="s">
        <v>74</v>
      </c>
      <c r="P578" s="1" t="s">
        <v>74</v>
      </c>
      <c r="Q578" s="1" t="s">
        <v>74</v>
      </c>
      <c r="R578" s="1" t="s">
        <v>74</v>
      </c>
      <c r="S578" s="1" t="s">
        <v>74</v>
      </c>
      <c r="T578" s="1" t="s">
        <v>74</v>
      </c>
      <c r="U578" s="1" t="s">
        <v>74</v>
      </c>
      <c r="V578" s="1" t="s">
        <v>5903</v>
      </c>
      <c r="W578" s="1" t="s">
        <v>74</v>
      </c>
      <c r="X578" s="1" t="s">
        <v>74</v>
      </c>
      <c r="Y578" s="1" t="s">
        <v>74</v>
      </c>
      <c r="Z578" s="1" t="s">
        <v>74</v>
      </c>
      <c r="AA578" s="1" t="s">
        <v>5904</v>
      </c>
      <c r="AB578" s="1" t="s">
        <v>5905</v>
      </c>
      <c r="AC578" s="1" t="s">
        <v>74</v>
      </c>
      <c r="AD578" s="1" t="s">
        <v>74</v>
      </c>
      <c r="AE578" s="1" t="s">
        <v>74</v>
      </c>
      <c r="AF578" s="1" t="s">
        <v>74</v>
      </c>
      <c r="AG578" s="1" t="s">
        <v>74</v>
      </c>
      <c r="AH578" s="1" t="s">
        <v>74</v>
      </c>
      <c r="AI578" s="1" t="s">
        <v>74</v>
      </c>
      <c r="AJ578" s="1" t="s">
        <v>74</v>
      </c>
      <c r="AK578" s="1" t="s">
        <v>74</v>
      </c>
      <c r="AL578" s="1" t="s">
        <v>74</v>
      </c>
      <c r="AM578" s="1" t="s">
        <v>74</v>
      </c>
      <c r="AN578" s="1" t="s">
        <v>74</v>
      </c>
      <c r="AO578" s="1" t="s">
        <v>5906</v>
      </c>
      <c r="AP578" s="1" t="s">
        <v>5907</v>
      </c>
      <c r="AQ578" s="1" t="s">
        <v>74</v>
      </c>
      <c r="AR578" s="1" t="s">
        <v>74</v>
      </c>
      <c r="AS578" s="1" t="s">
        <v>74</v>
      </c>
      <c r="AT578" s="1" t="s">
        <v>307</v>
      </c>
      <c r="AU578" s="1">
        <v>2023.0</v>
      </c>
      <c r="AV578" s="1">
        <v>17.0</v>
      </c>
      <c r="AW578" s="1">
        <v>6.0</v>
      </c>
      <c r="AX578" s="1" t="s">
        <v>74</v>
      </c>
      <c r="AY578" s="1" t="s">
        <v>74</v>
      </c>
      <c r="AZ578" s="1" t="s">
        <v>74</v>
      </c>
      <c r="BA578" s="1" t="s">
        <v>74</v>
      </c>
      <c r="BB578" s="1">
        <v>1751.0</v>
      </c>
      <c r="BC578" s="1">
        <v>1759.0</v>
      </c>
      <c r="BD578" s="1" t="s">
        <v>74</v>
      </c>
      <c r="BE578" s="1" t="s">
        <v>5908</v>
      </c>
      <c r="BF578" s="2" t="str">
        <f>HYPERLINK("http://dx.doi.org/10.1007/s11764-022-01228-6","http://dx.doi.org/10.1007/s11764-022-01228-6")</f>
        <v>http://dx.doi.org/10.1007/s11764-022-01228-6</v>
      </c>
      <c r="BG578" s="1" t="s">
        <v>74</v>
      </c>
      <c r="BH578" s="1" t="s">
        <v>5909</v>
      </c>
      <c r="BI578" s="1" t="s">
        <v>74</v>
      </c>
      <c r="BJ578" s="1" t="s">
        <v>74</v>
      </c>
      <c r="BK578" s="1" t="s">
        <v>74</v>
      </c>
      <c r="BL578" s="1" t="s">
        <v>74</v>
      </c>
      <c r="BM578" s="1" t="s">
        <v>74</v>
      </c>
      <c r="BN578" s="1">
        <v>3.5739376E7</v>
      </c>
      <c r="BO578" s="1" t="s">
        <v>74</v>
      </c>
      <c r="BP578" s="1" t="s">
        <v>74</v>
      </c>
      <c r="BQ578" s="1" t="s">
        <v>74</v>
      </c>
      <c r="BR578" s="1" t="s">
        <v>74</v>
      </c>
      <c r="BS578" s="1" t="s">
        <v>5910</v>
      </c>
      <c r="BT578" s="1" t="str">
        <f>HYPERLINK("https%3A%2F%2Fwww.webofscience.com%2Fwos%2Fwoscc%2Ffull-record%2FWOS:000814977400001","View Full Record in Web of Science")</f>
        <v>View Full Record in Web of Science</v>
      </c>
    </row>
    <row r="579" ht="12.75" customHeight="1">
      <c r="A579" s="1" t="s">
        <v>72</v>
      </c>
      <c r="B579" s="1" t="s">
        <v>5911</v>
      </c>
      <c r="C579" s="1" t="s">
        <v>74</v>
      </c>
      <c r="D579" s="1" t="s">
        <v>74</v>
      </c>
      <c r="E579" s="1" t="s">
        <v>74</v>
      </c>
      <c r="F579" s="1" t="s">
        <v>5912</v>
      </c>
      <c r="G579" s="1" t="s">
        <v>74</v>
      </c>
      <c r="H579" s="1" t="s">
        <v>74</v>
      </c>
      <c r="I579" s="1" t="s">
        <v>5913</v>
      </c>
      <c r="J579" s="1" t="s">
        <v>1775</v>
      </c>
      <c r="K579" s="1" t="s">
        <v>74</v>
      </c>
      <c r="L579" s="1" t="s">
        <v>74</v>
      </c>
      <c r="M579" s="1" t="s">
        <v>74</v>
      </c>
      <c r="N579" s="1" t="s">
        <v>74</v>
      </c>
      <c r="O579" s="1" t="s">
        <v>74</v>
      </c>
      <c r="P579" s="1" t="s">
        <v>74</v>
      </c>
      <c r="Q579" s="1" t="s">
        <v>74</v>
      </c>
      <c r="R579" s="1" t="s">
        <v>74</v>
      </c>
      <c r="S579" s="1" t="s">
        <v>74</v>
      </c>
      <c r="T579" s="1" t="s">
        <v>74</v>
      </c>
      <c r="U579" s="1" t="s">
        <v>74</v>
      </c>
      <c r="V579" s="1" t="s">
        <v>74</v>
      </c>
      <c r="W579" s="1" t="s">
        <v>74</v>
      </c>
      <c r="X579" s="1" t="s">
        <v>74</v>
      </c>
      <c r="Y579" s="1" t="s">
        <v>74</v>
      </c>
      <c r="Z579" s="1" t="s">
        <v>74</v>
      </c>
      <c r="AA579" s="1" t="s">
        <v>5914</v>
      </c>
      <c r="AB579" s="1" t="s">
        <v>5915</v>
      </c>
      <c r="AC579" s="1" t="s">
        <v>74</v>
      </c>
      <c r="AD579" s="1" t="s">
        <v>74</v>
      </c>
      <c r="AE579" s="1" t="s">
        <v>74</v>
      </c>
      <c r="AF579" s="1" t="s">
        <v>74</v>
      </c>
      <c r="AG579" s="1" t="s">
        <v>74</v>
      </c>
      <c r="AH579" s="1" t="s">
        <v>74</v>
      </c>
      <c r="AI579" s="1" t="s">
        <v>74</v>
      </c>
      <c r="AJ579" s="1" t="s">
        <v>74</v>
      </c>
      <c r="AK579" s="1" t="s">
        <v>74</v>
      </c>
      <c r="AL579" s="1" t="s">
        <v>74</v>
      </c>
      <c r="AM579" s="1" t="s">
        <v>74</v>
      </c>
      <c r="AN579" s="1" t="s">
        <v>74</v>
      </c>
      <c r="AO579" s="1" t="s">
        <v>74</v>
      </c>
      <c r="AP579" s="1" t="s">
        <v>1779</v>
      </c>
      <c r="AQ579" s="1" t="s">
        <v>74</v>
      </c>
      <c r="AR579" s="1" t="s">
        <v>74</v>
      </c>
      <c r="AS579" s="1" t="s">
        <v>74</v>
      </c>
      <c r="AT579" s="1" t="s">
        <v>5916</v>
      </c>
      <c r="AU579" s="1">
        <v>2022.0</v>
      </c>
      <c r="AV579" s="1">
        <v>13.0</v>
      </c>
      <c r="AW579" s="1" t="s">
        <v>74</v>
      </c>
      <c r="AX579" s="1" t="s">
        <v>74</v>
      </c>
      <c r="AY579" s="1" t="s">
        <v>74</v>
      </c>
      <c r="AZ579" s="1" t="s">
        <v>74</v>
      </c>
      <c r="BA579" s="1" t="s">
        <v>74</v>
      </c>
      <c r="BB579" s="1" t="s">
        <v>74</v>
      </c>
      <c r="BC579" s="1" t="s">
        <v>74</v>
      </c>
      <c r="BD579" s="1">
        <v>910962.0</v>
      </c>
      <c r="BE579" s="1" t="s">
        <v>5917</v>
      </c>
      <c r="BF579" s="2" t="str">
        <f>HYPERLINK("http://dx.doi.org/10.3389/fmicb.2022.910962","http://dx.doi.org/10.3389/fmicb.2022.910962")</f>
        <v>http://dx.doi.org/10.3389/fmicb.2022.910962</v>
      </c>
      <c r="BG579" s="1" t="s">
        <v>74</v>
      </c>
      <c r="BH579" s="1" t="s">
        <v>74</v>
      </c>
      <c r="BI579" s="1" t="s">
        <v>74</v>
      </c>
      <c r="BJ579" s="1" t="s">
        <v>74</v>
      </c>
      <c r="BK579" s="1" t="s">
        <v>74</v>
      </c>
      <c r="BL579" s="1" t="s">
        <v>74</v>
      </c>
      <c r="BM579" s="1" t="s">
        <v>74</v>
      </c>
      <c r="BN579" s="1">
        <v>3.5722348E7</v>
      </c>
      <c r="BO579" s="1" t="s">
        <v>74</v>
      </c>
      <c r="BP579" s="1" t="s">
        <v>74</v>
      </c>
      <c r="BQ579" s="1" t="s">
        <v>74</v>
      </c>
      <c r="BR579" s="1" t="s">
        <v>74</v>
      </c>
      <c r="BS579" s="1" t="s">
        <v>5918</v>
      </c>
      <c r="BT579" s="1" t="str">
        <f>HYPERLINK("https%3A%2F%2Fwww.webofscience.com%2Fwos%2Fwoscc%2Ffull-record%2FWOS:000812081000001","View Full Record in Web of Science")</f>
        <v>View Full Record in Web of Science</v>
      </c>
    </row>
    <row r="580" ht="12.75" customHeight="1">
      <c r="A580" s="1" t="s">
        <v>72</v>
      </c>
      <c r="B580" s="1" t="s">
        <v>5919</v>
      </c>
      <c r="C580" s="1" t="s">
        <v>74</v>
      </c>
      <c r="D580" s="1" t="s">
        <v>74</v>
      </c>
      <c r="E580" s="1" t="s">
        <v>74</v>
      </c>
      <c r="F580" s="1" t="s">
        <v>5920</v>
      </c>
      <c r="G580" s="1" t="s">
        <v>74</v>
      </c>
      <c r="H580" s="1" t="s">
        <v>74</v>
      </c>
      <c r="I580" s="1" t="s">
        <v>5921</v>
      </c>
      <c r="J580" s="1" t="s">
        <v>5922</v>
      </c>
      <c r="K580" s="1" t="s">
        <v>74</v>
      </c>
      <c r="L580" s="1" t="s">
        <v>74</v>
      </c>
      <c r="M580" s="1" t="s">
        <v>74</v>
      </c>
      <c r="N580" s="1" t="s">
        <v>74</v>
      </c>
      <c r="O580" s="1" t="s">
        <v>74</v>
      </c>
      <c r="P580" s="1" t="s">
        <v>74</v>
      </c>
      <c r="Q580" s="1" t="s">
        <v>74</v>
      </c>
      <c r="R580" s="1" t="s">
        <v>74</v>
      </c>
      <c r="S580" s="1" t="s">
        <v>74</v>
      </c>
      <c r="T580" s="1" t="s">
        <v>74</v>
      </c>
      <c r="U580" s="1" t="s">
        <v>74</v>
      </c>
      <c r="V580" s="1" t="s">
        <v>5923</v>
      </c>
      <c r="W580" s="1" t="s">
        <v>74</v>
      </c>
      <c r="X580" s="1" t="s">
        <v>74</v>
      </c>
      <c r="Y580" s="1" t="s">
        <v>74</v>
      </c>
      <c r="Z580" s="1" t="s">
        <v>74</v>
      </c>
      <c r="AA580" s="1" t="s">
        <v>5924</v>
      </c>
      <c r="AB580" s="1" t="s">
        <v>5925</v>
      </c>
      <c r="AC580" s="1" t="s">
        <v>74</v>
      </c>
      <c r="AD580" s="1" t="s">
        <v>74</v>
      </c>
      <c r="AE580" s="1" t="s">
        <v>74</v>
      </c>
      <c r="AF580" s="1" t="s">
        <v>74</v>
      </c>
      <c r="AG580" s="1" t="s">
        <v>74</v>
      </c>
      <c r="AH580" s="1" t="s">
        <v>74</v>
      </c>
      <c r="AI580" s="1" t="s">
        <v>74</v>
      </c>
      <c r="AJ580" s="1" t="s">
        <v>74</v>
      </c>
      <c r="AK580" s="1" t="s">
        <v>74</v>
      </c>
      <c r="AL580" s="1" t="s">
        <v>74</v>
      </c>
      <c r="AM580" s="1" t="s">
        <v>74</v>
      </c>
      <c r="AN580" s="1" t="s">
        <v>74</v>
      </c>
      <c r="AO580" s="1" t="s">
        <v>5926</v>
      </c>
      <c r="AP580" s="1" t="s">
        <v>5927</v>
      </c>
      <c r="AQ580" s="1" t="s">
        <v>74</v>
      </c>
      <c r="AR580" s="1" t="s">
        <v>74</v>
      </c>
      <c r="AS580" s="1" t="s">
        <v>74</v>
      </c>
      <c r="AT580" s="1" t="s">
        <v>939</v>
      </c>
      <c r="AU580" s="1">
        <v>2022.0</v>
      </c>
      <c r="AV580" s="1">
        <v>144.0</v>
      </c>
      <c r="AW580" s="1" t="s">
        <v>74</v>
      </c>
      <c r="AX580" s="1" t="s">
        <v>74</v>
      </c>
      <c r="AY580" s="1" t="s">
        <v>74</v>
      </c>
      <c r="AZ580" s="1" t="s">
        <v>74</v>
      </c>
      <c r="BA580" s="1" t="s">
        <v>74</v>
      </c>
      <c r="BB580" s="1" t="s">
        <v>74</v>
      </c>
      <c r="BC580" s="1" t="s">
        <v>74</v>
      </c>
      <c r="BD580" s="1">
        <v>106971.0</v>
      </c>
      <c r="BE580" s="1" t="s">
        <v>5928</v>
      </c>
      <c r="BF580" s="2" t="str">
        <f>HYPERLINK("http://dx.doi.org/10.1016/j.vph.2022.106971","http://dx.doi.org/10.1016/j.vph.2022.106971")</f>
        <v>http://dx.doi.org/10.1016/j.vph.2022.106971</v>
      </c>
      <c r="BG580" s="1" t="s">
        <v>74</v>
      </c>
      <c r="BH580" s="1" t="s">
        <v>1740</v>
      </c>
      <c r="BI580" s="1" t="s">
        <v>74</v>
      </c>
      <c r="BJ580" s="1" t="s">
        <v>74</v>
      </c>
      <c r="BK580" s="1" t="s">
        <v>74</v>
      </c>
      <c r="BL580" s="1" t="s">
        <v>74</v>
      </c>
      <c r="BM580" s="1" t="s">
        <v>74</v>
      </c>
      <c r="BN580" s="1">
        <v>3.5150933E7</v>
      </c>
      <c r="BO580" s="1" t="s">
        <v>74</v>
      </c>
      <c r="BP580" s="1" t="s">
        <v>74</v>
      </c>
      <c r="BQ580" s="1" t="s">
        <v>74</v>
      </c>
      <c r="BR580" s="1" t="s">
        <v>74</v>
      </c>
      <c r="BS580" s="1" t="s">
        <v>5929</v>
      </c>
      <c r="BT580" s="1" t="str">
        <f>HYPERLINK("https%3A%2F%2Fwww.webofscience.com%2Fwos%2Fwoscc%2Ffull-record%2FWOS:000793507200003","View Full Record in Web of Science")</f>
        <v>View Full Record in Web of Science</v>
      </c>
    </row>
    <row r="581" ht="12.75" customHeight="1">
      <c r="A581" s="1" t="s">
        <v>72</v>
      </c>
      <c r="B581" s="1" t="s">
        <v>5930</v>
      </c>
      <c r="C581" s="1" t="s">
        <v>74</v>
      </c>
      <c r="D581" s="1" t="s">
        <v>74</v>
      </c>
      <c r="E581" s="1" t="s">
        <v>74</v>
      </c>
      <c r="F581" s="1" t="s">
        <v>5931</v>
      </c>
      <c r="G581" s="1" t="s">
        <v>74</v>
      </c>
      <c r="H581" s="1" t="s">
        <v>74</v>
      </c>
      <c r="I581" s="1" t="s">
        <v>5932</v>
      </c>
      <c r="J581" s="1" t="s">
        <v>5933</v>
      </c>
      <c r="K581" s="1" t="s">
        <v>74</v>
      </c>
      <c r="L581" s="1" t="s">
        <v>74</v>
      </c>
      <c r="M581" s="1" t="s">
        <v>74</v>
      </c>
      <c r="N581" s="1" t="s">
        <v>74</v>
      </c>
      <c r="O581" s="1" t="s">
        <v>74</v>
      </c>
      <c r="P581" s="1" t="s">
        <v>74</v>
      </c>
      <c r="Q581" s="1" t="s">
        <v>74</v>
      </c>
      <c r="R581" s="1" t="s">
        <v>74</v>
      </c>
      <c r="S581" s="1" t="s">
        <v>74</v>
      </c>
      <c r="T581" s="1" t="s">
        <v>74</v>
      </c>
      <c r="U581" s="1" t="s">
        <v>74</v>
      </c>
      <c r="V581" s="1" t="s">
        <v>5934</v>
      </c>
      <c r="W581" s="1" t="s">
        <v>74</v>
      </c>
      <c r="X581" s="1" t="s">
        <v>74</v>
      </c>
      <c r="Y581" s="1" t="s">
        <v>74</v>
      </c>
      <c r="Z581" s="1" t="s">
        <v>74</v>
      </c>
      <c r="AA581" s="1" t="s">
        <v>5935</v>
      </c>
      <c r="AB581" s="1" t="s">
        <v>5936</v>
      </c>
      <c r="AC581" s="1" t="s">
        <v>74</v>
      </c>
      <c r="AD581" s="1" t="s">
        <v>74</v>
      </c>
      <c r="AE581" s="1" t="s">
        <v>74</v>
      </c>
      <c r="AF581" s="1" t="s">
        <v>74</v>
      </c>
      <c r="AG581" s="1" t="s">
        <v>74</v>
      </c>
      <c r="AH581" s="1" t="s">
        <v>74</v>
      </c>
      <c r="AI581" s="1" t="s">
        <v>74</v>
      </c>
      <c r="AJ581" s="1" t="s">
        <v>74</v>
      </c>
      <c r="AK581" s="1" t="s">
        <v>74</v>
      </c>
      <c r="AL581" s="1" t="s">
        <v>74</v>
      </c>
      <c r="AM581" s="1" t="s">
        <v>74</v>
      </c>
      <c r="AN581" s="1" t="s">
        <v>74</v>
      </c>
      <c r="AO581" s="1" t="s">
        <v>5937</v>
      </c>
      <c r="AP581" s="1" t="s">
        <v>5938</v>
      </c>
      <c r="AQ581" s="1" t="s">
        <v>74</v>
      </c>
      <c r="AR581" s="1" t="s">
        <v>74</v>
      </c>
      <c r="AS581" s="1" t="s">
        <v>74</v>
      </c>
      <c r="AT581" s="1" t="s">
        <v>422</v>
      </c>
      <c r="AU581" s="1">
        <v>2021.0</v>
      </c>
      <c r="AV581" s="1">
        <v>35.0</v>
      </c>
      <c r="AW581" s="1">
        <v>1.0</v>
      </c>
      <c r="AX581" s="1" t="s">
        <v>74</v>
      </c>
      <c r="AY581" s="1" t="s">
        <v>74</v>
      </c>
      <c r="AZ581" s="1" t="s">
        <v>74</v>
      </c>
      <c r="BA581" s="1" t="s">
        <v>74</v>
      </c>
      <c r="BB581" s="1">
        <v>260.0</v>
      </c>
      <c r="BC581" s="1">
        <v>266.0</v>
      </c>
      <c r="BD581" s="1" t="s">
        <v>74</v>
      </c>
      <c r="BE581" s="1" t="s">
        <v>5939</v>
      </c>
      <c r="BF581" s="2" t="str">
        <f>HYPERLINK("http://dx.doi.org/10.1519/JSC.0000000000002631","http://dx.doi.org/10.1519/JSC.0000000000002631")</f>
        <v>http://dx.doi.org/10.1519/JSC.0000000000002631</v>
      </c>
      <c r="BG581" s="1" t="s">
        <v>74</v>
      </c>
      <c r="BH581" s="1" t="s">
        <v>74</v>
      </c>
      <c r="BI581" s="1" t="s">
        <v>74</v>
      </c>
      <c r="BJ581" s="1" t="s">
        <v>74</v>
      </c>
      <c r="BK581" s="1" t="s">
        <v>74</v>
      </c>
      <c r="BL581" s="1" t="s">
        <v>74</v>
      </c>
      <c r="BM581" s="1" t="s">
        <v>74</v>
      </c>
      <c r="BN581" s="1">
        <v>2.9863592E7</v>
      </c>
      <c r="BO581" s="1" t="s">
        <v>74</v>
      </c>
      <c r="BP581" s="1" t="s">
        <v>74</v>
      </c>
      <c r="BQ581" s="1" t="s">
        <v>74</v>
      </c>
      <c r="BR581" s="1" t="s">
        <v>74</v>
      </c>
      <c r="BS581" s="1" t="s">
        <v>5940</v>
      </c>
      <c r="BT581" s="1" t="str">
        <f>HYPERLINK("https%3A%2F%2Fwww.webofscience.com%2Fwos%2Fwoscc%2Ffull-record%2FWOS:000607355100038","View Full Record in Web of Science")</f>
        <v>View Full Record in Web of Science</v>
      </c>
    </row>
    <row r="582" ht="12.75" customHeight="1">
      <c r="A582" s="1" t="s">
        <v>72</v>
      </c>
      <c r="B582" s="1" t="s">
        <v>5941</v>
      </c>
      <c r="C582" s="1" t="s">
        <v>74</v>
      </c>
      <c r="D582" s="1" t="s">
        <v>74</v>
      </c>
      <c r="E582" s="1" t="s">
        <v>74</v>
      </c>
      <c r="F582" s="1" t="s">
        <v>5942</v>
      </c>
      <c r="G582" s="1" t="s">
        <v>74</v>
      </c>
      <c r="H582" s="1" t="s">
        <v>74</v>
      </c>
      <c r="I582" s="1" t="s">
        <v>5943</v>
      </c>
      <c r="J582" s="1" t="s">
        <v>5944</v>
      </c>
      <c r="K582" s="1" t="s">
        <v>74</v>
      </c>
      <c r="L582" s="1" t="s">
        <v>74</v>
      </c>
      <c r="M582" s="1" t="s">
        <v>74</v>
      </c>
      <c r="N582" s="1" t="s">
        <v>74</v>
      </c>
      <c r="O582" s="1" t="s">
        <v>74</v>
      </c>
      <c r="P582" s="1" t="s">
        <v>74</v>
      </c>
      <c r="Q582" s="1" t="s">
        <v>74</v>
      </c>
      <c r="R582" s="1" t="s">
        <v>74</v>
      </c>
      <c r="S582" s="1" t="s">
        <v>74</v>
      </c>
      <c r="T582" s="1" t="s">
        <v>74</v>
      </c>
      <c r="U582" s="1" t="s">
        <v>74</v>
      </c>
      <c r="V582" s="1" t="s">
        <v>5945</v>
      </c>
      <c r="W582" s="1" t="s">
        <v>74</v>
      </c>
      <c r="X582" s="1" t="s">
        <v>74</v>
      </c>
      <c r="Y582" s="1" t="s">
        <v>74</v>
      </c>
      <c r="Z582" s="1" t="s">
        <v>74</v>
      </c>
      <c r="AA582" s="1" t="s">
        <v>5946</v>
      </c>
      <c r="AB582" s="1" t="s">
        <v>5947</v>
      </c>
      <c r="AC582" s="1" t="s">
        <v>74</v>
      </c>
      <c r="AD582" s="1" t="s">
        <v>74</v>
      </c>
      <c r="AE582" s="1" t="s">
        <v>74</v>
      </c>
      <c r="AF582" s="1" t="s">
        <v>74</v>
      </c>
      <c r="AG582" s="1" t="s">
        <v>74</v>
      </c>
      <c r="AH582" s="1" t="s">
        <v>74</v>
      </c>
      <c r="AI582" s="1" t="s">
        <v>74</v>
      </c>
      <c r="AJ582" s="1" t="s">
        <v>74</v>
      </c>
      <c r="AK582" s="1" t="s">
        <v>74</v>
      </c>
      <c r="AL582" s="1" t="s">
        <v>74</v>
      </c>
      <c r="AM582" s="1" t="s">
        <v>74</v>
      </c>
      <c r="AN582" s="1" t="s">
        <v>74</v>
      </c>
      <c r="AO582" s="1" t="s">
        <v>5948</v>
      </c>
      <c r="AP582" s="1" t="s">
        <v>5949</v>
      </c>
      <c r="AQ582" s="1" t="s">
        <v>74</v>
      </c>
      <c r="AR582" s="1" t="s">
        <v>74</v>
      </c>
      <c r="AS582" s="1" t="s">
        <v>74</v>
      </c>
      <c r="AT582" s="1" t="s">
        <v>5950</v>
      </c>
      <c r="AU582" s="1">
        <v>2020.0</v>
      </c>
      <c r="AV582" s="1">
        <v>49.0</v>
      </c>
      <c r="AW582" s="1">
        <v>48.0</v>
      </c>
      <c r="AX582" s="1" t="s">
        <v>74</v>
      </c>
      <c r="AY582" s="1" t="s">
        <v>74</v>
      </c>
      <c r="AZ582" s="1" t="s">
        <v>74</v>
      </c>
      <c r="BA582" s="1" t="s">
        <v>74</v>
      </c>
      <c r="BB582" s="1">
        <v>17709.0</v>
      </c>
      <c r="BC582" s="1">
        <v>17718.0</v>
      </c>
      <c r="BD582" s="1" t="s">
        <v>74</v>
      </c>
      <c r="BE582" s="1" t="s">
        <v>5951</v>
      </c>
      <c r="BF582" s="2" t="str">
        <f>HYPERLINK("http://dx.doi.org/10.1039/d0dt03370g","http://dx.doi.org/10.1039/d0dt03370g")</f>
        <v>http://dx.doi.org/10.1039/d0dt03370g</v>
      </c>
      <c r="BG582" s="1" t="s">
        <v>74</v>
      </c>
      <c r="BH582" s="1" t="s">
        <v>74</v>
      </c>
      <c r="BI582" s="1" t="s">
        <v>74</v>
      </c>
      <c r="BJ582" s="1" t="s">
        <v>74</v>
      </c>
      <c r="BK582" s="1" t="s">
        <v>74</v>
      </c>
      <c r="BL582" s="1" t="s">
        <v>74</v>
      </c>
      <c r="BM582" s="1" t="s">
        <v>74</v>
      </c>
      <c r="BN582" s="1">
        <v>3.3237049E7</v>
      </c>
      <c r="BO582" s="1" t="s">
        <v>74</v>
      </c>
      <c r="BP582" s="1" t="s">
        <v>74</v>
      </c>
      <c r="BQ582" s="1" t="s">
        <v>74</v>
      </c>
      <c r="BR582" s="1" t="s">
        <v>74</v>
      </c>
      <c r="BS582" s="1" t="s">
        <v>5952</v>
      </c>
      <c r="BT582" s="1" t="str">
        <f>HYPERLINK("https%3A%2F%2Fwww.webofscience.com%2Fwos%2Fwoscc%2Ffull-record%2FWOS:000605665900031","View Full Record in Web of Science")</f>
        <v>View Full Record in Web of Science</v>
      </c>
    </row>
    <row r="583" ht="12.75" customHeight="1">
      <c r="A583" s="1" t="s">
        <v>72</v>
      </c>
      <c r="B583" s="1" t="s">
        <v>5953</v>
      </c>
      <c r="C583" s="1" t="s">
        <v>74</v>
      </c>
      <c r="D583" s="1" t="s">
        <v>74</v>
      </c>
      <c r="E583" s="1" t="s">
        <v>74</v>
      </c>
      <c r="F583" s="1" t="s">
        <v>5954</v>
      </c>
      <c r="G583" s="1" t="s">
        <v>74</v>
      </c>
      <c r="H583" s="1" t="s">
        <v>74</v>
      </c>
      <c r="I583" s="1" t="s">
        <v>5955</v>
      </c>
      <c r="J583" s="1" t="s">
        <v>2103</v>
      </c>
      <c r="K583" s="1" t="s">
        <v>74</v>
      </c>
      <c r="L583" s="1" t="s">
        <v>74</v>
      </c>
      <c r="M583" s="1" t="s">
        <v>74</v>
      </c>
      <c r="N583" s="1" t="s">
        <v>74</v>
      </c>
      <c r="O583" s="1" t="s">
        <v>74</v>
      </c>
      <c r="P583" s="1" t="s">
        <v>74</v>
      </c>
      <c r="Q583" s="1" t="s">
        <v>74</v>
      </c>
      <c r="R583" s="1" t="s">
        <v>74</v>
      </c>
      <c r="S583" s="1" t="s">
        <v>74</v>
      </c>
      <c r="T583" s="1" t="s">
        <v>74</v>
      </c>
      <c r="U583" s="1" t="s">
        <v>74</v>
      </c>
      <c r="V583" s="1" t="s">
        <v>5956</v>
      </c>
      <c r="W583" s="1" t="s">
        <v>74</v>
      </c>
      <c r="X583" s="1" t="s">
        <v>74</v>
      </c>
      <c r="Y583" s="1" t="s">
        <v>74</v>
      </c>
      <c r="Z583" s="1" t="s">
        <v>74</v>
      </c>
      <c r="AA583" s="1" t="s">
        <v>5957</v>
      </c>
      <c r="AB583" s="1" t="s">
        <v>5958</v>
      </c>
      <c r="AC583" s="1" t="s">
        <v>74</v>
      </c>
      <c r="AD583" s="1" t="s">
        <v>74</v>
      </c>
      <c r="AE583" s="1" t="s">
        <v>74</v>
      </c>
      <c r="AF583" s="1" t="s">
        <v>74</v>
      </c>
      <c r="AG583" s="1" t="s">
        <v>74</v>
      </c>
      <c r="AH583" s="1" t="s">
        <v>74</v>
      </c>
      <c r="AI583" s="1" t="s">
        <v>74</v>
      </c>
      <c r="AJ583" s="1" t="s">
        <v>74</v>
      </c>
      <c r="AK583" s="1" t="s">
        <v>74</v>
      </c>
      <c r="AL583" s="1" t="s">
        <v>74</v>
      </c>
      <c r="AM583" s="1" t="s">
        <v>74</v>
      </c>
      <c r="AN583" s="1" t="s">
        <v>74</v>
      </c>
      <c r="AO583" s="1" t="s">
        <v>2107</v>
      </c>
      <c r="AP583" s="1" t="s">
        <v>74</v>
      </c>
      <c r="AQ583" s="1" t="s">
        <v>74</v>
      </c>
      <c r="AR583" s="1" t="s">
        <v>74</v>
      </c>
      <c r="AS583" s="1" t="s">
        <v>74</v>
      </c>
      <c r="AT583" s="1" t="s">
        <v>5959</v>
      </c>
      <c r="AU583" s="1">
        <v>2020.0</v>
      </c>
      <c r="AV583" s="1">
        <v>11.0</v>
      </c>
      <c r="AW583" s="1" t="s">
        <v>74</v>
      </c>
      <c r="AX583" s="1" t="s">
        <v>74</v>
      </c>
      <c r="AY583" s="1" t="s">
        <v>74</v>
      </c>
      <c r="AZ583" s="1" t="s">
        <v>74</v>
      </c>
      <c r="BA583" s="1" t="s">
        <v>74</v>
      </c>
      <c r="BB583" s="1" t="s">
        <v>74</v>
      </c>
      <c r="BC583" s="1" t="s">
        <v>74</v>
      </c>
      <c r="BD583" s="1">
        <v>780.0</v>
      </c>
      <c r="BE583" s="1" t="s">
        <v>5960</v>
      </c>
      <c r="BF583" s="2" t="str">
        <f>HYPERLINK("http://dx.doi.org/10.3389/fphar.2020.00780","http://dx.doi.org/10.3389/fphar.2020.00780")</f>
        <v>http://dx.doi.org/10.3389/fphar.2020.00780</v>
      </c>
      <c r="BG583" s="1" t="s">
        <v>74</v>
      </c>
      <c r="BH583" s="1" t="s">
        <v>74</v>
      </c>
      <c r="BI583" s="1" t="s">
        <v>74</v>
      </c>
      <c r="BJ583" s="1" t="s">
        <v>74</v>
      </c>
      <c r="BK583" s="1" t="s">
        <v>74</v>
      </c>
      <c r="BL583" s="1" t="s">
        <v>74</v>
      </c>
      <c r="BM583" s="1" t="s">
        <v>74</v>
      </c>
      <c r="BN583" s="1">
        <v>3.2536867E7</v>
      </c>
      <c r="BO583" s="1" t="s">
        <v>74</v>
      </c>
      <c r="BP583" s="1" t="s">
        <v>74</v>
      </c>
      <c r="BQ583" s="1" t="s">
        <v>74</v>
      </c>
      <c r="BR583" s="1" t="s">
        <v>74</v>
      </c>
      <c r="BS583" s="1" t="s">
        <v>5961</v>
      </c>
      <c r="BT583" s="1" t="str">
        <f>HYPERLINK("https%3A%2F%2Fwww.webofscience.com%2Fwos%2Fwoscc%2Ffull-record%2FWOS:000540941900001","View Full Record in Web of Science")</f>
        <v>View Full Record in Web of Science</v>
      </c>
    </row>
    <row r="584" ht="12.75" customHeight="1">
      <c r="A584" s="1" t="s">
        <v>72</v>
      </c>
      <c r="B584" s="1" t="s">
        <v>5962</v>
      </c>
      <c r="C584" s="1" t="s">
        <v>74</v>
      </c>
      <c r="D584" s="1" t="s">
        <v>74</v>
      </c>
      <c r="E584" s="1" t="s">
        <v>74</v>
      </c>
      <c r="F584" s="1" t="s">
        <v>5963</v>
      </c>
      <c r="G584" s="1" t="s">
        <v>74</v>
      </c>
      <c r="H584" s="1" t="s">
        <v>74</v>
      </c>
      <c r="I584" s="1" t="s">
        <v>5964</v>
      </c>
      <c r="J584" s="1" t="s">
        <v>5965</v>
      </c>
      <c r="K584" s="1" t="s">
        <v>74</v>
      </c>
      <c r="L584" s="1" t="s">
        <v>74</v>
      </c>
      <c r="M584" s="1" t="s">
        <v>74</v>
      </c>
      <c r="N584" s="1" t="s">
        <v>74</v>
      </c>
      <c r="O584" s="1" t="s">
        <v>74</v>
      </c>
      <c r="P584" s="1" t="s">
        <v>74</v>
      </c>
      <c r="Q584" s="1" t="s">
        <v>74</v>
      </c>
      <c r="R584" s="1" t="s">
        <v>74</v>
      </c>
      <c r="S584" s="1" t="s">
        <v>74</v>
      </c>
      <c r="T584" s="1" t="s">
        <v>74</v>
      </c>
      <c r="U584" s="1" t="s">
        <v>74</v>
      </c>
      <c r="V584" s="1" t="s">
        <v>5966</v>
      </c>
      <c r="W584" s="1" t="s">
        <v>74</v>
      </c>
      <c r="X584" s="1" t="s">
        <v>74</v>
      </c>
      <c r="Y584" s="1" t="s">
        <v>74</v>
      </c>
      <c r="Z584" s="1" t="s">
        <v>74</v>
      </c>
      <c r="AA584" s="1" t="s">
        <v>5967</v>
      </c>
      <c r="AB584" s="1" t="s">
        <v>5968</v>
      </c>
      <c r="AC584" s="1" t="s">
        <v>74</v>
      </c>
      <c r="AD584" s="1" t="s">
        <v>74</v>
      </c>
      <c r="AE584" s="1" t="s">
        <v>74</v>
      </c>
      <c r="AF584" s="1" t="s">
        <v>74</v>
      </c>
      <c r="AG584" s="1" t="s">
        <v>74</v>
      </c>
      <c r="AH584" s="1" t="s">
        <v>74</v>
      </c>
      <c r="AI584" s="1" t="s">
        <v>74</v>
      </c>
      <c r="AJ584" s="1" t="s">
        <v>74</v>
      </c>
      <c r="AK584" s="1" t="s">
        <v>74</v>
      </c>
      <c r="AL584" s="1" t="s">
        <v>74</v>
      </c>
      <c r="AM584" s="1" t="s">
        <v>74</v>
      </c>
      <c r="AN584" s="1" t="s">
        <v>74</v>
      </c>
      <c r="AO584" s="1" t="s">
        <v>5969</v>
      </c>
      <c r="AP584" s="1" t="s">
        <v>5970</v>
      </c>
      <c r="AQ584" s="1" t="s">
        <v>74</v>
      </c>
      <c r="AR584" s="1" t="s">
        <v>74</v>
      </c>
      <c r="AS584" s="1" t="s">
        <v>74</v>
      </c>
      <c r="AT584" s="1" t="s">
        <v>1841</v>
      </c>
      <c r="AU584" s="1">
        <v>2020.0</v>
      </c>
      <c r="AV584" s="1">
        <v>533.0</v>
      </c>
      <c r="AW584" s="1" t="s">
        <v>74</v>
      </c>
      <c r="AX584" s="1" t="s">
        <v>74</v>
      </c>
      <c r="AY584" s="1" t="s">
        <v>74</v>
      </c>
      <c r="AZ584" s="1" t="s">
        <v>74</v>
      </c>
      <c r="BA584" s="1" t="s">
        <v>74</v>
      </c>
      <c r="BB584" s="1" t="s">
        <v>74</v>
      </c>
      <c r="BC584" s="1" t="s">
        <v>74</v>
      </c>
      <c r="BD584" s="1">
        <v>110715.0</v>
      </c>
      <c r="BE584" s="1" t="s">
        <v>5971</v>
      </c>
      <c r="BF584" s="2" t="str">
        <f>HYPERLINK("http://dx.doi.org/10.1016/j.chemphys.2020.110715","http://dx.doi.org/10.1016/j.chemphys.2020.110715")</f>
        <v>http://dx.doi.org/10.1016/j.chemphys.2020.110715</v>
      </c>
      <c r="BG584" s="1" t="s">
        <v>74</v>
      </c>
      <c r="BH584" s="1" t="s">
        <v>74</v>
      </c>
      <c r="BI584" s="1" t="s">
        <v>74</v>
      </c>
      <c r="BJ584" s="1" t="s">
        <v>74</v>
      </c>
      <c r="BK584" s="1" t="s">
        <v>74</v>
      </c>
      <c r="BL584" s="1" t="s">
        <v>74</v>
      </c>
      <c r="BM584" s="1" t="s">
        <v>74</v>
      </c>
      <c r="BN584" s="1" t="s">
        <v>74</v>
      </c>
      <c r="BO584" s="1" t="s">
        <v>74</v>
      </c>
      <c r="BP584" s="1" t="s">
        <v>74</v>
      </c>
      <c r="BQ584" s="1" t="s">
        <v>74</v>
      </c>
      <c r="BR584" s="1" t="s">
        <v>74</v>
      </c>
      <c r="BS584" s="1" t="s">
        <v>5972</v>
      </c>
      <c r="BT584" s="1" t="str">
        <f>HYPERLINK("https%3A%2F%2Fwww.webofscience.com%2Fwos%2Fwoscc%2Ffull-record%2FWOS:000522668200005","View Full Record in Web of Science")</f>
        <v>View Full Record in Web of Science</v>
      </c>
    </row>
    <row r="585" ht="12.75" customHeight="1">
      <c r="A585" s="1" t="s">
        <v>72</v>
      </c>
      <c r="B585" s="1" t="s">
        <v>5973</v>
      </c>
      <c r="C585" s="1" t="s">
        <v>74</v>
      </c>
      <c r="D585" s="1" t="s">
        <v>74</v>
      </c>
      <c r="E585" s="1" t="s">
        <v>74</v>
      </c>
      <c r="F585" s="1" t="s">
        <v>5974</v>
      </c>
      <c r="G585" s="1" t="s">
        <v>74</v>
      </c>
      <c r="H585" s="1" t="s">
        <v>74</v>
      </c>
      <c r="I585" s="1" t="s">
        <v>5975</v>
      </c>
      <c r="J585" s="1" t="s">
        <v>5976</v>
      </c>
      <c r="K585" s="1" t="s">
        <v>74</v>
      </c>
      <c r="L585" s="1" t="s">
        <v>74</v>
      </c>
      <c r="M585" s="1" t="s">
        <v>74</v>
      </c>
      <c r="N585" s="1" t="s">
        <v>74</v>
      </c>
      <c r="O585" s="1" t="s">
        <v>74</v>
      </c>
      <c r="P585" s="1" t="s">
        <v>74</v>
      </c>
      <c r="Q585" s="1" t="s">
        <v>74</v>
      </c>
      <c r="R585" s="1" t="s">
        <v>74</v>
      </c>
      <c r="S585" s="1" t="s">
        <v>74</v>
      </c>
      <c r="T585" s="1" t="s">
        <v>74</v>
      </c>
      <c r="U585" s="1" t="s">
        <v>74</v>
      </c>
      <c r="V585" s="1" t="s">
        <v>5977</v>
      </c>
      <c r="W585" s="1" t="s">
        <v>74</v>
      </c>
      <c r="X585" s="1" t="s">
        <v>74</v>
      </c>
      <c r="Y585" s="1" t="s">
        <v>74</v>
      </c>
      <c r="Z585" s="1" t="s">
        <v>74</v>
      </c>
      <c r="AA585" s="1" t="s">
        <v>5978</v>
      </c>
      <c r="AB585" s="1" t="s">
        <v>5979</v>
      </c>
      <c r="AC585" s="1" t="s">
        <v>74</v>
      </c>
      <c r="AD585" s="1" t="s">
        <v>74</v>
      </c>
      <c r="AE585" s="1" t="s">
        <v>74</v>
      </c>
      <c r="AF585" s="1" t="s">
        <v>74</v>
      </c>
      <c r="AG585" s="1" t="s">
        <v>74</v>
      </c>
      <c r="AH585" s="1" t="s">
        <v>74</v>
      </c>
      <c r="AI585" s="1" t="s">
        <v>74</v>
      </c>
      <c r="AJ585" s="1" t="s">
        <v>74</v>
      </c>
      <c r="AK585" s="1" t="s">
        <v>74</v>
      </c>
      <c r="AL585" s="1" t="s">
        <v>74</v>
      </c>
      <c r="AM585" s="1" t="s">
        <v>74</v>
      </c>
      <c r="AN585" s="1" t="s">
        <v>74</v>
      </c>
      <c r="AO585" s="1" t="s">
        <v>5980</v>
      </c>
      <c r="AP585" s="1" t="s">
        <v>5981</v>
      </c>
      <c r="AQ585" s="1" t="s">
        <v>74</v>
      </c>
      <c r="AR585" s="1" t="s">
        <v>74</v>
      </c>
      <c r="AS585" s="1" t="s">
        <v>74</v>
      </c>
      <c r="AT585" s="1" t="s">
        <v>5982</v>
      </c>
      <c r="AU585" s="1">
        <v>2020.0</v>
      </c>
      <c r="AV585" s="1">
        <v>11.0</v>
      </c>
      <c r="AW585" s="1">
        <v>2.0</v>
      </c>
      <c r="AX585" s="1" t="s">
        <v>74</v>
      </c>
      <c r="AY585" s="1" t="s">
        <v>74</v>
      </c>
      <c r="AZ585" s="1" t="s">
        <v>74</v>
      </c>
      <c r="BA585" s="1" t="s">
        <v>74</v>
      </c>
      <c r="BB585" s="1">
        <v>281.0</v>
      </c>
      <c r="BC585" s="1">
        <v>298.0</v>
      </c>
      <c r="BD585" s="1" t="s">
        <v>74</v>
      </c>
      <c r="BE585" s="1" t="s">
        <v>5983</v>
      </c>
      <c r="BF585" s="2" t="str">
        <f>HYPERLINK("http://dx.doi.org/10.5267/j.ijiec.2019.8.001","http://dx.doi.org/10.5267/j.ijiec.2019.8.001")</f>
        <v>http://dx.doi.org/10.5267/j.ijiec.2019.8.001</v>
      </c>
      <c r="BG585" s="1" t="s">
        <v>74</v>
      </c>
      <c r="BH585" s="1" t="s">
        <v>74</v>
      </c>
      <c r="BI585" s="1" t="s">
        <v>74</v>
      </c>
      <c r="BJ585" s="1" t="s">
        <v>74</v>
      </c>
      <c r="BK585" s="1" t="s">
        <v>74</v>
      </c>
      <c r="BL585" s="1" t="s">
        <v>74</v>
      </c>
      <c r="BM585" s="1" t="s">
        <v>74</v>
      </c>
      <c r="BN585" s="1" t="s">
        <v>74</v>
      </c>
      <c r="BO585" s="1" t="s">
        <v>74</v>
      </c>
      <c r="BP585" s="1" t="s">
        <v>74</v>
      </c>
      <c r="BQ585" s="1" t="s">
        <v>74</v>
      </c>
      <c r="BR585" s="1" t="s">
        <v>74</v>
      </c>
      <c r="BS585" s="1" t="s">
        <v>5984</v>
      </c>
      <c r="BT585" s="1" t="str">
        <f>HYPERLINK("https%3A%2F%2Fwww.webofscience.com%2Fwos%2Fwoscc%2Ffull-record%2FWOS:000494644100007","View Full Record in Web of Science")</f>
        <v>View Full Record in Web of Science</v>
      </c>
    </row>
    <row r="586" ht="12.75" customHeight="1">
      <c r="A586" s="1" t="s">
        <v>72</v>
      </c>
      <c r="B586" s="1" t="s">
        <v>5985</v>
      </c>
      <c r="C586" s="1" t="s">
        <v>74</v>
      </c>
      <c r="D586" s="1" t="s">
        <v>74</v>
      </c>
      <c r="E586" s="1" t="s">
        <v>74</v>
      </c>
      <c r="F586" s="1" t="s">
        <v>5986</v>
      </c>
      <c r="G586" s="1" t="s">
        <v>74</v>
      </c>
      <c r="H586" s="1" t="s">
        <v>74</v>
      </c>
      <c r="I586" s="1" t="s">
        <v>5987</v>
      </c>
      <c r="J586" s="1" t="s">
        <v>77</v>
      </c>
      <c r="K586" s="1" t="s">
        <v>74</v>
      </c>
      <c r="L586" s="1" t="s">
        <v>74</v>
      </c>
      <c r="M586" s="1" t="s">
        <v>74</v>
      </c>
      <c r="N586" s="1" t="s">
        <v>74</v>
      </c>
      <c r="O586" s="1" t="s">
        <v>74</v>
      </c>
      <c r="P586" s="1" t="s">
        <v>74</v>
      </c>
      <c r="Q586" s="1" t="s">
        <v>74</v>
      </c>
      <c r="R586" s="1" t="s">
        <v>74</v>
      </c>
      <c r="S586" s="1" t="s">
        <v>74</v>
      </c>
      <c r="T586" s="1" t="s">
        <v>74</v>
      </c>
      <c r="U586" s="1" t="s">
        <v>74</v>
      </c>
      <c r="V586" s="1" t="s">
        <v>5988</v>
      </c>
      <c r="W586" s="1" t="s">
        <v>74</v>
      </c>
      <c r="X586" s="1" t="s">
        <v>74</v>
      </c>
      <c r="Y586" s="1" t="s">
        <v>74</v>
      </c>
      <c r="Z586" s="1" t="s">
        <v>74</v>
      </c>
      <c r="AA586" s="1" t="s">
        <v>5989</v>
      </c>
      <c r="AB586" s="1" t="s">
        <v>5990</v>
      </c>
      <c r="AC586" s="1" t="s">
        <v>74</v>
      </c>
      <c r="AD586" s="1" t="s">
        <v>74</v>
      </c>
      <c r="AE586" s="1" t="s">
        <v>74</v>
      </c>
      <c r="AF586" s="1" t="s">
        <v>74</v>
      </c>
      <c r="AG586" s="1" t="s">
        <v>74</v>
      </c>
      <c r="AH586" s="1" t="s">
        <v>74</v>
      </c>
      <c r="AI586" s="1" t="s">
        <v>74</v>
      </c>
      <c r="AJ586" s="1" t="s">
        <v>74</v>
      </c>
      <c r="AK586" s="1" t="s">
        <v>74</v>
      </c>
      <c r="AL586" s="1" t="s">
        <v>74</v>
      </c>
      <c r="AM586" s="1" t="s">
        <v>74</v>
      </c>
      <c r="AN586" s="1" t="s">
        <v>74</v>
      </c>
      <c r="AO586" s="1" t="s">
        <v>81</v>
      </c>
      <c r="AP586" s="1" t="s">
        <v>74</v>
      </c>
      <c r="AQ586" s="1" t="s">
        <v>74</v>
      </c>
      <c r="AR586" s="1" t="s">
        <v>74</v>
      </c>
      <c r="AS586" s="1" t="s">
        <v>74</v>
      </c>
      <c r="AT586" s="1" t="s">
        <v>5991</v>
      </c>
      <c r="AU586" s="1">
        <v>2020.0</v>
      </c>
      <c r="AV586" s="1">
        <v>15.0</v>
      </c>
      <c r="AW586" s="1">
        <v>1.0</v>
      </c>
      <c r="AX586" s="1" t="s">
        <v>74</v>
      </c>
      <c r="AY586" s="1" t="s">
        <v>74</v>
      </c>
      <c r="AZ586" s="1" t="s">
        <v>74</v>
      </c>
      <c r="BA586" s="1" t="s">
        <v>74</v>
      </c>
      <c r="BB586" s="1" t="s">
        <v>74</v>
      </c>
      <c r="BC586" s="1" t="s">
        <v>74</v>
      </c>
      <c r="BD586" s="1" t="s">
        <v>5992</v>
      </c>
      <c r="BE586" s="1" t="s">
        <v>5993</v>
      </c>
      <c r="BF586" s="2" t="str">
        <f>HYPERLINK("http://dx.doi.org/10.1371/journal.pone.0216516","http://dx.doi.org/10.1371/journal.pone.0216516")</f>
        <v>http://dx.doi.org/10.1371/journal.pone.0216516</v>
      </c>
      <c r="BG586" s="1" t="s">
        <v>74</v>
      </c>
      <c r="BH586" s="1" t="s">
        <v>74</v>
      </c>
      <c r="BI586" s="1" t="s">
        <v>74</v>
      </c>
      <c r="BJ586" s="1" t="s">
        <v>74</v>
      </c>
      <c r="BK586" s="1" t="s">
        <v>74</v>
      </c>
      <c r="BL586" s="1" t="s">
        <v>74</v>
      </c>
      <c r="BM586" s="1" t="s">
        <v>74</v>
      </c>
      <c r="BN586" s="1">
        <v>3.1978089E7</v>
      </c>
      <c r="BO586" s="1" t="s">
        <v>74</v>
      </c>
      <c r="BP586" s="1" t="s">
        <v>74</v>
      </c>
      <c r="BQ586" s="1" t="s">
        <v>74</v>
      </c>
      <c r="BR586" s="1" t="s">
        <v>74</v>
      </c>
      <c r="BS586" s="1" t="s">
        <v>5994</v>
      </c>
      <c r="BT586" s="1" t="str">
        <f>HYPERLINK("https%3A%2F%2Fwww.webofscience.com%2Fwos%2Fwoscc%2Ffull-record%2FWOS:000510767600001","View Full Record in Web of Science")</f>
        <v>View Full Record in Web of Science</v>
      </c>
    </row>
    <row r="587" ht="12.75" customHeight="1">
      <c r="A587" s="1" t="s">
        <v>86</v>
      </c>
      <c r="B587" s="1" t="s">
        <v>5995</v>
      </c>
      <c r="C587" s="1" t="s">
        <v>74</v>
      </c>
      <c r="D587" s="1" t="s">
        <v>5996</v>
      </c>
      <c r="E587" s="1" t="s">
        <v>74</v>
      </c>
      <c r="F587" s="1" t="s">
        <v>5997</v>
      </c>
      <c r="G587" s="1" t="s">
        <v>74</v>
      </c>
      <c r="H587" s="1" t="s">
        <v>74</v>
      </c>
      <c r="I587" s="1" t="s">
        <v>5998</v>
      </c>
      <c r="J587" s="1" t="s">
        <v>5999</v>
      </c>
      <c r="K587" s="1" t="s">
        <v>368</v>
      </c>
      <c r="L587" s="1" t="s">
        <v>74</v>
      </c>
      <c r="M587" s="1" t="s">
        <v>74</v>
      </c>
      <c r="N587" s="1" t="s">
        <v>74</v>
      </c>
      <c r="O587" s="1" t="s">
        <v>6000</v>
      </c>
      <c r="P587" s="1" t="s">
        <v>6001</v>
      </c>
      <c r="Q587" s="1" t="s">
        <v>6002</v>
      </c>
      <c r="R587" s="1" t="s">
        <v>6003</v>
      </c>
      <c r="S587" s="1" t="s">
        <v>74</v>
      </c>
      <c r="T587" s="1" t="s">
        <v>74</v>
      </c>
      <c r="U587" s="1" t="s">
        <v>74</v>
      </c>
      <c r="V587" s="1" t="s">
        <v>6004</v>
      </c>
      <c r="W587" s="1" t="s">
        <v>74</v>
      </c>
      <c r="X587" s="1" t="s">
        <v>74</v>
      </c>
      <c r="Y587" s="1" t="s">
        <v>74</v>
      </c>
      <c r="Z587" s="1" t="s">
        <v>74</v>
      </c>
      <c r="AA587" s="1" t="s">
        <v>6005</v>
      </c>
      <c r="AB587" s="1" t="s">
        <v>6006</v>
      </c>
      <c r="AC587" s="1" t="s">
        <v>74</v>
      </c>
      <c r="AD587" s="1" t="s">
        <v>74</v>
      </c>
      <c r="AE587" s="1" t="s">
        <v>74</v>
      </c>
      <c r="AF587" s="1" t="s">
        <v>74</v>
      </c>
      <c r="AG587" s="1" t="s">
        <v>74</v>
      </c>
      <c r="AH587" s="1" t="s">
        <v>74</v>
      </c>
      <c r="AI587" s="1" t="s">
        <v>74</v>
      </c>
      <c r="AJ587" s="1" t="s">
        <v>74</v>
      </c>
      <c r="AK587" s="1" t="s">
        <v>74</v>
      </c>
      <c r="AL587" s="1" t="s">
        <v>74</v>
      </c>
      <c r="AM587" s="1" t="s">
        <v>74</v>
      </c>
      <c r="AN587" s="1" t="s">
        <v>74</v>
      </c>
      <c r="AO587" s="1" t="s">
        <v>376</v>
      </c>
      <c r="AP587" s="1" t="s">
        <v>377</v>
      </c>
      <c r="AQ587" s="1" t="s">
        <v>6007</v>
      </c>
      <c r="AR587" s="1" t="s">
        <v>74</v>
      </c>
      <c r="AS587" s="1" t="s">
        <v>74</v>
      </c>
      <c r="AT587" s="1" t="s">
        <v>74</v>
      </c>
      <c r="AU587" s="1">
        <v>2020.0</v>
      </c>
      <c r="AV587" s="1" t="s">
        <v>74</v>
      </c>
      <c r="AW587" s="1" t="s">
        <v>74</v>
      </c>
      <c r="AX587" s="1" t="s">
        <v>74</v>
      </c>
      <c r="AY587" s="1" t="s">
        <v>74</v>
      </c>
      <c r="AZ587" s="1" t="s">
        <v>74</v>
      </c>
      <c r="BA587" s="1" t="s">
        <v>74</v>
      </c>
      <c r="BB587" s="1">
        <v>177.0</v>
      </c>
      <c r="BC587" s="1">
        <v>187.0</v>
      </c>
      <c r="BD587" s="1" t="s">
        <v>74</v>
      </c>
      <c r="BE587" s="1" t="s">
        <v>6008</v>
      </c>
      <c r="BF587" s="2" t="str">
        <f>HYPERLINK("http://dx.doi.org/10.1007/978-3-030-12075-7_20","http://dx.doi.org/10.1007/978-3-030-12075-7_20")</f>
        <v>http://dx.doi.org/10.1007/978-3-030-12075-7_20</v>
      </c>
      <c r="BG587" s="1" t="s">
        <v>74</v>
      </c>
      <c r="BH587" s="1" t="s">
        <v>74</v>
      </c>
      <c r="BI587" s="1" t="s">
        <v>74</v>
      </c>
      <c r="BJ587" s="1" t="s">
        <v>74</v>
      </c>
      <c r="BK587" s="1" t="s">
        <v>74</v>
      </c>
      <c r="BL587" s="1" t="s">
        <v>74</v>
      </c>
      <c r="BM587" s="1" t="s">
        <v>74</v>
      </c>
      <c r="BN587" s="1" t="s">
        <v>74</v>
      </c>
      <c r="BO587" s="1" t="s">
        <v>74</v>
      </c>
      <c r="BP587" s="1" t="s">
        <v>74</v>
      </c>
      <c r="BQ587" s="1" t="s">
        <v>74</v>
      </c>
      <c r="BR587" s="1" t="s">
        <v>74</v>
      </c>
      <c r="BS587" s="1" t="s">
        <v>6009</v>
      </c>
      <c r="BT587" s="1" t="str">
        <f>HYPERLINK("https%3A%2F%2Fwww.webofscience.com%2Fwos%2Fwoscc%2Ffull-record%2FWOS:000646021200020","View Full Record in Web of Science")</f>
        <v>View Full Record in Web of Science</v>
      </c>
    </row>
    <row r="588" ht="12.75" customHeight="1">
      <c r="A588" s="1" t="s">
        <v>86</v>
      </c>
      <c r="B588" s="1" t="s">
        <v>6010</v>
      </c>
      <c r="C588" s="1" t="s">
        <v>74</v>
      </c>
      <c r="D588" s="1" t="s">
        <v>74</v>
      </c>
      <c r="E588" s="1" t="s">
        <v>248</v>
      </c>
      <c r="F588" s="1" t="s">
        <v>6011</v>
      </c>
      <c r="G588" s="1" t="s">
        <v>74</v>
      </c>
      <c r="H588" s="1" t="s">
        <v>74</v>
      </c>
      <c r="I588" s="1" t="s">
        <v>6012</v>
      </c>
      <c r="J588" s="1" t="s">
        <v>6013</v>
      </c>
      <c r="K588" s="1" t="s">
        <v>6014</v>
      </c>
      <c r="L588" s="1" t="s">
        <v>74</v>
      </c>
      <c r="M588" s="1" t="s">
        <v>74</v>
      </c>
      <c r="N588" s="1" t="s">
        <v>74</v>
      </c>
      <c r="O588" s="1" t="s">
        <v>6015</v>
      </c>
      <c r="P588" s="1" t="s">
        <v>6016</v>
      </c>
      <c r="Q588" s="1" t="s">
        <v>1067</v>
      </c>
      <c r="R588" s="1" t="s">
        <v>6017</v>
      </c>
      <c r="S588" s="1" t="s">
        <v>74</v>
      </c>
      <c r="T588" s="1" t="s">
        <v>74</v>
      </c>
      <c r="U588" s="1" t="s">
        <v>74</v>
      </c>
      <c r="V588" s="1" t="s">
        <v>6018</v>
      </c>
      <c r="W588" s="1" t="s">
        <v>74</v>
      </c>
      <c r="X588" s="1" t="s">
        <v>74</v>
      </c>
      <c r="Y588" s="1" t="s">
        <v>74</v>
      </c>
      <c r="Z588" s="1" t="s">
        <v>74</v>
      </c>
      <c r="AA588" s="1" t="s">
        <v>6019</v>
      </c>
      <c r="AB588" s="1" t="s">
        <v>6020</v>
      </c>
      <c r="AC588" s="1" t="s">
        <v>74</v>
      </c>
      <c r="AD588" s="1" t="s">
        <v>74</v>
      </c>
      <c r="AE588" s="1" t="s">
        <v>74</v>
      </c>
      <c r="AF588" s="1" t="s">
        <v>74</v>
      </c>
      <c r="AG588" s="1" t="s">
        <v>74</v>
      </c>
      <c r="AH588" s="1" t="s">
        <v>74</v>
      </c>
      <c r="AI588" s="1" t="s">
        <v>74</v>
      </c>
      <c r="AJ588" s="1" t="s">
        <v>74</v>
      </c>
      <c r="AK588" s="1" t="s">
        <v>74</v>
      </c>
      <c r="AL588" s="1" t="s">
        <v>74</v>
      </c>
      <c r="AM588" s="1" t="s">
        <v>74</v>
      </c>
      <c r="AN588" s="1" t="s">
        <v>74</v>
      </c>
      <c r="AO588" s="1" t="s">
        <v>74</v>
      </c>
      <c r="AP588" s="1" t="s">
        <v>74</v>
      </c>
      <c r="AQ588" s="1" t="s">
        <v>6021</v>
      </c>
      <c r="AR588" s="1" t="s">
        <v>74</v>
      </c>
      <c r="AS588" s="1" t="s">
        <v>74</v>
      </c>
      <c r="AT588" s="1" t="s">
        <v>74</v>
      </c>
      <c r="AU588" s="1">
        <v>2020.0</v>
      </c>
      <c r="AV588" s="1" t="s">
        <v>74</v>
      </c>
      <c r="AW588" s="1" t="s">
        <v>74</v>
      </c>
      <c r="AX588" s="1" t="s">
        <v>74</v>
      </c>
      <c r="AY588" s="1" t="s">
        <v>74</v>
      </c>
      <c r="AZ588" s="1" t="s">
        <v>74</v>
      </c>
      <c r="BA588" s="1" t="s">
        <v>74</v>
      </c>
      <c r="BB588" s="1" t="s">
        <v>74</v>
      </c>
      <c r="BC588" s="1" t="s">
        <v>74</v>
      </c>
      <c r="BD588" s="1" t="s">
        <v>74</v>
      </c>
      <c r="BE588" s="1" t="s">
        <v>74</v>
      </c>
      <c r="BF588" s="1" t="s">
        <v>74</v>
      </c>
      <c r="BG588" s="1" t="s">
        <v>74</v>
      </c>
      <c r="BH588" s="1" t="s">
        <v>74</v>
      </c>
      <c r="BI588" s="1" t="s">
        <v>74</v>
      </c>
      <c r="BJ588" s="1" t="s">
        <v>74</v>
      </c>
      <c r="BK588" s="1" t="s">
        <v>74</v>
      </c>
      <c r="BL588" s="1" t="s">
        <v>74</v>
      </c>
      <c r="BM588" s="1" t="s">
        <v>74</v>
      </c>
      <c r="BN588" s="1" t="s">
        <v>74</v>
      </c>
      <c r="BO588" s="1" t="s">
        <v>74</v>
      </c>
      <c r="BP588" s="1" t="s">
        <v>74</v>
      </c>
      <c r="BQ588" s="1" t="s">
        <v>74</v>
      </c>
      <c r="BR588" s="1" t="s">
        <v>74</v>
      </c>
      <c r="BS588" s="1" t="s">
        <v>6022</v>
      </c>
      <c r="BT588" s="1" t="str">
        <f>HYPERLINK("https%3A%2F%2Fwww.webofscience.com%2Fwos%2Fwoscc%2Ffull-record%2FWOS:000703998202020","View Full Record in Web of Science")</f>
        <v>View Full Record in Web of Science</v>
      </c>
    </row>
    <row r="589" ht="12.75" customHeight="1">
      <c r="A589" s="1" t="s">
        <v>86</v>
      </c>
      <c r="B589" s="1" t="s">
        <v>6023</v>
      </c>
      <c r="C589" s="1" t="s">
        <v>74</v>
      </c>
      <c r="D589" s="1" t="s">
        <v>74</v>
      </c>
      <c r="E589" s="1" t="s">
        <v>761</v>
      </c>
      <c r="F589" s="1" t="s">
        <v>6024</v>
      </c>
      <c r="G589" s="1" t="s">
        <v>74</v>
      </c>
      <c r="H589" s="1" t="s">
        <v>74</v>
      </c>
      <c r="I589" s="1" t="s">
        <v>6025</v>
      </c>
      <c r="J589" s="1" t="s">
        <v>6026</v>
      </c>
      <c r="K589" s="1" t="s">
        <v>74</v>
      </c>
      <c r="L589" s="1" t="s">
        <v>74</v>
      </c>
      <c r="M589" s="1" t="s">
        <v>74</v>
      </c>
      <c r="N589" s="1" t="s">
        <v>74</v>
      </c>
      <c r="O589" s="1" t="s">
        <v>6027</v>
      </c>
      <c r="P589" s="1" t="s">
        <v>6028</v>
      </c>
      <c r="Q589" s="1" t="s">
        <v>6029</v>
      </c>
      <c r="R589" s="1" t="s">
        <v>761</v>
      </c>
      <c r="S589" s="1" t="s">
        <v>74</v>
      </c>
      <c r="T589" s="1" t="s">
        <v>74</v>
      </c>
      <c r="U589" s="1" t="s">
        <v>74</v>
      </c>
      <c r="V589" s="1" t="s">
        <v>6030</v>
      </c>
      <c r="W589" s="1" t="s">
        <v>74</v>
      </c>
      <c r="X589" s="1" t="s">
        <v>74</v>
      </c>
      <c r="Y589" s="1" t="s">
        <v>74</v>
      </c>
      <c r="Z589" s="1" t="s">
        <v>74</v>
      </c>
      <c r="AA589" s="1" t="s">
        <v>74</v>
      </c>
      <c r="AB589" s="1" t="s">
        <v>74</v>
      </c>
      <c r="AC589" s="1" t="s">
        <v>74</v>
      </c>
      <c r="AD589" s="1" t="s">
        <v>74</v>
      </c>
      <c r="AE589" s="1" t="s">
        <v>74</v>
      </c>
      <c r="AF589" s="1" t="s">
        <v>74</v>
      </c>
      <c r="AG589" s="1" t="s">
        <v>74</v>
      </c>
      <c r="AH589" s="1" t="s">
        <v>74</v>
      </c>
      <c r="AI589" s="1" t="s">
        <v>74</v>
      </c>
      <c r="AJ589" s="1" t="s">
        <v>74</v>
      </c>
      <c r="AK589" s="1" t="s">
        <v>74</v>
      </c>
      <c r="AL589" s="1" t="s">
        <v>74</v>
      </c>
      <c r="AM589" s="1" t="s">
        <v>74</v>
      </c>
      <c r="AN589" s="1" t="s">
        <v>74</v>
      </c>
      <c r="AO589" s="1" t="s">
        <v>74</v>
      </c>
      <c r="AP589" s="1" t="s">
        <v>74</v>
      </c>
      <c r="AQ589" s="1" t="s">
        <v>6031</v>
      </c>
      <c r="AR589" s="1" t="s">
        <v>74</v>
      </c>
      <c r="AS589" s="1" t="s">
        <v>74</v>
      </c>
      <c r="AT589" s="1" t="s">
        <v>74</v>
      </c>
      <c r="AU589" s="1">
        <v>2020.0</v>
      </c>
      <c r="AV589" s="1" t="s">
        <v>74</v>
      </c>
      <c r="AW589" s="1" t="s">
        <v>74</v>
      </c>
      <c r="AX589" s="1" t="s">
        <v>74</v>
      </c>
      <c r="AY589" s="1" t="s">
        <v>74</v>
      </c>
      <c r="AZ589" s="1" t="s">
        <v>74</v>
      </c>
      <c r="BA589" s="1" t="s">
        <v>74</v>
      </c>
      <c r="BB589" s="1" t="s">
        <v>74</v>
      </c>
      <c r="BC589" s="1" t="s">
        <v>74</v>
      </c>
      <c r="BD589" s="1" t="s">
        <v>6032</v>
      </c>
      <c r="BE589" s="1" t="s">
        <v>74</v>
      </c>
      <c r="BF589" s="1" t="s">
        <v>74</v>
      </c>
      <c r="BG589" s="1" t="s">
        <v>74</v>
      </c>
      <c r="BH589" s="1" t="s">
        <v>74</v>
      </c>
      <c r="BI589" s="1" t="s">
        <v>74</v>
      </c>
      <c r="BJ589" s="1" t="s">
        <v>74</v>
      </c>
      <c r="BK589" s="1" t="s">
        <v>74</v>
      </c>
      <c r="BL589" s="1" t="s">
        <v>74</v>
      </c>
      <c r="BM589" s="1" t="s">
        <v>74</v>
      </c>
      <c r="BN589" s="1" t="s">
        <v>74</v>
      </c>
      <c r="BO589" s="1" t="s">
        <v>74</v>
      </c>
      <c r="BP589" s="1" t="s">
        <v>74</v>
      </c>
      <c r="BQ589" s="1" t="s">
        <v>74</v>
      </c>
      <c r="BR589" s="1" t="s">
        <v>74</v>
      </c>
      <c r="BS589" s="1" t="s">
        <v>6033</v>
      </c>
      <c r="BT589" s="1" t="str">
        <f>HYPERLINK("https%3A%2F%2Fwww.webofscience.com%2Fwos%2Fwoscc%2Ffull-record%2FWOS:001254322800027","View Full Record in Web of Science")</f>
        <v>View Full Record in Web of Science</v>
      </c>
    </row>
    <row r="590" ht="12.75" customHeight="1">
      <c r="A590" s="1" t="s">
        <v>72</v>
      </c>
      <c r="B590" s="1" t="s">
        <v>6034</v>
      </c>
      <c r="C590" s="1" t="s">
        <v>74</v>
      </c>
      <c r="D590" s="1" t="s">
        <v>74</v>
      </c>
      <c r="E590" s="1" t="s">
        <v>74</v>
      </c>
      <c r="F590" s="1" t="s">
        <v>6035</v>
      </c>
      <c r="G590" s="1" t="s">
        <v>74</v>
      </c>
      <c r="H590" s="1" t="s">
        <v>74</v>
      </c>
      <c r="I590" s="1" t="s">
        <v>6036</v>
      </c>
      <c r="J590" s="1" t="s">
        <v>6037</v>
      </c>
      <c r="K590" s="1" t="s">
        <v>74</v>
      </c>
      <c r="L590" s="1" t="s">
        <v>74</v>
      </c>
      <c r="M590" s="1" t="s">
        <v>74</v>
      </c>
      <c r="N590" s="1" t="s">
        <v>74</v>
      </c>
      <c r="O590" s="1" t="s">
        <v>74</v>
      </c>
      <c r="P590" s="1" t="s">
        <v>74</v>
      </c>
      <c r="Q590" s="1" t="s">
        <v>74</v>
      </c>
      <c r="R590" s="1" t="s">
        <v>74</v>
      </c>
      <c r="S590" s="1" t="s">
        <v>74</v>
      </c>
      <c r="T590" s="1" t="s">
        <v>74</v>
      </c>
      <c r="U590" s="1" t="s">
        <v>74</v>
      </c>
      <c r="V590" s="1" t="s">
        <v>6038</v>
      </c>
      <c r="W590" s="1" t="s">
        <v>74</v>
      </c>
      <c r="X590" s="1" t="s">
        <v>74</v>
      </c>
      <c r="Y590" s="1" t="s">
        <v>74</v>
      </c>
      <c r="Z590" s="1" t="s">
        <v>74</v>
      </c>
      <c r="AA590" s="1" t="s">
        <v>6039</v>
      </c>
      <c r="AB590" s="1" t="s">
        <v>6006</v>
      </c>
      <c r="AC590" s="1" t="s">
        <v>74</v>
      </c>
      <c r="AD590" s="1" t="s">
        <v>74</v>
      </c>
      <c r="AE590" s="1" t="s">
        <v>74</v>
      </c>
      <c r="AF590" s="1" t="s">
        <v>74</v>
      </c>
      <c r="AG590" s="1" t="s">
        <v>74</v>
      </c>
      <c r="AH590" s="1" t="s">
        <v>74</v>
      </c>
      <c r="AI590" s="1" t="s">
        <v>74</v>
      </c>
      <c r="AJ590" s="1" t="s">
        <v>74</v>
      </c>
      <c r="AK590" s="1" t="s">
        <v>74</v>
      </c>
      <c r="AL590" s="1" t="s">
        <v>74</v>
      </c>
      <c r="AM590" s="1" t="s">
        <v>74</v>
      </c>
      <c r="AN590" s="1" t="s">
        <v>74</v>
      </c>
      <c r="AO590" s="1" t="s">
        <v>6040</v>
      </c>
      <c r="AP590" s="1" t="s">
        <v>6041</v>
      </c>
      <c r="AQ590" s="1" t="s">
        <v>74</v>
      </c>
      <c r="AR590" s="1" t="s">
        <v>74</v>
      </c>
      <c r="AS590" s="1" t="s">
        <v>74</v>
      </c>
      <c r="AT590" s="1" t="s">
        <v>3926</v>
      </c>
      <c r="AU590" s="1">
        <v>2019.0</v>
      </c>
      <c r="AV590" s="1">
        <v>201.0</v>
      </c>
      <c r="AW590" s="1" t="s">
        <v>74</v>
      </c>
      <c r="AX590" s="1" t="s">
        <v>74</v>
      </c>
      <c r="AY590" s="1" t="s">
        <v>74</v>
      </c>
      <c r="AZ590" s="1" t="s">
        <v>74</v>
      </c>
      <c r="BA590" s="1" t="s">
        <v>74</v>
      </c>
      <c r="BB590" s="1" t="s">
        <v>74</v>
      </c>
      <c r="BC590" s="1" t="s">
        <v>74</v>
      </c>
      <c r="BD590" s="1">
        <v>109724.0</v>
      </c>
      <c r="BE590" s="1" t="s">
        <v>6042</v>
      </c>
      <c r="BF590" s="2" t="str">
        <f>HYPERLINK("http://dx.doi.org/10.1016/j.engstruct.2019.109724","http://dx.doi.org/10.1016/j.engstruct.2019.109724")</f>
        <v>http://dx.doi.org/10.1016/j.engstruct.2019.109724</v>
      </c>
      <c r="BG590" s="1" t="s">
        <v>74</v>
      </c>
      <c r="BH590" s="1" t="s">
        <v>74</v>
      </c>
      <c r="BI590" s="1" t="s">
        <v>74</v>
      </c>
      <c r="BJ590" s="1" t="s">
        <v>74</v>
      </c>
      <c r="BK590" s="1" t="s">
        <v>74</v>
      </c>
      <c r="BL590" s="1" t="s">
        <v>74</v>
      </c>
      <c r="BM590" s="1" t="s">
        <v>74</v>
      </c>
      <c r="BN590" s="1" t="s">
        <v>74</v>
      </c>
      <c r="BO590" s="1" t="s">
        <v>74</v>
      </c>
      <c r="BP590" s="1" t="s">
        <v>74</v>
      </c>
      <c r="BQ590" s="1" t="s">
        <v>74</v>
      </c>
      <c r="BR590" s="1" t="s">
        <v>74</v>
      </c>
      <c r="BS590" s="1" t="s">
        <v>6043</v>
      </c>
      <c r="BT590" s="1" t="str">
        <f>HYPERLINK("https%3A%2F%2Fwww.webofscience.com%2Fwos%2Fwoscc%2Ffull-record%2FWOS:000501395300006","View Full Record in Web of Science")</f>
        <v>View Full Record in Web of Science</v>
      </c>
    </row>
    <row r="591" ht="12.75" customHeight="1">
      <c r="A591" s="1" t="s">
        <v>72</v>
      </c>
      <c r="B591" s="1" t="s">
        <v>6044</v>
      </c>
      <c r="C591" s="1" t="s">
        <v>74</v>
      </c>
      <c r="D591" s="1" t="s">
        <v>74</v>
      </c>
      <c r="E591" s="1" t="s">
        <v>74</v>
      </c>
      <c r="F591" s="1" t="s">
        <v>6045</v>
      </c>
      <c r="G591" s="1" t="s">
        <v>74</v>
      </c>
      <c r="H591" s="1" t="s">
        <v>74</v>
      </c>
      <c r="I591" s="1" t="s">
        <v>6046</v>
      </c>
      <c r="J591" s="1" t="s">
        <v>6047</v>
      </c>
      <c r="K591" s="1" t="s">
        <v>74</v>
      </c>
      <c r="L591" s="1" t="s">
        <v>74</v>
      </c>
      <c r="M591" s="1" t="s">
        <v>74</v>
      </c>
      <c r="N591" s="1" t="s">
        <v>74</v>
      </c>
      <c r="O591" s="1" t="s">
        <v>74</v>
      </c>
      <c r="P591" s="1" t="s">
        <v>74</v>
      </c>
      <c r="Q591" s="1" t="s">
        <v>74</v>
      </c>
      <c r="R591" s="1" t="s">
        <v>74</v>
      </c>
      <c r="S591" s="1" t="s">
        <v>74</v>
      </c>
      <c r="T591" s="1" t="s">
        <v>74</v>
      </c>
      <c r="U591" s="1" t="s">
        <v>74</v>
      </c>
      <c r="V591" s="1" t="s">
        <v>6048</v>
      </c>
      <c r="W591" s="1" t="s">
        <v>74</v>
      </c>
      <c r="X591" s="1" t="s">
        <v>74</v>
      </c>
      <c r="Y591" s="1" t="s">
        <v>74</v>
      </c>
      <c r="Z591" s="1" t="s">
        <v>74</v>
      </c>
      <c r="AA591" s="1" t="s">
        <v>6049</v>
      </c>
      <c r="AB591" s="1" t="s">
        <v>6050</v>
      </c>
      <c r="AC591" s="1" t="s">
        <v>74</v>
      </c>
      <c r="AD591" s="1" t="s">
        <v>74</v>
      </c>
      <c r="AE591" s="1" t="s">
        <v>74</v>
      </c>
      <c r="AF591" s="1" t="s">
        <v>74</v>
      </c>
      <c r="AG591" s="1" t="s">
        <v>74</v>
      </c>
      <c r="AH591" s="1" t="s">
        <v>74</v>
      </c>
      <c r="AI591" s="1" t="s">
        <v>74</v>
      </c>
      <c r="AJ591" s="1" t="s">
        <v>74</v>
      </c>
      <c r="AK591" s="1" t="s">
        <v>74</v>
      </c>
      <c r="AL591" s="1" t="s">
        <v>74</v>
      </c>
      <c r="AM591" s="1" t="s">
        <v>74</v>
      </c>
      <c r="AN591" s="1" t="s">
        <v>74</v>
      </c>
      <c r="AO591" s="1" t="s">
        <v>6051</v>
      </c>
      <c r="AP591" s="1" t="s">
        <v>74</v>
      </c>
      <c r="AQ591" s="1" t="s">
        <v>74</v>
      </c>
      <c r="AR591" s="1" t="s">
        <v>74</v>
      </c>
      <c r="AS591" s="1" t="s">
        <v>74</v>
      </c>
      <c r="AT591" s="1" t="s">
        <v>672</v>
      </c>
      <c r="AU591" s="1">
        <v>2019.0</v>
      </c>
      <c r="AV591" s="1">
        <v>190.0</v>
      </c>
      <c r="AW591" s="1" t="s">
        <v>74</v>
      </c>
      <c r="AX591" s="1" t="s">
        <v>74</v>
      </c>
      <c r="AY591" s="1" t="s">
        <v>74</v>
      </c>
      <c r="AZ591" s="1" t="s">
        <v>74</v>
      </c>
      <c r="BA591" s="1" t="s">
        <v>74</v>
      </c>
      <c r="BB591" s="1">
        <v>82.0</v>
      </c>
      <c r="BC591" s="1">
        <v>91.0</v>
      </c>
      <c r="BD591" s="1" t="s">
        <v>74</v>
      </c>
      <c r="BE591" s="1" t="s">
        <v>6052</v>
      </c>
      <c r="BF591" s="2" t="str">
        <f>HYPERLINK("http://dx.doi.org/10.1016/j.solener.2019.07.072","http://dx.doi.org/10.1016/j.solener.2019.07.072")</f>
        <v>http://dx.doi.org/10.1016/j.solener.2019.07.072</v>
      </c>
      <c r="BG591" s="1" t="s">
        <v>74</v>
      </c>
      <c r="BH591" s="1" t="s">
        <v>74</v>
      </c>
      <c r="BI591" s="1" t="s">
        <v>74</v>
      </c>
      <c r="BJ591" s="1" t="s">
        <v>74</v>
      </c>
      <c r="BK591" s="1" t="s">
        <v>74</v>
      </c>
      <c r="BL591" s="1" t="s">
        <v>74</v>
      </c>
      <c r="BM591" s="1" t="s">
        <v>74</v>
      </c>
      <c r="BN591" s="1" t="s">
        <v>74</v>
      </c>
      <c r="BO591" s="1" t="s">
        <v>74</v>
      </c>
      <c r="BP591" s="1" t="s">
        <v>74</v>
      </c>
      <c r="BQ591" s="1" t="s">
        <v>74</v>
      </c>
      <c r="BR591" s="1" t="s">
        <v>74</v>
      </c>
      <c r="BS591" s="1" t="s">
        <v>6053</v>
      </c>
      <c r="BT591" s="1" t="str">
        <f>HYPERLINK("https%3A%2F%2Fwww.webofscience.com%2Fwos%2Fwoscc%2Ffull-record%2FWOS:000487167800008","View Full Record in Web of Science")</f>
        <v>View Full Record in Web of Science</v>
      </c>
    </row>
    <row r="592" ht="12.75" customHeight="1">
      <c r="A592" s="1" t="s">
        <v>72</v>
      </c>
      <c r="B592" s="1" t="s">
        <v>6054</v>
      </c>
      <c r="C592" s="1" t="s">
        <v>74</v>
      </c>
      <c r="D592" s="1" t="s">
        <v>74</v>
      </c>
      <c r="E592" s="1" t="s">
        <v>74</v>
      </c>
      <c r="F592" s="1" t="s">
        <v>6055</v>
      </c>
      <c r="G592" s="1" t="s">
        <v>74</v>
      </c>
      <c r="H592" s="1" t="s">
        <v>74</v>
      </c>
      <c r="I592" s="1" t="s">
        <v>6056</v>
      </c>
      <c r="J592" s="1" t="s">
        <v>6057</v>
      </c>
      <c r="K592" s="1" t="s">
        <v>74</v>
      </c>
      <c r="L592" s="1" t="s">
        <v>74</v>
      </c>
      <c r="M592" s="1" t="s">
        <v>74</v>
      </c>
      <c r="N592" s="1" t="s">
        <v>74</v>
      </c>
      <c r="O592" s="1" t="s">
        <v>74</v>
      </c>
      <c r="P592" s="1" t="s">
        <v>74</v>
      </c>
      <c r="Q592" s="1" t="s">
        <v>74</v>
      </c>
      <c r="R592" s="1" t="s">
        <v>74</v>
      </c>
      <c r="S592" s="1" t="s">
        <v>74</v>
      </c>
      <c r="T592" s="1" t="s">
        <v>74</v>
      </c>
      <c r="U592" s="1" t="s">
        <v>74</v>
      </c>
      <c r="V592" s="1" t="s">
        <v>6058</v>
      </c>
      <c r="W592" s="1" t="s">
        <v>74</v>
      </c>
      <c r="X592" s="1" t="s">
        <v>74</v>
      </c>
      <c r="Y592" s="1" t="s">
        <v>74</v>
      </c>
      <c r="Z592" s="1" t="s">
        <v>74</v>
      </c>
      <c r="AA592" s="1" t="s">
        <v>6059</v>
      </c>
      <c r="AB592" s="1" t="s">
        <v>6060</v>
      </c>
      <c r="AC592" s="1" t="s">
        <v>74</v>
      </c>
      <c r="AD592" s="1" t="s">
        <v>74</v>
      </c>
      <c r="AE592" s="1" t="s">
        <v>74</v>
      </c>
      <c r="AF592" s="1" t="s">
        <v>74</v>
      </c>
      <c r="AG592" s="1" t="s">
        <v>74</v>
      </c>
      <c r="AH592" s="1" t="s">
        <v>74</v>
      </c>
      <c r="AI592" s="1" t="s">
        <v>74</v>
      </c>
      <c r="AJ592" s="1" t="s">
        <v>74</v>
      </c>
      <c r="AK592" s="1" t="s">
        <v>74</v>
      </c>
      <c r="AL592" s="1" t="s">
        <v>74</v>
      </c>
      <c r="AM592" s="1" t="s">
        <v>74</v>
      </c>
      <c r="AN592" s="1" t="s">
        <v>74</v>
      </c>
      <c r="AO592" s="1" t="s">
        <v>6061</v>
      </c>
      <c r="AP592" s="1" t="s">
        <v>6062</v>
      </c>
      <c r="AQ592" s="1" t="s">
        <v>74</v>
      </c>
      <c r="AR592" s="1" t="s">
        <v>74</v>
      </c>
      <c r="AS592" s="1" t="s">
        <v>74</v>
      </c>
      <c r="AT592" s="1" t="s">
        <v>1213</v>
      </c>
      <c r="AU592" s="1">
        <v>2017.0</v>
      </c>
      <c r="AV592" s="1">
        <v>203.0</v>
      </c>
      <c r="AW592" s="1" t="s">
        <v>74</v>
      </c>
      <c r="AX592" s="1" t="s">
        <v>74</v>
      </c>
      <c r="AY592" s="1" t="s">
        <v>74</v>
      </c>
      <c r="AZ592" s="1" t="s">
        <v>74</v>
      </c>
      <c r="BA592" s="1" t="s">
        <v>74</v>
      </c>
      <c r="BB592" s="1">
        <v>87.0</v>
      </c>
      <c r="BC592" s="1">
        <v>93.0</v>
      </c>
      <c r="BD592" s="1" t="s">
        <v>74</v>
      </c>
      <c r="BE592" s="1" t="s">
        <v>6063</v>
      </c>
      <c r="BF592" s="2" t="str">
        <f>HYPERLINK("http://dx.doi.org/10.1016/j.chemphyslip.2016.12.005","http://dx.doi.org/10.1016/j.chemphyslip.2016.12.005")</f>
        <v>http://dx.doi.org/10.1016/j.chemphyslip.2016.12.005</v>
      </c>
      <c r="BG592" s="1" t="s">
        <v>74</v>
      </c>
      <c r="BH592" s="1" t="s">
        <v>74</v>
      </c>
      <c r="BI592" s="1" t="s">
        <v>74</v>
      </c>
      <c r="BJ592" s="1" t="s">
        <v>74</v>
      </c>
      <c r="BK592" s="1" t="s">
        <v>74</v>
      </c>
      <c r="BL592" s="1" t="s">
        <v>74</v>
      </c>
      <c r="BM592" s="1" t="s">
        <v>74</v>
      </c>
      <c r="BN592" s="1">
        <v>2.8048967E7</v>
      </c>
      <c r="BO592" s="1" t="s">
        <v>74</v>
      </c>
      <c r="BP592" s="1" t="s">
        <v>74</v>
      </c>
      <c r="BQ592" s="1" t="s">
        <v>74</v>
      </c>
      <c r="BR592" s="1" t="s">
        <v>74</v>
      </c>
      <c r="BS592" s="1" t="s">
        <v>6064</v>
      </c>
      <c r="BT592" s="1" t="str">
        <f>HYPERLINK("https%3A%2F%2Fwww.webofscience.com%2Fwos%2Fwoscc%2Ffull-record%2FWOS:000395725500010","View Full Record in Web of Science")</f>
        <v>View Full Record in Web of Science</v>
      </c>
    </row>
    <row r="593" ht="12.75" customHeight="1">
      <c r="A593" s="1" t="s">
        <v>72</v>
      </c>
      <c r="B593" s="1" t="s">
        <v>6065</v>
      </c>
      <c r="C593" s="1" t="s">
        <v>74</v>
      </c>
      <c r="D593" s="1" t="s">
        <v>74</v>
      </c>
      <c r="E593" s="1" t="s">
        <v>74</v>
      </c>
      <c r="F593" s="1" t="s">
        <v>6066</v>
      </c>
      <c r="G593" s="1" t="s">
        <v>74</v>
      </c>
      <c r="H593" s="1" t="s">
        <v>74</v>
      </c>
      <c r="I593" s="1" t="s">
        <v>6067</v>
      </c>
      <c r="J593" s="1" t="s">
        <v>6068</v>
      </c>
      <c r="K593" s="1" t="s">
        <v>74</v>
      </c>
      <c r="L593" s="1" t="s">
        <v>74</v>
      </c>
      <c r="M593" s="1" t="s">
        <v>74</v>
      </c>
      <c r="N593" s="1" t="s">
        <v>74</v>
      </c>
      <c r="O593" s="1" t="s">
        <v>74</v>
      </c>
      <c r="P593" s="1" t="s">
        <v>74</v>
      </c>
      <c r="Q593" s="1" t="s">
        <v>74</v>
      </c>
      <c r="R593" s="1" t="s">
        <v>74</v>
      </c>
      <c r="S593" s="1" t="s">
        <v>74</v>
      </c>
      <c r="T593" s="1" t="s">
        <v>74</v>
      </c>
      <c r="U593" s="1" t="s">
        <v>74</v>
      </c>
      <c r="V593" s="1" t="s">
        <v>6069</v>
      </c>
      <c r="W593" s="1" t="s">
        <v>74</v>
      </c>
      <c r="X593" s="1" t="s">
        <v>74</v>
      </c>
      <c r="Y593" s="1" t="s">
        <v>74</v>
      </c>
      <c r="Z593" s="1" t="s">
        <v>74</v>
      </c>
      <c r="AA593" s="1" t="s">
        <v>4104</v>
      </c>
      <c r="AB593" s="1" t="s">
        <v>6070</v>
      </c>
      <c r="AC593" s="1" t="s">
        <v>74</v>
      </c>
      <c r="AD593" s="1" t="s">
        <v>74</v>
      </c>
      <c r="AE593" s="1" t="s">
        <v>74</v>
      </c>
      <c r="AF593" s="1" t="s">
        <v>74</v>
      </c>
      <c r="AG593" s="1" t="s">
        <v>74</v>
      </c>
      <c r="AH593" s="1" t="s">
        <v>74</v>
      </c>
      <c r="AI593" s="1" t="s">
        <v>74</v>
      </c>
      <c r="AJ593" s="1" t="s">
        <v>74</v>
      </c>
      <c r="AK593" s="1" t="s">
        <v>74</v>
      </c>
      <c r="AL593" s="1" t="s">
        <v>74</v>
      </c>
      <c r="AM593" s="1" t="s">
        <v>74</v>
      </c>
      <c r="AN593" s="1" t="s">
        <v>74</v>
      </c>
      <c r="AO593" s="1" t="s">
        <v>6071</v>
      </c>
      <c r="AP593" s="1" t="s">
        <v>6072</v>
      </c>
      <c r="AQ593" s="1" t="s">
        <v>74</v>
      </c>
      <c r="AR593" s="1" t="s">
        <v>74</v>
      </c>
      <c r="AS593" s="1" t="s">
        <v>74</v>
      </c>
      <c r="AT593" s="1" t="s">
        <v>6073</v>
      </c>
      <c r="AU593" s="1">
        <v>2016.0</v>
      </c>
      <c r="AV593" s="1">
        <v>109.0</v>
      </c>
      <c r="AW593" s="1">
        <v>12.0</v>
      </c>
      <c r="AX593" s="1" t="s">
        <v>74</v>
      </c>
      <c r="AY593" s="1" t="s">
        <v>74</v>
      </c>
      <c r="AZ593" s="1" t="s">
        <v>74</v>
      </c>
      <c r="BA593" s="1" t="s">
        <v>74</v>
      </c>
      <c r="BB593" s="1" t="s">
        <v>74</v>
      </c>
      <c r="BC593" s="1" t="s">
        <v>74</v>
      </c>
      <c r="BD593" s="1">
        <v>122408.0</v>
      </c>
      <c r="BE593" s="1" t="s">
        <v>6074</v>
      </c>
      <c r="BF593" s="2" t="str">
        <f>HYPERLINK("http://dx.doi.org/10.1063/1.4963181","http://dx.doi.org/10.1063/1.4963181")</f>
        <v>http://dx.doi.org/10.1063/1.4963181</v>
      </c>
      <c r="BG593" s="1" t="s">
        <v>74</v>
      </c>
      <c r="BH593" s="1" t="s">
        <v>74</v>
      </c>
      <c r="BI593" s="1" t="s">
        <v>74</v>
      </c>
      <c r="BJ593" s="1" t="s">
        <v>74</v>
      </c>
      <c r="BK593" s="1" t="s">
        <v>74</v>
      </c>
      <c r="BL593" s="1" t="s">
        <v>74</v>
      </c>
      <c r="BM593" s="1" t="s">
        <v>74</v>
      </c>
      <c r="BN593" s="1" t="s">
        <v>74</v>
      </c>
      <c r="BO593" s="1" t="s">
        <v>74</v>
      </c>
      <c r="BP593" s="1" t="s">
        <v>74</v>
      </c>
      <c r="BQ593" s="1" t="s">
        <v>74</v>
      </c>
      <c r="BR593" s="1" t="s">
        <v>74</v>
      </c>
      <c r="BS593" s="1" t="s">
        <v>6075</v>
      </c>
      <c r="BT593" s="1" t="str">
        <f>HYPERLINK("https%3A%2F%2Fwww.webofscience.com%2Fwos%2Fwoscc%2Ffull-record%2FWOS:000384558700037","View Full Record in Web of Science")</f>
        <v>View Full Record in Web of Science</v>
      </c>
    </row>
    <row r="594" ht="12.75" customHeight="1">
      <c r="A594" s="1" t="s">
        <v>72</v>
      </c>
      <c r="B594" s="1" t="s">
        <v>6076</v>
      </c>
      <c r="C594" s="1" t="s">
        <v>74</v>
      </c>
      <c r="D594" s="1" t="s">
        <v>74</v>
      </c>
      <c r="E594" s="1" t="s">
        <v>74</v>
      </c>
      <c r="F594" s="1" t="s">
        <v>6077</v>
      </c>
      <c r="G594" s="1" t="s">
        <v>74</v>
      </c>
      <c r="H594" s="1" t="s">
        <v>74</v>
      </c>
      <c r="I594" s="1" t="s">
        <v>6078</v>
      </c>
      <c r="J594" s="1" t="s">
        <v>4510</v>
      </c>
      <c r="K594" s="1" t="s">
        <v>74</v>
      </c>
      <c r="L594" s="1" t="s">
        <v>74</v>
      </c>
      <c r="M594" s="1" t="s">
        <v>74</v>
      </c>
      <c r="N594" s="1" t="s">
        <v>74</v>
      </c>
      <c r="O594" s="1" t="s">
        <v>74</v>
      </c>
      <c r="P594" s="1" t="s">
        <v>74</v>
      </c>
      <c r="Q594" s="1" t="s">
        <v>74</v>
      </c>
      <c r="R594" s="1" t="s">
        <v>74</v>
      </c>
      <c r="S594" s="1" t="s">
        <v>74</v>
      </c>
      <c r="T594" s="1" t="s">
        <v>74</v>
      </c>
      <c r="U594" s="1" t="s">
        <v>74</v>
      </c>
      <c r="V594" s="1" t="s">
        <v>6079</v>
      </c>
      <c r="W594" s="1" t="s">
        <v>74</v>
      </c>
      <c r="X594" s="1" t="s">
        <v>74</v>
      </c>
      <c r="Y594" s="1" t="s">
        <v>74</v>
      </c>
      <c r="Z594" s="1" t="s">
        <v>74</v>
      </c>
      <c r="AA594" s="1" t="s">
        <v>6080</v>
      </c>
      <c r="AB594" s="1" t="s">
        <v>6081</v>
      </c>
      <c r="AC594" s="1" t="s">
        <v>74</v>
      </c>
      <c r="AD594" s="1" t="s">
        <v>74</v>
      </c>
      <c r="AE594" s="1" t="s">
        <v>74</v>
      </c>
      <c r="AF594" s="1" t="s">
        <v>74</v>
      </c>
      <c r="AG594" s="1" t="s">
        <v>74</v>
      </c>
      <c r="AH594" s="1" t="s">
        <v>74</v>
      </c>
      <c r="AI594" s="1" t="s">
        <v>74</v>
      </c>
      <c r="AJ594" s="1" t="s">
        <v>74</v>
      </c>
      <c r="AK594" s="1" t="s">
        <v>74</v>
      </c>
      <c r="AL594" s="1" t="s">
        <v>74</v>
      </c>
      <c r="AM594" s="1" t="s">
        <v>74</v>
      </c>
      <c r="AN594" s="1" t="s">
        <v>74</v>
      </c>
      <c r="AO594" s="1" t="s">
        <v>4514</v>
      </c>
      <c r="AP594" s="1" t="s">
        <v>74</v>
      </c>
      <c r="AQ594" s="1" t="s">
        <v>74</v>
      </c>
      <c r="AR594" s="1" t="s">
        <v>74</v>
      </c>
      <c r="AS594" s="1" t="s">
        <v>74</v>
      </c>
      <c r="AT594" s="1" t="s">
        <v>6082</v>
      </c>
      <c r="AU594" s="1">
        <v>2016.0</v>
      </c>
      <c r="AV594" s="1">
        <v>7.0</v>
      </c>
      <c r="AW594" s="1" t="s">
        <v>74</v>
      </c>
      <c r="AX594" s="1" t="s">
        <v>74</v>
      </c>
      <c r="AY594" s="1" t="s">
        <v>74</v>
      </c>
      <c r="AZ594" s="1" t="s">
        <v>74</v>
      </c>
      <c r="BA594" s="1" t="s">
        <v>74</v>
      </c>
      <c r="BB594" s="1" t="s">
        <v>74</v>
      </c>
      <c r="BC594" s="1" t="s">
        <v>74</v>
      </c>
      <c r="BD594" s="1">
        <v>1243.0</v>
      </c>
      <c r="BE594" s="1" t="s">
        <v>6083</v>
      </c>
      <c r="BF594" s="2" t="str">
        <f>HYPERLINK("http://dx.doi.org/10.3389/fpsyg.2016.01243","http://dx.doi.org/10.3389/fpsyg.2016.01243")</f>
        <v>http://dx.doi.org/10.3389/fpsyg.2016.01243</v>
      </c>
      <c r="BG594" s="1" t="s">
        <v>74</v>
      </c>
      <c r="BH594" s="1" t="s">
        <v>74</v>
      </c>
      <c r="BI594" s="1" t="s">
        <v>74</v>
      </c>
      <c r="BJ594" s="1" t="s">
        <v>74</v>
      </c>
      <c r="BK594" s="1" t="s">
        <v>74</v>
      </c>
      <c r="BL594" s="1" t="s">
        <v>74</v>
      </c>
      <c r="BM594" s="1" t="s">
        <v>74</v>
      </c>
      <c r="BN594" s="1">
        <v>2.7610091E7</v>
      </c>
      <c r="BO594" s="1" t="s">
        <v>74</v>
      </c>
      <c r="BP594" s="1" t="s">
        <v>74</v>
      </c>
      <c r="BQ594" s="1" t="s">
        <v>74</v>
      </c>
      <c r="BR594" s="1" t="s">
        <v>74</v>
      </c>
      <c r="BS594" s="1" t="s">
        <v>6084</v>
      </c>
      <c r="BT594" s="1" t="str">
        <f>HYPERLINK("https%3A%2F%2Fwww.webofscience.com%2Fwos%2Fwoscc%2Ffull-record%2FWOS:000381857000001","View Full Record in Web of Science")</f>
        <v>View Full Record in Web of Science</v>
      </c>
    </row>
    <row r="595" ht="12.75" customHeight="1">
      <c r="A595" s="1" t="s">
        <v>742</v>
      </c>
      <c r="B595" s="1" t="s">
        <v>6085</v>
      </c>
      <c r="C595" s="1" t="s">
        <v>74</v>
      </c>
      <c r="D595" s="1" t="s">
        <v>6086</v>
      </c>
      <c r="E595" s="1" t="s">
        <v>74</v>
      </c>
      <c r="F595" s="1" t="s">
        <v>6087</v>
      </c>
      <c r="G595" s="1" t="s">
        <v>74</v>
      </c>
      <c r="H595" s="1" t="s">
        <v>74</v>
      </c>
      <c r="I595" s="1" t="s">
        <v>6088</v>
      </c>
      <c r="J595" s="1" t="s">
        <v>6089</v>
      </c>
      <c r="K595" s="1" t="s">
        <v>74</v>
      </c>
      <c r="L595" s="1" t="s">
        <v>74</v>
      </c>
      <c r="M595" s="1" t="s">
        <v>74</v>
      </c>
      <c r="N595" s="1" t="s">
        <v>74</v>
      </c>
      <c r="O595" s="1" t="s">
        <v>74</v>
      </c>
      <c r="P595" s="1" t="s">
        <v>74</v>
      </c>
      <c r="Q595" s="1" t="s">
        <v>74</v>
      </c>
      <c r="R595" s="1" t="s">
        <v>74</v>
      </c>
      <c r="S595" s="1" t="s">
        <v>74</v>
      </c>
      <c r="T595" s="1" t="s">
        <v>74</v>
      </c>
      <c r="U595" s="1" t="s">
        <v>74</v>
      </c>
      <c r="V595" s="1" t="s">
        <v>74</v>
      </c>
      <c r="W595" s="1" t="s">
        <v>74</v>
      </c>
      <c r="X595" s="1" t="s">
        <v>74</v>
      </c>
      <c r="Y595" s="1" t="s">
        <v>74</v>
      </c>
      <c r="Z595" s="1" t="s">
        <v>74</v>
      </c>
      <c r="AA595" s="1" t="s">
        <v>6090</v>
      </c>
      <c r="AB595" s="1" t="s">
        <v>74</v>
      </c>
      <c r="AC595" s="1" t="s">
        <v>74</v>
      </c>
      <c r="AD595" s="1" t="s">
        <v>74</v>
      </c>
      <c r="AE595" s="1" t="s">
        <v>74</v>
      </c>
      <c r="AF595" s="1" t="s">
        <v>74</v>
      </c>
      <c r="AG595" s="1" t="s">
        <v>74</v>
      </c>
      <c r="AH595" s="1" t="s">
        <v>74</v>
      </c>
      <c r="AI595" s="1" t="s">
        <v>74</v>
      </c>
      <c r="AJ595" s="1" t="s">
        <v>74</v>
      </c>
      <c r="AK595" s="1" t="s">
        <v>74</v>
      </c>
      <c r="AL595" s="1" t="s">
        <v>74</v>
      </c>
      <c r="AM595" s="1" t="s">
        <v>74</v>
      </c>
      <c r="AN595" s="1" t="s">
        <v>74</v>
      </c>
      <c r="AO595" s="1" t="s">
        <v>74</v>
      </c>
      <c r="AP595" s="1" t="s">
        <v>74</v>
      </c>
      <c r="AQ595" s="1" t="s">
        <v>6091</v>
      </c>
      <c r="AR595" s="1" t="s">
        <v>74</v>
      </c>
      <c r="AS595" s="1" t="s">
        <v>74</v>
      </c>
      <c r="AT595" s="1" t="s">
        <v>74</v>
      </c>
      <c r="AU595" s="1">
        <v>2016.0</v>
      </c>
      <c r="AV595" s="1" t="s">
        <v>74</v>
      </c>
      <c r="AW595" s="1" t="s">
        <v>74</v>
      </c>
      <c r="AX595" s="1" t="s">
        <v>74</v>
      </c>
      <c r="AY595" s="1" t="s">
        <v>74</v>
      </c>
      <c r="AZ595" s="1" t="s">
        <v>74</v>
      </c>
      <c r="BA595" s="1" t="s">
        <v>74</v>
      </c>
      <c r="BB595" s="1">
        <v>331.0</v>
      </c>
      <c r="BC595" s="1">
        <v>342.0</v>
      </c>
      <c r="BD595" s="1" t="s">
        <v>74</v>
      </c>
      <c r="BE595" s="1" t="s">
        <v>74</v>
      </c>
      <c r="BF595" s="1" t="s">
        <v>74</v>
      </c>
      <c r="BG595" s="1" t="s">
        <v>74</v>
      </c>
      <c r="BH595" s="1" t="s">
        <v>74</v>
      </c>
      <c r="BI595" s="1" t="s">
        <v>74</v>
      </c>
      <c r="BJ595" s="1" t="s">
        <v>74</v>
      </c>
      <c r="BK595" s="1" t="s">
        <v>74</v>
      </c>
      <c r="BL595" s="1" t="s">
        <v>74</v>
      </c>
      <c r="BM595" s="1" t="s">
        <v>74</v>
      </c>
      <c r="BN595" s="1" t="s">
        <v>74</v>
      </c>
      <c r="BO595" s="1" t="s">
        <v>74</v>
      </c>
      <c r="BP595" s="1" t="s">
        <v>74</v>
      </c>
      <c r="BQ595" s="1" t="s">
        <v>74</v>
      </c>
      <c r="BR595" s="1" t="s">
        <v>74</v>
      </c>
      <c r="BS595" s="1" t="s">
        <v>6092</v>
      </c>
      <c r="BT595" s="1" t="str">
        <f>HYPERLINK("https%3A%2F%2Fwww.webofscience.com%2Fwos%2Fwoscc%2Ffull-record%2FWOS:000386221500017","View Full Record in Web of Science")</f>
        <v>View Full Record in Web of Science</v>
      </c>
    </row>
    <row r="596" ht="12.75" customHeight="1">
      <c r="A596" s="1" t="s">
        <v>72</v>
      </c>
      <c r="B596" s="1" t="s">
        <v>6093</v>
      </c>
      <c r="C596" s="1" t="s">
        <v>74</v>
      </c>
      <c r="D596" s="1" t="s">
        <v>74</v>
      </c>
      <c r="E596" s="1" t="s">
        <v>74</v>
      </c>
      <c r="F596" s="1" t="s">
        <v>6094</v>
      </c>
      <c r="G596" s="1" t="s">
        <v>74</v>
      </c>
      <c r="H596" s="1" t="s">
        <v>74</v>
      </c>
      <c r="I596" s="1" t="s">
        <v>6095</v>
      </c>
      <c r="J596" s="1" t="s">
        <v>6096</v>
      </c>
      <c r="K596" s="1" t="s">
        <v>74</v>
      </c>
      <c r="L596" s="1" t="s">
        <v>74</v>
      </c>
      <c r="M596" s="1" t="s">
        <v>74</v>
      </c>
      <c r="N596" s="1" t="s">
        <v>74</v>
      </c>
      <c r="O596" s="1" t="s">
        <v>74</v>
      </c>
      <c r="P596" s="1" t="s">
        <v>74</v>
      </c>
      <c r="Q596" s="1" t="s">
        <v>74</v>
      </c>
      <c r="R596" s="1" t="s">
        <v>74</v>
      </c>
      <c r="S596" s="1" t="s">
        <v>74</v>
      </c>
      <c r="T596" s="1" t="s">
        <v>74</v>
      </c>
      <c r="U596" s="1" t="s">
        <v>74</v>
      </c>
      <c r="V596" s="1" t="s">
        <v>6097</v>
      </c>
      <c r="W596" s="1" t="s">
        <v>74</v>
      </c>
      <c r="X596" s="1" t="s">
        <v>74</v>
      </c>
      <c r="Y596" s="1" t="s">
        <v>74</v>
      </c>
      <c r="Z596" s="1" t="s">
        <v>74</v>
      </c>
      <c r="AA596" s="1" t="s">
        <v>5030</v>
      </c>
      <c r="AB596" s="1" t="s">
        <v>6098</v>
      </c>
      <c r="AC596" s="1" t="s">
        <v>74</v>
      </c>
      <c r="AD596" s="1" t="s">
        <v>74</v>
      </c>
      <c r="AE596" s="1" t="s">
        <v>74</v>
      </c>
      <c r="AF596" s="1" t="s">
        <v>74</v>
      </c>
      <c r="AG596" s="1" t="s">
        <v>74</v>
      </c>
      <c r="AH596" s="1" t="s">
        <v>74</v>
      </c>
      <c r="AI596" s="1" t="s">
        <v>74</v>
      </c>
      <c r="AJ596" s="1" t="s">
        <v>74</v>
      </c>
      <c r="AK596" s="1" t="s">
        <v>74</v>
      </c>
      <c r="AL596" s="1" t="s">
        <v>74</v>
      </c>
      <c r="AM596" s="1" t="s">
        <v>74</v>
      </c>
      <c r="AN596" s="1" t="s">
        <v>74</v>
      </c>
      <c r="AO596" s="1" t="s">
        <v>6099</v>
      </c>
      <c r="AP596" s="1" t="s">
        <v>6100</v>
      </c>
      <c r="AQ596" s="1" t="s">
        <v>74</v>
      </c>
      <c r="AR596" s="1" t="s">
        <v>74</v>
      </c>
      <c r="AS596" s="1" t="s">
        <v>74</v>
      </c>
      <c r="AT596" s="1" t="s">
        <v>201</v>
      </c>
      <c r="AU596" s="1">
        <v>2013.0</v>
      </c>
      <c r="AV596" s="1">
        <v>61.0</v>
      </c>
      <c r="AW596" s="1">
        <v>5.0</v>
      </c>
      <c r="AX596" s="1" t="s">
        <v>74</v>
      </c>
      <c r="AY596" s="1" t="s">
        <v>74</v>
      </c>
      <c r="AZ596" s="1" t="s">
        <v>74</v>
      </c>
      <c r="BA596" s="1" t="s">
        <v>74</v>
      </c>
      <c r="BB596" s="1">
        <v>819.0</v>
      </c>
      <c r="BC596" s="1">
        <v>840.0</v>
      </c>
      <c r="BD596" s="1" t="s">
        <v>74</v>
      </c>
      <c r="BE596" s="1" t="s">
        <v>6101</v>
      </c>
      <c r="BF596" s="2" t="str">
        <f>HYPERLINK("http://dx.doi.org/10.1007/s11423-013-9310-9","http://dx.doi.org/10.1007/s11423-013-9310-9")</f>
        <v>http://dx.doi.org/10.1007/s11423-013-9310-9</v>
      </c>
      <c r="BG596" s="1" t="s">
        <v>74</v>
      </c>
      <c r="BH596" s="1" t="s">
        <v>74</v>
      </c>
      <c r="BI596" s="1" t="s">
        <v>74</v>
      </c>
      <c r="BJ596" s="1" t="s">
        <v>74</v>
      </c>
      <c r="BK596" s="1" t="s">
        <v>74</v>
      </c>
      <c r="BL596" s="1" t="s">
        <v>74</v>
      </c>
      <c r="BM596" s="1" t="s">
        <v>74</v>
      </c>
      <c r="BN596" s="1" t="s">
        <v>74</v>
      </c>
      <c r="BO596" s="1" t="s">
        <v>74</v>
      </c>
      <c r="BP596" s="1" t="s">
        <v>74</v>
      </c>
      <c r="BQ596" s="1" t="s">
        <v>74</v>
      </c>
      <c r="BR596" s="1" t="s">
        <v>74</v>
      </c>
      <c r="BS596" s="1" t="s">
        <v>6102</v>
      </c>
      <c r="BT596" s="1" t="str">
        <f>HYPERLINK("https%3A%2F%2Fwww.webofscience.com%2Fwos%2Fwoscc%2Ffull-record%2FWOS:000326690200004","View Full Record in Web of Science")</f>
        <v>View Full Record in Web of Science</v>
      </c>
    </row>
    <row r="597" ht="12.75" customHeight="1">
      <c r="A597" s="1" t="s">
        <v>72</v>
      </c>
      <c r="B597" s="1" t="s">
        <v>6103</v>
      </c>
      <c r="C597" s="1" t="s">
        <v>74</v>
      </c>
      <c r="D597" s="1" t="s">
        <v>74</v>
      </c>
      <c r="E597" s="1" t="s">
        <v>74</v>
      </c>
      <c r="F597" s="1" t="s">
        <v>6104</v>
      </c>
      <c r="G597" s="1" t="s">
        <v>74</v>
      </c>
      <c r="H597" s="1" t="s">
        <v>74</v>
      </c>
      <c r="I597" s="1" t="s">
        <v>6105</v>
      </c>
      <c r="J597" s="1" t="s">
        <v>6106</v>
      </c>
      <c r="K597" s="1" t="s">
        <v>74</v>
      </c>
      <c r="L597" s="1" t="s">
        <v>74</v>
      </c>
      <c r="M597" s="1" t="s">
        <v>74</v>
      </c>
      <c r="N597" s="1" t="s">
        <v>74</v>
      </c>
      <c r="O597" s="1" t="s">
        <v>74</v>
      </c>
      <c r="P597" s="1" t="s">
        <v>74</v>
      </c>
      <c r="Q597" s="1" t="s">
        <v>74</v>
      </c>
      <c r="R597" s="1" t="s">
        <v>74</v>
      </c>
      <c r="S597" s="1" t="s">
        <v>74</v>
      </c>
      <c r="T597" s="1" t="s">
        <v>74</v>
      </c>
      <c r="U597" s="1" t="s">
        <v>74</v>
      </c>
      <c r="V597" s="1" t="s">
        <v>6107</v>
      </c>
      <c r="W597" s="1" t="s">
        <v>74</v>
      </c>
      <c r="X597" s="1" t="s">
        <v>74</v>
      </c>
      <c r="Y597" s="1" t="s">
        <v>74</v>
      </c>
      <c r="Z597" s="1" t="s">
        <v>74</v>
      </c>
      <c r="AA597" s="1" t="s">
        <v>6108</v>
      </c>
      <c r="AB597" s="1" t="s">
        <v>6109</v>
      </c>
      <c r="AC597" s="1" t="s">
        <v>74</v>
      </c>
      <c r="AD597" s="1" t="s">
        <v>74</v>
      </c>
      <c r="AE597" s="1" t="s">
        <v>74</v>
      </c>
      <c r="AF597" s="1" t="s">
        <v>74</v>
      </c>
      <c r="AG597" s="1" t="s">
        <v>74</v>
      </c>
      <c r="AH597" s="1" t="s">
        <v>74</v>
      </c>
      <c r="AI597" s="1" t="s">
        <v>74</v>
      </c>
      <c r="AJ597" s="1" t="s">
        <v>74</v>
      </c>
      <c r="AK597" s="1" t="s">
        <v>74</v>
      </c>
      <c r="AL597" s="1" t="s">
        <v>74</v>
      </c>
      <c r="AM597" s="1" t="s">
        <v>74</v>
      </c>
      <c r="AN597" s="1" t="s">
        <v>74</v>
      </c>
      <c r="AO597" s="1" t="s">
        <v>6110</v>
      </c>
      <c r="AP597" s="1" t="s">
        <v>6111</v>
      </c>
      <c r="AQ597" s="1" t="s">
        <v>74</v>
      </c>
      <c r="AR597" s="1" t="s">
        <v>74</v>
      </c>
      <c r="AS597" s="1" t="s">
        <v>74</v>
      </c>
      <c r="AT597" s="1" t="s">
        <v>1018</v>
      </c>
      <c r="AU597" s="1">
        <v>2011.0</v>
      </c>
      <c r="AV597" s="1">
        <v>109.0</v>
      </c>
      <c r="AW597" s="1">
        <v>1.0</v>
      </c>
      <c r="AX597" s="1" t="s">
        <v>74</v>
      </c>
      <c r="AY597" s="1" t="s">
        <v>74</v>
      </c>
      <c r="AZ597" s="1" t="s">
        <v>74</v>
      </c>
      <c r="BA597" s="1" t="s">
        <v>74</v>
      </c>
      <c r="BB597" s="1">
        <v>47.0</v>
      </c>
      <c r="BC597" s="1">
        <v>58.0</v>
      </c>
      <c r="BD597" s="1" t="s">
        <v>74</v>
      </c>
      <c r="BE597" s="1" t="s">
        <v>6112</v>
      </c>
      <c r="BF597" s="2" t="str">
        <f>HYPERLINK("http://dx.doi.org/10.2466/02.13.15.17.PR0.109.4.47-58","http://dx.doi.org/10.2466/02.13.15.17.PR0.109.4.47-58")</f>
        <v>http://dx.doi.org/10.2466/02.13.15.17.PR0.109.4.47-58</v>
      </c>
      <c r="BG597" s="1" t="s">
        <v>74</v>
      </c>
      <c r="BH597" s="1" t="s">
        <v>74</v>
      </c>
      <c r="BI597" s="1" t="s">
        <v>74</v>
      </c>
      <c r="BJ597" s="1" t="s">
        <v>74</v>
      </c>
      <c r="BK597" s="1" t="s">
        <v>74</v>
      </c>
      <c r="BL597" s="1" t="s">
        <v>74</v>
      </c>
      <c r="BM597" s="1" t="s">
        <v>74</v>
      </c>
      <c r="BN597" s="1">
        <v>2.2049647E7</v>
      </c>
      <c r="BO597" s="1" t="s">
        <v>74</v>
      </c>
      <c r="BP597" s="1" t="s">
        <v>74</v>
      </c>
      <c r="BQ597" s="1" t="s">
        <v>74</v>
      </c>
      <c r="BR597" s="1" t="s">
        <v>74</v>
      </c>
      <c r="BS597" s="1" t="s">
        <v>6113</v>
      </c>
      <c r="BT597" s="1" t="str">
        <f>HYPERLINK("https%3A%2F%2Fwww.webofscience.com%2Fwos%2Fwoscc%2Ffull-record%2FWOS:000295760000005","View Full Record in Web of Science")</f>
        <v>View Full Record in Web of Science</v>
      </c>
    </row>
    <row r="598" ht="12.75" customHeight="1">
      <c r="A598" s="1" t="s">
        <v>72</v>
      </c>
      <c r="B598" s="1" t="s">
        <v>6114</v>
      </c>
      <c r="C598" s="1" t="s">
        <v>74</v>
      </c>
      <c r="D598" s="1" t="s">
        <v>74</v>
      </c>
      <c r="E598" s="1" t="s">
        <v>74</v>
      </c>
      <c r="F598" s="1" t="s">
        <v>6115</v>
      </c>
      <c r="G598" s="1" t="s">
        <v>74</v>
      </c>
      <c r="H598" s="1" t="s">
        <v>74</v>
      </c>
      <c r="I598" s="1" t="s">
        <v>6116</v>
      </c>
      <c r="J598" s="1" t="s">
        <v>6117</v>
      </c>
      <c r="K598" s="1" t="s">
        <v>74</v>
      </c>
      <c r="L598" s="1" t="s">
        <v>74</v>
      </c>
      <c r="M598" s="1" t="s">
        <v>74</v>
      </c>
      <c r="N598" s="1" t="s">
        <v>74</v>
      </c>
      <c r="O598" s="1" t="s">
        <v>74</v>
      </c>
      <c r="P598" s="1" t="s">
        <v>74</v>
      </c>
      <c r="Q598" s="1" t="s">
        <v>74</v>
      </c>
      <c r="R598" s="1" t="s">
        <v>74</v>
      </c>
      <c r="S598" s="1" t="s">
        <v>74</v>
      </c>
      <c r="T598" s="1" t="s">
        <v>74</v>
      </c>
      <c r="U598" s="1" t="s">
        <v>74</v>
      </c>
      <c r="V598" s="1" t="s">
        <v>6118</v>
      </c>
      <c r="W598" s="1" t="s">
        <v>74</v>
      </c>
      <c r="X598" s="1" t="s">
        <v>74</v>
      </c>
      <c r="Y598" s="1" t="s">
        <v>74</v>
      </c>
      <c r="Z598" s="1" t="s">
        <v>74</v>
      </c>
      <c r="AA598" s="1" t="s">
        <v>6119</v>
      </c>
      <c r="AB598" s="1" t="s">
        <v>6120</v>
      </c>
      <c r="AC598" s="1" t="s">
        <v>74</v>
      </c>
      <c r="AD598" s="1" t="s">
        <v>74</v>
      </c>
      <c r="AE598" s="1" t="s">
        <v>74</v>
      </c>
      <c r="AF598" s="1" t="s">
        <v>74</v>
      </c>
      <c r="AG598" s="1" t="s">
        <v>74</v>
      </c>
      <c r="AH598" s="1" t="s">
        <v>74</v>
      </c>
      <c r="AI598" s="1" t="s">
        <v>74</v>
      </c>
      <c r="AJ598" s="1" t="s">
        <v>74</v>
      </c>
      <c r="AK598" s="1" t="s">
        <v>74</v>
      </c>
      <c r="AL598" s="1" t="s">
        <v>74</v>
      </c>
      <c r="AM598" s="1" t="s">
        <v>74</v>
      </c>
      <c r="AN598" s="1" t="s">
        <v>74</v>
      </c>
      <c r="AO598" s="1" t="s">
        <v>6121</v>
      </c>
      <c r="AP598" s="1" t="s">
        <v>6122</v>
      </c>
      <c r="AQ598" s="1" t="s">
        <v>74</v>
      </c>
      <c r="AR598" s="1" t="s">
        <v>74</v>
      </c>
      <c r="AS598" s="1" t="s">
        <v>74</v>
      </c>
      <c r="AT598" s="1" t="s">
        <v>422</v>
      </c>
      <c r="AU598" s="1">
        <v>2011.0</v>
      </c>
      <c r="AV598" s="1">
        <v>27.0</v>
      </c>
      <c r="AW598" s="1">
        <v>1.0</v>
      </c>
      <c r="AX598" s="1" t="s">
        <v>74</v>
      </c>
      <c r="AY598" s="1" t="s">
        <v>74</v>
      </c>
      <c r="AZ598" s="1" t="s">
        <v>74</v>
      </c>
      <c r="BA598" s="1" t="s">
        <v>74</v>
      </c>
      <c r="BB598" s="1">
        <v>67.0</v>
      </c>
      <c r="BC598" s="1">
        <v>77.0</v>
      </c>
      <c r="BD598" s="1" t="s">
        <v>74</v>
      </c>
      <c r="BE598" s="1" t="s">
        <v>6123</v>
      </c>
      <c r="BF598" s="2" t="str">
        <f>HYPERLINK("http://dx.doi.org/10.1590/S0102-311X2011000100007","http://dx.doi.org/10.1590/S0102-311X2011000100007")</f>
        <v>http://dx.doi.org/10.1590/S0102-311X2011000100007</v>
      </c>
      <c r="BG598" s="1" t="s">
        <v>74</v>
      </c>
      <c r="BH598" s="1" t="s">
        <v>74</v>
      </c>
      <c r="BI598" s="1" t="s">
        <v>74</v>
      </c>
      <c r="BJ598" s="1" t="s">
        <v>74</v>
      </c>
      <c r="BK598" s="1" t="s">
        <v>74</v>
      </c>
      <c r="BL598" s="1" t="s">
        <v>74</v>
      </c>
      <c r="BM598" s="1" t="s">
        <v>74</v>
      </c>
      <c r="BN598" s="1">
        <v>2.1340105E7</v>
      </c>
      <c r="BO598" s="1" t="s">
        <v>74</v>
      </c>
      <c r="BP598" s="1" t="s">
        <v>74</v>
      </c>
      <c r="BQ598" s="1" t="s">
        <v>74</v>
      </c>
      <c r="BR598" s="1" t="s">
        <v>74</v>
      </c>
      <c r="BS598" s="1" t="s">
        <v>6124</v>
      </c>
      <c r="BT598" s="1" t="str">
        <f>HYPERLINK("https%3A%2F%2Fwww.webofscience.com%2Fwos%2Fwoscc%2Ffull-record%2FWOS:000287922700007","View Full Record in Web of Science")</f>
        <v>View Full Record in Web of Science</v>
      </c>
    </row>
    <row r="599" ht="12.75" customHeight="1">
      <c r="A599" s="1" t="s">
        <v>72</v>
      </c>
      <c r="B599" s="1" t="s">
        <v>6125</v>
      </c>
      <c r="C599" s="1" t="s">
        <v>74</v>
      </c>
      <c r="D599" s="1" t="s">
        <v>74</v>
      </c>
      <c r="E599" s="1" t="s">
        <v>74</v>
      </c>
      <c r="F599" s="1" t="s">
        <v>6126</v>
      </c>
      <c r="G599" s="1" t="s">
        <v>74</v>
      </c>
      <c r="H599" s="1" t="s">
        <v>74</v>
      </c>
      <c r="I599" s="1" t="s">
        <v>6127</v>
      </c>
      <c r="J599" s="1" t="s">
        <v>6128</v>
      </c>
      <c r="K599" s="1" t="s">
        <v>74</v>
      </c>
      <c r="L599" s="1" t="s">
        <v>74</v>
      </c>
      <c r="M599" s="1" t="s">
        <v>74</v>
      </c>
      <c r="N599" s="1" t="s">
        <v>74</v>
      </c>
      <c r="O599" s="1" t="s">
        <v>74</v>
      </c>
      <c r="P599" s="1" t="s">
        <v>74</v>
      </c>
      <c r="Q599" s="1" t="s">
        <v>74</v>
      </c>
      <c r="R599" s="1" t="s">
        <v>74</v>
      </c>
      <c r="S599" s="1" t="s">
        <v>74</v>
      </c>
      <c r="T599" s="1" t="s">
        <v>74</v>
      </c>
      <c r="U599" s="1" t="s">
        <v>74</v>
      </c>
      <c r="V599" s="1" t="s">
        <v>6129</v>
      </c>
      <c r="W599" s="1" t="s">
        <v>74</v>
      </c>
      <c r="X599" s="1" t="s">
        <v>74</v>
      </c>
      <c r="Y599" s="1" t="s">
        <v>74</v>
      </c>
      <c r="Z599" s="1" t="s">
        <v>74</v>
      </c>
      <c r="AA599" s="1" t="s">
        <v>6130</v>
      </c>
      <c r="AB599" s="1" t="s">
        <v>74</v>
      </c>
      <c r="AC599" s="1" t="s">
        <v>74</v>
      </c>
      <c r="AD599" s="1" t="s">
        <v>74</v>
      </c>
      <c r="AE599" s="1" t="s">
        <v>74</v>
      </c>
      <c r="AF599" s="1" t="s">
        <v>74</v>
      </c>
      <c r="AG599" s="1" t="s">
        <v>74</v>
      </c>
      <c r="AH599" s="1" t="s">
        <v>74</v>
      </c>
      <c r="AI599" s="1" t="s">
        <v>74</v>
      </c>
      <c r="AJ599" s="1" t="s">
        <v>74</v>
      </c>
      <c r="AK599" s="1" t="s">
        <v>74</v>
      </c>
      <c r="AL599" s="1" t="s">
        <v>74</v>
      </c>
      <c r="AM599" s="1" t="s">
        <v>74</v>
      </c>
      <c r="AN599" s="1" t="s">
        <v>74</v>
      </c>
      <c r="AO599" s="1" t="s">
        <v>6131</v>
      </c>
      <c r="AP599" s="1" t="s">
        <v>74</v>
      </c>
      <c r="AQ599" s="1" t="s">
        <v>74</v>
      </c>
      <c r="AR599" s="1" t="s">
        <v>74</v>
      </c>
      <c r="AS599" s="1" t="s">
        <v>74</v>
      </c>
      <c r="AT599" s="1" t="s">
        <v>1213</v>
      </c>
      <c r="AU599" s="1">
        <v>2010.0</v>
      </c>
      <c r="AV599" s="1">
        <v>101.0</v>
      </c>
      <c r="AW599" s="1">
        <v>3.0</v>
      </c>
      <c r="AX599" s="1" t="s">
        <v>74</v>
      </c>
      <c r="AY599" s="1" t="s">
        <v>74</v>
      </c>
      <c r="AZ599" s="1" t="s">
        <v>74</v>
      </c>
      <c r="BA599" s="1" t="s">
        <v>74</v>
      </c>
      <c r="BB599" s="1">
        <v>512.0</v>
      </c>
      <c r="BC599" s="1">
        <v>524.0</v>
      </c>
      <c r="BD599" s="1" t="s">
        <v>74</v>
      </c>
      <c r="BE599" s="1" t="s">
        <v>6132</v>
      </c>
      <c r="BF599" s="2" t="str">
        <f>HYPERLINK("http://dx.doi.org/10.1016/j.jmva.2009.11.004","http://dx.doi.org/10.1016/j.jmva.2009.11.004")</f>
        <v>http://dx.doi.org/10.1016/j.jmva.2009.11.004</v>
      </c>
      <c r="BG599" s="1" t="s">
        <v>74</v>
      </c>
      <c r="BH599" s="1" t="s">
        <v>74</v>
      </c>
      <c r="BI599" s="1" t="s">
        <v>74</v>
      </c>
      <c r="BJ599" s="1" t="s">
        <v>74</v>
      </c>
      <c r="BK599" s="1" t="s">
        <v>74</v>
      </c>
      <c r="BL599" s="1" t="s">
        <v>74</v>
      </c>
      <c r="BM599" s="1" t="s">
        <v>74</v>
      </c>
      <c r="BN599" s="1" t="s">
        <v>74</v>
      </c>
      <c r="BO599" s="1" t="s">
        <v>74</v>
      </c>
      <c r="BP599" s="1" t="s">
        <v>74</v>
      </c>
      <c r="BQ599" s="1" t="s">
        <v>74</v>
      </c>
      <c r="BR599" s="1" t="s">
        <v>74</v>
      </c>
      <c r="BS599" s="1" t="s">
        <v>6133</v>
      </c>
      <c r="BT599" s="1" t="str">
        <f>HYPERLINK("https%3A%2F%2Fwww.webofscience.com%2Fwos%2Fwoscc%2Ffull-record%2FWOS:000273834800003","View Full Record in Web of Science")</f>
        <v>View Full Record in Web of Science</v>
      </c>
    </row>
    <row r="600" ht="12.75" customHeight="1">
      <c r="A600" s="1" t="s">
        <v>72</v>
      </c>
      <c r="B600" s="1" t="s">
        <v>6134</v>
      </c>
      <c r="C600" s="1" t="s">
        <v>74</v>
      </c>
      <c r="D600" s="1" t="s">
        <v>74</v>
      </c>
      <c r="E600" s="1" t="s">
        <v>74</v>
      </c>
      <c r="F600" s="1" t="s">
        <v>6135</v>
      </c>
      <c r="G600" s="1" t="s">
        <v>74</v>
      </c>
      <c r="H600" s="1" t="s">
        <v>74</v>
      </c>
      <c r="I600" s="1" t="s">
        <v>6136</v>
      </c>
      <c r="J600" s="1" t="s">
        <v>6137</v>
      </c>
      <c r="K600" s="1" t="s">
        <v>74</v>
      </c>
      <c r="L600" s="1" t="s">
        <v>74</v>
      </c>
      <c r="M600" s="1" t="s">
        <v>74</v>
      </c>
      <c r="N600" s="1" t="s">
        <v>74</v>
      </c>
      <c r="O600" s="1" t="s">
        <v>74</v>
      </c>
      <c r="P600" s="1" t="s">
        <v>74</v>
      </c>
      <c r="Q600" s="1" t="s">
        <v>74</v>
      </c>
      <c r="R600" s="1" t="s">
        <v>74</v>
      </c>
      <c r="S600" s="1" t="s">
        <v>74</v>
      </c>
      <c r="T600" s="1" t="s">
        <v>74</v>
      </c>
      <c r="U600" s="1" t="s">
        <v>74</v>
      </c>
      <c r="V600" s="1" t="s">
        <v>6138</v>
      </c>
      <c r="W600" s="1" t="s">
        <v>74</v>
      </c>
      <c r="X600" s="1" t="s">
        <v>74</v>
      </c>
      <c r="Y600" s="1" t="s">
        <v>74</v>
      </c>
      <c r="Z600" s="1" t="s">
        <v>74</v>
      </c>
      <c r="AA600" s="1" t="s">
        <v>6139</v>
      </c>
      <c r="AB600" s="1" t="s">
        <v>6140</v>
      </c>
      <c r="AC600" s="1" t="s">
        <v>74</v>
      </c>
      <c r="AD600" s="1" t="s">
        <v>74</v>
      </c>
      <c r="AE600" s="1" t="s">
        <v>74</v>
      </c>
      <c r="AF600" s="1" t="s">
        <v>74</v>
      </c>
      <c r="AG600" s="1" t="s">
        <v>74</v>
      </c>
      <c r="AH600" s="1" t="s">
        <v>74</v>
      </c>
      <c r="AI600" s="1" t="s">
        <v>74</v>
      </c>
      <c r="AJ600" s="1" t="s">
        <v>74</v>
      </c>
      <c r="AK600" s="1" t="s">
        <v>74</v>
      </c>
      <c r="AL600" s="1" t="s">
        <v>74</v>
      </c>
      <c r="AM600" s="1" t="s">
        <v>74</v>
      </c>
      <c r="AN600" s="1" t="s">
        <v>74</v>
      </c>
      <c r="AO600" s="1" t="s">
        <v>6141</v>
      </c>
      <c r="AP600" s="1" t="s">
        <v>74</v>
      </c>
      <c r="AQ600" s="1" t="s">
        <v>74</v>
      </c>
      <c r="AR600" s="1" t="s">
        <v>74</v>
      </c>
      <c r="AS600" s="1" t="s">
        <v>74</v>
      </c>
      <c r="AT600" s="1" t="s">
        <v>1018</v>
      </c>
      <c r="AU600" s="1">
        <v>2009.0</v>
      </c>
      <c r="AV600" s="1">
        <v>74.0</v>
      </c>
      <c r="AW600" s="1">
        <v>6.0</v>
      </c>
      <c r="AX600" s="1" t="s">
        <v>74</v>
      </c>
      <c r="AY600" s="1" t="s">
        <v>74</v>
      </c>
      <c r="AZ600" s="1" t="s">
        <v>74</v>
      </c>
      <c r="BA600" s="1" t="s">
        <v>74</v>
      </c>
      <c r="BB600" s="1" t="s">
        <v>6142</v>
      </c>
      <c r="BC600" s="1" t="s">
        <v>6143</v>
      </c>
      <c r="BD600" s="1" t="s">
        <v>74</v>
      </c>
      <c r="BE600" s="1" t="s">
        <v>6144</v>
      </c>
      <c r="BF600" s="2" t="str">
        <f>HYPERLINK("http://dx.doi.org/10.1111/j.1750-3841.2009.01212.x","http://dx.doi.org/10.1111/j.1750-3841.2009.01212.x")</f>
        <v>http://dx.doi.org/10.1111/j.1750-3841.2009.01212.x</v>
      </c>
      <c r="BG600" s="1" t="s">
        <v>74</v>
      </c>
      <c r="BH600" s="1" t="s">
        <v>74</v>
      </c>
      <c r="BI600" s="1" t="s">
        <v>74</v>
      </c>
      <c r="BJ600" s="1" t="s">
        <v>74</v>
      </c>
      <c r="BK600" s="1" t="s">
        <v>74</v>
      </c>
      <c r="BL600" s="1" t="s">
        <v>74</v>
      </c>
      <c r="BM600" s="1" t="s">
        <v>74</v>
      </c>
      <c r="BN600" s="1">
        <v>1.9723193E7</v>
      </c>
      <c r="BO600" s="1" t="s">
        <v>74</v>
      </c>
      <c r="BP600" s="1" t="s">
        <v>74</v>
      </c>
      <c r="BQ600" s="1" t="s">
        <v>74</v>
      </c>
      <c r="BR600" s="1" t="s">
        <v>74</v>
      </c>
      <c r="BS600" s="1" t="s">
        <v>6145</v>
      </c>
      <c r="BT600" s="1" t="str">
        <f>HYPERLINK("https%3A%2F%2Fwww.webofscience.com%2Fwos%2Fwoscc%2Ffull-record%2FWOS:000268634400019","View Full Record in Web of Science")</f>
        <v>View Full Record in Web of Science</v>
      </c>
    </row>
    <row r="601" ht="12.75" customHeight="1">
      <c r="A601" s="1" t="s">
        <v>72</v>
      </c>
      <c r="B601" s="1" t="s">
        <v>6146</v>
      </c>
      <c r="C601" s="1" t="s">
        <v>74</v>
      </c>
      <c r="D601" s="1" t="s">
        <v>74</v>
      </c>
      <c r="E601" s="1" t="s">
        <v>74</v>
      </c>
      <c r="F601" s="1" t="s">
        <v>6147</v>
      </c>
      <c r="G601" s="1" t="s">
        <v>74</v>
      </c>
      <c r="H601" s="1" t="s">
        <v>74</v>
      </c>
      <c r="I601" s="1" t="s">
        <v>6148</v>
      </c>
      <c r="J601" s="1" t="s">
        <v>6149</v>
      </c>
      <c r="K601" s="1" t="s">
        <v>74</v>
      </c>
      <c r="L601" s="1" t="s">
        <v>74</v>
      </c>
      <c r="M601" s="1" t="s">
        <v>74</v>
      </c>
      <c r="N601" s="1" t="s">
        <v>74</v>
      </c>
      <c r="O601" s="1" t="s">
        <v>74</v>
      </c>
      <c r="P601" s="1" t="s">
        <v>74</v>
      </c>
      <c r="Q601" s="1" t="s">
        <v>74</v>
      </c>
      <c r="R601" s="1" t="s">
        <v>74</v>
      </c>
      <c r="S601" s="1" t="s">
        <v>74</v>
      </c>
      <c r="T601" s="1" t="s">
        <v>74</v>
      </c>
      <c r="U601" s="1" t="s">
        <v>74</v>
      </c>
      <c r="V601" s="1" t="s">
        <v>6150</v>
      </c>
      <c r="W601" s="1" t="s">
        <v>74</v>
      </c>
      <c r="X601" s="1" t="s">
        <v>74</v>
      </c>
      <c r="Y601" s="1" t="s">
        <v>74</v>
      </c>
      <c r="Z601" s="1" t="s">
        <v>74</v>
      </c>
      <c r="AA601" s="1" t="s">
        <v>6151</v>
      </c>
      <c r="AB601" s="1" t="s">
        <v>6152</v>
      </c>
      <c r="AC601" s="1" t="s">
        <v>74</v>
      </c>
      <c r="AD601" s="1" t="s">
        <v>74</v>
      </c>
      <c r="AE601" s="1" t="s">
        <v>74</v>
      </c>
      <c r="AF601" s="1" t="s">
        <v>74</v>
      </c>
      <c r="AG601" s="1" t="s">
        <v>74</v>
      </c>
      <c r="AH601" s="1" t="s">
        <v>74</v>
      </c>
      <c r="AI601" s="1" t="s">
        <v>74</v>
      </c>
      <c r="AJ601" s="1" t="s">
        <v>74</v>
      </c>
      <c r="AK601" s="1" t="s">
        <v>74</v>
      </c>
      <c r="AL601" s="1" t="s">
        <v>74</v>
      </c>
      <c r="AM601" s="1" t="s">
        <v>74</v>
      </c>
      <c r="AN601" s="1" t="s">
        <v>74</v>
      </c>
      <c r="AO601" s="1" t="s">
        <v>6153</v>
      </c>
      <c r="AP601" s="1" t="s">
        <v>6154</v>
      </c>
      <c r="AQ601" s="1" t="s">
        <v>74</v>
      </c>
      <c r="AR601" s="1" t="s">
        <v>74</v>
      </c>
      <c r="AS601" s="1" t="s">
        <v>74</v>
      </c>
      <c r="AT601" s="1" t="s">
        <v>939</v>
      </c>
      <c r="AU601" s="1">
        <v>2006.0</v>
      </c>
      <c r="AV601" s="1">
        <v>74.0</v>
      </c>
      <c r="AW601" s="1">
        <v>6.0</v>
      </c>
      <c r="AX601" s="1" t="s">
        <v>74</v>
      </c>
      <c r="AY601" s="1" t="s">
        <v>74</v>
      </c>
      <c r="AZ601" s="1" t="s">
        <v>74</v>
      </c>
      <c r="BA601" s="1" t="s">
        <v>74</v>
      </c>
      <c r="BB601" s="1">
        <v>3643.0</v>
      </c>
      <c r="BC601" s="1">
        <v>3650.0</v>
      </c>
      <c r="BD601" s="1" t="s">
        <v>74</v>
      </c>
      <c r="BE601" s="1" t="s">
        <v>6155</v>
      </c>
      <c r="BF601" s="2" t="str">
        <f>HYPERLINK("http://dx.doi.org/10.1128/IAI.00012-06","http://dx.doi.org/10.1128/IAI.00012-06")</f>
        <v>http://dx.doi.org/10.1128/IAI.00012-06</v>
      </c>
      <c r="BG601" s="1" t="s">
        <v>74</v>
      </c>
      <c r="BH601" s="1" t="s">
        <v>74</v>
      </c>
      <c r="BI601" s="1" t="s">
        <v>74</v>
      </c>
      <c r="BJ601" s="1" t="s">
        <v>74</v>
      </c>
      <c r="BK601" s="1" t="s">
        <v>74</v>
      </c>
      <c r="BL601" s="1" t="s">
        <v>74</v>
      </c>
      <c r="BM601" s="1" t="s">
        <v>74</v>
      </c>
      <c r="BN601" s="1">
        <v>1.6714596E7</v>
      </c>
      <c r="BO601" s="1" t="s">
        <v>74</v>
      </c>
      <c r="BP601" s="1" t="s">
        <v>74</v>
      </c>
      <c r="BQ601" s="1" t="s">
        <v>74</v>
      </c>
      <c r="BR601" s="1" t="s">
        <v>74</v>
      </c>
      <c r="BS601" s="1" t="s">
        <v>6156</v>
      </c>
      <c r="BT601" s="1" t="str">
        <f>HYPERLINK("https%3A%2F%2Fwww.webofscience.com%2Fwos%2Fwoscc%2Ffull-record%2FWOS:000237862100062","View Full Record in Web of Science")</f>
        <v>View Full Record in Web of Science</v>
      </c>
    </row>
    <row r="602" ht="12.75" customHeight="1">
      <c r="A602" s="1" t="s">
        <v>72</v>
      </c>
      <c r="B602" s="1" t="s">
        <v>6157</v>
      </c>
      <c r="C602" s="1" t="s">
        <v>74</v>
      </c>
      <c r="D602" s="1" t="s">
        <v>74</v>
      </c>
      <c r="E602" s="1" t="s">
        <v>74</v>
      </c>
      <c r="F602" s="1" t="s">
        <v>6158</v>
      </c>
      <c r="G602" s="1" t="s">
        <v>74</v>
      </c>
      <c r="H602" s="1" t="s">
        <v>74</v>
      </c>
      <c r="I602" s="1" t="s">
        <v>6159</v>
      </c>
      <c r="J602" s="1" t="s">
        <v>6160</v>
      </c>
      <c r="K602" s="1" t="s">
        <v>74</v>
      </c>
      <c r="L602" s="1" t="s">
        <v>74</v>
      </c>
      <c r="M602" s="1" t="s">
        <v>74</v>
      </c>
      <c r="N602" s="1" t="s">
        <v>74</v>
      </c>
      <c r="O602" s="1" t="s">
        <v>74</v>
      </c>
      <c r="P602" s="1" t="s">
        <v>74</v>
      </c>
      <c r="Q602" s="1" t="s">
        <v>74</v>
      </c>
      <c r="R602" s="1" t="s">
        <v>74</v>
      </c>
      <c r="S602" s="1" t="s">
        <v>74</v>
      </c>
      <c r="T602" s="1" t="s">
        <v>74</v>
      </c>
      <c r="U602" s="1" t="s">
        <v>74</v>
      </c>
      <c r="V602" s="1" t="s">
        <v>74</v>
      </c>
      <c r="W602" s="1" t="s">
        <v>74</v>
      </c>
      <c r="X602" s="1" t="s">
        <v>74</v>
      </c>
      <c r="Y602" s="1" t="s">
        <v>74</v>
      </c>
      <c r="Z602" s="1" t="s">
        <v>74</v>
      </c>
      <c r="AA602" s="1" t="s">
        <v>74</v>
      </c>
      <c r="AB602" s="1" t="s">
        <v>74</v>
      </c>
      <c r="AC602" s="1" t="s">
        <v>74</v>
      </c>
      <c r="AD602" s="1" t="s">
        <v>74</v>
      </c>
      <c r="AE602" s="1" t="s">
        <v>74</v>
      </c>
      <c r="AF602" s="1" t="s">
        <v>74</v>
      </c>
      <c r="AG602" s="1" t="s">
        <v>74</v>
      </c>
      <c r="AH602" s="1" t="s">
        <v>74</v>
      </c>
      <c r="AI602" s="1" t="s">
        <v>74</v>
      </c>
      <c r="AJ602" s="1" t="s">
        <v>74</v>
      </c>
      <c r="AK602" s="1" t="s">
        <v>74</v>
      </c>
      <c r="AL602" s="1" t="s">
        <v>74</v>
      </c>
      <c r="AM602" s="1" t="s">
        <v>74</v>
      </c>
      <c r="AN602" s="1" t="s">
        <v>74</v>
      </c>
      <c r="AO602" s="1" t="s">
        <v>6161</v>
      </c>
      <c r="AP602" s="1" t="s">
        <v>74</v>
      </c>
      <c r="AQ602" s="1" t="s">
        <v>74</v>
      </c>
      <c r="AR602" s="1" t="s">
        <v>74</v>
      </c>
      <c r="AS602" s="1" t="s">
        <v>74</v>
      </c>
      <c r="AT602" s="1" t="s">
        <v>307</v>
      </c>
      <c r="AU602" s="1">
        <v>1993.0</v>
      </c>
      <c r="AV602" s="1" t="s">
        <v>74</v>
      </c>
      <c r="AW602" s="1">
        <v>78.0</v>
      </c>
      <c r="AX602" s="1" t="s">
        <v>74</v>
      </c>
      <c r="AY602" s="1" t="s">
        <v>74</v>
      </c>
      <c r="AZ602" s="1" t="s">
        <v>74</v>
      </c>
      <c r="BA602" s="1" t="s">
        <v>74</v>
      </c>
      <c r="BB602" s="1">
        <v>207.0</v>
      </c>
      <c r="BC602" s="1">
        <v>232.0</v>
      </c>
      <c r="BD602" s="1" t="s">
        <v>74</v>
      </c>
      <c r="BE602" s="1" t="s">
        <v>74</v>
      </c>
      <c r="BF602" s="1" t="s">
        <v>74</v>
      </c>
      <c r="BG602" s="1" t="s">
        <v>74</v>
      </c>
      <c r="BH602" s="1" t="s">
        <v>74</v>
      </c>
      <c r="BI602" s="1" t="s">
        <v>74</v>
      </c>
      <c r="BJ602" s="1" t="s">
        <v>74</v>
      </c>
      <c r="BK602" s="1" t="s">
        <v>74</v>
      </c>
      <c r="BL602" s="1" t="s">
        <v>74</v>
      </c>
      <c r="BM602" s="1" t="s">
        <v>74</v>
      </c>
      <c r="BN602" s="1" t="s">
        <v>74</v>
      </c>
      <c r="BO602" s="1" t="s">
        <v>74</v>
      </c>
      <c r="BP602" s="1" t="s">
        <v>74</v>
      </c>
      <c r="BQ602" s="1" t="s">
        <v>74</v>
      </c>
      <c r="BR602" s="1" t="s">
        <v>74</v>
      </c>
      <c r="BS602" s="1" t="s">
        <v>6162</v>
      </c>
      <c r="BT602" s="1" t="str">
        <f>HYPERLINK("https%3A%2F%2Fwww.webofscience.com%2Fwos%2Fwoscc%2Ffull-record%2FWOS:000207531500004","View Full Record in Web of Science")</f>
        <v>View Full Record in Web of Science</v>
      </c>
    </row>
    <row r="603" ht="12.75" customHeight="1">
      <c r="A603" s="1" t="s">
        <v>72</v>
      </c>
      <c r="B603" s="1" t="s">
        <v>6163</v>
      </c>
      <c r="C603" s="1" t="s">
        <v>74</v>
      </c>
      <c r="D603" s="1" t="s">
        <v>74</v>
      </c>
      <c r="E603" s="1" t="s">
        <v>74</v>
      </c>
      <c r="F603" s="1" t="s">
        <v>6164</v>
      </c>
      <c r="G603" s="1" t="s">
        <v>74</v>
      </c>
      <c r="H603" s="1" t="s">
        <v>74</v>
      </c>
      <c r="I603" s="1" t="s">
        <v>6165</v>
      </c>
      <c r="J603" s="1" t="s">
        <v>6166</v>
      </c>
      <c r="K603" s="1" t="s">
        <v>74</v>
      </c>
      <c r="L603" s="1" t="s">
        <v>74</v>
      </c>
      <c r="M603" s="1" t="s">
        <v>74</v>
      </c>
      <c r="N603" s="1" t="s">
        <v>74</v>
      </c>
      <c r="O603" s="1" t="s">
        <v>74</v>
      </c>
      <c r="P603" s="1" t="s">
        <v>74</v>
      </c>
      <c r="Q603" s="1" t="s">
        <v>74</v>
      </c>
      <c r="R603" s="1" t="s">
        <v>74</v>
      </c>
      <c r="S603" s="1" t="s">
        <v>74</v>
      </c>
      <c r="T603" s="1" t="s">
        <v>74</v>
      </c>
      <c r="U603" s="1" t="s">
        <v>74</v>
      </c>
      <c r="V603" s="1" t="s">
        <v>6167</v>
      </c>
      <c r="W603" s="1" t="s">
        <v>74</v>
      </c>
      <c r="X603" s="1" t="s">
        <v>74</v>
      </c>
      <c r="Y603" s="1" t="s">
        <v>74</v>
      </c>
      <c r="Z603" s="1" t="s">
        <v>74</v>
      </c>
      <c r="AA603" s="1" t="s">
        <v>6168</v>
      </c>
      <c r="AB603" s="1" t="s">
        <v>74</v>
      </c>
      <c r="AC603" s="1" t="s">
        <v>74</v>
      </c>
      <c r="AD603" s="1" t="s">
        <v>74</v>
      </c>
      <c r="AE603" s="1" t="s">
        <v>74</v>
      </c>
      <c r="AF603" s="1" t="s">
        <v>74</v>
      </c>
      <c r="AG603" s="1" t="s">
        <v>74</v>
      </c>
      <c r="AH603" s="1" t="s">
        <v>74</v>
      </c>
      <c r="AI603" s="1" t="s">
        <v>74</v>
      </c>
      <c r="AJ603" s="1" t="s">
        <v>74</v>
      </c>
      <c r="AK603" s="1" t="s">
        <v>74</v>
      </c>
      <c r="AL603" s="1" t="s">
        <v>74</v>
      </c>
      <c r="AM603" s="1" t="s">
        <v>74</v>
      </c>
      <c r="AN603" s="1" t="s">
        <v>74</v>
      </c>
      <c r="AO603" s="1" t="s">
        <v>6169</v>
      </c>
      <c r="AP603" s="1" t="s">
        <v>6170</v>
      </c>
      <c r="AQ603" s="1" t="s">
        <v>74</v>
      </c>
      <c r="AR603" s="1" t="s">
        <v>74</v>
      </c>
      <c r="AS603" s="1" t="s">
        <v>74</v>
      </c>
      <c r="AT603" s="1" t="s">
        <v>6171</v>
      </c>
      <c r="AU603" s="1">
        <v>2025.0</v>
      </c>
      <c r="AV603" s="1">
        <v>129.0</v>
      </c>
      <c r="AW603" s="1">
        <v>16.0</v>
      </c>
      <c r="AX603" s="1" t="s">
        <v>74</v>
      </c>
      <c r="AY603" s="1" t="s">
        <v>74</v>
      </c>
      <c r="AZ603" s="1" t="s">
        <v>74</v>
      </c>
      <c r="BA603" s="1" t="s">
        <v>74</v>
      </c>
      <c r="BB603" s="1">
        <v>4037.0</v>
      </c>
      <c r="BC603" s="1">
        <v>4050.0</v>
      </c>
      <c r="BD603" s="1" t="s">
        <v>74</v>
      </c>
      <c r="BE603" s="1" t="s">
        <v>6172</v>
      </c>
      <c r="BF603" s="2" t="str">
        <f>HYPERLINK("http://dx.doi.org/10.1021/acs.jpcb.4c08716","http://dx.doi.org/10.1021/acs.jpcb.4c08716")</f>
        <v>http://dx.doi.org/10.1021/acs.jpcb.4c08716</v>
      </c>
      <c r="BG603" s="1" t="s">
        <v>74</v>
      </c>
      <c r="BH603" s="1" t="s">
        <v>5534</v>
      </c>
      <c r="BI603" s="1" t="s">
        <v>74</v>
      </c>
      <c r="BJ603" s="1" t="s">
        <v>74</v>
      </c>
      <c r="BK603" s="1" t="s">
        <v>74</v>
      </c>
      <c r="BL603" s="1" t="s">
        <v>74</v>
      </c>
      <c r="BM603" s="1" t="s">
        <v>74</v>
      </c>
      <c r="BN603" s="1">
        <v>4.0219997E7</v>
      </c>
      <c r="BO603" s="1" t="s">
        <v>74</v>
      </c>
      <c r="BP603" s="1" t="s">
        <v>74</v>
      </c>
      <c r="BQ603" s="1" t="s">
        <v>74</v>
      </c>
      <c r="BR603" s="1" t="s">
        <v>74</v>
      </c>
      <c r="BS603" s="1" t="s">
        <v>6173</v>
      </c>
      <c r="BT603" s="1" t="str">
        <f>HYPERLINK("https%3A%2F%2Fwww.webofscience.com%2Fwos%2Fwoscc%2Ffull-record%2FWOS:001465836700001","View Full Record in Web of Science")</f>
        <v>View Full Record in Web of Science</v>
      </c>
    </row>
    <row r="604" ht="12.75" customHeight="1">
      <c r="A604" s="1" t="s">
        <v>72</v>
      </c>
      <c r="B604" s="1" t="s">
        <v>6174</v>
      </c>
      <c r="C604" s="1" t="s">
        <v>74</v>
      </c>
      <c r="D604" s="1" t="s">
        <v>74</v>
      </c>
      <c r="E604" s="1" t="s">
        <v>74</v>
      </c>
      <c r="F604" s="1" t="s">
        <v>6175</v>
      </c>
      <c r="G604" s="1" t="s">
        <v>74</v>
      </c>
      <c r="H604" s="1" t="s">
        <v>74</v>
      </c>
      <c r="I604" s="1" t="s">
        <v>6176</v>
      </c>
      <c r="J604" s="1" t="s">
        <v>6177</v>
      </c>
      <c r="K604" s="1" t="s">
        <v>74</v>
      </c>
      <c r="L604" s="1" t="s">
        <v>74</v>
      </c>
      <c r="M604" s="1" t="s">
        <v>74</v>
      </c>
      <c r="N604" s="1" t="s">
        <v>74</v>
      </c>
      <c r="O604" s="1" t="s">
        <v>74</v>
      </c>
      <c r="P604" s="1" t="s">
        <v>74</v>
      </c>
      <c r="Q604" s="1" t="s">
        <v>74</v>
      </c>
      <c r="R604" s="1" t="s">
        <v>74</v>
      </c>
      <c r="S604" s="1" t="s">
        <v>74</v>
      </c>
      <c r="T604" s="1" t="s">
        <v>74</v>
      </c>
      <c r="U604" s="1" t="s">
        <v>74</v>
      </c>
      <c r="V604" s="1" t="s">
        <v>6178</v>
      </c>
      <c r="W604" s="1" t="s">
        <v>74</v>
      </c>
      <c r="X604" s="1" t="s">
        <v>74</v>
      </c>
      <c r="Y604" s="1" t="s">
        <v>74</v>
      </c>
      <c r="Z604" s="1" t="s">
        <v>74</v>
      </c>
      <c r="AA604" s="1" t="s">
        <v>6179</v>
      </c>
      <c r="AB604" s="1" t="s">
        <v>6180</v>
      </c>
      <c r="AC604" s="1" t="s">
        <v>74</v>
      </c>
      <c r="AD604" s="1" t="s">
        <v>74</v>
      </c>
      <c r="AE604" s="1" t="s">
        <v>74</v>
      </c>
      <c r="AF604" s="1" t="s">
        <v>74</v>
      </c>
      <c r="AG604" s="1" t="s">
        <v>74</v>
      </c>
      <c r="AH604" s="1" t="s">
        <v>74</v>
      </c>
      <c r="AI604" s="1" t="s">
        <v>74</v>
      </c>
      <c r="AJ604" s="1" t="s">
        <v>74</v>
      </c>
      <c r="AK604" s="1" t="s">
        <v>74</v>
      </c>
      <c r="AL604" s="1" t="s">
        <v>74</v>
      </c>
      <c r="AM604" s="1" t="s">
        <v>74</v>
      </c>
      <c r="AN604" s="1" t="s">
        <v>74</v>
      </c>
      <c r="AO604" s="1" t="s">
        <v>6181</v>
      </c>
      <c r="AP604" s="1" t="s">
        <v>6182</v>
      </c>
      <c r="AQ604" s="1" t="s">
        <v>74</v>
      </c>
      <c r="AR604" s="1" t="s">
        <v>74</v>
      </c>
      <c r="AS604" s="1" t="s">
        <v>74</v>
      </c>
      <c r="AT604" s="1" t="s">
        <v>2222</v>
      </c>
      <c r="AU604" s="1">
        <v>2025.0</v>
      </c>
      <c r="AV604" s="1">
        <v>169.0</v>
      </c>
      <c r="AW604" s="1" t="s">
        <v>74</v>
      </c>
      <c r="AX604" s="1" t="s">
        <v>74</v>
      </c>
      <c r="AY604" s="1" t="s">
        <v>74</v>
      </c>
      <c r="AZ604" s="1" t="s">
        <v>74</v>
      </c>
      <c r="BA604" s="1" t="s">
        <v>74</v>
      </c>
      <c r="BB604" s="1" t="s">
        <v>74</v>
      </c>
      <c r="BC604" s="1" t="s">
        <v>74</v>
      </c>
      <c r="BD604" s="1">
        <v>109205.0</v>
      </c>
      <c r="BE604" s="1" t="s">
        <v>6183</v>
      </c>
      <c r="BF604" s="2" t="str">
        <f>HYPERLINK("http://dx.doi.org/10.1016/j.engfailanal.2024.109205","http://dx.doi.org/10.1016/j.engfailanal.2024.109205")</f>
        <v>http://dx.doi.org/10.1016/j.engfailanal.2024.109205</v>
      </c>
      <c r="BG604" s="1" t="s">
        <v>74</v>
      </c>
      <c r="BH604" s="1" t="s">
        <v>6184</v>
      </c>
      <c r="BI604" s="1" t="s">
        <v>74</v>
      </c>
      <c r="BJ604" s="1" t="s">
        <v>74</v>
      </c>
      <c r="BK604" s="1" t="s">
        <v>74</v>
      </c>
      <c r="BL604" s="1" t="s">
        <v>74</v>
      </c>
      <c r="BM604" s="1" t="s">
        <v>74</v>
      </c>
      <c r="BN604" s="1" t="s">
        <v>74</v>
      </c>
      <c r="BO604" s="1" t="s">
        <v>74</v>
      </c>
      <c r="BP604" s="1" t="s">
        <v>74</v>
      </c>
      <c r="BQ604" s="1" t="s">
        <v>74</v>
      </c>
      <c r="BR604" s="1" t="s">
        <v>74</v>
      </c>
      <c r="BS604" s="1" t="s">
        <v>6185</v>
      </c>
      <c r="BT604" s="1" t="str">
        <f>HYPERLINK("https%3A%2F%2Fwww.webofscience.com%2Fwos%2Fwoscc%2Ffull-record%2FWOS:001390901000001","View Full Record in Web of Science")</f>
        <v>View Full Record in Web of Science</v>
      </c>
    </row>
    <row r="605" ht="12.75" customHeight="1">
      <c r="A605" s="1" t="s">
        <v>72</v>
      </c>
      <c r="B605" s="1" t="s">
        <v>6186</v>
      </c>
      <c r="C605" s="1" t="s">
        <v>74</v>
      </c>
      <c r="D605" s="1" t="s">
        <v>74</v>
      </c>
      <c r="E605" s="1" t="s">
        <v>74</v>
      </c>
      <c r="F605" s="1" t="s">
        <v>6187</v>
      </c>
      <c r="G605" s="1" t="s">
        <v>74</v>
      </c>
      <c r="H605" s="1" t="s">
        <v>74</v>
      </c>
      <c r="I605" s="1" t="s">
        <v>6188</v>
      </c>
      <c r="J605" s="1" t="s">
        <v>3012</v>
      </c>
      <c r="K605" s="1" t="s">
        <v>74</v>
      </c>
      <c r="L605" s="1" t="s">
        <v>74</v>
      </c>
      <c r="M605" s="1" t="s">
        <v>74</v>
      </c>
      <c r="N605" s="1" t="s">
        <v>74</v>
      </c>
      <c r="O605" s="1" t="s">
        <v>74</v>
      </c>
      <c r="P605" s="1" t="s">
        <v>74</v>
      </c>
      <c r="Q605" s="1" t="s">
        <v>74</v>
      </c>
      <c r="R605" s="1" t="s">
        <v>74</v>
      </c>
      <c r="S605" s="1" t="s">
        <v>74</v>
      </c>
      <c r="T605" s="1" t="s">
        <v>74</v>
      </c>
      <c r="U605" s="1" t="s">
        <v>74</v>
      </c>
      <c r="V605" s="1" t="s">
        <v>6189</v>
      </c>
      <c r="W605" s="1" t="s">
        <v>74</v>
      </c>
      <c r="X605" s="1" t="s">
        <v>74</v>
      </c>
      <c r="Y605" s="1" t="s">
        <v>74</v>
      </c>
      <c r="Z605" s="1" t="s">
        <v>74</v>
      </c>
      <c r="AA605" s="1" t="s">
        <v>6190</v>
      </c>
      <c r="AB605" s="1" t="s">
        <v>6191</v>
      </c>
      <c r="AC605" s="1" t="s">
        <v>74</v>
      </c>
      <c r="AD605" s="1" t="s">
        <v>74</v>
      </c>
      <c r="AE605" s="1" t="s">
        <v>74</v>
      </c>
      <c r="AF605" s="1" t="s">
        <v>74</v>
      </c>
      <c r="AG605" s="1" t="s">
        <v>74</v>
      </c>
      <c r="AH605" s="1" t="s">
        <v>74</v>
      </c>
      <c r="AI605" s="1" t="s">
        <v>74</v>
      </c>
      <c r="AJ605" s="1" t="s">
        <v>74</v>
      </c>
      <c r="AK605" s="1" t="s">
        <v>74</v>
      </c>
      <c r="AL605" s="1" t="s">
        <v>74</v>
      </c>
      <c r="AM605" s="1" t="s">
        <v>74</v>
      </c>
      <c r="AN605" s="1" t="s">
        <v>74</v>
      </c>
      <c r="AO605" s="1" t="s">
        <v>74</v>
      </c>
      <c r="AP605" s="1" t="s">
        <v>3016</v>
      </c>
      <c r="AQ605" s="1" t="s">
        <v>74</v>
      </c>
      <c r="AR605" s="1" t="s">
        <v>74</v>
      </c>
      <c r="AS605" s="1" t="s">
        <v>74</v>
      </c>
      <c r="AT605" s="1" t="s">
        <v>422</v>
      </c>
      <c r="AU605" s="1">
        <v>2024.0</v>
      </c>
      <c r="AV605" s="1">
        <v>12.0</v>
      </c>
      <c r="AW605" s="1">
        <v>1.0</v>
      </c>
      <c r="AX605" s="1" t="s">
        <v>74</v>
      </c>
      <c r="AY605" s="1" t="s">
        <v>74</v>
      </c>
      <c r="AZ605" s="1" t="s">
        <v>74</v>
      </c>
      <c r="BA605" s="1" t="s">
        <v>74</v>
      </c>
      <c r="BB605" s="1" t="s">
        <v>74</v>
      </c>
      <c r="BC605" s="1" t="s">
        <v>74</v>
      </c>
      <c r="BD605" s="1">
        <v>3.0</v>
      </c>
      <c r="BE605" s="1" t="s">
        <v>6192</v>
      </c>
      <c r="BF605" s="2" t="str">
        <f>HYPERLINK("http://dx.doi.org/10.3390/healthcare12010003","http://dx.doi.org/10.3390/healthcare12010003")</f>
        <v>http://dx.doi.org/10.3390/healthcare12010003</v>
      </c>
      <c r="BG605" s="1" t="s">
        <v>74</v>
      </c>
      <c r="BH605" s="1" t="s">
        <v>74</v>
      </c>
      <c r="BI605" s="1" t="s">
        <v>74</v>
      </c>
      <c r="BJ605" s="1" t="s">
        <v>74</v>
      </c>
      <c r="BK605" s="1" t="s">
        <v>74</v>
      </c>
      <c r="BL605" s="1" t="s">
        <v>74</v>
      </c>
      <c r="BM605" s="1" t="s">
        <v>74</v>
      </c>
      <c r="BN605" s="1">
        <v>3.8200909E7</v>
      </c>
      <c r="BO605" s="1" t="s">
        <v>74</v>
      </c>
      <c r="BP605" s="1" t="s">
        <v>74</v>
      </c>
      <c r="BQ605" s="1" t="s">
        <v>74</v>
      </c>
      <c r="BR605" s="1" t="s">
        <v>74</v>
      </c>
      <c r="BS605" s="1" t="s">
        <v>6193</v>
      </c>
      <c r="BT605" s="1" t="str">
        <f>HYPERLINK("https%3A%2F%2Fwww.webofscience.com%2Fwos%2Fwoscc%2Ffull-record%2FWOS:001139522700001","View Full Record in Web of Science")</f>
        <v>View Full Record in Web of Science</v>
      </c>
    </row>
    <row r="606" ht="12.75" customHeight="1">
      <c r="A606" s="1" t="s">
        <v>72</v>
      </c>
      <c r="B606" s="1" t="s">
        <v>6194</v>
      </c>
      <c r="C606" s="1" t="s">
        <v>74</v>
      </c>
      <c r="D606" s="1" t="s">
        <v>74</v>
      </c>
      <c r="E606" s="1" t="s">
        <v>74</v>
      </c>
      <c r="F606" s="1" t="s">
        <v>6195</v>
      </c>
      <c r="G606" s="1" t="s">
        <v>74</v>
      </c>
      <c r="H606" s="1" t="s">
        <v>74</v>
      </c>
      <c r="I606" s="1" t="s">
        <v>6196</v>
      </c>
      <c r="J606" s="1" t="s">
        <v>6197</v>
      </c>
      <c r="K606" s="1" t="s">
        <v>74</v>
      </c>
      <c r="L606" s="1" t="s">
        <v>74</v>
      </c>
      <c r="M606" s="1" t="s">
        <v>74</v>
      </c>
      <c r="N606" s="1" t="s">
        <v>74</v>
      </c>
      <c r="O606" s="1" t="s">
        <v>74</v>
      </c>
      <c r="P606" s="1" t="s">
        <v>74</v>
      </c>
      <c r="Q606" s="1" t="s">
        <v>74</v>
      </c>
      <c r="R606" s="1" t="s">
        <v>74</v>
      </c>
      <c r="S606" s="1" t="s">
        <v>74</v>
      </c>
      <c r="T606" s="1" t="s">
        <v>74</v>
      </c>
      <c r="U606" s="1" t="s">
        <v>74</v>
      </c>
      <c r="V606" s="1" t="s">
        <v>6198</v>
      </c>
      <c r="W606" s="1" t="s">
        <v>74</v>
      </c>
      <c r="X606" s="1" t="s">
        <v>74</v>
      </c>
      <c r="Y606" s="1" t="s">
        <v>74</v>
      </c>
      <c r="Z606" s="1" t="s">
        <v>74</v>
      </c>
      <c r="AA606" s="1" t="s">
        <v>74</v>
      </c>
      <c r="AB606" s="1" t="s">
        <v>6199</v>
      </c>
      <c r="AC606" s="1" t="s">
        <v>74</v>
      </c>
      <c r="AD606" s="1" t="s">
        <v>74</v>
      </c>
      <c r="AE606" s="1" t="s">
        <v>74</v>
      </c>
      <c r="AF606" s="1" t="s">
        <v>74</v>
      </c>
      <c r="AG606" s="1" t="s">
        <v>74</v>
      </c>
      <c r="AH606" s="1" t="s">
        <v>74</v>
      </c>
      <c r="AI606" s="1" t="s">
        <v>74</v>
      </c>
      <c r="AJ606" s="1" t="s">
        <v>74</v>
      </c>
      <c r="AK606" s="1" t="s">
        <v>74</v>
      </c>
      <c r="AL606" s="1" t="s">
        <v>74</v>
      </c>
      <c r="AM606" s="1" t="s">
        <v>74</v>
      </c>
      <c r="AN606" s="1" t="s">
        <v>74</v>
      </c>
      <c r="AO606" s="1" t="s">
        <v>6200</v>
      </c>
      <c r="AP606" s="1" t="s">
        <v>6201</v>
      </c>
      <c r="AQ606" s="1" t="s">
        <v>74</v>
      </c>
      <c r="AR606" s="1" t="s">
        <v>74</v>
      </c>
      <c r="AS606" s="1" t="s">
        <v>74</v>
      </c>
      <c r="AT606" s="1" t="s">
        <v>2530</v>
      </c>
      <c r="AU606" s="1">
        <v>2023.0</v>
      </c>
      <c r="AV606" s="1">
        <v>308.0</v>
      </c>
      <c r="AW606" s="1">
        <v>1.0</v>
      </c>
      <c r="AX606" s="1" t="s">
        <v>74</v>
      </c>
      <c r="AY606" s="1" t="s">
        <v>74</v>
      </c>
      <c r="AZ606" s="1" t="s">
        <v>74</v>
      </c>
      <c r="BA606" s="1" t="s">
        <v>74</v>
      </c>
      <c r="BB606" s="1">
        <v>84.0</v>
      </c>
      <c r="BC606" s="1">
        <v>96.0</v>
      </c>
      <c r="BD606" s="1" t="s">
        <v>74</v>
      </c>
      <c r="BE606" s="1" t="s">
        <v>6202</v>
      </c>
      <c r="BF606" s="2" t="str">
        <f>HYPERLINK("http://dx.doi.org/10.1016/j.ejor.2022.11.033","http://dx.doi.org/10.1016/j.ejor.2022.11.033")</f>
        <v>http://dx.doi.org/10.1016/j.ejor.2022.11.033</v>
      </c>
      <c r="BG606" s="1" t="s">
        <v>74</v>
      </c>
      <c r="BH606" s="1" t="s">
        <v>5023</v>
      </c>
      <c r="BI606" s="1" t="s">
        <v>74</v>
      </c>
      <c r="BJ606" s="1" t="s">
        <v>74</v>
      </c>
      <c r="BK606" s="1" t="s">
        <v>74</v>
      </c>
      <c r="BL606" s="1" t="s">
        <v>74</v>
      </c>
      <c r="BM606" s="1" t="s">
        <v>74</v>
      </c>
      <c r="BN606" s="1" t="s">
        <v>74</v>
      </c>
      <c r="BO606" s="1" t="s">
        <v>74</v>
      </c>
      <c r="BP606" s="1" t="s">
        <v>74</v>
      </c>
      <c r="BQ606" s="1" t="s">
        <v>74</v>
      </c>
      <c r="BR606" s="1" t="s">
        <v>74</v>
      </c>
      <c r="BS606" s="1" t="s">
        <v>6203</v>
      </c>
      <c r="BT606" s="1" t="str">
        <f>HYPERLINK("https%3A%2F%2Fwww.webofscience.com%2Fwos%2Fwoscc%2Ffull-record%2FWOS:000953840600001","View Full Record in Web of Science")</f>
        <v>View Full Record in Web of Science</v>
      </c>
    </row>
    <row r="607" ht="12.75" customHeight="1">
      <c r="A607" s="1" t="s">
        <v>72</v>
      </c>
      <c r="B607" s="1" t="s">
        <v>6204</v>
      </c>
      <c r="C607" s="1" t="s">
        <v>74</v>
      </c>
      <c r="D607" s="1" t="s">
        <v>74</v>
      </c>
      <c r="E607" s="1" t="s">
        <v>74</v>
      </c>
      <c r="F607" s="1" t="s">
        <v>6205</v>
      </c>
      <c r="G607" s="1" t="s">
        <v>74</v>
      </c>
      <c r="H607" s="1" t="s">
        <v>74</v>
      </c>
      <c r="I607" s="1" t="s">
        <v>6206</v>
      </c>
      <c r="J607" s="1" t="s">
        <v>6207</v>
      </c>
      <c r="K607" s="1" t="s">
        <v>74</v>
      </c>
      <c r="L607" s="1" t="s">
        <v>74</v>
      </c>
      <c r="M607" s="1" t="s">
        <v>74</v>
      </c>
      <c r="N607" s="1" t="s">
        <v>74</v>
      </c>
      <c r="O607" s="1" t="s">
        <v>74</v>
      </c>
      <c r="P607" s="1" t="s">
        <v>74</v>
      </c>
      <c r="Q607" s="1" t="s">
        <v>74</v>
      </c>
      <c r="R607" s="1" t="s">
        <v>74</v>
      </c>
      <c r="S607" s="1" t="s">
        <v>74</v>
      </c>
      <c r="T607" s="1" t="s">
        <v>74</v>
      </c>
      <c r="U607" s="1" t="s">
        <v>74</v>
      </c>
      <c r="V607" s="1" t="s">
        <v>6208</v>
      </c>
      <c r="W607" s="1" t="s">
        <v>74</v>
      </c>
      <c r="X607" s="1" t="s">
        <v>74</v>
      </c>
      <c r="Y607" s="1" t="s">
        <v>74</v>
      </c>
      <c r="Z607" s="1" t="s">
        <v>74</v>
      </c>
      <c r="AA607" s="1" t="s">
        <v>6209</v>
      </c>
      <c r="AB607" s="1" t="s">
        <v>74</v>
      </c>
      <c r="AC607" s="1" t="s">
        <v>74</v>
      </c>
      <c r="AD607" s="1" t="s">
        <v>74</v>
      </c>
      <c r="AE607" s="1" t="s">
        <v>74</v>
      </c>
      <c r="AF607" s="1" t="s">
        <v>74</v>
      </c>
      <c r="AG607" s="1" t="s">
        <v>74</v>
      </c>
      <c r="AH607" s="1" t="s">
        <v>74</v>
      </c>
      <c r="AI607" s="1" t="s">
        <v>74</v>
      </c>
      <c r="AJ607" s="1" t="s">
        <v>74</v>
      </c>
      <c r="AK607" s="1" t="s">
        <v>74</v>
      </c>
      <c r="AL607" s="1" t="s">
        <v>74</v>
      </c>
      <c r="AM607" s="1" t="s">
        <v>74</v>
      </c>
      <c r="AN607" s="1" t="s">
        <v>74</v>
      </c>
      <c r="AO607" s="1" t="s">
        <v>6210</v>
      </c>
      <c r="AP607" s="1" t="s">
        <v>6211</v>
      </c>
      <c r="AQ607" s="1" t="s">
        <v>74</v>
      </c>
      <c r="AR607" s="1" t="s">
        <v>74</v>
      </c>
      <c r="AS607" s="1" t="s">
        <v>74</v>
      </c>
      <c r="AT607" s="1" t="s">
        <v>6212</v>
      </c>
      <c r="AU607" s="1">
        <v>2023.0</v>
      </c>
      <c r="AV607" s="1">
        <v>68.0</v>
      </c>
      <c r="AW607" s="1">
        <v>4.0</v>
      </c>
      <c r="AX607" s="1" t="s">
        <v>74</v>
      </c>
      <c r="AY607" s="1" t="s">
        <v>74</v>
      </c>
      <c r="AZ607" s="1" t="s">
        <v>74</v>
      </c>
      <c r="BA607" s="1" t="s">
        <v>74</v>
      </c>
      <c r="BB607" s="1">
        <v>651.0</v>
      </c>
      <c r="BC607" s="1">
        <v>666.0</v>
      </c>
      <c r="BD607" s="1" t="s">
        <v>74</v>
      </c>
      <c r="BE607" s="1" t="s">
        <v>6213</v>
      </c>
      <c r="BF607" s="2" t="str">
        <f>HYPERLINK("http://dx.doi.org/10.1080/14498596.2022.2127951","http://dx.doi.org/10.1080/14498596.2022.2127951")</f>
        <v>http://dx.doi.org/10.1080/14498596.2022.2127951</v>
      </c>
      <c r="BG607" s="1" t="s">
        <v>74</v>
      </c>
      <c r="BH607" s="1" t="s">
        <v>6214</v>
      </c>
      <c r="BI607" s="1" t="s">
        <v>74</v>
      </c>
      <c r="BJ607" s="1" t="s">
        <v>74</v>
      </c>
      <c r="BK607" s="1" t="s">
        <v>74</v>
      </c>
      <c r="BL607" s="1" t="s">
        <v>74</v>
      </c>
      <c r="BM607" s="1" t="s">
        <v>74</v>
      </c>
      <c r="BN607" s="1" t="s">
        <v>74</v>
      </c>
      <c r="BO607" s="1" t="s">
        <v>74</v>
      </c>
      <c r="BP607" s="1" t="s">
        <v>74</v>
      </c>
      <c r="BQ607" s="1" t="s">
        <v>74</v>
      </c>
      <c r="BR607" s="1" t="s">
        <v>74</v>
      </c>
      <c r="BS607" s="1" t="s">
        <v>6215</v>
      </c>
      <c r="BT607" s="1" t="str">
        <f>HYPERLINK("https%3A%2F%2Fwww.webofscience.com%2Fwos%2Fwoscc%2Ffull-record%2FWOS:000862606700001","View Full Record in Web of Science")</f>
        <v>View Full Record in Web of Science</v>
      </c>
    </row>
    <row r="608" ht="12.75" customHeight="1">
      <c r="A608" s="1" t="s">
        <v>72</v>
      </c>
      <c r="B608" s="1" t="s">
        <v>6216</v>
      </c>
      <c r="C608" s="1" t="s">
        <v>74</v>
      </c>
      <c r="D608" s="1" t="s">
        <v>74</v>
      </c>
      <c r="E608" s="1" t="s">
        <v>74</v>
      </c>
      <c r="F608" s="1" t="s">
        <v>6217</v>
      </c>
      <c r="G608" s="1" t="s">
        <v>74</v>
      </c>
      <c r="H608" s="1" t="s">
        <v>74</v>
      </c>
      <c r="I608" s="1" t="s">
        <v>6218</v>
      </c>
      <c r="J608" s="1" t="s">
        <v>1353</v>
      </c>
      <c r="K608" s="1" t="s">
        <v>74</v>
      </c>
      <c r="L608" s="1" t="s">
        <v>74</v>
      </c>
      <c r="M608" s="1" t="s">
        <v>74</v>
      </c>
      <c r="N608" s="1" t="s">
        <v>74</v>
      </c>
      <c r="O608" s="1" t="s">
        <v>74</v>
      </c>
      <c r="P608" s="1" t="s">
        <v>74</v>
      </c>
      <c r="Q608" s="1" t="s">
        <v>74</v>
      </c>
      <c r="R608" s="1" t="s">
        <v>74</v>
      </c>
      <c r="S608" s="1" t="s">
        <v>74</v>
      </c>
      <c r="T608" s="1" t="s">
        <v>74</v>
      </c>
      <c r="U608" s="1" t="s">
        <v>74</v>
      </c>
      <c r="V608" s="1" t="s">
        <v>6219</v>
      </c>
      <c r="W608" s="1" t="s">
        <v>74</v>
      </c>
      <c r="X608" s="1" t="s">
        <v>74</v>
      </c>
      <c r="Y608" s="1" t="s">
        <v>74</v>
      </c>
      <c r="Z608" s="1" t="s">
        <v>74</v>
      </c>
      <c r="AA608" s="1" t="s">
        <v>6220</v>
      </c>
      <c r="AB608" s="1" t="s">
        <v>6221</v>
      </c>
      <c r="AC608" s="1" t="s">
        <v>74</v>
      </c>
      <c r="AD608" s="1" t="s">
        <v>74</v>
      </c>
      <c r="AE608" s="1" t="s">
        <v>74</v>
      </c>
      <c r="AF608" s="1" t="s">
        <v>74</v>
      </c>
      <c r="AG608" s="1" t="s">
        <v>74</v>
      </c>
      <c r="AH608" s="1" t="s">
        <v>74</v>
      </c>
      <c r="AI608" s="1" t="s">
        <v>74</v>
      </c>
      <c r="AJ608" s="1" t="s">
        <v>74</v>
      </c>
      <c r="AK608" s="1" t="s">
        <v>74</v>
      </c>
      <c r="AL608" s="1" t="s">
        <v>74</v>
      </c>
      <c r="AM608" s="1" t="s">
        <v>74</v>
      </c>
      <c r="AN608" s="1" t="s">
        <v>74</v>
      </c>
      <c r="AO608" s="1" t="s">
        <v>1357</v>
      </c>
      <c r="AP608" s="1" t="s">
        <v>1358</v>
      </c>
      <c r="AQ608" s="1" t="s">
        <v>74</v>
      </c>
      <c r="AR608" s="1" t="s">
        <v>74</v>
      </c>
      <c r="AS608" s="1" t="s">
        <v>74</v>
      </c>
      <c r="AT608" s="1" t="s">
        <v>348</v>
      </c>
      <c r="AU608" s="1">
        <v>2022.0</v>
      </c>
      <c r="AV608" s="1">
        <v>23.0</v>
      </c>
      <c r="AW608" s="1">
        <v>17.0</v>
      </c>
      <c r="AX608" s="1" t="s">
        <v>74</v>
      </c>
      <c r="AY608" s="1" t="s">
        <v>74</v>
      </c>
      <c r="AZ608" s="1" t="s">
        <v>74</v>
      </c>
      <c r="BA608" s="1" t="s">
        <v>74</v>
      </c>
      <c r="BB608" s="1" t="s">
        <v>74</v>
      </c>
      <c r="BC608" s="1" t="s">
        <v>74</v>
      </c>
      <c r="BD608" s="1">
        <v>10089.0</v>
      </c>
      <c r="BE608" s="1" t="s">
        <v>6222</v>
      </c>
      <c r="BF608" s="2" t="str">
        <f>HYPERLINK("http://dx.doi.org/10.3390/ijms231710089","http://dx.doi.org/10.3390/ijms231710089")</f>
        <v>http://dx.doi.org/10.3390/ijms231710089</v>
      </c>
      <c r="BG608" s="1" t="s">
        <v>74</v>
      </c>
      <c r="BH608" s="1" t="s">
        <v>74</v>
      </c>
      <c r="BI608" s="1" t="s">
        <v>74</v>
      </c>
      <c r="BJ608" s="1" t="s">
        <v>74</v>
      </c>
      <c r="BK608" s="1" t="s">
        <v>74</v>
      </c>
      <c r="BL608" s="1" t="s">
        <v>74</v>
      </c>
      <c r="BM608" s="1" t="s">
        <v>74</v>
      </c>
      <c r="BN608" s="1">
        <v>3.6077493E7</v>
      </c>
      <c r="BO608" s="1" t="s">
        <v>74</v>
      </c>
      <c r="BP608" s="1" t="s">
        <v>74</v>
      </c>
      <c r="BQ608" s="1" t="s">
        <v>74</v>
      </c>
      <c r="BR608" s="1" t="s">
        <v>74</v>
      </c>
      <c r="BS608" s="1" t="s">
        <v>6223</v>
      </c>
      <c r="BT608" s="1" t="str">
        <f>HYPERLINK("https%3A%2F%2Fwww.webofscience.com%2Fwos%2Fwoscc%2Ffull-record%2FWOS:000852510800001","View Full Record in Web of Science")</f>
        <v>View Full Record in Web of Science</v>
      </c>
    </row>
    <row r="609" ht="12.75" customHeight="1">
      <c r="A609" s="1" t="s">
        <v>72</v>
      </c>
      <c r="B609" s="1" t="s">
        <v>6224</v>
      </c>
      <c r="C609" s="1" t="s">
        <v>74</v>
      </c>
      <c r="D609" s="1" t="s">
        <v>74</v>
      </c>
      <c r="E609" s="1" t="s">
        <v>74</v>
      </c>
      <c r="F609" s="1" t="s">
        <v>6225</v>
      </c>
      <c r="G609" s="1" t="s">
        <v>74</v>
      </c>
      <c r="H609" s="1" t="s">
        <v>74</v>
      </c>
      <c r="I609" s="1" t="s">
        <v>6226</v>
      </c>
      <c r="J609" s="1" t="s">
        <v>1353</v>
      </c>
      <c r="K609" s="1" t="s">
        <v>74</v>
      </c>
      <c r="L609" s="1" t="s">
        <v>74</v>
      </c>
      <c r="M609" s="1" t="s">
        <v>74</v>
      </c>
      <c r="N609" s="1" t="s">
        <v>74</v>
      </c>
      <c r="O609" s="1" t="s">
        <v>74</v>
      </c>
      <c r="P609" s="1" t="s">
        <v>74</v>
      </c>
      <c r="Q609" s="1" t="s">
        <v>74</v>
      </c>
      <c r="R609" s="1" t="s">
        <v>74</v>
      </c>
      <c r="S609" s="1" t="s">
        <v>74</v>
      </c>
      <c r="T609" s="1" t="s">
        <v>74</v>
      </c>
      <c r="U609" s="1" t="s">
        <v>74</v>
      </c>
      <c r="V609" s="1" t="s">
        <v>6227</v>
      </c>
      <c r="W609" s="1" t="s">
        <v>74</v>
      </c>
      <c r="X609" s="1" t="s">
        <v>74</v>
      </c>
      <c r="Y609" s="1" t="s">
        <v>74</v>
      </c>
      <c r="Z609" s="1" t="s">
        <v>74</v>
      </c>
      <c r="AA609" s="1" t="s">
        <v>6228</v>
      </c>
      <c r="AB609" s="1" t="s">
        <v>6229</v>
      </c>
      <c r="AC609" s="1" t="s">
        <v>74</v>
      </c>
      <c r="AD609" s="1" t="s">
        <v>74</v>
      </c>
      <c r="AE609" s="1" t="s">
        <v>74</v>
      </c>
      <c r="AF609" s="1" t="s">
        <v>74</v>
      </c>
      <c r="AG609" s="1" t="s">
        <v>74</v>
      </c>
      <c r="AH609" s="1" t="s">
        <v>74</v>
      </c>
      <c r="AI609" s="1" t="s">
        <v>74</v>
      </c>
      <c r="AJ609" s="1" t="s">
        <v>74</v>
      </c>
      <c r="AK609" s="1" t="s">
        <v>74</v>
      </c>
      <c r="AL609" s="1" t="s">
        <v>74</v>
      </c>
      <c r="AM609" s="1" t="s">
        <v>74</v>
      </c>
      <c r="AN609" s="1" t="s">
        <v>74</v>
      </c>
      <c r="AO609" s="1" t="s">
        <v>1357</v>
      </c>
      <c r="AP609" s="1" t="s">
        <v>1358</v>
      </c>
      <c r="AQ609" s="1" t="s">
        <v>74</v>
      </c>
      <c r="AR609" s="1" t="s">
        <v>74</v>
      </c>
      <c r="AS609" s="1" t="s">
        <v>74</v>
      </c>
      <c r="AT609" s="1" t="s">
        <v>164</v>
      </c>
      <c r="AU609" s="1">
        <v>2022.0</v>
      </c>
      <c r="AV609" s="1">
        <v>23.0</v>
      </c>
      <c r="AW609" s="1">
        <v>13.0</v>
      </c>
      <c r="AX609" s="1" t="s">
        <v>74</v>
      </c>
      <c r="AY609" s="1" t="s">
        <v>74</v>
      </c>
      <c r="AZ609" s="1" t="s">
        <v>74</v>
      </c>
      <c r="BA609" s="1" t="s">
        <v>74</v>
      </c>
      <c r="BB609" s="1" t="s">
        <v>74</v>
      </c>
      <c r="BC609" s="1" t="s">
        <v>74</v>
      </c>
      <c r="BD609" s="1">
        <v>7279.0</v>
      </c>
      <c r="BE609" s="1" t="s">
        <v>6230</v>
      </c>
      <c r="BF609" s="2" t="str">
        <f>HYPERLINK("http://dx.doi.org/10.3390/ijms23137279","http://dx.doi.org/10.3390/ijms23137279")</f>
        <v>http://dx.doi.org/10.3390/ijms23137279</v>
      </c>
      <c r="BG609" s="1" t="s">
        <v>74</v>
      </c>
      <c r="BH609" s="1" t="s">
        <v>74</v>
      </c>
      <c r="BI609" s="1" t="s">
        <v>74</v>
      </c>
      <c r="BJ609" s="1" t="s">
        <v>74</v>
      </c>
      <c r="BK609" s="1" t="s">
        <v>74</v>
      </c>
      <c r="BL609" s="1" t="s">
        <v>74</v>
      </c>
      <c r="BM609" s="1" t="s">
        <v>74</v>
      </c>
      <c r="BN609" s="1">
        <v>3.5806287E7</v>
      </c>
      <c r="BO609" s="1" t="s">
        <v>74</v>
      </c>
      <c r="BP609" s="1" t="s">
        <v>74</v>
      </c>
      <c r="BQ609" s="1" t="s">
        <v>74</v>
      </c>
      <c r="BR609" s="1" t="s">
        <v>74</v>
      </c>
      <c r="BS609" s="1" t="s">
        <v>6231</v>
      </c>
      <c r="BT609" s="1" t="str">
        <f>HYPERLINK("https%3A%2F%2Fwww.webofscience.com%2Fwos%2Fwoscc%2Ffull-record%2FWOS:000824027900001","View Full Record in Web of Science")</f>
        <v>View Full Record in Web of Science</v>
      </c>
    </row>
    <row r="610" ht="12.75" customHeight="1">
      <c r="A610" s="1" t="s">
        <v>72</v>
      </c>
      <c r="B610" s="1" t="s">
        <v>6232</v>
      </c>
      <c r="C610" s="1" t="s">
        <v>74</v>
      </c>
      <c r="D610" s="1" t="s">
        <v>74</v>
      </c>
      <c r="E610" s="1" t="s">
        <v>74</v>
      </c>
      <c r="F610" s="1" t="s">
        <v>6233</v>
      </c>
      <c r="G610" s="1" t="s">
        <v>74</v>
      </c>
      <c r="H610" s="1" t="s">
        <v>74</v>
      </c>
      <c r="I610" s="1" t="s">
        <v>6234</v>
      </c>
      <c r="J610" s="1" t="s">
        <v>6235</v>
      </c>
      <c r="K610" s="1" t="s">
        <v>74</v>
      </c>
      <c r="L610" s="1" t="s">
        <v>74</v>
      </c>
      <c r="M610" s="1" t="s">
        <v>74</v>
      </c>
      <c r="N610" s="1" t="s">
        <v>74</v>
      </c>
      <c r="O610" s="1" t="s">
        <v>74</v>
      </c>
      <c r="P610" s="1" t="s">
        <v>74</v>
      </c>
      <c r="Q610" s="1" t="s">
        <v>74</v>
      </c>
      <c r="R610" s="1" t="s">
        <v>74</v>
      </c>
      <c r="S610" s="1" t="s">
        <v>74</v>
      </c>
      <c r="T610" s="1" t="s">
        <v>74</v>
      </c>
      <c r="U610" s="1" t="s">
        <v>74</v>
      </c>
      <c r="V610" s="1" t="s">
        <v>6236</v>
      </c>
      <c r="W610" s="1" t="s">
        <v>74</v>
      </c>
      <c r="X610" s="1" t="s">
        <v>74</v>
      </c>
      <c r="Y610" s="1" t="s">
        <v>74</v>
      </c>
      <c r="Z610" s="1" t="s">
        <v>74</v>
      </c>
      <c r="AA610" s="1" t="s">
        <v>6237</v>
      </c>
      <c r="AB610" s="1" t="s">
        <v>6238</v>
      </c>
      <c r="AC610" s="1" t="s">
        <v>74</v>
      </c>
      <c r="AD610" s="1" t="s">
        <v>74</v>
      </c>
      <c r="AE610" s="1" t="s">
        <v>74</v>
      </c>
      <c r="AF610" s="1" t="s">
        <v>74</v>
      </c>
      <c r="AG610" s="1" t="s">
        <v>74</v>
      </c>
      <c r="AH610" s="1" t="s">
        <v>74</v>
      </c>
      <c r="AI610" s="1" t="s">
        <v>74</v>
      </c>
      <c r="AJ610" s="1" t="s">
        <v>74</v>
      </c>
      <c r="AK610" s="1" t="s">
        <v>74</v>
      </c>
      <c r="AL610" s="1" t="s">
        <v>74</v>
      </c>
      <c r="AM610" s="1" t="s">
        <v>74</v>
      </c>
      <c r="AN610" s="1" t="s">
        <v>74</v>
      </c>
      <c r="AO610" s="1" t="s">
        <v>6239</v>
      </c>
      <c r="AP610" s="1" t="s">
        <v>6240</v>
      </c>
      <c r="AQ610" s="1" t="s">
        <v>74</v>
      </c>
      <c r="AR610" s="1" t="s">
        <v>74</v>
      </c>
      <c r="AS610" s="1" t="s">
        <v>74</v>
      </c>
      <c r="AT610" s="1" t="s">
        <v>74</v>
      </c>
      <c r="AU610" s="1">
        <v>2022.0</v>
      </c>
      <c r="AV610" s="1">
        <v>29.0</v>
      </c>
      <c r="AW610" s="1">
        <v>38.0</v>
      </c>
      <c r="AX610" s="1" t="s">
        <v>74</v>
      </c>
      <c r="AY610" s="1" t="s">
        <v>74</v>
      </c>
      <c r="AZ610" s="1" t="s">
        <v>74</v>
      </c>
      <c r="BA610" s="1" t="s">
        <v>74</v>
      </c>
      <c r="BB610" s="1">
        <v>5903.0</v>
      </c>
      <c r="BC610" s="1">
        <v>5924.0</v>
      </c>
      <c r="BD610" s="1" t="s">
        <v>74</v>
      </c>
      <c r="BE610" s="1" t="s">
        <v>6241</v>
      </c>
      <c r="BF610" s="2" t="str">
        <f>HYPERLINK("http://dx.doi.org/10.2174/0929867329666220508175340","http://dx.doi.org/10.2174/0929867329666220508175340")</f>
        <v>http://dx.doi.org/10.2174/0929867329666220508175340</v>
      </c>
      <c r="BG610" s="1" t="s">
        <v>74</v>
      </c>
      <c r="BH610" s="1" t="s">
        <v>74</v>
      </c>
      <c r="BI610" s="1" t="s">
        <v>74</v>
      </c>
      <c r="BJ610" s="1" t="s">
        <v>74</v>
      </c>
      <c r="BK610" s="1" t="s">
        <v>74</v>
      </c>
      <c r="BL610" s="1" t="s">
        <v>74</v>
      </c>
      <c r="BM610" s="1" t="s">
        <v>74</v>
      </c>
      <c r="BN610" s="1">
        <v>3.5532254E7</v>
      </c>
      <c r="BO610" s="1" t="s">
        <v>74</v>
      </c>
      <c r="BP610" s="1" t="s">
        <v>74</v>
      </c>
      <c r="BQ610" s="1" t="s">
        <v>74</v>
      </c>
      <c r="BR610" s="1" t="s">
        <v>74</v>
      </c>
      <c r="BS610" s="1" t="s">
        <v>6242</v>
      </c>
      <c r="BT610" s="1" t="str">
        <f>HYPERLINK("https%3A%2F%2Fwww.webofscience.com%2Fwos%2Fwoscc%2Ffull-record%2FWOS:000864622500001","View Full Record in Web of Science")</f>
        <v>View Full Record in Web of Science</v>
      </c>
    </row>
    <row r="611" ht="12.75" customHeight="1">
      <c r="A611" s="1" t="s">
        <v>72</v>
      </c>
      <c r="B611" s="1" t="s">
        <v>6243</v>
      </c>
      <c r="C611" s="1" t="s">
        <v>74</v>
      </c>
      <c r="D611" s="1" t="s">
        <v>74</v>
      </c>
      <c r="E611" s="1" t="s">
        <v>74</v>
      </c>
      <c r="F611" s="1" t="s">
        <v>4528</v>
      </c>
      <c r="G611" s="1" t="s">
        <v>74</v>
      </c>
      <c r="H611" s="1" t="s">
        <v>74</v>
      </c>
      <c r="I611" s="1" t="s">
        <v>6244</v>
      </c>
      <c r="J611" s="1" t="s">
        <v>1756</v>
      </c>
      <c r="K611" s="1" t="s">
        <v>74</v>
      </c>
      <c r="L611" s="1" t="s">
        <v>74</v>
      </c>
      <c r="M611" s="1" t="s">
        <v>74</v>
      </c>
      <c r="N611" s="1" t="s">
        <v>74</v>
      </c>
      <c r="O611" s="1" t="s">
        <v>74</v>
      </c>
      <c r="P611" s="1" t="s">
        <v>74</v>
      </c>
      <c r="Q611" s="1" t="s">
        <v>74</v>
      </c>
      <c r="R611" s="1" t="s">
        <v>74</v>
      </c>
      <c r="S611" s="1" t="s">
        <v>74</v>
      </c>
      <c r="T611" s="1" t="s">
        <v>74</v>
      </c>
      <c r="U611" s="1" t="s">
        <v>74</v>
      </c>
      <c r="V611" s="1" t="s">
        <v>6245</v>
      </c>
      <c r="W611" s="1" t="s">
        <v>74</v>
      </c>
      <c r="X611" s="1" t="s">
        <v>74</v>
      </c>
      <c r="Y611" s="1" t="s">
        <v>74</v>
      </c>
      <c r="Z611" s="1" t="s">
        <v>74</v>
      </c>
      <c r="AA611" s="1" t="s">
        <v>6246</v>
      </c>
      <c r="AB611" s="1" t="s">
        <v>6247</v>
      </c>
      <c r="AC611" s="1" t="s">
        <v>74</v>
      </c>
      <c r="AD611" s="1" t="s">
        <v>74</v>
      </c>
      <c r="AE611" s="1" t="s">
        <v>74</v>
      </c>
      <c r="AF611" s="1" t="s">
        <v>74</v>
      </c>
      <c r="AG611" s="1" t="s">
        <v>74</v>
      </c>
      <c r="AH611" s="1" t="s">
        <v>74</v>
      </c>
      <c r="AI611" s="1" t="s">
        <v>74</v>
      </c>
      <c r="AJ611" s="1" t="s">
        <v>74</v>
      </c>
      <c r="AK611" s="1" t="s">
        <v>74</v>
      </c>
      <c r="AL611" s="1" t="s">
        <v>74</v>
      </c>
      <c r="AM611" s="1" t="s">
        <v>74</v>
      </c>
      <c r="AN611" s="1" t="s">
        <v>74</v>
      </c>
      <c r="AO611" s="1" t="s">
        <v>74</v>
      </c>
      <c r="AP611" s="1" t="s">
        <v>1760</v>
      </c>
      <c r="AQ611" s="1" t="s">
        <v>74</v>
      </c>
      <c r="AR611" s="1" t="s">
        <v>74</v>
      </c>
      <c r="AS611" s="1" t="s">
        <v>74</v>
      </c>
      <c r="AT611" s="1" t="s">
        <v>307</v>
      </c>
      <c r="AU611" s="1">
        <v>2021.0</v>
      </c>
      <c r="AV611" s="1">
        <v>11.0</v>
      </c>
      <c r="AW611" s="1">
        <v>12.0</v>
      </c>
      <c r="AX611" s="1" t="s">
        <v>74</v>
      </c>
      <c r="AY611" s="1" t="s">
        <v>74</v>
      </c>
      <c r="AZ611" s="1" t="s">
        <v>74</v>
      </c>
      <c r="BA611" s="1" t="s">
        <v>74</v>
      </c>
      <c r="BB611" s="1" t="s">
        <v>74</v>
      </c>
      <c r="BC611" s="1" t="s">
        <v>74</v>
      </c>
      <c r="BD611" s="1">
        <v>1317.0</v>
      </c>
      <c r="BE611" s="1" t="s">
        <v>6248</v>
      </c>
      <c r="BF611" s="2" t="str">
        <f>HYPERLINK("http://dx.doi.org/10.3390/min11121317","http://dx.doi.org/10.3390/min11121317")</f>
        <v>http://dx.doi.org/10.3390/min11121317</v>
      </c>
      <c r="BG611" s="1" t="s">
        <v>74</v>
      </c>
      <c r="BH611" s="1" t="s">
        <v>74</v>
      </c>
      <c r="BI611" s="1" t="s">
        <v>74</v>
      </c>
      <c r="BJ611" s="1" t="s">
        <v>74</v>
      </c>
      <c r="BK611" s="1" t="s">
        <v>74</v>
      </c>
      <c r="BL611" s="1" t="s">
        <v>74</v>
      </c>
      <c r="BM611" s="1" t="s">
        <v>74</v>
      </c>
      <c r="BN611" s="1" t="s">
        <v>74</v>
      </c>
      <c r="BO611" s="1" t="s">
        <v>74</v>
      </c>
      <c r="BP611" s="1" t="s">
        <v>74</v>
      </c>
      <c r="BQ611" s="1" t="s">
        <v>74</v>
      </c>
      <c r="BR611" s="1" t="s">
        <v>74</v>
      </c>
      <c r="BS611" s="1" t="s">
        <v>6249</v>
      </c>
      <c r="BT611" s="1" t="str">
        <f>HYPERLINK("https%3A%2F%2Fwww.webofscience.com%2Fwos%2Fwoscc%2Ffull-record%2FWOS:000736994600001","View Full Record in Web of Science")</f>
        <v>View Full Record in Web of Science</v>
      </c>
    </row>
    <row r="612" ht="12.75" customHeight="1">
      <c r="A612" s="1" t="s">
        <v>72</v>
      </c>
      <c r="B612" s="1" t="s">
        <v>6250</v>
      </c>
      <c r="C612" s="1" t="s">
        <v>74</v>
      </c>
      <c r="D612" s="1" t="s">
        <v>74</v>
      </c>
      <c r="E612" s="1" t="s">
        <v>74</v>
      </c>
      <c r="F612" s="1" t="s">
        <v>6251</v>
      </c>
      <c r="G612" s="1" t="s">
        <v>74</v>
      </c>
      <c r="H612" s="1" t="s">
        <v>74</v>
      </c>
      <c r="I612" s="1" t="s">
        <v>6252</v>
      </c>
      <c r="J612" s="1" t="s">
        <v>6253</v>
      </c>
      <c r="K612" s="1" t="s">
        <v>74</v>
      </c>
      <c r="L612" s="1" t="s">
        <v>74</v>
      </c>
      <c r="M612" s="1" t="s">
        <v>74</v>
      </c>
      <c r="N612" s="1" t="s">
        <v>74</v>
      </c>
      <c r="O612" s="1" t="s">
        <v>74</v>
      </c>
      <c r="P612" s="1" t="s">
        <v>74</v>
      </c>
      <c r="Q612" s="1" t="s">
        <v>74</v>
      </c>
      <c r="R612" s="1" t="s">
        <v>74</v>
      </c>
      <c r="S612" s="1" t="s">
        <v>74</v>
      </c>
      <c r="T612" s="1" t="s">
        <v>74</v>
      </c>
      <c r="U612" s="1" t="s">
        <v>74</v>
      </c>
      <c r="V612" s="1" t="s">
        <v>6254</v>
      </c>
      <c r="W612" s="1" t="s">
        <v>74</v>
      </c>
      <c r="X612" s="1" t="s">
        <v>74</v>
      </c>
      <c r="Y612" s="1" t="s">
        <v>74</v>
      </c>
      <c r="Z612" s="1" t="s">
        <v>74</v>
      </c>
      <c r="AA612" s="1" t="s">
        <v>6255</v>
      </c>
      <c r="AB612" s="1" t="s">
        <v>6256</v>
      </c>
      <c r="AC612" s="1" t="s">
        <v>74</v>
      </c>
      <c r="AD612" s="1" t="s">
        <v>74</v>
      </c>
      <c r="AE612" s="1" t="s">
        <v>74</v>
      </c>
      <c r="AF612" s="1" t="s">
        <v>74</v>
      </c>
      <c r="AG612" s="1" t="s">
        <v>74</v>
      </c>
      <c r="AH612" s="1" t="s">
        <v>74</v>
      </c>
      <c r="AI612" s="1" t="s">
        <v>74</v>
      </c>
      <c r="AJ612" s="1" t="s">
        <v>74</v>
      </c>
      <c r="AK612" s="1" t="s">
        <v>74</v>
      </c>
      <c r="AL612" s="1" t="s">
        <v>74</v>
      </c>
      <c r="AM612" s="1" t="s">
        <v>74</v>
      </c>
      <c r="AN612" s="1" t="s">
        <v>74</v>
      </c>
      <c r="AO612" s="1" t="s">
        <v>6257</v>
      </c>
      <c r="AP612" s="1" t="s">
        <v>74</v>
      </c>
      <c r="AQ612" s="1" t="s">
        <v>74</v>
      </c>
      <c r="AR612" s="1" t="s">
        <v>74</v>
      </c>
      <c r="AS612" s="1" t="s">
        <v>74</v>
      </c>
      <c r="AT612" s="1" t="s">
        <v>6258</v>
      </c>
      <c r="AU612" s="1">
        <v>2019.0</v>
      </c>
      <c r="AV612" s="1">
        <v>10.0</v>
      </c>
      <c r="AW612" s="1" t="s">
        <v>74</v>
      </c>
      <c r="AX612" s="1" t="s">
        <v>74</v>
      </c>
      <c r="AY612" s="1" t="s">
        <v>74</v>
      </c>
      <c r="AZ612" s="1" t="s">
        <v>74</v>
      </c>
      <c r="BA612" s="1" t="s">
        <v>74</v>
      </c>
      <c r="BB612" s="1" t="s">
        <v>74</v>
      </c>
      <c r="BC612" s="1" t="s">
        <v>74</v>
      </c>
      <c r="BD612" s="1">
        <v>570.0</v>
      </c>
      <c r="BE612" s="1" t="s">
        <v>6259</v>
      </c>
      <c r="BF612" s="2" t="str">
        <f>HYPERLINK("http://dx.doi.org/10.3389/fpsyt.2019.00570","http://dx.doi.org/10.3389/fpsyt.2019.00570")</f>
        <v>http://dx.doi.org/10.3389/fpsyt.2019.00570</v>
      </c>
      <c r="BG612" s="1" t="s">
        <v>74</v>
      </c>
      <c r="BH612" s="1" t="s">
        <v>74</v>
      </c>
      <c r="BI612" s="1" t="s">
        <v>74</v>
      </c>
      <c r="BJ612" s="1" t="s">
        <v>74</v>
      </c>
      <c r="BK612" s="1" t="s">
        <v>74</v>
      </c>
      <c r="BL612" s="1" t="s">
        <v>74</v>
      </c>
      <c r="BM612" s="1" t="s">
        <v>74</v>
      </c>
      <c r="BN612" s="1">
        <v>3.1474886E7</v>
      </c>
      <c r="BO612" s="1" t="s">
        <v>74</v>
      </c>
      <c r="BP612" s="1" t="s">
        <v>74</v>
      </c>
      <c r="BQ612" s="1" t="s">
        <v>74</v>
      </c>
      <c r="BR612" s="1" t="s">
        <v>74</v>
      </c>
      <c r="BS612" s="1" t="s">
        <v>6260</v>
      </c>
      <c r="BT612" s="1" t="str">
        <f>HYPERLINK("https%3A%2F%2Fwww.webofscience.com%2Fwos%2Fwoscc%2Ffull-record%2FWOS:000480712300002","View Full Record in Web of Science")</f>
        <v>View Full Record in Web of Science</v>
      </c>
    </row>
    <row r="613" ht="12.75" customHeight="1">
      <c r="A613" s="1" t="s">
        <v>72</v>
      </c>
      <c r="B613" s="1" t="s">
        <v>6261</v>
      </c>
      <c r="C613" s="1" t="s">
        <v>74</v>
      </c>
      <c r="D613" s="1" t="s">
        <v>74</v>
      </c>
      <c r="E613" s="1" t="s">
        <v>74</v>
      </c>
      <c r="F613" s="1" t="s">
        <v>6262</v>
      </c>
      <c r="G613" s="1" t="s">
        <v>74</v>
      </c>
      <c r="H613" s="1" t="s">
        <v>74</v>
      </c>
      <c r="I613" s="1" t="s">
        <v>6263</v>
      </c>
      <c r="J613" s="1" t="s">
        <v>6264</v>
      </c>
      <c r="K613" s="1" t="s">
        <v>74</v>
      </c>
      <c r="L613" s="1" t="s">
        <v>74</v>
      </c>
      <c r="M613" s="1" t="s">
        <v>74</v>
      </c>
      <c r="N613" s="1" t="s">
        <v>74</v>
      </c>
      <c r="O613" s="1" t="s">
        <v>74</v>
      </c>
      <c r="P613" s="1" t="s">
        <v>74</v>
      </c>
      <c r="Q613" s="1" t="s">
        <v>74</v>
      </c>
      <c r="R613" s="1" t="s">
        <v>74</v>
      </c>
      <c r="S613" s="1" t="s">
        <v>74</v>
      </c>
      <c r="T613" s="1" t="s">
        <v>74</v>
      </c>
      <c r="U613" s="1" t="s">
        <v>74</v>
      </c>
      <c r="V613" s="1" t="s">
        <v>6265</v>
      </c>
      <c r="W613" s="1" t="s">
        <v>74</v>
      </c>
      <c r="X613" s="1" t="s">
        <v>74</v>
      </c>
      <c r="Y613" s="1" t="s">
        <v>74</v>
      </c>
      <c r="Z613" s="1" t="s">
        <v>74</v>
      </c>
      <c r="AA613" s="1" t="s">
        <v>6266</v>
      </c>
      <c r="AB613" s="1" t="s">
        <v>6267</v>
      </c>
      <c r="AC613" s="1" t="s">
        <v>74</v>
      </c>
      <c r="AD613" s="1" t="s">
        <v>74</v>
      </c>
      <c r="AE613" s="1" t="s">
        <v>74</v>
      </c>
      <c r="AF613" s="1" t="s">
        <v>74</v>
      </c>
      <c r="AG613" s="1" t="s">
        <v>74</v>
      </c>
      <c r="AH613" s="1" t="s">
        <v>74</v>
      </c>
      <c r="AI613" s="1" t="s">
        <v>74</v>
      </c>
      <c r="AJ613" s="1" t="s">
        <v>74</v>
      </c>
      <c r="AK613" s="1" t="s">
        <v>74</v>
      </c>
      <c r="AL613" s="1" t="s">
        <v>74</v>
      </c>
      <c r="AM613" s="1" t="s">
        <v>74</v>
      </c>
      <c r="AN613" s="1" t="s">
        <v>74</v>
      </c>
      <c r="AO613" s="1" t="s">
        <v>6268</v>
      </c>
      <c r="AP613" s="1" t="s">
        <v>6269</v>
      </c>
      <c r="AQ613" s="1" t="s">
        <v>74</v>
      </c>
      <c r="AR613" s="1" t="s">
        <v>74</v>
      </c>
      <c r="AS613" s="1" t="s">
        <v>74</v>
      </c>
      <c r="AT613" s="1" t="s">
        <v>6270</v>
      </c>
      <c r="AU613" s="1">
        <v>2021.0</v>
      </c>
      <c r="AV613" s="1">
        <v>35.0</v>
      </c>
      <c r="AW613" s="1">
        <v>12.0</v>
      </c>
      <c r="AX613" s="1" t="s">
        <v>74</v>
      </c>
      <c r="AY613" s="1" t="s">
        <v>74</v>
      </c>
      <c r="AZ613" s="1" t="s">
        <v>74</v>
      </c>
      <c r="BA613" s="1" t="s">
        <v>74</v>
      </c>
      <c r="BB613" s="1">
        <v>2072.0</v>
      </c>
      <c r="BC613" s="1">
        <v>2075.0</v>
      </c>
      <c r="BD613" s="1" t="s">
        <v>74</v>
      </c>
      <c r="BE613" s="1" t="s">
        <v>6271</v>
      </c>
      <c r="BF613" s="2" t="str">
        <f>HYPERLINK("http://dx.doi.org/10.1080/14786419.2019.1648465","http://dx.doi.org/10.1080/14786419.2019.1648465")</f>
        <v>http://dx.doi.org/10.1080/14786419.2019.1648465</v>
      </c>
      <c r="BG613" s="1" t="s">
        <v>74</v>
      </c>
      <c r="BH613" s="1" t="s">
        <v>6272</v>
      </c>
      <c r="BI613" s="1" t="s">
        <v>74</v>
      </c>
      <c r="BJ613" s="1" t="s">
        <v>74</v>
      </c>
      <c r="BK613" s="1" t="s">
        <v>74</v>
      </c>
      <c r="BL613" s="1" t="s">
        <v>74</v>
      </c>
      <c r="BM613" s="1" t="s">
        <v>74</v>
      </c>
      <c r="BN613" s="1">
        <v>3.138554E7</v>
      </c>
      <c r="BO613" s="1" t="s">
        <v>74</v>
      </c>
      <c r="BP613" s="1" t="s">
        <v>74</v>
      </c>
      <c r="BQ613" s="1" t="s">
        <v>74</v>
      </c>
      <c r="BR613" s="1" t="s">
        <v>74</v>
      </c>
      <c r="BS613" s="1" t="s">
        <v>6273</v>
      </c>
      <c r="BT613" s="1" t="str">
        <f>HYPERLINK("https%3A%2F%2Fwww.webofscience.com%2Fwos%2Fwoscc%2Ffull-record%2FWOS:000479990600001","View Full Record in Web of Science")</f>
        <v>View Full Record in Web of Science</v>
      </c>
    </row>
    <row r="614" ht="12.75" customHeight="1">
      <c r="A614" s="1" t="s">
        <v>72</v>
      </c>
      <c r="B614" s="1" t="s">
        <v>6274</v>
      </c>
      <c r="C614" s="1" t="s">
        <v>74</v>
      </c>
      <c r="D614" s="1" t="s">
        <v>74</v>
      </c>
      <c r="E614" s="1" t="s">
        <v>74</v>
      </c>
      <c r="F614" s="1" t="s">
        <v>6275</v>
      </c>
      <c r="G614" s="1" t="s">
        <v>74</v>
      </c>
      <c r="H614" s="1" t="s">
        <v>74</v>
      </c>
      <c r="I614" s="1" t="s">
        <v>6276</v>
      </c>
      <c r="J614" s="1" t="s">
        <v>700</v>
      </c>
      <c r="K614" s="1" t="s">
        <v>74</v>
      </c>
      <c r="L614" s="1" t="s">
        <v>74</v>
      </c>
      <c r="M614" s="1" t="s">
        <v>74</v>
      </c>
      <c r="N614" s="1" t="s">
        <v>74</v>
      </c>
      <c r="O614" s="1" t="s">
        <v>74</v>
      </c>
      <c r="P614" s="1" t="s">
        <v>74</v>
      </c>
      <c r="Q614" s="1" t="s">
        <v>74</v>
      </c>
      <c r="R614" s="1" t="s">
        <v>74</v>
      </c>
      <c r="S614" s="1" t="s">
        <v>74</v>
      </c>
      <c r="T614" s="1" t="s">
        <v>74</v>
      </c>
      <c r="U614" s="1" t="s">
        <v>74</v>
      </c>
      <c r="V614" s="1" t="s">
        <v>6277</v>
      </c>
      <c r="W614" s="1" t="s">
        <v>74</v>
      </c>
      <c r="X614" s="1" t="s">
        <v>74</v>
      </c>
      <c r="Y614" s="1" t="s">
        <v>74</v>
      </c>
      <c r="Z614" s="1" t="s">
        <v>74</v>
      </c>
      <c r="AA614" s="1" t="s">
        <v>6278</v>
      </c>
      <c r="AB614" s="1" t="s">
        <v>6279</v>
      </c>
      <c r="AC614" s="1" t="s">
        <v>74</v>
      </c>
      <c r="AD614" s="1" t="s">
        <v>74</v>
      </c>
      <c r="AE614" s="1" t="s">
        <v>74</v>
      </c>
      <c r="AF614" s="1" t="s">
        <v>74</v>
      </c>
      <c r="AG614" s="1" t="s">
        <v>74</v>
      </c>
      <c r="AH614" s="1" t="s">
        <v>74</v>
      </c>
      <c r="AI614" s="1" t="s">
        <v>74</v>
      </c>
      <c r="AJ614" s="1" t="s">
        <v>74</v>
      </c>
      <c r="AK614" s="1" t="s">
        <v>74</v>
      </c>
      <c r="AL614" s="1" t="s">
        <v>74</v>
      </c>
      <c r="AM614" s="1" t="s">
        <v>74</v>
      </c>
      <c r="AN614" s="1" t="s">
        <v>74</v>
      </c>
      <c r="AO614" s="1" t="s">
        <v>704</v>
      </c>
      <c r="AP614" s="1" t="s">
        <v>705</v>
      </c>
      <c r="AQ614" s="1" t="s">
        <v>74</v>
      </c>
      <c r="AR614" s="1" t="s">
        <v>74</v>
      </c>
      <c r="AS614" s="1" t="s">
        <v>74</v>
      </c>
      <c r="AT614" s="1" t="s">
        <v>164</v>
      </c>
      <c r="AU614" s="1">
        <v>2019.0</v>
      </c>
      <c r="AV614" s="1">
        <v>111.0</v>
      </c>
      <c r="AW614" s="1" t="s">
        <v>74</v>
      </c>
      <c r="AX614" s="1" t="s">
        <v>74</v>
      </c>
      <c r="AY614" s="1" t="s">
        <v>74</v>
      </c>
      <c r="AZ614" s="1" t="s">
        <v>74</v>
      </c>
      <c r="BA614" s="1" t="s">
        <v>74</v>
      </c>
      <c r="BB614" s="1">
        <v>118.0</v>
      </c>
      <c r="BC614" s="1">
        <v>126.0</v>
      </c>
      <c r="BD614" s="1" t="s">
        <v>74</v>
      </c>
      <c r="BE614" s="1" t="s">
        <v>6280</v>
      </c>
      <c r="BF614" s="2" t="str">
        <f>HYPERLINK("http://dx.doi.org/10.1016/j.physe.2019.02.017","http://dx.doi.org/10.1016/j.physe.2019.02.017")</f>
        <v>http://dx.doi.org/10.1016/j.physe.2019.02.017</v>
      </c>
      <c r="BG614" s="1" t="s">
        <v>74</v>
      </c>
      <c r="BH614" s="1" t="s">
        <v>74</v>
      </c>
      <c r="BI614" s="1" t="s">
        <v>74</v>
      </c>
      <c r="BJ614" s="1" t="s">
        <v>74</v>
      </c>
      <c r="BK614" s="1" t="s">
        <v>74</v>
      </c>
      <c r="BL614" s="1" t="s">
        <v>74</v>
      </c>
      <c r="BM614" s="1" t="s">
        <v>74</v>
      </c>
      <c r="BN614" s="1" t="s">
        <v>74</v>
      </c>
      <c r="BO614" s="1" t="s">
        <v>74</v>
      </c>
      <c r="BP614" s="1" t="s">
        <v>74</v>
      </c>
      <c r="BQ614" s="1" t="s">
        <v>74</v>
      </c>
      <c r="BR614" s="1" t="s">
        <v>74</v>
      </c>
      <c r="BS614" s="1" t="s">
        <v>6281</v>
      </c>
      <c r="BT614" s="1" t="str">
        <f>HYPERLINK("https%3A%2F%2Fwww.webofscience.com%2Fwos%2Fwoscc%2Ffull-record%2FWOS:000465001500016","View Full Record in Web of Science")</f>
        <v>View Full Record in Web of Science</v>
      </c>
    </row>
    <row r="615" ht="12.75" customHeight="1">
      <c r="A615" s="1" t="s">
        <v>72</v>
      </c>
      <c r="B615" s="1" t="s">
        <v>6282</v>
      </c>
      <c r="C615" s="1" t="s">
        <v>74</v>
      </c>
      <c r="D615" s="1" t="s">
        <v>74</v>
      </c>
      <c r="E615" s="1" t="s">
        <v>74</v>
      </c>
      <c r="F615" s="1" t="s">
        <v>6283</v>
      </c>
      <c r="G615" s="1" t="s">
        <v>74</v>
      </c>
      <c r="H615" s="1" t="s">
        <v>74</v>
      </c>
      <c r="I615" s="1" t="s">
        <v>6284</v>
      </c>
      <c r="J615" s="1" t="s">
        <v>6285</v>
      </c>
      <c r="K615" s="1" t="s">
        <v>74</v>
      </c>
      <c r="L615" s="1" t="s">
        <v>74</v>
      </c>
      <c r="M615" s="1" t="s">
        <v>74</v>
      </c>
      <c r="N615" s="1" t="s">
        <v>74</v>
      </c>
      <c r="O615" s="1" t="s">
        <v>74</v>
      </c>
      <c r="P615" s="1" t="s">
        <v>74</v>
      </c>
      <c r="Q615" s="1" t="s">
        <v>74</v>
      </c>
      <c r="R615" s="1" t="s">
        <v>74</v>
      </c>
      <c r="S615" s="1" t="s">
        <v>74</v>
      </c>
      <c r="T615" s="1" t="s">
        <v>74</v>
      </c>
      <c r="U615" s="1" t="s">
        <v>74</v>
      </c>
      <c r="V615" s="1" t="s">
        <v>6286</v>
      </c>
      <c r="W615" s="1" t="s">
        <v>74</v>
      </c>
      <c r="X615" s="1" t="s">
        <v>74</v>
      </c>
      <c r="Y615" s="1" t="s">
        <v>74</v>
      </c>
      <c r="Z615" s="1" t="s">
        <v>74</v>
      </c>
      <c r="AA615" s="1" t="s">
        <v>6287</v>
      </c>
      <c r="AB615" s="1" t="s">
        <v>6288</v>
      </c>
      <c r="AC615" s="1" t="s">
        <v>74</v>
      </c>
      <c r="AD615" s="1" t="s">
        <v>74</v>
      </c>
      <c r="AE615" s="1" t="s">
        <v>74</v>
      </c>
      <c r="AF615" s="1" t="s">
        <v>74</v>
      </c>
      <c r="AG615" s="1" t="s">
        <v>74</v>
      </c>
      <c r="AH615" s="1" t="s">
        <v>74</v>
      </c>
      <c r="AI615" s="1" t="s">
        <v>74</v>
      </c>
      <c r="AJ615" s="1" t="s">
        <v>74</v>
      </c>
      <c r="AK615" s="1" t="s">
        <v>74</v>
      </c>
      <c r="AL615" s="1" t="s">
        <v>74</v>
      </c>
      <c r="AM615" s="1" t="s">
        <v>74</v>
      </c>
      <c r="AN615" s="1" t="s">
        <v>74</v>
      </c>
      <c r="AO615" s="1" t="s">
        <v>6289</v>
      </c>
      <c r="AP615" s="1" t="s">
        <v>6290</v>
      </c>
      <c r="AQ615" s="1" t="s">
        <v>74</v>
      </c>
      <c r="AR615" s="1" t="s">
        <v>74</v>
      </c>
      <c r="AS615" s="1" t="s">
        <v>74</v>
      </c>
      <c r="AT615" s="1" t="s">
        <v>6291</v>
      </c>
      <c r="AU615" s="1">
        <v>2019.0</v>
      </c>
      <c r="AV615" s="1">
        <v>31.0</v>
      </c>
      <c r="AW615" s="1">
        <v>2.0</v>
      </c>
      <c r="AX615" s="1" t="s">
        <v>74</v>
      </c>
      <c r="AY615" s="1" t="s">
        <v>74</v>
      </c>
      <c r="AZ615" s="1" t="s">
        <v>74</v>
      </c>
      <c r="BA615" s="1" t="s">
        <v>74</v>
      </c>
      <c r="BB615" s="1">
        <v>149.0</v>
      </c>
      <c r="BC615" s="1">
        <v>164.0</v>
      </c>
      <c r="BD615" s="1" t="s">
        <v>74</v>
      </c>
      <c r="BE615" s="1" t="s">
        <v>6292</v>
      </c>
      <c r="BF615" s="2" t="str">
        <f>HYPERLINK("http://dx.doi.org/10.1216/JIE-2019-31-2-149","http://dx.doi.org/10.1216/JIE-2019-31-2-149")</f>
        <v>http://dx.doi.org/10.1216/JIE-2019-31-2-149</v>
      </c>
      <c r="BG615" s="1" t="s">
        <v>74</v>
      </c>
      <c r="BH615" s="1" t="s">
        <v>74</v>
      </c>
      <c r="BI615" s="1" t="s">
        <v>74</v>
      </c>
      <c r="BJ615" s="1" t="s">
        <v>74</v>
      </c>
      <c r="BK615" s="1" t="s">
        <v>74</v>
      </c>
      <c r="BL615" s="1" t="s">
        <v>74</v>
      </c>
      <c r="BM615" s="1" t="s">
        <v>74</v>
      </c>
      <c r="BN615" s="1" t="s">
        <v>74</v>
      </c>
      <c r="BO615" s="1" t="s">
        <v>74</v>
      </c>
      <c r="BP615" s="1" t="s">
        <v>74</v>
      </c>
      <c r="BQ615" s="1" t="s">
        <v>74</v>
      </c>
      <c r="BR615" s="1" t="s">
        <v>74</v>
      </c>
      <c r="BS615" s="1" t="s">
        <v>6293</v>
      </c>
      <c r="BT615" s="1" t="str">
        <f>HYPERLINK("https%3A%2F%2Fwww.webofscience.com%2Fwos%2Fwoscc%2Ffull-record%2FWOS:000487333700001","View Full Record in Web of Science")</f>
        <v>View Full Record in Web of Science</v>
      </c>
    </row>
    <row r="616" ht="12.75" customHeight="1">
      <c r="A616" s="1" t="s">
        <v>72</v>
      </c>
      <c r="B616" s="1" t="s">
        <v>6294</v>
      </c>
      <c r="C616" s="1" t="s">
        <v>74</v>
      </c>
      <c r="D616" s="1" t="s">
        <v>74</v>
      </c>
      <c r="E616" s="1" t="s">
        <v>74</v>
      </c>
      <c r="F616" s="1" t="s">
        <v>6295</v>
      </c>
      <c r="G616" s="1" t="s">
        <v>74</v>
      </c>
      <c r="H616" s="1" t="s">
        <v>74</v>
      </c>
      <c r="I616" s="1" t="s">
        <v>6296</v>
      </c>
      <c r="J616" s="1" t="s">
        <v>354</v>
      </c>
      <c r="K616" s="1" t="s">
        <v>74</v>
      </c>
      <c r="L616" s="1" t="s">
        <v>74</v>
      </c>
      <c r="M616" s="1" t="s">
        <v>74</v>
      </c>
      <c r="N616" s="1" t="s">
        <v>74</v>
      </c>
      <c r="O616" s="1" t="s">
        <v>74</v>
      </c>
      <c r="P616" s="1" t="s">
        <v>74</v>
      </c>
      <c r="Q616" s="1" t="s">
        <v>74</v>
      </c>
      <c r="R616" s="1" t="s">
        <v>74</v>
      </c>
      <c r="S616" s="1" t="s">
        <v>74</v>
      </c>
      <c r="T616" s="1" t="s">
        <v>74</v>
      </c>
      <c r="U616" s="1" t="s">
        <v>74</v>
      </c>
      <c r="V616" s="1" t="s">
        <v>6297</v>
      </c>
      <c r="W616" s="1" t="s">
        <v>74</v>
      </c>
      <c r="X616" s="1" t="s">
        <v>74</v>
      </c>
      <c r="Y616" s="1" t="s">
        <v>74</v>
      </c>
      <c r="Z616" s="1" t="s">
        <v>74</v>
      </c>
      <c r="AA616" s="1" t="s">
        <v>6298</v>
      </c>
      <c r="AB616" s="1" t="s">
        <v>6299</v>
      </c>
      <c r="AC616" s="1" t="s">
        <v>74</v>
      </c>
      <c r="AD616" s="1" t="s">
        <v>74</v>
      </c>
      <c r="AE616" s="1" t="s">
        <v>74</v>
      </c>
      <c r="AF616" s="1" t="s">
        <v>74</v>
      </c>
      <c r="AG616" s="1" t="s">
        <v>74</v>
      </c>
      <c r="AH616" s="1" t="s">
        <v>74</v>
      </c>
      <c r="AI616" s="1" t="s">
        <v>74</v>
      </c>
      <c r="AJ616" s="1" t="s">
        <v>74</v>
      </c>
      <c r="AK616" s="1" t="s">
        <v>74</v>
      </c>
      <c r="AL616" s="1" t="s">
        <v>74</v>
      </c>
      <c r="AM616" s="1" t="s">
        <v>74</v>
      </c>
      <c r="AN616" s="1" t="s">
        <v>74</v>
      </c>
      <c r="AO616" s="1" t="s">
        <v>358</v>
      </c>
      <c r="AP616" s="1" t="s">
        <v>359</v>
      </c>
      <c r="AQ616" s="1" t="s">
        <v>74</v>
      </c>
      <c r="AR616" s="1" t="s">
        <v>74</v>
      </c>
      <c r="AS616" s="1" t="s">
        <v>74</v>
      </c>
      <c r="AT616" s="1" t="s">
        <v>1332</v>
      </c>
      <c r="AU616" s="1">
        <v>2018.0</v>
      </c>
      <c r="AV616" s="1">
        <v>290.0</v>
      </c>
      <c r="AW616" s="1" t="s">
        <v>74</v>
      </c>
      <c r="AX616" s="1" t="s">
        <v>74</v>
      </c>
      <c r="AY616" s="1" t="s">
        <v>74</v>
      </c>
      <c r="AZ616" s="1" t="s">
        <v>74</v>
      </c>
      <c r="BA616" s="1" t="s">
        <v>74</v>
      </c>
      <c r="BB616" s="1">
        <v>556.0</v>
      </c>
      <c r="BC616" s="1">
        <v>567.0</v>
      </c>
      <c r="BD616" s="1" t="s">
        <v>74</v>
      </c>
      <c r="BE616" s="1" t="s">
        <v>6300</v>
      </c>
      <c r="BF616" s="2" t="str">
        <f>HYPERLINK("http://dx.doi.org/10.1016/j.electacta.2018.09.090","http://dx.doi.org/10.1016/j.electacta.2018.09.090")</f>
        <v>http://dx.doi.org/10.1016/j.electacta.2018.09.090</v>
      </c>
      <c r="BG616" s="1" t="s">
        <v>74</v>
      </c>
      <c r="BH616" s="1" t="s">
        <v>74</v>
      </c>
      <c r="BI616" s="1" t="s">
        <v>74</v>
      </c>
      <c r="BJ616" s="1" t="s">
        <v>74</v>
      </c>
      <c r="BK616" s="1" t="s">
        <v>74</v>
      </c>
      <c r="BL616" s="1" t="s">
        <v>74</v>
      </c>
      <c r="BM616" s="1" t="s">
        <v>74</v>
      </c>
      <c r="BN616" s="1" t="s">
        <v>74</v>
      </c>
      <c r="BO616" s="1" t="s">
        <v>74</v>
      </c>
      <c r="BP616" s="1" t="s">
        <v>74</v>
      </c>
      <c r="BQ616" s="1" t="s">
        <v>74</v>
      </c>
      <c r="BR616" s="1" t="s">
        <v>74</v>
      </c>
      <c r="BS616" s="1" t="s">
        <v>6301</v>
      </c>
      <c r="BT616" s="1" t="str">
        <f>HYPERLINK("https%3A%2F%2Fwww.webofscience.com%2Fwos%2Fwoscc%2Ffull-record%2FWOS:000447008700058","View Full Record in Web of Science")</f>
        <v>View Full Record in Web of Science</v>
      </c>
    </row>
    <row r="617" ht="12.75" customHeight="1">
      <c r="A617" s="1" t="s">
        <v>72</v>
      </c>
      <c r="B617" s="1" t="s">
        <v>6302</v>
      </c>
      <c r="C617" s="1" t="s">
        <v>74</v>
      </c>
      <c r="D617" s="1" t="s">
        <v>74</v>
      </c>
      <c r="E617" s="1" t="s">
        <v>74</v>
      </c>
      <c r="F617" s="1" t="s">
        <v>6303</v>
      </c>
      <c r="G617" s="1" t="s">
        <v>74</v>
      </c>
      <c r="H617" s="1" t="s">
        <v>74</v>
      </c>
      <c r="I617" s="1" t="s">
        <v>6304</v>
      </c>
      <c r="J617" s="1" t="s">
        <v>6305</v>
      </c>
      <c r="K617" s="1" t="s">
        <v>74</v>
      </c>
      <c r="L617" s="1" t="s">
        <v>74</v>
      </c>
      <c r="M617" s="1" t="s">
        <v>74</v>
      </c>
      <c r="N617" s="1" t="s">
        <v>74</v>
      </c>
      <c r="O617" s="1" t="s">
        <v>74</v>
      </c>
      <c r="P617" s="1" t="s">
        <v>74</v>
      </c>
      <c r="Q617" s="1" t="s">
        <v>74</v>
      </c>
      <c r="R617" s="1" t="s">
        <v>74</v>
      </c>
      <c r="S617" s="1" t="s">
        <v>74</v>
      </c>
      <c r="T617" s="1" t="s">
        <v>74</v>
      </c>
      <c r="U617" s="1" t="s">
        <v>74</v>
      </c>
      <c r="V617" s="1" t="s">
        <v>6306</v>
      </c>
      <c r="W617" s="1" t="s">
        <v>74</v>
      </c>
      <c r="X617" s="1" t="s">
        <v>74</v>
      </c>
      <c r="Y617" s="1" t="s">
        <v>74</v>
      </c>
      <c r="Z617" s="1" t="s">
        <v>74</v>
      </c>
      <c r="AA617" s="1" t="s">
        <v>6307</v>
      </c>
      <c r="AB617" s="1" t="s">
        <v>6308</v>
      </c>
      <c r="AC617" s="1" t="s">
        <v>74</v>
      </c>
      <c r="AD617" s="1" t="s">
        <v>74</v>
      </c>
      <c r="AE617" s="1" t="s">
        <v>74</v>
      </c>
      <c r="AF617" s="1" t="s">
        <v>74</v>
      </c>
      <c r="AG617" s="1" t="s">
        <v>74</v>
      </c>
      <c r="AH617" s="1" t="s">
        <v>74</v>
      </c>
      <c r="AI617" s="1" t="s">
        <v>74</v>
      </c>
      <c r="AJ617" s="1" t="s">
        <v>74</v>
      </c>
      <c r="AK617" s="1" t="s">
        <v>74</v>
      </c>
      <c r="AL617" s="1" t="s">
        <v>74</v>
      </c>
      <c r="AM617" s="1" t="s">
        <v>74</v>
      </c>
      <c r="AN617" s="1" t="s">
        <v>74</v>
      </c>
      <c r="AO617" s="1" t="s">
        <v>6309</v>
      </c>
      <c r="AP617" s="1" t="s">
        <v>6310</v>
      </c>
      <c r="AQ617" s="1" t="s">
        <v>74</v>
      </c>
      <c r="AR617" s="1" t="s">
        <v>74</v>
      </c>
      <c r="AS617" s="1" t="s">
        <v>74</v>
      </c>
      <c r="AT617" s="1" t="s">
        <v>6311</v>
      </c>
      <c r="AU617" s="1">
        <v>2018.0</v>
      </c>
      <c r="AV617" s="1">
        <v>57.0</v>
      </c>
      <c r="AW617" s="1">
        <v>12.0</v>
      </c>
      <c r="AX617" s="1" t="s">
        <v>74</v>
      </c>
      <c r="AY617" s="1" t="s">
        <v>74</v>
      </c>
      <c r="AZ617" s="1" t="s">
        <v>74</v>
      </c>
      <c r="BA617" s="1" t="s">
        <v>74</v>
      </c>
      <c r="BB617" s="1">
        <v>6957.0</v>
      </c>
      <c r="BC617" s="1">
        <v>6964.0</v>
      </c>
      <c r="BD617" s="1" t="s">
        <v>74</v>
      </c>
      <c r="BE617" s="1" t="s">
        <v>6312</v>
      </c>
      <c r="BF617" s="2" t="str">
        <f>HYPERLINK("http://dx.doi.org/10.1021/acs.inorgchem.8b00644","http://dx.doi.org/10.1021/acs.inorgchem.8b00644")</f>
        <v>http://dx.doi.org/10.1021/acs.inorgchem.8b00644</v>
      </c>
      <c r="BG617" s="1" t="s">
        <v>74</v>
      </c>
      <c r="BH617" s="1" t="s">
        <v>74</v>
      </c>
      <c r="BI617" s="1" t="s">
        <v>74</v>
      </c>
      <c r="BJ617" s="1" t="s">
        <v>74</v>
      </c>
      <c r="BK617" s="1" t="s">
        <v>74</v>
      </c>
      <c r="BL617" s="1" t="s">
        <v>74</v>
      </c>
      <c r="BM617" s="1" t="s">
        <v>74</v>
      </c>
      <c r="BN617" s="1">
        <v>2.9856618E7</v>
      </c>
      <c r="BO617" s="1" t="s">
        <v>74</v>
      </c>
      <c r="BP617" s="1" t="s">
        <v>74</v>
      </c>
      <c r="BQ617" s="1" t="s">
        <v>74</v>
      </c>
      <c r="BR617" s="1" t="s">
        <v>74</v>
      </c>
      <c r="BS617" s="1" t="s">
        <v>6313</v>
      </c>
      <c r="BT617" s="1" t="str">
        <f>HYPERLINK("https%3A%2F%2Fwww.webofscience.com%2Fwos%2Fwoscc%2Ffull-record%2FWOS:000436023800025","View Full Record in Web of Science")</f>
        <v>View Full Record in Web of Science</v>
      </c>
    </row>
    <row r="618" ht="12.75" customHeight="1">
      <c r="A618" s="1" t="s">
        <v>72</v>
      </c>
      <c r="B618" s="1" t="s">
        <v>6314</v>
      </c>
      <c r="C618" s="1" t="s">
        <v>74</v>
      </c>
      <c r="D618" s="1" t="s">
        <v>74</v>
      </c>
      <c r="E618" s="1" t="s">
        <v>74</v>
      </c>
      <c r="F618" s="1" t="s">
        <v>6315</v>
      </c>
      <c r="G618" s="1" t="s">
        <v>74</v>
      </c>
      <c r="H618" s="1" t="s">
        <v>74</v>
      </c>
      <c r="I618" s="1" t="s">
        <v>6316</v>
      </c>
      <c r="J618" s="1" t="s">
        <v>6317</v>
      </c>
      <c r="K618" s="1" t="s">
        <v>74</v>
      </c>
      <c r="L618" s="1" t="s">
        <v>74</v>
      </c>
      <c r="M618" s="1" t="s">
        <v>74</v>
      </c>
      <c r="N618" s="1" t="s">
        <v>74</v>
      </c>
      <c r="O618" s="1" t="s">
        <v>74</v>
      </c>
      <c r="P618" s="1" t="s">
        <v>74</v>
      </c>
      <c r="Q618" s="1" t="s">
        <v>74</v>
      </c>
      <c r="R618" s="1" t="s">
        <v>74</v>
      </c>
      <c r="S618" s="1" t="s">
        <v>74</v>
      </c>
      <c r="T618" s="1" t="s">
        <v>74</v>
      </c>
      <c r="U618" s="1" t="s">
        <v>74</v>
      </c>
      <c r="V618" s="1" t="s">
        <v>6318</v>
      </c>
      <c r="W618" s="1" t="s">
        <v>74</v>
      </c>
      <c r="X618" s="1" t="s">
        <v>74</v>
      </c>
      <c r="Y618" s="1" t="s">
        <v>74</v>
      </c>
      <c r="Z618" s="1" t="s">
        <v>74</v>
      </c>
      <c r="AA618" s="1" t="s">
        <v>6319</v>
      </c>
      <c r="AB618" s="1" t="s">
        <v>6320</v>
      </c>
      <c r="AC618" s="1" t="s">
        <v>74</v>
      </c>
      <c r="AD618" s="1" t="s">
        <v>74</v>
      </c>
      <c r="AE618" s="1" t="s">
        <v>74</v>
      </c>
      <c r="AF618" s="1" t="s">
        <v>74</v>
      </c>
      <c r="AG618" s="1" t="s">
        <v>74</v>
      </c>
      <c r="AH618" s="1" t="s">
        <v>74</v>
      </c>
      <c r="AI618" s="1" t="s">
        <v>74</v>
      </c>
      <c r="AJ618" s="1" t="s">
        <v>74</v>
      </c>
      <c r="AK618" s="1" t="s">
        <v>74</v>
      </c>
      <c r="AL618" s="1" t="s">
        <v>74</v>
      </c>
      <c r="AM618" s="1" t="s">
        <v>74</v>
      </c>
      <c r="AN618" s="1" t="s">
        <v>74</v>
      </c>
      <c r="AO618" s="1" t="s">
        <v>6321</v>
      </c>
      <c r="AP618" s="1" t="s">
        <v>6322</v>
      </c>
      <c r="AQ618" s="1" t="s">
        <v>74</v>
      </c>
      <c r="AR618" s="1" t="s">
        <v>74</v>
      </c>
      <c r="AS618" s="1" t="s">
        <v>74</v>
      </c>
      <c r="AT618" s="1" t="s">
        <v>6323</v>
      </c>
      <c r="AU618" s="1">
        <v>2018.0</v>
      </c>
      <c r="AV618" s="1">
        <v>100.0</v>
      </c>
      <c r="AW618" s="1" t="s">
        <v>74</v>
      </c>
      <c r="AX618" s="1" t="s">
        <v>74</v>
      </c>
      <c r="AY618" s="1" t="s">
        <v>74</v>
      </c>
      <c r="AZ618" s="1" t="s">
        <v>74</v>
      </c>
      <c r="BA618" s="1" t="s">
        <v>74</v>
      </c>
      <c r="BB618" s="1">
        <v>30.0</v>
      </c>
      <c r="BC618" s="1">
        <v>40.0</v>
      </c>
      <c r="BD618" s="1" t="s">
        <v>74</v>
      </c>
      <c r="BE618" s="1" t="s">
        <v>6324</v>
      </c>
      <c r="BF618" s="2" t="str">
        <f>HYPERLINK("http://dx.doi.org/10.1016/j.eswa.2018.01.031","http://dx.doi.org/10.1016/j.eswa.2018.01.031")</f>
        <v>http://dx.doi.org/10.1016/j.eswa.2018.01.031</v>
      </c>
      <c r="BG618" s="1" t="s">
        <v>74</v>
      </c>
      <c r="BH618" s="1" t="s">
        <v>74</v>
      </c>
      <c r="BI618" s="1" t="s">
        <v>74</v>
      </c>
      <c r="BJ618" s="1" t="s">
        <v>74</v>
      </c>
      <c r="BK618" s="1" t="s">
        <v>74</v>
      </c>
      <c r="BL618" s="1" t="s">
        <v>74</v>
      </c>
      <c r="BM618" s="1" t="s">
        <v>74</v>
      </c>
      <c r="BN618" s="1" t="s">
        <v>74</v>
      </c>
      <c r="BO618" s="1" t="s">
        <v>74</v>
      </c>
      <c r="BP618" s="1" t="s">
        <v>74</v>
      </c>
      <c r="BQ618" s="1" t="s">
        <v>74</v>
      </c>
      <c r="BR618" s="1" t="s">
        <v>74</v>
      </c>
      <c r="BS618" s="1" t="s">
        <v>6325</v>
      </c>
      <c r="BT618" s="1" t="str">
        <f>HYPERLINK("https%3A%2F%2Fwww.webofscience.com%2Fwos%2Fwoscc%2Ffull-record%2FWOS:000427665100003","View Full Record in Web of Science")</f>
        <v>View Full Record in Web of Science</v>
      </c>
    </row>
    <row r="619" ht="12.75" customHeight="1">
      <c r="A619" s="1" t="s">
        <v>72</v>
      </c>
      <c r="B619" s="1" t="s">
        <v>6326</v>
      </c>
      <c r="C619" s="1" t="s">
        <v>74</v>
      </c>
      <c r="D619" s="1" t="s">
        <v>74</v>
      </c>
      <c r="E619" s="1" t="s">
        <v>74</v>
      </c>
      <c r="F619" s="1" t="s">
        <v>6327</v>
      </c>
      <c r="G619" s="1" t="s">
        <v>74</v>
      </c>
      <c r="H619" s="1" t="s">
        <v>74</v>
      </c>
      <c r="I619" s="1" t="s">
        <v>6328</v>
      </c>
      <c r="J619" s="1" t="s">
        <v>6329</v>
      </c>
      <c r="K619" s="1" t="s">
        <v>74</v>
      </c>
      <c r="L619" s="1" t="s">
        <v>74</v>
      </c>
      <c r="M619" s="1" t="s">
        <v>74</v>
      </c>
      <c r="N619" s="1" t="s">
        <v>74</v>
      </c>
      <c r="O619" s="1" t="s">
        <v>74</v>
      </c>
      <c r="P619" s="1" t="s">
        <v>74</v>
      </c>
      <c r="Q619" s="1" t="s">
        <v>74</v>
      </c>
      <c r="R619" s="1" t="s">
        <v>74</v>
      </c>
      <c r="S619" s="1" t="s">
        <v>74</v>
      </c>
      <c r="T619" s="1" t="s">
        <v>74</v>
      </c>
      <c r="U619" s="1" t="s">
        <v>74</v>
      </c>
      <c r="V619" s="1" t="s">
        <v>74</v>
      </c>
      <c r="W619" s="1" t="s">
        <v>74</v>
      </c>
      <c r="X619" s="1" t="s">
        <v>74</v>
      </c>
      <c r="Y619" s="1" t="s">
        <v>74</v>
      </c>
      <c r="Z619" s="1" t="s">
        <v>74</v>
      </c>
      <c r="AA619" s="1" t="s">
        <v>6330</v>
      </c>
      <c r="AB619" s="1" t="s">
        <v>74</v>
      </c>
      <c r="AC619" s="1" t="s">
        <v>74</v>
      </c>
      <c r="AD619" s="1" t="s">
        <v>74</v>
      </c>
      <c r="AE619" s="1" t="s">
        <v>74</v>
      </c>
      <c r="AF619" s="1" t="s">
        <v>74</v>
      </c>
      <c r="AG619" s="1" t="s">
        <v>74</v>
      </c>
      <c r="AH619" s="1" t="s">
        <v>74</v>
      </c>
      <c r="AI619" s="1" t="s">
        <v>74</v>
      </c>
      <c r="AJ619" s="1" t="s">
        <v>74</v>
      </c>
      <c r="AK619" s="1" t="s">
        <v>74</v>
      </c>
      <c r="AL619" s="1" t="s">
        <v>74</v>
      </c>
      <c r="AM619" s="1" t="s">
        <v>74</v>
      </c>
      <c r="AN619" s="1" t="s">
        <v>74</v>
      </c>
      <c r="AO619" s="1" t="s">
        <v>6331</v>
      </c>
      <c r="AP619" s="1" t="s">
        <v>74</v>
      </c>
      <c r="AQ619" s="1" t="s">
        <v>74</v>
      </c>
      <c r="AR619" s="1" t="s">
        <v>74</v>
      </c>
      <c r="AS619" s="1" t="s">
        <v>74</v>
      </c>
      <c r="AT619" s="1" t="s">
        <v>939</v>
      </c>
      <c r="AU619" s="1">
        <v>2018.0</v>
      </c>
      <c r="AV619" s="1">
        <v>9.0</v>
      </c>
      <c r="AW619" s="1" t="s">
        <v>74</v>
      </c>
      <c r="AX619" s="1" t="s">
        <v>74</v>
      </c>
      <c r="AY619" s="1" t="s">
        <v>74</v>
      </c>
      <c r="AZ619" s="1" t="s">
        <v>74</v>
      </c>
      <c r="BA619" s="1" t="s">
        <v>74</v>
      </c>
      <c r="BB619" s="1" t="s">
        <v>6332</v>
      </c>
      <c r="BC619" s="1" t="s">
        <v>6333</v>
      </c>
      <c r="BD619" s="1" t="s">
        <v>74</v>
      </c>
      <c r="BE619" s="1" t="s">
        <v>6334</v>
      </c>
      <c r="BF619" s="2" t="str">
        <f>HYPERLINK("http://dx.doi.org/10.1016/j.coelec.2018.06.008","http://dx.doi.org/10.1016/j.coelec.2018.06.008")</f>
        <v>http://dx.doi.org/10.1016/j.coelec.2018.06.008</v>
      </c>
      <c r="BG619" s="1" t="s">
        <v>74</v>
      </c>
      <c r="BH619" s="1" t="s">
        <v>74</v>
      </c>
      <c r="BI619" s="1" t="s">
        <v>74</v>
      </c>
      <c r="BJ619" s="1" t="s">
        <v>74</v>
      </c>
      <c r="BK619" s="1" t="s">
        <v>74</v>
      </c>
      <c r="BL619" s="1" t="s">
        <v>74</v>
      </c>
      <c r="BM619" s="1" t="s">
        <v>74</v>
      </c>
      <c r="BN619" s="1" t="s">
        <v>74</v>
      </c>
      <c r="BO619" s="1" t="s">
        <v>74</v>
      </c>
      <c r="BP619" s="1" t="s">
        <v>74</v>
      </c>
      <c r="BQ619" s="1" t="s">
        <v>74</v>
      </c>
      <c r="BR619" s="1" t="s">
        <v>74</v>
      </c>
      <c r="BS619" s="1" t="s">
        <v>6335</v>
      </c>
      <c r="BT619" s="1" t="str">
        <f>HYPERLINK("https%3A%2F%2Fwww.webofscience.com%2Fwos%2Fwoscc%2Ffull-record%2FWOS:000442798800002","View Full Record in Web of Science")</f>
        <v>View Full Record in Web of Science</v>
      </c>
    </row>
    <row r="620" ht="12.75" customHeight="1">
      <c r="A620" s="1" t="s">
        <v>72</v>
      </c>
      <c r="B620" s="1" t="s">
        <v>6336</v>
      </c>
      <c r="C620" s="1" t="s">
        <v>74</v>
      </c>
      <c r="D620" s="1" t="s">
        <v>74</v>
      </c>
      <c r="E620" s="1" t="s">
        <v>74</v>
      </c>
      <c r="F620" s="1" t="s">
        <v>6337</v>
      </c>
      <c r="G620" s="1" t="s">
        <v>74</v>
      </c>
      <c r="H620" s="1" t="s">
        <v>74</v>
      </c>
      <c r="I620" s="1" t="s">
        <v>6338</v>
      </c>
      <c r="J620" s="1" t="s">
        <v>6339</v>
      </c>
      <c r="K620" s="1" t="s">
        <v>74</v>
      </c>
      <c r="L620" s="1" t="s">
        <v>74</v>
      </c>
      <c r="M620" s="1" t="s">
        <v>74</v>
      </c>
      <c r="N620" s="1" t="s">
        <v>74</v>
      </c>
      <c r="O620" s="1" t="s">
        <v>6340</v>
      </c>
      <c r="P620" s="1" t="s">
        <v>6341</v>
      </c>
      <c r="Q620" s="1" t="s">
        <v>6342</v>
      </c>
      <c r="R620" s="1" t="s">
        <v>6343</v>
      </c>
      <c r="S620" s="1" t="s">
        <v>74</v>
      </c>
      <c r="T620" s="1" t="s">
        <v>74</v>
      </c>
      <c r="U620" s="1" t="s">
        <v>74</v>
      </c>
      <c r="V620" s="1" t="s">
        <v>74</v>
      </c>
      <c r="W620" s="1" t="s">
        <v>74</v>
      </c>
      <c r="X620" s="1" t="s">
        <v>74</v>
      </c>
      <c r="Y620" s="1" t="s">
        <v>74</v>
      </c>
      <c r="Z620" s="1" t="s">
        <v>74</v>
      </c>
      <c r="AA620" s="1" t="s">
        <v>6344</v>
      </c>
      <c r="AB620" s="1" t="s">
        <v>802</v>
      </c>
      <c r="AC620" s="1" t="s">
        <v>74</v>
      </c>
      <c r="AD620" s="1" t="s">
        <v>74</v>
      </c>
      <c r="AE620" s="1" t="s">
        <v>74</v>
      </c>
      <c r="AF620" s="1" t="s">
        <v>74</v>
      </c>
      <c r="AG620" s="1" t="s">
        <v>74</v>
      </c>
      <c r="AH620" s="1" t="s">
        <v>74</v>
      </c>
      <c r="AI620" s="1" t="s">
        <v>74</v>
      </c>
      <c r="AJ620" s="1" t="s">
        <v>74</v>
      </c>
      <c r="AK620" s="1" t="s">
        <v>74</v>
      </c>
      <c r="AL620" s="1" t="s">
        <v>74</v>
      </c>
      <c r="AM620" s="1" t="s">
        <v>74</v>
      </c>
      <c r="AN620" s="1" t="s">
        <v>74</v>
      </c>
      <c r="AO620" s="1" t="s">
        <v>6345</v>
      </c>
      <c r="AP620" s="1" t="s">
        <v>6346</v>
      </c>
      <c r="AQ620" s="1" t="s">
        <v>74</v>
      </c>
      <c r="AR620" s="1" t="s">
        <v>74</v>
      </c>
      <c r="AS620" s="1" t="s">
        <v>74</v>
      </c>
      <c r="AT620" s="1" t="s">
        <v>485</v>
      </c>
      <c r="AU620" s="1">
        <v>2018.0</v>
      </c>
      <c r="AV620" s="1">
        <v>50.0</v>
      </c>
      <c r="AW620" s="1">
        <v>5.0</v>
      </c>
      <c r="AX620" s="1" t="s">
        <v>74</v>
      </c>
      <c r="AY620" s="1">
        <v>1.0</v>
      </c>
      <c r="AZ620" s="1" t="s">
        <v>74</v>
      </c>
      <c r="BA620" s="1">
        <v>414.0</v>
      </c>
      <c r="BB620" s="1">
        <v>94.0</v>
      </c>
      <c r="BC620" s="1">
        <v>94.0</v>
      </c>
      <c r="BD620" s="1" t="s">
        <v>74</v>
      </c>
      <c r="BE620" s="1" t="s">
        <v>74</v>
      </c>
      <c r="BF620" s="1" t="s">
        <v>74</v>
      </c>
      <c r="BG620" s="1" t="s">
        <v>74</v>
      </c>
      <c r="BH620" s="1" t="s">
        <v>74</v>
      </c>
      <c r="BI620" s="1" t="s">
        <v>74</v>
      </c>
      <c r="BJ620" s="1" t="s">
        <v>74</v>
      </c>
      <c r="BK620" s="1" t="s">
        <v>74</v>
      </c>
      <c r="BL620" s="1" t="s">
        <v>74</v>
      </c>
      <c r="BM620" s="1" t="s">
        <v>74</v>
      </c>
      <c r="BN620" s="1" t="s">
        <v>74</v>
      </c>
      <c r="BO620" s="1" t="s">
        <v>74</v>
      </c>
      <c r="BP620" s="1" t="s">
        <v>74</v>
      </c>
      <c r="BQ620" s="1" t="s">
        <v>74</v>
      </c>
      <c r="BR620" s="1" t="s">
        <v>74</v>
      </c>
      <c r="BS620" s="1" t="s">
        <v>6347</v>
      </c>
      <c r="BT620" s="1" t="str">
        <f>HYPERLINK("https%3A%2F%2Fwww.webofscience.com%2Fwos%2Fwoscc%2Ffull-record%2FWOS:000456870500302","View Full Record in Web of Science")</f>
        <v>View Full Record in Web of Science</v>
      </c>
    </row>
    <row r="621" ht="12.75" customHeight="1">
      <c r="A621" s="1" t="s">
        <v>86</v>
      </c>
      <c r="B621" s="1" t="s">
        <v>6348</v>
      </c>
      <c r="C621" s="1" t="s">
        <v>74</v>
      </c>
      <c r="D621" s="1" t="s">
        <v>6349</v>
      </c>
      <c r="E621" s="1" t="s">
        <v>74</v>
      </c>
      <c r="F621" s="1" t="s">
        <v>6350</v>
      </c>
      <c r="G621" s="1" t="s">
        <v>74</v>
      </c>
      <c r="H621" s="1" t="s">
        <v>74</v>
      </c>
      <c r="I621" s="1" t="s">
        <v>6351</v>
      </c>
      <c r="J621" s="1" t="s">
        <v>6352</v>
      </c>
      <c r="K621" s="1" t="s">
        <v>1222</v>
      </c>
      <c r="L621" s="1" t="s">
        <v>74</v>
      </c>
      <c r="M621" s="1" t="s">
        <v>74</v>
      </c>
      <c r="N621" s="1" t="s">
        <v>74</v>
      </c>
      <c r="O621" s="1" t="s">
        <v>6353</v>
      </c>
      <c r="P621" s="1" t="s">
        <v>6354</v>
      </c>
      <c r="Q621" s="1" t="s">
        <v>6355</v>
      </c>
      <c r="R621" s="1" t="s">
        <v>6356</v>
      </c>
      <c r="S621" s="1" t="s">
        <v>74</v>
      </c>
      <c r="T621" s="1" t="s">
        <v>74</v>
      </c>
      <c r="U621" s="1" t="s">
        <v>74</v>
      </c>
      <c r="V621" s="1" t="s">
        <v>6357</v>
      </c>
      <c r="W621" s="1" t="s">
        <v>74</v>
      </c>
      <c r="X621" s="1" t="s">
        <v>74</v>
      </c>
      <c r="Y621" s="1" t="s">
        <v>74</v>
      </c>
      <c r="Z621" s="1" t="s">
        <v>74</v>
      </c>
      <c r="AA621" s="1" t="s">
        <v>6358</v>
      </c>
      <c r="AB621" s="1" t="s">
        <v>6359</v>
      </c>
      <c r="AC621" s="1" t="s">
        <v>74</v>
      </c>
      <c r="AD621" s="1" t="s">
        <v>74</v>
      </c>
      <c r="AE621" s="1" t="s">
        <v>74</v>
      </c>
      <c r="AF621" s="1" t="s">
        <v>74</v>
      </c>
      <c r="AG621" s="1" t="s">
        <v>74</v>
      </c>
      <c r="AH621" s="1" t="s">
        <v>74</v>
      </c>
      <c r="AI621" s="1" t="s">
        <v>74</v>
      </c>
      <c r="AJ621" s="1" t="s">
        <v>74</v>
      </c>
      <c r="AK621" s="1" t="s">
        <v>74</v>
      </c>
      <c r="AL621" s="1" t="s">
        <v>74</v>
      </c>
      <c r="AM621" s="1" t="s">
        <v>74</v>
      </c>
      <c r="AN621" s="1" t="s">
        <v>74</v>
      </c>
      <c r="AO621" s="1" t="s">
        <v>1230</v>
      </c>
      <c r="AP621" s="1" t="s">
        <v>1231</v>
      </c>
      <c r="AQ621" s="1" t="s">
        <v>6360</v>
      </c>
      <c r="AR621" s="1" t="s">
        <v>74</v>
      </c>
      <c r="AS621" s="1" t="s">
        <v>74</v>
      </c>
      <c r="AT621" s="1" t="s">
        <v>74</v>
      </c>
      <c r="AU621" s="1">
        <v>2018.0</v>
      </c>
      <c r="AV621" s="1">
        <v>10734.0</v>
      </c>
      <c r="AW621" s="1" t="s">
        <v>74</v>
      </c>
      <c r="AX621" s="1" t="s">
        <v>74</v>
      </c>
      <c r="AY621" s="1" t="s">
        <v>74</v>
      </c>
      <c r="AZ621" s="1" t="s">
        <v>74</v>
      </c>
      <c r="BA621" s="1" t="s">
        <v>74</v>
      </c>
      <c r="BB621" s="1" t="s">
        <v>74</v>
      </c>
      <c r="BC621" s="1" t="s">
        <v>74</v>
      </c>
      <c r="BD621" s="1">
        <v>1073403.0</v>
      </c>
      <c r="BE621" s="1" t="s">
        <v>6361</v>
      </c>
      <c r="BF621" s="2" t="str">
        <f>HYPERLINK("http://dx.doi.org/10.1117/12.2319764","http://dx.doi.org/10.1117/12.2319764")</f>
        <v>http://dx.doi.org/10.1117/12.2319764</v>
      </c>
      <c r="BG621" s="1" t="s">
        <v>74</v>
      </c>
      <c r="BH621" s="1" t="s">
        <v>74</v>
      </c>
      <c r="BI621" s="1" t="s">
        <v>74</v>
      </c>
      <c r="BJ621" s="1" t="s">
        <v>74</v>
      </c>
      <c r="BK621" s="1" t="s">
        <v>74</v>
      </c>
      <c r="BL621" s="1" t="s">
        <v>74</v>
      </c>
      <c r="BM621" s="1" t="s">
        <v>74</v>
      </c>
      <c r="BN621" s="1" t="s">
        <v>74</v>
      </c>
      <c r="BO621" s="1" t="s">
        <v>74</v>
      </c>
      <c r="BP621" s="1" t="s">
        <v>74</v>
      </c>
      <c r="BQ621" s="1" t="s">
        <v>74</v>
      </c>
      <c r="BR621" s="1" t="s">
        <v>74</v>
      </c>
      <c r="BS621" s="1" t="s">
        <v>6362</v>
      </c>
      <c r="BT621" s="1" t="str">
        <f>HYPERLINK("https%3A%2F%2Fwww.webofscience.com%2Fwos%2Fwoscc%2Ffull-record%2FWOS:000451763700001","View Full Record in Web of Science")</f>
        <v>View Full Record in Web of Science</v>
      </c>
    </row>
    <row r="622" ht="12.75" customHeight="1">
      <c r="A622" s="1" t="s">
        <v>86</v>
      </c>
      <c r="B622" s="1" t="s">
        <v>6363</v>
      </c>
      <c r="C622" s="1" t="s">
        <v>74</v>
      </c>
      <c r="D622" s="1" t="s">
        <v>74</v>
      </c>
      <c r="E622" s="1" t="s">
        <v>248</v>
      </c>
      <c r="F622" s="1" t="s">
        <v>6364</v>
      </c>
      <c r="G622" s="1" t="s">
        <v>74</v>
      </c>
      <c r="H622" s="1" t="s">
        <v>74</v>
      </c>
      <c r="I622" s="1" t="s">
        <v>6365</v>
      </c>
      <c r="J622" s="1" t="s">
        <v>6366</v>
      </c>
      <c r="K622" s="1" t="s">
        <v>74</v>
      </c>
      <c r="L622" s="1" t="s">
        <v>74</v>
      </c>
      <c r="M622" s="1" t="s">
        <v>74</v>
      </c>
      <c r="N622" s="1" t="s">
        <v>74</v>
      </c>
      <c r="O622" s="1" t="s">
        <v>6367</v>
      </c>
      <c r="P622" s="1" t="s">
        <v>6368</v>
      </c>
      <c r="Q622" s="1" t="s">
        <v>6369</v>
      </c>
      <c r="R622" s="1" t="s">
        <v>248</v>
      </c>
      <c r="S622" s="1" t="s">
        <v>74</v>
      </c>
      <c r="T622" s="1" t="s">
        <v>74</v>
      </c>
      <c r="U622" s="1" t="s">
        <v>74</v>
      </c>
      <c r="V622" s="1" t="s">
        <v>6370</v>
      </c>
      <c r="W622" s="1" t="s">
        <v>74</v>
      </c>
      <c r="X622" s="1" t="s">
        <v>74</v>
      </c>
      <c r="Y622" s="1" t="s">
        <v>74</v>
      </c>
      <c r="Z622" s="1" t="s">
        <v>74</v>
      </c>
      <c r="AA622" s="1" t="s">
        <v>6371</v>
      </c>
      <c r="AB622" s="1" t="s">
        <v>6372</v>
      </c>
      <c r="AC622" s="1" t="s">
        <v>74</v>
      </c>
      <c r="AD622" s="1" t="s">
        <v>74</v>
      </c>
      <c r="AE622" s="1" t="s">
        <v>74</v>
      </c>
      <c r="AF622" s="1" t="s">
        <v>74</v>
      </c>
      <c r="AG622" s="1" t="s">
        <v>74</v>
      </c>
      <c r="AH622" s="1" t="s">
        <v>74</v>
      </c>
      <c r="AI622" s="1" t="s">
        <v>74</v>
      </c>
      <c r="AJ622" s="1" t="s">
        <v>74</v>
      </c>
      <c r="AK622" s="1" t="s">
        <v>74</v>
      </c>
      <c r="AL622" s="1" t="s">
        <v>74</v>
      </c>
      <c r="AM622" s="1" t="s">
        <v>74</v>
      </c>
      <c r="AN622" s="1" t="s">
        <v>74</v>
      </c>
      <c r="AO622" s="1" t="s">
        <v>74</v>
      </c>
      <c r="AP622" s="1" t="s">
        <v>74</v>
      </c>
      <c r="AQ622" s="1" t="s">
        <v>6373</v>
      </c>
      <c r="AR622" s="1" t="s">
        <v>74</v>
      </c>
      <c r="AS622" s="1" t="s">
        <v>74</v>
      </c>
      <c r="AT622" s="1" t="s">
        <v>74</v>
      </c>
      <c r="AU622" s="1">
        <v>2018.0</v>
      </c>
      <c r="AV622" s="1" t="s">
        <v>74</v>
      </c>
      <c r="AW622" s="1" t="s">
        <v>74</v>
      </c>
      <c r="AX622" s="1" t="s">
        <v>74</v>
      </c>
      <c r="AY622" s="1" t="s">
        <v>74</v>
      </c>
      <c r="AZ622" s="1" t="s">
        <v>74</v>
      </c>
      <c r="BA622" s="1" t="s">
        <v>74</v>
      </c>
      <c r="BB622" s="1">
        <v>275.0</v>
      </c>
      <c r="BC622" s="1">
        <v>278.0</v>
      </c>
      <c r="BD622" s="1" t="s">
        <v>74</v>
      </c>
      <c r="BE622" s="1" t="s">
        <v>74</v>
      </c>
      <c r="BF622" s="1" t="s">
        <v>74</v>
      </c>
      <c r="BG622" s="1" t="s">
        <v>74</v>
      </c>
      <c r="BH622" s="1" t="s">
        <v>74</v>
      </c>
      <c r="BI622" s="1" t="s">
        <v>74</v>
      </c>
      <c r="BJ622" s="1" t="s">
        <v>74</v>
      </c>
      <c r="BK622" s="1" t="s">
        <v>74</v>
      </c>
      <c r="BL622" s="1" t="s">
        <v>74</v>
      </c>
      <c r="BM622" s="1" t="s">
        <v>74</v>
      </c>
      <c r="BN622" s="1" t="s">
        <v>74</v>
      </c>
      <c r="BO622" s="1" t="s">
        <v>74</v>
      </c>
      <c r="BP622" s="1" t="s">
        <v>74</v>
      </c>
      <c r="BQ622" s="1" t="s">
        <v>74</v>
      </c>
      <c r="BR622" s="1" t="s">
        <v>74</v>
      </c>
      <c r="BS622" s="1" t="s">
        <v>6374</v>
      </c>
      <c r="BT622" s="1" t="str">
        <f>HYPERLINK("https%3A%2F%2Fwww.webofscience.com%2Fwos%2Fwoscc%2Ffull-record%2FWOS:000588554200051","View Full Record in Web of Science")</f>
        <v>View Full Record in Web of Science</v>
      </c>
    </row>
    <row r="623" ht="12.75" customHeight="1">
      <c r="A623" s="1" t="s">
        <v>72</v>
      </c>
      <c r="B623" s="1" t="s">
        <v>6375</v>
      </c>
      <c r="C623" s="1" t="s">
        <v>74</v>
      </c>
      <c r="D623" s="1" t="s">
        <v>74</v>
      </c>
      <c r="E623" s="1" t="s">
        <v>74</v>
      </c>
      <c r="F623" s="1" t="s">
        <v>6376</v>
      </c>
      <c r="G623" s="1" t="s">
        <v>74</v>
      </c>
      <c r="H623" s="1" t="s">
        <v>74</v>
      </c>
      <c r="I623" s="1" t="s">
        <v>6377</v>
      </c>
      <c r="J623" s="1" t="s">
        <v>6378</v>
      </c>
      <c r="K623" s="1" t="s">
        <v>74</v>
      </c>
      <c r="L623" s="1" t="s">
        <v>74</v>
      </c>
      <c r="M623" s="1" t="s">
        <v>74</v>
      </c>
      <c r="N623" s="1" t="s">
        <v>74</v>
      </c>
      <c r="O623" s="1" t="s">
        <v>74</v>
      </c>
      <c r="P623" s="1" t="s">
        <v>74</v>
      </c>
      <c r="Q623" s="1" t="s">
        <v>74</v>
      </c>
      <c r="R623" s="1" t="s">
        <v>74</v>
      </c>
      <c r="S623" s="1" t="s">
        <v>74</v>
      </c>
      <c r="T623" s="1" t="s">
        <v>74</v>
      </c>
      <c r="U623" s="1" t="s">
        <v>74</v>
      </c>
      <c r="V623" s="1" t="s">
        <v>6379</v>
      </c>
      <c r="W623" s="1" t="s">
        <v>74</v>
      </c>
      <c r="X623" s="1" t="s">
        <v>74</v>
      </c>
      <c r="Y623" s="1" t="s">
        <v>74</v>
      </c>
      <c r="Z623" s="1" t="s">
        <v>74</v>
      </c>
      <c r="AA623" s="1" t="s">
        <v>6380</v>
      </c>
      <c r="AB623" s="1" t="s">
        <v>6381</v>
      </c>
      <c r="AC623" s="1" t="s">
        <v>74</v>
      </c>
      <c r="AD623" s="1" t="s">
        <v>74</v>
      </c>
      <c r="AE623" s="1" t="s">
        <v>74</v>
      </c>
      <c r="AF623" s="1" t="s">
        <v>74</v>
      </c>
      <c r="AG623" s="1" t="s">
        <v>74</v>
      </c>
      <c r="AH623" s="1" t="s">
        <v>74</v>
      </c>
      <c r="AI623" s="1" t="s">
        <v>74</v>
      </c>
      <c r="AJ623" s="1" t="s">
        <v>74</v>
      </c>
      <c r="AK623" s="1" t="s">
        <v>74</v>
      </c>
      <c r="AL623" s="1" t="s">
        <v>74</v>
      </c>
      <c r="AM623" s="1" t="s">
        <v>74</v>
      </c>
      <c r="AN623" s="1" t="s">
        <v>74</v>
      </c>
      <c r="AO623" s="1" t="s">
        <v>6382</v>
      </c>
      <c r="AP623" s="1" t="s">
        <v>6383</v>
      </c>
      <c r="AQ623" s="1" t="s">
        <v>74</v>
      </c>
      <c r="AR623" s="1" t="s">
        <v>74</v>
      </c>
      <c r="AS623" s="1" t="s">
        <v>74</v>
      </c>
      <c r="AT623" s="1" t="s">
        <v>201</v>
      </c>
      <c r="AU623" s="1">
        <v>2017.0</v>
      </c>
      <c r="AV623" s="1">
        <v>71.0</v>
      </c>
      <c r="AW623" s="1" t="s">
        <v>74</v>
      </c>
      <c r="AX623" s="1" t="s">
        <v>74</v>
      </c>
      <c r="AY623" s="1" t="s">
        <v>74</v>
      </c>
      <c r="AZ623" s="1" t="s">
        <v>74</v>
      </c>
      <c r="BA623" s="1" t="s">
        <v>74</v>
      </c>
      <c r="BB623" s="1">
        <v>118.0</v>
      </c>
      <c r="BC623" s="1">
        <v>128.0</v>
      </c>
      <c r="BD623" s="1" t="s">
        <v>74</v>
      </c>
      <c r="BE623" s="1" t="s">
        <v>6384</v>
      </c>
      <c r="BF623" s="2" t="str">
        <f>HYPERLINK("http://dx.doi.org/10.1016/j.foodhyd.2017.05.004","http://dx.doi.org/10.1016/j.foodhyd.2017.05.004")</f>
        <v>http://dx.doi.org/10.1016/j.foodhyd.2017.05.004</v>
      </c>
      <c r="BG623" s="1" t="s">
        <v>74</v>
      </c>
      <c r="BH623" s="1" t="s">
        <v>74</v>
      </c>
      <c r="BI623" s="1" t="s">
        <v>74</v>
      </c>
      <c r="BJ623" s="1" t="s">
        <v>74</v>
      </c>
      <c r="BK623" s="1" t="s">
        <v>74</v>
      </c>
      <c r="BL623" s="1" t="s">
        <v>74</v>
      </c>
      <c r="BM623" s="1" t="s">
        <v>74</v>
      </c>
      <c r="BN623" s="1" t="s">
        <v>74</v>
      </c>
      <c r="BO623" s="1" t="s">
        <v>74</v>
      </c>
      <c r="BP623" s="1" t="s">
        <v>74</v>
      </c>
      <c r="BQ623" s="1" t="s">
        <v>74</v>
      </c>
      <c r="BR623" s="1" t="s">
        <v>74</v>
      </c>
      <c r="BS623" s="1" t="s">
        <v>6385</v>
      </c>
      <c r="BT623" s="1" t="str">
        <f>HYPERLINK("https%3A%2F%2Fwww.webofscience.com%2Fwos%2Fwoscc%2Ffull-record%2FWOS:000405058800014","View Full Record in Web of Science")</f>
        <v>View Full Record in Web of Science</v>
      </c>
    </row>
    <row r="624" ht="12.75" customHeight="1">
      <c r="A624" s="1" t="s">
        <v>72</v>
      </c>
      <c r="B624" s="1" t="s">
        <v>6386</v>
      </c>
      <c r="C624" s="1" t="s">
        <v>74</v>
      </c>
      <c r="D624" s="1" t="s">
        <v>74</v>
      </c>
      <c r="E624" s="1" t="s">
        <v>74</v>
      </c>
      <c r="F624" s="1" t="s">
        <v>6387</v>
      </c>
      <c r="G624" s="1" t="s">
        <v>74</v>
      </c>
      <c r="H624" s="1" t="s">
        <v>74</v>
      </c>
      <c r="I624" s="1" t="s">
        <v>6388</v>
      </c>
      <c r="J624" s="1" t="s">
        <v>6389</v>
      </c>
      <c r="K624" s="1" t="s">
        <v>74</v>
      </c>
      <c r="L624" s="1" t="s">
        <v>74</v>
      </c>
      <c r="M624" s="1" t="s">
        <v>74</v>
      </c>
      <c r="N624" s="1" t="s">
        <v>74</v>
      </c>
      <c r="O624" s="1" t="s">
        <v>74</v>
      </c>
      <c r="P624" s="1" t="s">
        <v>74</v>
      </c>
      <c r="Q624" s="1" t="s">
        <v>74</v>
      </c>
      <c r="R624" s="1" t="s">
        <v>74</v>
      </c>
      <c r="S624" s="1" t="s">
        <v>74</v>
      </c>
      <c r="T624" s="1" t="s">
        <v>74</v>
      </c>
      <c r="U624" s="1" t="s">
        <v>74</v>
      </c>
      <c r="V624" s="1" t="s">
        <v>6390</v>
      </c>
      <c r="W624" s="1" t="s">
        <v>74</v>
      </c>
      <c r="X624" s="1" t="s">
        <v>74</v>
      </c>
      <c r="Y624" s="1" t="s">
        <v>74</v>
      </c>
      <c r="Z624" s="1" t="s">
        <v>74</v>
      </c>
      <c r="AA624" s="1" t="s">
        <v>6391</v>
      </c>
      <c r="AB624" s="1" t="s">
        <v>6392</v>
      </c>
      <c r="AC624" s="1" t="s">
        <v>74</v>
      </c>
      <c r="AD624" s="1" t="s">
        <v>74</v>
      </c>
      <c r="AE624" s="1" t="s">
        <v>74</v>
      </c>
      <c r="AF624" s="1" t="s">
        <v>74</v>
      </c>
      <c r="AG624" s="1" t="s">
        <v>74</v>
      </c>
      <c r="AH624" s="1" t="s">
        <v>74</v>
      </c>
      <c r="AI624" s="1" t="s">
        <v>74</v>
      </c>
      <c r="AJ624" s="1" t="s">
        <v>74</v>
      </c>
      <c r="AK624" s="1" t="s">
        <v>74</v>
      </c>
      <c r="AL624" s="1" t="s">
        <v>74</v>
      </c>
      <c r="AM624" s="1" t="s">
        <v>74</v>
      </c>
      <c r="AN624" s="1" t="s">
        <v>74</v>
      </c>
      <c r="AO624" s="1" t="s">
        <v>6393</v>
      </c>
      <c r="AP624" s="1" t="s">
        <v>6394</v>
      </c>
      <c r="AQ624" s="1" t="s">
        <v>74</v>
      </c>
      <c r="AR624" s="1" t="s">
        <v>74</v>
      </c>
      <c r="AS624" s="1" t="s">
        <v>74</v>
      </c>
      <c r="AT624" s="1" t="s">
        <v>74</v>
      </c>
      <c r="AU624" s="1">
        <v>2017.0</v>
      </c>
      <c r="AV624" s="1">
        <v>27.0</v>
      </c>
      <c r="AW624" s="1">
        <v>3.0</v>
      </c>
      <c r="AX624" s="1" t="s">
        <v>74</v>
      </c>
      <c r="AY624" s="1" t="s">
        <v>74</v>
      </c>
      <c r="AZ624" s="1" t="s">
        <v>74</v>
      </c>
      <c r="BA624" s="1" t="s">
        <v>74</v>
      </c>
      <c r="BB624" s="1">
        <v>147.0</v>
      </c>
      <c r="BC624" s="1">
        <v>158.0</v>
      </c>
      <c r="BD624" s="1" t="s">
        <v>74</v>
      </c>
      <c r="BE624" s="1" t="s">
        <v>6395</v>
      </c>
      <c r="BF624" s="2" t="str">
        <f>HYPERLINK("http://dx.doi.org/10.1159/000471924","http://dx.doi.org/10.1159/000471924")</f>
        <v>http://dx.doi.org/10.1159/000471924</v>
      </c>
      <c r="BG624" s="1" t="s">
        <v>74</v>
      </c>
      <c r="BH624" s="1" t="s">
        <v>74</v>
      </c>
      <c r="BI624" s="1" t="s">
        <v>74</v>
      </c>
      <c r="BJ624" s="1" t="s">
        <v>74</v>
      </c>
      <c r="BK624" s="1" t="s">
        <v>74</v>
      </c>
      <c r="BL624" s="1" t="s">
        <v>74</v>
      </c>
      <c r="BM624" s="1" t="s">
        <v>74</v>
      </c>
      <c r="BN624" s="1">
        <v>2.8595177E7</v>
      </c>
      <c r="BO624" s="1" t="s">
        <v>74</v>
      </c>
      <c r="BP624" s="1" t="s">
        <v>74</v>
      </c>
      <c r="BQ624" s="1" t="s">
        <v>74</v>
      </c>
      <c r="BR624" s="1" t="s">
        <v>74</v>
      </c>
      <c r="BS624" s="1" t="s">
        <v>6396</v>
      </c>
      <c r="BT624" s="1" t="str">
        <f>HYPERLINK("https%3A%2F%2Fwww.webofscience.com%2Fwos%2Fwoscc%2Ffull-record%2FWOS:000409331400002","View Full Record in Web of Science")</f>
        <v>View Full Record in Web of Science</v>
      </c>
    </row>
    <row r="625" ht="12.75" customHeight="1">
      <c r="A625" s="1" t="s">
        <v>86</v>
      </c>
      <c r="B625" s="1" t="s">
        <v>6397</v>
      </c>
      <c r="C625" s="1" t="s">
        <v>74</v>
      </c>
      <c r="D625" s="1" t="s">
        <v>74</v>
      </c>
      <c r="E625" s="1" t="s">
        <v>248</v>
      </c>
      <c r="F625" s="1" t="s">
        <v>6398</v>
      </c>
      <c r="G625" s="1" t="s">
        <v>74</v>
      </c>
      <c r="H625" s="1" t="s">
        <v>74</v>
      </c>
      <c r="I625" s="1" t="s">
        <v>6399</v>
      </c>
      <c r="J625" s="1" t="s">
        <v>6400</v>
      </c>
      <c r="K625" s="1" t="s">
        <v>6401</v>
      </c>
      <c r="L625" s="1" t="s">
        <v>74</v>
      </c>
      <c r="M625" s="1" t="s">
        <v>74</v>
      </c>
      <c r="N625" s="1" t="s">
        <v>74</v>
      </c>
      <c r="O625" s="1" t="s">
        <v>6402</v>
      </c>
      <c r="P625" s="1" t="s">
        <v>6403</v>
      </c>
      <c r="Q625" s="1" t="s">
        <v>6404</v>
      </c>
      <c r="R625" s="1" t="s">
        <v>6405</v>
      </c>
      <c r="S625" s="1" t="s">
        <v>74</v>
      </c>
      <c r="T625" s="1" t="s">
        <v>74</v>
      </c>
      <c r="U625" s="1" t="s">
        <v>74</v>
      </c>
      <c r="V625" s="1" t="s">
        <v>6406</v>
      </c>
      <c r="W625" s="1" t="s">
        <v>74</v>
      </c>
      <c r="X625" s="1" t="s">
        <v>74</v>
      </c>
      <c r="Y625" s="1" t="s">
        <v>74</v>
      </c>
      <c r="Z625" s="1" t="s">
        <v>74</v>
      </c>
      <c r="AA625" s="1" t="s">
        <v>6407</v>
      </c>
      <c r="AB625" s="1" t="s">
        <v>6408</v>
      </c>
      <c r="AC625" s="1" t="s">
        <v>74</v>
      </c>
      <c r="AD625" s="1" t="s">
        <v>74</v>
      </c>
      <c r="AE625" s="1" t="s">
        <v>74</v>
      </c>
      <c r="AF625" s="1" t="s">
        <v>74</v>
      </c>
      <c r="AG625" s="1" t="s">
        <v>74</v>
      </c>
      <c r="AH625" s="1" t="s">
        <v>74</v>
      </c>
      <c r="AI625" s="1" t="s">
        <v>74</v>
      </c>
      <c r="AJ625" s="1" t="s">
        <v>74</v>
      </c>
      <c r="AK625" s="1" t="s">
        <v>74</v>
      </c>
      <c r="AL625" s="1" t="s">
        <v>74</v>
      </c>
      <c r="AM625" s="1" t="s">
        <v>74</v>
      </c>
      <c r="AN625" s="1" t="s">
        <v>74</v>
      </c>
      <c r="AO625" s="1" t="s">
        <v>6409</v>
      </c>
      <c r="AP625" s="1" t="s">
        <v>74</v>
      </c>
      <c r="AQ625" s="1" t="s">
        <v>6410</v>
      </c>
      <c r="AR625" s="1" t="s">
        <v>74</v>
      </c>
      <c r="AS625" s="1" t="s">
        <v>74</v>
      </c>
      <c r="AT625" s="1" t="s">
        <v>74</v>
      </c>
      <c r="AU625" s="1">
        <v>2016.0</v>
      </c>
      <c r="AV625" s="1" t="s">
        <v>74</v>
      </c>
      <c r="AW625" s="1" t="s">
        <v>74</v>
      </c>
      <c r="AX625" s="1" t="s">
        <v>74</v>
      </c>
      <c r="AY625" s="1" t="s">
        <v>74</v>
      </c>
      <c r="AZ625" s="1" t="s">
        <v>74</v>
      </c>
      <c r="BA625" s="1" t="s">
        <v>74</v>
      </c>
      <c r="BB625" s="1">
        <v>2229.0</v>
      </c>
      <c r="BC625" s="1">
        <v>2234.0</v>
      </c>
      <c r="BD625" s="1" t="s">
        <v>74</v>
      </c>
      <c r="BE625" s="1" t="s">
        <v>74</v>
      </c>
      <c r="BF625" s="1" t="s">
        <v>74</v>
      </c>
      <c r="BG625" s="1" t="s">
        <v>74</v>
      </c>
      <c r="BH625" s="1" t="s">
        <v>74</v>
      </c>
      <c r="BI625" s="1" t="s">
        <v>74</v>
      </c>
      <c r="BJ625" s="1" t="s">
        <v>74</v>
      </c>
      <c r="BK625" s="1" t="s">
        <v>74</v>
      </c>
      <c r="BL625" s="1" t="s">
        <v>74</v>
      </c>
      <c r="BM625" s="1" t="s">
        <v>74</v>
      </c>
      <c r="BN625" s="1" t="s">
        <v>74</v>
      </c>
      <c r="BO625" s="1" t="s">
        <v>74</v>
      </c>
      <c r="BP625" s="1" t="s">
        <v>74</v>
      </c>
      <c r="BQ625" s="1" t="s">
        <v>74</v>
      </c>
      <c r="BR625" s="1" t="s">
        <v>74</v>
      </c>
      <c r="BS625" s="1" t="s">
        <v>6411</v>
      </c>
      <c r="BT625" s="1" t="str">
        <f>HYPERLINK("https%3A%2F%2Fwww.webofscience.com%2Fwos%2Fwoscc%2Ffull-record%2FWOS:000399031202084","View Full Record in Web of Science")</f>
        <v>View Full Record in Web of Science</v>
      </c>
    </row>
    <row r="626" ht="12.75" customHeight="1">
      <c r="A626" s="1" t="s">
        <v>72</v>
      </c>
      <c r="B626" s="1" t="s">
        <v>6412</v>
      </c>
      <c r="C626" s="1" t="s">
        <v>74</v>
      </c>
      <c r="D626" s="1" t="s">
        <v>74</v>
      </c>
      <c r="E626" s="1" t="s">
        <v>74</v>
      </c>
      <c r="F626" s="1" t="s">
        <v>6413</v>
      </c>
      <c r="G626" s="1" t="s">
        <v>74</v>
      </c>
      <c r="H626" s="1" t="s">
        <v>74</v>
      </c>
      <c r="I626" s="1" t="s">
        <v>6414</v>
      </c>
      <c r="J626" s="1" t="s">
        <v>6415</v>
      </c>
      <c r="K626" s="1" t="s">
        <v>74</v>
      </c>
      <c r="L626" s="1" t="s">
        <v>74</v>
      </c>
      <c r="M626" s="1" t="s">
        <v>74</v>
      </c>
      <c r="N626" s="1" t="s">
        <v>74</v>
      </c>
      <c r="O626" s="1" t="s">
        <v>74</v>
      </c>
      <c r="P626" s="1" t="s">
        <v>74</v>
      </c>
      <c r="Q626" s="1" t="s">
        <v>74</v>
      </c>
      <c r="R626" s="1" t="s">
        <v>74</v>
      </c>
      <c r="S626" s="1" t="s">
        <v>74</v>
      </c>
      <c r="T626" s="1" t="s">
        <v>74</v>
      </c>
      <c r="U626" s="1" t="s">
        <v>74</v>
      </c>
      <c r="V626" s="1" t="s">
        <v>6416</v>
      </c>
      <c r="W626" s="1" t="s">
        <v>74</v>
      </c>
      <c r="X626" s="1" t="s">
        <v>74</v>
      </c>
      <c r="Y626" s="1" t="s">
        <v>74</v>
      </c>
      <c r="Z626" s="1" t="s">
        <v>74</v>
      </c>
      <c r="AA626" s="1" t="s">
        <v>6417</v>
      </c>
      <c r="AB626" s="1" t="s">
        <v>6418</v>
      </c>
      <c r="AC626" s="1" t="s">
        <v>74</v>
      </c>
      <c r="AD626" s="1" t="s">
        <v>74</v>
      </c>
      <c r="AE626" s="1" t="s">
        <v>74</v>
      </c>
      <c r="AF626" s="1" t="s">
        <v>74</v>
      </c>
      <c r="AG626" s="1" t="s">
        <v>74</v>
      </c>
      <c r="AH626" s="1" t="s">
        <v>74</v>
      </c>
      <c r="AI626" s="1" t="s">
        <v>74</v>
      </c>
      <c r="AJ626" s="1" t="s">
        <v>74</v>
      </c>
      <c r="AK626" s="1" t="s">
        <v>74</v>
      </c>
      <c r="AL626" s="1" t="s">
        <v>74</v>
      </c>
      <c r="AM626" s="1" t="s">
        <v>74</v>
      </c>
      <c r="AN626" s="1" t="s">
        <v>74</v>
      </c>
      <c r="AO626" s="1" t="s">
        <v>74</v>
      </c>
      <c r="AP626" s="1" t="s">
        <v>6419</v>
      </c>
      <c r="AQ626" s="1" t="s">
        <v>74</v>
      </c>
      <c r="AR626" s="1" t="s">
        <v>74</v>
      </c>
      <c r="AS626" s="1" t="s">
        <v>74</v>
      </c>
      <c r="AT626" s="1" t="s">
        <v>307</v>
      </c>
      <c r="AU626" s="1">
        <v>2015.0</v>
      </c>
      <c r="AV626" s="1">
        <v>6.0</v>
      </c>
      <c r="AW626" s="1">
        <v>12.0</v>
      </c>
      <c r="AX626" s="1" t="s">
        <v>74</v>
      </c>
      <c r="AY626" s="1" t="s">
        <v>74</v>
      </c>
      <c r="AZ626" s="1" t="s">
        <v>74</v>
      </c>
      <c r="BA626" s="1" t="s">
        <v>74</v>
      </c>
      <c r="BB626" s="1">
        <v>1926.0</v>
      </c>
      <c r="BC626" s="1">
        <v>1938.0</v>
      </c>
      <c r="BD626" s="1" t="s">
        <v>74</v>
      </c>
      <c r="BE626" s="1" t="s">
        <v>6420</v>
      </c>
      <c r="BF626" s="2" t="str">
        <f>HYPERLINK("http://dx.doi.org/10.3390/atmos6121838","http://dx.doi.org/10.3390/atmos6121838")</f>
        <v>http://dx.doi.org/10.3390/atmos6121838</v>
      </c>
      <c r="BG626" s="1" t="s">
        <v>74</v>
      </c>
      <c r="BH626" s="1" t="s">
        <v>74</v>
      </c>
      <c r="BI626" s="1" t="s">
        <v>74</v>
      </c>
      <c r="BJ626" s="1" t="s">
        <v>74</v>
      </c>
      <c r="BK626" s="1" t="s">
        <v>74</v>
      </c>
      <c r="BL626" s="1" t="s">
        <v>74</v>
      </c>
      <c r="BM626" s="1" t="s">
        <v>74</v>
      </c>
      <c r="BN626" s="1" t="s">
        <v>74</v>
      </c>
      <c r="BO626" s="1" t="s">
        <v>74</v>
      </c>
      <c r="BP626" s="1" t="s">
        <v>74</v>
      </c>
      <c r="BQ626" s="1" t="s">
        <v>74</v>
      </c>
      <c r="BR626" s="1" t="s">
        <v>74</v>
      </c>
      <c r="BS626" s="1" t="s">
        <v>6421</v>
      </c>
      <c r="BT626" s="1" t="str">
        <f>HYPERLINK("https%3A%2F%2Fwww.webofscience.com%2Fwos%2Fwoscc%2Ffull-record%2FWOS:000367443100005","View Full Record in Web of Science")</f>
        <v>View Full Record in Web of Science</v>
      </c>
    </row>
    <row r="627" ht="12.75" customHeight="1">
      <c r="A627" s="1" t="s">
        <v>72</v>
      </c>
      <c r="B627" s="1" t="s">
        <v>6422</v>
      </c>
      <c r="C627" s="1" t="s">
        <v>74</v>
      </c>
      <c r="D627" s="1" t="s">
        <v>74</v>
      </c>
      <c r="E627" s="1" t="s">
        <v>74</v>
      </c>
      <c r="F627" s="1" t="s">
        <v>6423</v>
      </c>
      <c r="G627" s="1" t="s">
        <v>74</v>
      </c>
      <c r="H627" s="1" t="s">
        <v>74</v>
      </c>
      <c r="I627" s="1" t="s">
        <v>6424</v>
      </c>
      <c r="J627" s="1" t="s">
        <v>6425</v>
      </c>
      <c r="K627" s="1" t="s">
        <v>74</v>
      </c>
      <c r="L627" s="1" t="s">
        <v>74</v>
      </c>
      <c r="M627" s="1" t="s">
        <v>74</v>
      </c>
      <c r="N627" s="1" t="s">
        <v>74</v>
      </c>
      <c r="O627" s="1" t="s">
        <v>74</v>
      </c>
      <c r="P627" s="1" t="s">
        <v>74</v>
      </c>
      <c r="Q627" s="1" t="s">
        <v>74</v>
      </c>
      <c r="R627" s="1" t="s">
        <v>74</v>
      </c>
      <c r="S627" s="1" t="s">
        <v>74</v>
      </c>
      <c r="T627" s="1" t="s">
        <v>74</v>
      </c>
      <c r="U627" s="1" t="s">
        <v>74</v>
      </c>
      <c r="V627" s="1" t="s">
        <v>6426</v>
      </c>
      <c r="W627" s="1" t="s">
        <v>74</v>
      </c>
      <c r="X627" s="1" t="s">
        <v>74</v>
      </c>
      <c r="Y627" s="1" t="s">
        <v>74</v>
      </c>
      <c r="Z627" s="1" t="s">
        <v>74</v>
      </c>
      <c r="AA627" s="1" t="s">
        <v>6427</v>
      </c>
      <c r="AB627" s="1" t="s">
        <v>6428</v>
      </c>
      <c r="AC627" s="1" t="s">
        <v>74</v>
      </c>
      <c r="AD627" s="1" t="s">
        <v>74</v>
      </c>
      <c r="AE627" s="1" t="s">
        <v>74</v>
      </c>
      <c r="AF627" s="1" t="s">
        <v>74</v>
      </c>
      <c r="AG627" s="1" t="s">
        <v>74</v>
      </c>
      <c r="AH627" s="1" t="s">
        <v>74</v>
      </c>
      <c r="AI627" s="1" t="s">
        <v>74</v>
      </c>
      <c r="AJ627" s="1" t="s">
        <v>74</v>
      </c>
      <c r="AK627" s="1" t="s">
        <v>74</v>
      </c>
      <c r="AL627" s="1" t="s">
        <v>74</v>
      </c>
      <c r="AM627" s="1" t="s">
        <v>74</v>
      </c>
      <c r="AN627" s="1" t="s">
        <v>74</v>
      </c>
      <c r="AO627" s="1" t="s">
        <v>6429</v>
      </c>
      <c r="AP627" s="1" t="s">
        <v>6430</v>
      </c>
      <c r="AQ627" s="1" t="s">
        <v>74</v>
      </c>
      <c r="AR627" s="1" t="s">
        <v>74</v>
      </c>
      <c r="AS627" s="1" t="s">
        <v>74</v>
      </c>
      <c r="AT627" s="1" t="s">
        <v>6431</v>
      </c>
      <c r="AU627" s="1">
        <v>2015.0</v>
      </c>
      <c r="AV627" s="1">
        <v>206.0</v>
      </c>
      <c r="AW627" s="1" t="s">
        <v>74</v>
      </c>
      <c r="AX627" s="1" t="s">
        <v>74</v>
      </c>
      <c r="AY627" s="1" t="s">
        <v>74</v>
      </c>
      <c r="AZ627" s="1" t="s">
        <v>74</v>
      </c>
      <c r="BA627" s="1" t="s">
        <v>74</v>
      </c>
      <c r="BB627" s="1">
        <v>51.0</v>
      </c>
      <c r="BC627" s="1">
        <v>55.0</v>
      </c>
      <c r="BD627" s="1" t="s">
        <v>74</v>
      </c>
      <c r="BE627" s="1" t="s">
        <v>6432</v>
      </c>
      <c r="BF627" s="2" t="str">
        <f>HYPERLINK("http://dx.doi.org/10.1016/j.ijfoodmicro.2015.04.023","http://dx.doi.org/10.1016/j.ijfoodmicro.2015.04.023")</f>
        <v>http://dx.doi.org/10.1016/j.ijfoodmicro.2015.04.023</v>
      </c>
      <c r="BG627" s="1" t="s">
        <v>74</v>
      </c>
      <c r="BH627" s="1" t="s">
        <v>74</v>
      </c>
      <c r="BI627" s="1" t="s">
        <v>74</v>
      </c>
      <c r="BJ627" s="1" t="s">
        <v>74</v>
      </c>
      <c r="BK627" s="1" t="s">
        <v>74</v>
      </c>
      <c r="BL627" s="1" t="s">
        <v>74</v>
      </c>
      <c r="BM627" s="1" t="s">
        <v>74</v>
      </c>
      <c r="BN627" s="1">
        <v>2.5955288E7</v>
      </c>
      <c r="BO627" s="1" t="s">
        <v>74</v>
      </c>
      <c r="BP627" s="1" t="s">
        <v>74</v>
      </c>
      <c r="BQ627" s="1" t="s">
        <v>74</v>
      </c>
      <c r="BR627" s="1" t="s">
        <v>74</v>
      </c>
      <c r="BS627" s="1" t="s">
        <v>6433</v>
      </c>
      <c r="BT627" s="1" t="str">
        <f>HYPERLINK("https%3A%2F%2Fwww.webofscience.com%2Fwos%2Fwoscc%2Ffull-record%2FWOS:000358100500007","View Full Record in Web of Science")</f>
        <v>View Full Record in Web of Science</v>
      </c>
    </row>
    <row r="628" ht="12.75" customHeight="1">
      <c r="A628" s="1" t="s">
        <v>72</v>
      </c>
      <c r="B628" s="1" t="s">
        <v>6434</v>
      </c>
      <c r="C628" s="1" t="s">
        <v>74</v>
      </c>
      <c r="D628" s="1" t="s">
        <v>74</v>
      </c>
      <c r="E628" s="1" t="s">
        <v>74</v>
      </c>
      <c r="F628" s="1" t="s">
        <v>6435</v>
      </c>
      <c r="G628" s="1" t="s">
        <v>74</v>
      </c>
      <c r="H628" s="1" t="s">
        <v>74</v>
      </c>
      <c r="I628" s="1" t="s">
        <v>6436</v>
      </c>
      <c r="J628" s="1" t="s">
        <v>6437</v>
      </c>
      <c r="K628" s="1" t="s">
        <v>74</v>
      </c>
      <c r="L628" s="1" t="s">
        <v>74</v>
      </c>
      <c r="M628" s="1" t="s">
        <v>74</v>
      </c>
      <c r="N628" s="1" t="s">
        <v>74</v>
      </c>
      <c r="O628" s="1" t="s">
        <v>74</v>
      </c>
      <c r="P628" s="1" t="s">
        <v>74</v>
      </c>
      <c r="Q628" s="1" t="s">
        <v>74</v>
      </c>
      <c r="R628" s="1" t="s">
        <v>74</v>
      </c>
      <c r="S628" s="1" t="s">
        <v>74</v>
      </c>
      <c r="T628" s="1" t="s">
        <v>74</v>
      </c>
      <c r="U628" s="1" t="s">
        <v>74</v>
      </c>
      <c r="V628" s="1" t="s">
        <v>6438</v>
      </c>
      <c r="W628" s="1" t="s">
        <v>74</v>
      </c>
      <c r="X628" s="1" t="s">
        <v>74</v>
      </c>
      <c r="Y628" s="1" t="s">
        <v>74</v>
      </c>
      <c r="Z628" s="1" t="s">
        <v>74</v>
      </c>
      <c r="AA628" s="1" t="s">
        <v>6439</v>
      </c>
      <c r="AB628" s="1" t="s">
        <v>6440</v>
      </c>
      <c r="AC628" s="1" t="s">
        <v>74</v>
      </c>
      <c r="AD628" s="1" t="s">
        <v>74</v>
      </c>
      <c r="AE628" s="1" t="s">
        <v>74</v>
      </c>
      <c r="AF628" s="1" t="s">
        <v>74</v>
      </c>
      <c r="AG628" s="1" t="s">
        <v>74</v>
      </c>
      <c r="AH628" s="1" t="s">
        <v>74</v>
      </c>
      <c r="AI628" s="1" t="s">
        <v>74</v>
      </c>
      <c r="AJ628" s="1" t="s">
        <v>74</v>
      </c>
      <c r="AK628" s="1" t="s">
        <v>74</v>
      </c>
      <c r="AL628" s="1" t="s">
        <v>74</v>
      </c>
      <c r="AM628" s="1" t="s">
        <v>74</v>
      </c>
      <c r="AN628" s="1" t="s">
        <v>74</v>
      </c>
      <c r="AO628" s="1" t="s">
        <v>6441</v>
      </c>
      <c r="AP628" s="1" t="s">
        <v>74</v>
      </c>
      <c r="AQ628" s="1" t="s">
        <v>74</v>
      </c>
      <c r="AR628" s="1" t="s">
        <v>74</v>
      </c>
      <c r="AS628" s="1" t="s">
        <v>74</v>
      </c>
      <c r="AT628" s="1" t="s">
        <v>537</v>
      </c>
      <c r="AU628" s="1">
        <v>2013.0</v>
      </c>
      <c r="AV628" s="1">
        <v>69.0</v>
      </c>
      <c r="AW628" s="1" t="s">
        <v>74</v>
      </c>
      <c r="AX628" s="1">
        <v>11.0</v>
      </c>
      <c r="AY628" s="1" t="s">
        <v>74</v>
      </c>
      <c r="AZ628" s="1" t="s">
        <v>1416</v>
      </c>
      <c r="BA628" s="1" t="s">
        <v>74</v>
      </c>
      <c r="BB628" s="1">
        <v>1344.0</v>
      </c>
      <c r="BC628" s="1" t="s">
        <v>6442</v>
      </c>
      <c r="BD628" s="1" t="s">
        <v>74</v>
      </c>
      <c r="BE628" s="1" t="s">
        <v>6443</v>
      </c>
      <c r="BF628" s="2" t="str">
        <f>HYPERLINK("http://dx.doi.org/10.1107/S0108270113026620","http://dx.doi.org/10.1107/S0108270113026620")</f>
        <v>http://dx.doi.org/10.1107/S0108270113026620</v>
      </c>
      <c r="BG628" s="1" t="s">
        <v>74</v>
      </c>
      <c r="BH628" s="1" t="s">
        <v>74</v>
      </c>
      <c r="BI628" s="1" t="s">
        <v>74</v>
      </c>
      <c r="BJ628" s="1" t="s">
        <v>74</v>
      </c>
      <c r="BK628" s="1" t="s">
        <v>74</v>
      </c>
      <c r="BL628" s="1" t="s">
        <v>74</v>
      </c>
      <c r="BM628" s="1" t="s">
        <v>74</v>
      </c>
      <c r="BN628" s="1">
        <v>2.4192186E7</v>
      </c>
      <c r="BO628" s="1" t="s">
        <v>74</v>
      </c>
      <c r="BP628" s="1" t="s">
        <v>74</v>
      </c>
      <c r="BQ628" s="1" t="s">
        <v>74</v>
      </c>
      <c r="BR628" s="1" t="s">
        <v>74</v>
      </c>
      <c r="BS628" s="1" t="s">
        <v>6444</v>
      </c>
      <c r="BT628" s="1" t="str">
        <f>HYPERLINK("https%3A%2F%2Fwww.webofscience.com%2Fwos%2Fwoscc%2Ffull-record%2FWOS:000326651300029","View Full Record in Web of Science")</f>
        <v>View Full Record in Web of Science</v>
      </c>
    </row>
    <row r="629" ht="12.75" customHeight="1">
      <c r="A629" s="1" t="s">
        <v>72</v>
      </c>
      <c r="B629" s="1" t="s">
        <v>6445</v>
      </c>
      <c r="C629" s="1" t="s">
        <v>74</v>
      </c>
      <c r="D629" s="1" t="s">
        <v>74</v>
      </c>
      <c r="E629" s="1" t="s">
        <v>74</v>
      </c>
      <c r="F629" s="1" t="s">
        <v>6446</v>
      </c>
      <c r="G629" s="1" t="s">
        <v>74</v>
      </c>
      <c r="H629" s="1" t="s">
        <v>74</v>
      </c>
      <c r="I629" s="1" t="s">
        <v>6447</v>
      </c>
      <c r="J629" s="1" t="s">
        <v>6448</v>
      </c>
      <c r="K629" s="1" t="s">
        <v>74</v>
      </c>
      <c r="L629" s="1" t="s">
        <v>74</v>
      </c>
      <c r="M629" s="1" t="s">
        <v>74</v>
      </c>
      <c r="N629" s="1" t="s">
        <v>74</v>
      </c>
      <c r="O629" s="1" t="s">
        <v>74</v>
      </c>
      <c r="P629" s="1" t="s">
        <v>74</v>
      </c>
      <c r="Q629" s="1" t="s">
        <v>74</v>
      </c>
      <c r="R629" s="1" t="s">
        <v>74</v>
      </c>
      <c r="S629" s="1" t="s">
        <v>74</v>
      </c>
      <c r="T629" s="1" t="s">
        <v>74</v>
      </c>
      <c r="U629" s="1" t="s">
        <v>74</v>
      </c>
      <c r="V629" s="1" t="s">
        <v>6449</v>
      </c>
      <c r="W629" s="1" t="s">
        <v>74</v>
      </c>
      <c r="X629" s="1" t="s">
        <v>74</v>
      </c>
      <c r="Y629" s="1" t="s">
        <v>74</v>
      </c>
      <c r="Z629" s="1" t="s">
        <v>74</v>
      </c>
      <c r="AA629" s="1" t="s">
        <v>6450</v>
      </c>
      <c r="AB629" s="1" t="s">
        <v>6451</v>
      </c>
      <c r="AC629" s="1" t="s">
        <v>74</v>
      </c>
      <c r="AD629" s="1" t="s">
        <v>74</v>
      </c>
      <c r="AE629" s="1" t="s">
        <v>74</v>
      </c>
      <c r="AF629" s="1" t="s">
        <v>74</v>
      </c>
      <c r="AG629" s="1" t="s">
        <v>74</v>
      </c>
      <c r="AH629" s="1" t="s">
        <v>74</v>
      </c>
      <c r="AI629" s="1" t="s">
        <v>74</v>
      </c>
      <c r="AJ629" s="1" t="s">
        <v>74</v>
      </c>
      <c r="AK629" s="1" t="s">
        <v>74</v>
      </c>
      <c r="AL629" s="1" t="s">
        <v>74</v>
      </c>
      <c r="AM629" s="1" t="s">
        <v>74</v>
      </c>
      <c r="AN629" s="1" t="s">
        <v>74</v>
      </c>
      <c r="AO629" s="1" t="s">
        <v>6452</v>
      </c>
      <c r="AP629" s="1" t="s">
        <v>74</v>
      </c>
      <c r="AQ629" s="1" t="s">
        <v>74</v>
      </c>
      <c r="AR629" s="1" t="s">
        <v>74</v>
      </c>
      <c r="AS629" s="1" t="s">
        <v>74</v>
      </c>
      <c r="AT629" s="1" t="s">
        <v>939</v>
      </c>
      <c r="AU629" s="1">
        <v>2009.0</v>
      </c>
      <c r="AV629" s="1">
        <v>33.0</v>
      </c>
      <c r="AW629" s="1">
        <v>4.0</v>
      </c>
      <c r="AX629" s="1" t="s">
        <v>74</v>
      </c>
      <c r="AY629" s="1" t="s">
        <v>74</v>
      </c>
      <c r="AZ629" s="1" t="s">
        <v>74</v>
      </c>
      <c r="BA629" s="1" t="s">
        <v>74</v>
      </c>
      <c r="BB629" s="1">
        <v>247.0</v>
      </c>
      <c r="BC629" s="1">
        <v>255.0</v>
      </c>
      <c r="BD629" s="1" t="s">
        <v>74</v>
      </c>
      <c r="BE629" s="1" t="s">
        <v>6453</v>
      </c>
      <c r="BF629" s="2" t="str">
        <f>HYPERLINK("http://dx.doi.org/10.1016/j.compmedimag.2008.09.006","http://dx.doi.org/10.1016/j.compmedimag.2008.09.006")</f>
        <v>http://dx.doi.org/10.1016/j.compmedimag.2008.09.006</v>
      </c>
      <c r="BG629" s="1" t="s">
        <v>74</v>
      </c>
      <c r="BH629" s="1" t="s">
        <v>74</v>
      </c>
      <c r="BI629" s="1" t="s">
        <v>74</v>
      </c>
      <c r="BJ629" s="1" t="s">
        <v>74</v>
      </c>
      <c r="BK629" s="1" t="s">
        <v>74</v>
      </c>
      <c r="BL629" s="1" t="s">
        <v>74</v>
      </c>
      <c r="BM629" s="1" t="s">
        <v>74</v>
      </c>
      <c r="BN629" s="1">
        <v>1.9261437E7</v>
      </c>
      <c r="BO629" s="1" t="s">
        <v>74</v>
      </c>
      <c r="BP629" s="1" t="s">
        <v>74</v>
      </c>
      <c r="BQ629" s="1" t="s">
        <v>74</v>
      </c>
      <c r="BR629" s="1" t="s">
        <v>74</v>
      </c>
      <c r="BS629" s="1" t="s">
        <v>6454</v>
      </c>
      <c r="BT629" s="1" t="str">
        <f>HYPERLINK("https%3A%2F%2Fwww.webofscience.com%2Fwos%2Fwoscc%2Ffull-record%2FWOS:000266229100001","View Full Record in Web of Science")</f>
        <v>View Full Record in Web of Science</v>
      </c>
    </row>
    <row r="630" ht="12.75" customHeight="1">
      <c r="A630" s="1" t="s">
        <v>72</v>
      </c>
      <c r="B630" s="1" t="s">
        <v>6455</v>
      </c>
      <c r="C630" s="1" t="s">
        <v>74</v>
      </c>
      <c r="D630" s="1" t="s">
        <v>74</v>
      </c>
      <c r="E630" s="1" t="s">
        <v>74</v>
      </c>
      <c r="F630" s="1" t="s">
        <v>6456</v>
      </c>
      <c r="G630" s="1" t="s">
        <v>74</v>
      </c>
      <c r="H630" s="1" t="s">
        <v>74</v>
      </c>
      <c r="I630" s="1" t="s">
        <v>6457</v>
      </c>
      <c r="J630" s="1" t="s">
        <v>6458</v>
      </c>
      <c r="K630" s="1" t="s">
        <v>74</v>
      </c>
      <c r="L630" s="1" t="s">
        <v>74</v>
      </c>
      <c r="M630" s="1" t="s">
        <v>74</v>
      </c>
      <c r="N630" s="1" t="s">
        <v>74</v>
      </c>
      <c r="O630" s="1" t="s">
        <v>74</v>
      </c>
      <c r="P630" s="1" t="s">
        <v>74</v>
      </c>
      <c r="Q630" s="1" t="s">
        <v>74</v>
      </c>
      <c r="R630" s="1" t="s">
        <v>74</v>
      </c>
      <c r="S630" s="1" t="s">
        <v>74</v>
      </c>
      <c r="T630" s="1" t="s">
        <v>74</v>
      </c>
      <c r="U630" s="1" t="s">
        <v>74</v>
      </c>
      <c r="V630" s="1" t="s">
        <v>6459</v>
      </c>
      <c r="W630" s="1" t="s">
        <v>74</v>
      </c>
      <c r="X630" s="1" t="s">
        <v>74</v>
      </c>
      <c r="Y630" s="1" t="s">
        <v>74</v>
      </c>
      <c r="Z630" s="1" t="s">
        <v>74</v>
      </c>
      <c r="AA630" s="1" t="s">
        <v>74</v>
      </c>
      <c r="AB630" s="1" t="s">
        <v>6460</v>
      </c>
      <c r="AC630" s="1" t="s">
        <v>74</v>
      </c>
      <c r="AD630" s="1" t="s">
        <v>74</v>
      </c>
      <c r="AE630" s="1" t="s">
        <v>74</v>
      </c>
      <c r="AF630" s="1" t="s">
        <v>74</v>
      </c>
      <c r="AG630" s="1" t="s">
        <v>74</v>
      </c>
      <c r="AH630" s="1" t="s">
        <v>74</v>
      </c>
      <c r="AI630" s="1" t="s">
        <v>74</v>
      </c>
      <c r="AJ630" s="1" t="s">
        <v>74</v>
      </c>
      <c r="AK630" s="1" t="s">
        <v>74</v>
      </c>
      <c r="AL630" s="1" t="s">
        <v>74</v>
      </c>
      <c r="AM630" s="1" t="s">
        <v>74</v>
      </c>
      <c r="AN630" s="1" t="s">
        <v>74</v>
      </c>
      <c r="AO630" s="1" t="s">
        <v>6461</v>
      </c>
      <c r="AP630" s="1" t="s">
        <v>74</v>
      </c>
      <c r="AQ630" s="1" t="s">
        <v>74</v>
      </c>
      <c r="AR630" s="1" t="s">
        <v>74</v>
      </c>
      <c r="AS630" s="1" t="s">
        <v>74</v>
      </c>
      <c r="AT630" s="1" t="s">
        <v>1213</v>
      </c>
      <c r="AU630" s="1">
        <v>2008.0</v>
      </c>
      <c r="AV630" s="1">
        <v>21.0</v>
      </c>
      <c r="AW630" s="1">
        <v>3.0</v>
      </c>
      <c r="AX630" s="1" t="s">
        <v>74</v>
      </c>
      <c r="AY630" s="1" t="s">
        <v>74</v>
      </c>
      <c r="AZ630" s="1" t="s">
        <v>74</v>
      </c>
      <c r="BA630" s="1" t="s">
        <v>74</v>
      </c>
      <c r="BB630" s="1">
        <v>279.0</v>
      </c>
      <c r="BC630" s="1">
        <v>286.0</v>
      </c>
      <c r="BD630" s="1" t="s">
        <v>74</v>
      </c>
      <c r="BE630" s="1" t="s">
        <v>6462</v>
      </c>
      <c r="BF630" s="2" t="str">
        <f>HYPERLINK("http://dx.doi.org/10.1016/j.aml.2007.02.025","http://dx.doi.org/10.1016/j.aml.2007.02.025")</f>
        <v>http://dx.doi.org/10.1016/j.aml.2007.02.025</v>
      </c>
      <c r="BG630" s="1" t="s">
        <v>74</v>
      </c>
      <c r="BH630" s="1" t="s">
        <v>74</v>
      </c>
      <c r="BI630" s="1" t="s">
        <v>74</v>
      </c>
      <c r="BJ630" s="1" t="s">
        <v>74</v>
      </c>
      <c r="BK630" s="1" t="s">
        <v>74</v>
      </c>
      <c r="BL630" s="1" t="s">
        <v>74</v>
      </c>
      <c r="BM630" s="1" t="s">
        <v>74</v>
      </c>
      <c r="BN630" s="1" t="s">
        <v>74</v>
      </c>
      <c r="BO630" s="1" t="s">
        <v>74</v>
      </c>
      <c r="BP630" s="1" t="s">
        <v>74</v>
      </c>
      <c r="BQ630" s="1" t="s">
        <v>74</v>
      </c>
      <c r="BR630" s="1" t="s">
        <v>74</v>
      </c>
      <c r="BS630" s="1" t="s">
        <v>6463</v>
      </c>
      <c r="BT630" s="1" t="str">
        <f>HYPERLINK("https%3A%2F%2Fwww.webofscience.com%2Fwos%2Fwoscc%2Ffull-record%2FWOS:000253344700014","View Full Record in Web of Science")</f>
        <v>View Full Record in Web of Science</v>
      </c>
    </row>
    <row r="631" ht="12.75" customHeight="1">
      <c r="A631" s="1" t="s">
        <v>72</v>
      </c>
      <c r="B631" s="1" t="s">
        <v>6464</v>
      </c>
      <c r="C631" s="1" t="s">
        <v>74</v>
      </c>
      <c r="D631" s="1" t="s">
        <v>74</v>
      </c>
      <c r="E631" s="1" t="s">
        <v>74</v>
      </c>
      <c r="F631" s="1" t="s">
        <v>6465</v>
      </c>
      <c r="G631" s="1" t="s">
        <v>74</v>
      </c>
      <c r="H631" s="1" t="s">
        <v>74</v>
      </c>
      <c r="I631" s="1" t="s">
        <v>6466</v>
      </c>
      <c r="J631" s="1" t="s">
        <v>6467</v>
      </c>
      <c r="K631" s="1" t="s">
        <v>74</v>
      </c>
      <c r="L631" s="1" t="s">
        <v>74</v>
      </c>
      <c r="M631" s="1" t="s">
        <v>74</v>
      </c>
      <c r="N631" s="1" t="s">
        <v>74</v>
      </c>
      <c r="O631" s="1" t="s">
        <v>74</v>
      </c>
      <c r="P631" s="1" t="s">
        <v>74</v>
      </c>
      <c r="Q631" s="1" t="s">
        <v>74</v>
      </c>
      <c r="R631" s="1" t="s">
        <v>74</v>
      </c>
      <c r="S631" s="1" t="s">
        <v>74</v>
      </c>
      <c r="T631" s="1" t="s">
        <v>74</v>
      </c>
      <c r="U631" s="1" t="s">
        <v>74</v>
      </c>
      <c r="V631" s="1" t="s">
        <v>6468</v>
      </c>
      <c r="W631" s="1" t="s">
        <v>74</v>
      </c>
      <c r="X631" s="1" t="s">
        <v>74</v>
      </c>
      <c r="Y631" s="1" t="s">
        <v>74</v>
      </c>
      <c r="Z631" s="1" t="s">
        <v>74</v>
      </c>
      <c r="AA631" s="1" t="s">
        <v>6469</v>
      </c>
      <c r="AB631" s="1" t="s">
        <v>6470</v>
      </c>
      <c r="AC631" s="1" t="s">
        <v>74</v>
      </c>
      <c r="AD631" s="1" t="s">
        <v>74</v>
      </c>
      <c r="AE631" s="1" t="s">
        <v>74</v>
      </c>
      <c r="AF631" s="1" t="s">
        <v>74</v>
      </c>
      <c r="AG631" s="1" t="s">
        <v>74</v>
      </c>
      <c r="AH631" s="1" t="s">
        <v>74</v>
      </c>
      <c r="AI631" s="1" t="s">
        <v>74</v>
      </c>
      <c r="AJ631" s="1" t="s">
        <v>74</v>
      </c>
      <c r="AK631" s="1" t="s">
        <v>74</v>
      </c>
      <c r="AL631" s="1" t="s">
        <v>74</v>
      </c>
      <c r="AM631" s="1" t="s">
        <v>74</v>
      </c>
      <c r="AN631" s="1" t="s">
        <v>74</v>
      </c>
      <c r="AO631" s="1" t="s">
        <v>6471</v>
      </c>
      <c r="AP631" s="1" t="s">
        <v>6472</v>
      </c>
      <c r="AQ631" s="1" t="s">
        <v>74</v>
      </c>
      <c r="AR631" s="1" t="s">
        <v>74</v>
      </c>
      <c r="AS631" s="1" t="s">
        <v>74</v>
      </c>
      <c r="AT631" s="1" t="s">
        <v>74</v>
      </c>
      <c r="AU631" s="1">
        <v>2008.0</v>
      </c>
      <c r="AV631" s="1">
        <v>61.0</v>
      </c>
      <c r="AW631" s="1">
        <v>12.0</v>
      </c>
      <c r="AX631" s="1" t="s">
        <v>74</v>
      </c>
      <c r="AY631" s="1" t="s">
        <v>74</v>
      </c>
      <c r="AZ631" s="1" t="s">
        <v>74</v>
      </c>
      <c r="BA631" s="1" t="s">
        <v>74</v>
      </c>
      <c r="BB631" s="1">
        <v>968.0</v>
      </c>
      <c r="BC631" s="1">
        <v>974.0</v>
      </c>
      <c r="BD631" s="1" t="s">
        <v>74</v>
      </c>
      <c r="BE631" s="1" t="s">
        <v>6473</v>
      </c>
      <c r="BF631" s="2" t="str">
        <f>HYPERLINK("http://dx.doi.org/10.1071/CH08209","http://dx.doi.org/10.1071/CH08209")</f>
        <v>http://dx.doi.org/10.1071/CH08209</v>
      </c>
      <c r="BG631" s="1" t="s">
        <v>74</v>
      </c>
      <c r="BH631" s="1" t="s">
        <v>74</v>
      </c>
      <c r="BI631" s="1" t="s">
        <v>74</v>
      </c>
      <c r="BJ631" s="1" t="s">
        <v>74</v>
      </c>
      <c r="BK631" s="1" t="s">
        <v>74</v>
      </c>
      <c r="BL631" s="1" t="s">
        <v>74</v>
      </c>
      <c r="BM631" s="1" t="s">
        <v>74</v>
      </c>
      <c r="BN631" s="1" t="s">
        <v>74</v>
      </c>
      <c r="BO631" s="1" t="s">
        <v>74</v>
      </c>
      <c r="BP631" s="1" t="s">
        <v>74</v>
      </c>
      <c r="BQ631" s="1" t="s">
        <v>74</v>
      </c>
      <c r="BR631" s="1" t="s">
        <v>74</v>
      </c>
      <c r="BS631" s="1" t="s">
        <v>6474</v>
      </c>
      <c r="BT631" s="1" t="str">
        <f>HYPERLINK("https%3A%2F%2Fwww.webofscience.com%2Fwos%2Fwoscc%2Ffull-record%2FWOS:000261516300007","View Full Record in Web of Science")</f>
        <v>View Full Record in Web of Science</v>
      </c>
    </row>
    <row r="632" ht="12.75" customHeight="1">
      <c r="A632" s="1" t="s">
        <v>72</v>
      </c>
      <c r="B632" s="1" t="s">
        <v>6475</v>
      </c>
      <c r="C632" s="1" t="s">
        <v>74</v>
      </c>
      <c r="D632" s="1" t="s">
        <v>74</v>
      </c>
      <c r="E632" s="1" t="s">
        <v>74</v>
      </c>
      <c r="F632" s="1" t="s">
        <v>6476</v>
      </c>
      <c r="G632" s="1" t="s">
        <v>74</v>
      </c>
      <c r="H632" s="1" t="s">
        <v>74</v>
      </c>
      <c r="I632" s="1" t="s">
        <v>6477</v>
      </c>
      <c r="J632" s="1" t="s">
        <v>6478</v>
      </c>
      <c r="K632" s="1" t="s">
        <v>74</v>
      </c>
      <c r="L632" s="1" t="s">
        <v>74</v>
      </c>
      <c r="M632" s="1" t="s">
        <v>74</v>
      </c>
      <c r="N632" s="1" t="s">
        <v>74</v>
      </c>
      <c r="O632" s="1" t="s">
        <v>74</v>
      </c>
      <c r="P632" s="1" t="s">
        <v>74</v>
      </c>
      <c r="Q632" s="1" t="s">
        <v>74</v>
      </c>
      <c r="R632" s="1" t="s">
        <v>74</v>
      </c>
      <c r="S632" s="1" t="s">
        <v>74</v>
      </c>
      <c r="T632" s="1" t="s">
        <v>74</v>
      </c>
      <c r="U632" s="1" t="s">
        <v>74</v>
      </c>
      <c r="V632" s="1" t="s">
        <v>6479</v>
      </c>
      <c r="W632" s="1" t="s">
        <v>74</v>
      </c>
      <c r="X632" s="1" t="s">
        <v>74</v>
      </c>
      <c r="Y632" s="1" t="s">
        <v>74</v>
      </c>
      <c r="Z632" s="1" t="s">
        <v>74</v>
      </c>
      <c r="AA632" s="1" t="s">
        <v>6480</v>
      </c>
      <c r="AB632" s="1" t="s">
        <v>6481</v>
      </c>
      <c r="AC632" s="1" t="s">
        <v>74</v>
      </c>
      <c r="AD632" s="1" t="s">
        <v>74</v>
      </c>
      <c r="AE632" s="1" t="s">
        <v>74</v>
      </c>
      <c r="AF632" s="1" t="s">
        <v>74</v>
      </c>
      <c r="AG632" s="1" t="s">
        <v>74</v>
      </c>
      <c r="AH632" s="1" t="s">
        <v>74</v>
      </c>
      <c r="AI632" s="1" t="s">
        <v>74</v>
      </c>
      <c r="AJ632" s="1" t="s">
        <v>74</v>
      </c>
      <c r="AK632" s="1" t="s">
        <v>74</v>
      </c>
      <c r="AL632" s="1" t="s">
        <v>74</v>
      </c>
      <c r="AM632" s="1" t="s">
        <v>74</v>
      </c>
      <c r="AN632" s="1" t="s">
        <v>74</v>
      </c>
      <c r="AO632" s="1" t="s">
        <v>6482</v>
      </c>
      <c r="AP632" s="1" t="s">
        <v>6483</v>
      </c>
      <c r="AQ632" s="1" t="s">
        <v>74</v>
      </c>
      <c r="AR632" s="1" t="s">
        <v>74</v>
      </c>
      <c r="AS632" s="1" t="s">
        <v>74</v>
      </c>
      <c r="AT632" s="1" t="s">
        <v>537</v>
      </c>
      <c r="AU632" s="1">
        <v>2007.0</v>
      </c>
      <c r="AV632" s="1">
        <v>18.0</v>
      </c>
      <c r="AW632" s="1">
        <v>5.0</v>
      </c>
      <c r="AX632" s="1" t="s">
        <v>74</v>
      </c>
      <c r="AY632" s="1" t="s">
        <v>74</v>
      </c>
      <c r="AZ632" s="1" t="s">
        <v>74</v>
      </c>
      <c r="BA632" s="1" t="s">
        <v>74</v>
      </c>
      <c r="BB632" s="1">
        <v>1213.0</v>
      </c>
      <c r="BC632" s="1">
        <v>1217.0</v>
      </c>
      <c r="BD632" s="1" t="s">
        <v>74</v>
      </c>
      <c r="BE632" s="1" t="s">
        <v>74</v>
      </c>
      <c r="BF632" s="1" t="s">
        <v>74</v>
      </c>
      <c r="BG632" s="1" t="s">
        <v>74</v>
      </c>
      <c r="BH632" s="1" t="s">
        <v>74</v>
      </c>
      <c r="BI632" s="1" t="s">
        <v>74</v>
      </c>
      <c r="BJ632" s="1" t="s">
        <v>74</v>
      </c>
      <c r="BK632" s="1" t="s">
        <v>74</v>
      </c>
      <c r="BL632" s="1" t="s">
        <v>74</v>
      </c>
      <c r="BM632" s="1" t="s">
        <v>74</v>
      </c>
      <c r="BN632" s="1">
        <v>1.7914575E7</v>
      </c>
      <c r="BO632" s="1" t="s">
        <v>74</v>
      </c>
      <c r="BP632" s="1" t="s">
        <v>74</v>
      </c>
      <c r="BQ632" s="1" t="s">
        <v>74</v>
      </c>
      <c r="BR632" s="1" t="s">
        <v>74</v>
      </c>
      <c r="BS632" s="1" t="s">
        <v>6484</v>
      </c>
      <c r="BT632" s="1" t="str">
        <f>HYPERLINK("https%3A%2F%2Fwww.webofscience.com%2Fwos%2Fwoscc%2Ffull-record%2FWOS:000250570400022","View Full Record in Web of Science")</f>
        <v>View Full Record in Web of Science</v>
      </c>
    </row>
    <row r="633" ht="12.75" customHeight="1">
      <c r="A633" s="1" t="s">
        <v>72</v>
      </c>
      <c r="B633" s="1" t="s">
        <v>6485</v>
      </c>
      <c r="C633" s="1" t="s">
        <v>74</v>
      </c>
      <c r="D633" s="1" t="s">
        <v>74</v>
      </c>
      <c r="E633" s="1" t="s">
        <v>74</v>
      </c>
      <c r="F633" s="1" t="s">
        <v>6486</v>
      </c>
      <c r="G633" s="1" t="s">
        <v>74</v>
      </c>
      <c r="H633" s="1" t="s">
        <v>74</v>
      </c>
      <c r="I633" s="1" t="s">
        <v>6487</v>
      </c>
      <c r="J633" s="1" t="s">
        <v>2915</v>
      </c>
      <c r="K633" s="1" t="s">
        <v>74</v>
      </c>
      <c r="L633" s="1" t="s">
        <v>74</v>
      </c>
      <c r="M633" s="1" t="s">
        <v>74</v>
      </c>
      <c r="N633" s="1" t="s">
        <v>74</v>
      </c>
      <c r="O633" s="1" t="s">
        <v>74</v>
      </c>
      <c r="P633" s="1" t="s">
        <v>74</v>
      </c>
      <c r="Q633" s="1" t="s">
        <v>74</v>
      </c>
      <c r="R633" s="1" t="s">
        <v>74</v>
      </c>
      <c r="S633" s="1" t="s">
        <v>74</v>
      </c>
      <c r="T633" s="1" t="s">
        <v>74</v>
      </c>
      <c r="U633" s="1" t="s">
        <v>74</v>
      </c>
      <c r="V633" s="1" t="s">
        <v>74</v>
      </c>
      <c r="W633" s="1" t="s">
        <v>74</v>
      </c>
      <c r="X633" s="1" t="s">
        <v>74</v>
      </c>
      <c r="Y633" s="1" t="s">
        <v>74</v>
      </c>
      <c r="Z633" s="1" t="s">
        <v>74</v>
      </c>
      <c r="AA633" s="1" t="s">
        <v>6488</v>
      </c>
      <c r="AB633" s="1" t="s">
        <v>74</v>
      </c>
      <c r="AC633" s="1" t="s">
        <v>74</v>
      </c>
      <c r="AD633" s="1" t="s">
        <v>74</v>
      </c>
      <c r="AE633" s="1" t="s">
        <v>74</v>
      </c>
      <c r="AF633" s="1" t="s">
        <v>74</v>
      </c>
      <c r="AG633" s="1" t="s">
        <v>74</v>
      </c>
      <c r="AH633" s="1" t="s">
        <v>74</v>
      </c>
      <c r="AI633" s="1" t="s">
        <v>74</v>
      </c>
      <c r="AJ633" s="1" t="s">
        <v>74</v>
      </c>
      <c r="AK633" s="1" t="s">
        <v>74</v>
      </c>
      <c r="AL633" s="1" t="s">
        <v>74</v>
      </c>
      <c r="AM633" s="1" t="s">
        <v>74</v>
      </c>
      <c r="AN633" s="1" t="s">
        <v>74</v>
      </c>
      <c r="AO633" s="1" t="s">
        <v>2917</v>
      </c>
      <c r="AP633" s="1" t="s">
        <v>74</v>
      </c>
      <c r="AQ633" s="1" t="s">
        <v>74</v>
      </c>
      <c r="AR633" s="1" t="s">
        <v>74</v>
      </c>
      <c r="AS633" s="1" t="s">
        <v>74</v>
      </c>
      <c r="AT633" s="1" t="s">
        <v>74</v>
      </c>
      <c r="AU633" s="1">
        <v>2005.0</v>
      </c>
      <c r="AV633" s="1">
        <v>61.0</v>
      </c>
      <c r="AW633" s="1" t="s">
        <v>74</v>
      </c>
      <c r="AX633" s="1" t="s">
        <v>74</v>
      </c>
      <c r="AY633" s="1" t="s">
        <v>1313</v>
      </c>
      <c r="AZ633" s="1" t="s">
        <v>74</v>
      </c>
      <c r="BA633" s="1" t="s">
        <v>6489</v>
      </c>
      <c r="BB633" s="1" t="s">
        <v>6490</v>
      </c>
      <c r="BC633" s="1" t="s">
        <v>6490</v>
      </c>
      <c r="BD633" s="1" t="s">
        <v>74</v>
      </c>
      <c r="BE633" s="1" t="s">
        <v>6491</v>
      </c>
      <c r="BF633" s="2" t="str">
        <f>HYPERLINK("http://dx.doi.org/10.1107/S0108767305087428","http://dx.doi.org/10.1107/S0108767305087428")</f>
        <v>http://dx.doi.org/10.1107/S0108767305087428</v>
      </c>
      <c r="BG633" s="1" t="s">
        <v>74</v>
      </c>
      <c r="BH633" s="1" t="s">
        <v>74</v>
      </c>
      <c r="BI633" s="1" t="s">
        <v>74</v>
      </c>
      <c r="BJ633" s="1" t="s">
        <v>74</v>
      </c>
      <c r="BK633" s="1" t="s">
        <v>74</v>
      </c>
      <c r="BL633" s="1" t="s">
        <v>74</v>
      </c>
      <c r="BM633" s="1" t="s">
        <v>74</v>
      </c>
      <c r="BN633" s="1" t="s">
        <v>74</v>
      </c>
      <c r="BO633" s="1" t="s">
        <v>74</v>
      </c>
      <c r="BP633" s="1" t="s">
        <v>74</v>
      </c>
      <c r="BQ633" s="1" t="s">
        <v>74</v>
      </c>
      <c r="BR633" s="1" t="s">
        <v>74</v>
      </c>
      <c r="BS633" s="1" t="s">
        <v>6492</v>
      </c>
      <c r="BT633" s="1" t="str">
        <f>HYPERLINK("https%3A%2F%2Fwww.webofscience.com%2Fwos%2Fwoscc%2Ffull-record%2FWOS:000478085801487","View Full Record in Web of Science")</f>
        <v>View Full Record in Web of Science</v>
      </c>
    </row>
    <row r="634" ht="12.75" customHeight="1">
      <c r="A634" s="1" t="s">
        <v>72</v>
      </c>
      <c r="B634" s="1" t="s">
        <v>6493</v>
      </c>
      <c r="C634" s="1" t="s">
        <v>74</v>
      </c>
      <c r="D634" s="1" t="s">
        <v>74</v>
      </c>
      <c r="E634" s="1" t="s">
        <v>74</v>
      </c>
      <c r="F634" s="1" t="s">
        <v>6493</v>
      </c>
      <c r="G634" s="1" t="s">
        <v>74</v>
      </c>
      <c r="H634" s="1" t="s">
        <v>74</v>
      </c>
      <c r="I634" s="1" t="s">
        <v>6494</v>
      </c>
      <c r="J634" s="1" t="s">
        <v>6495</v>
      </c>
      <c r="K634" s="1" t="s">
        <v>74</v>
      </c>
      <c r="L634" s="1" t="s">
        <v>74</v>
      </c>
      <c r="M634" s="1" t="s">
        <v>74</v>
      </c>
      <c r="N634" s="1" t="s">
        <v>74</v>
      </c>
      <c r="O634" s="1" t="s">
        <v>74</v>
      </c>
      <c r="P634" s="1" t="s">
        <v>74</v>
      </c>
      <c r="Q634" s="1" t="s">
        <v>74</v>
      </c>
      <c r="R634" s="1" t="s">
        <v>74</v>
      </c>
      <c r="S634" s="1" t="s">
        <v>74</v>
      </c>
      <c r="T634" s="1" t="s">
        <v>74</v>
      </c>
      <c r="U634" s="1" t="s">
        <v>74</v>
      </c>
      <c r="V634" s="1" t="s">
        <v>6496</v>
      </c>
      <c r="W634" s="1" t="s">
        <v>74</v>
      </c>
      <c r="X634" s="1" t="s">
        <v>74</v>
      </c>
      <c r="Y634" s="1" t="s">
        <v>74</v>
      </c>
      <c r="Z634" s="1" t="s">
        <v>74</v>
      </c>
      <c r="AA634" s="1" t="s">
        <v>6497</v>
      </c>
      <c r="AB634" s="1" t="s">
        <v>2975</v>
      </c>
      <c r="AC634" s="1" t="s">
        <v>74</v>
      </c>
      <c r="AD634" s="1" t="s">
        <v>74</v>
      </c>
      <c r="AE634" s="1" t="s">
        <v>74</v>
      </c>
      <c r="AF634" s="1" t="s">
        <v>74</v>
      </c>
      <c r="AG634" s="1" t="s">
        <v>74</v>
      </c>
      <c r="AH634" s="1" t="s">
        <v>74</v>
      </c>
      <c r="AI634" s="1" t="s">
        <v>74</v>
      </c>
      <c r="AJ634" s="1" t="s">
        <v>74</v>
      </c>
      <c r="AK634" s="1" t="s">
        <v>74</v>
      </c>
      <c r="AL634" s="1" t="s">
        <v>74</v>
      </c>
      <c r="AM634" s="1" t="s">
        <v>74</v>
      </c>
      <c r="AN634" s="1" t="s">
        <v>74</v>
      </c>
      <c r="AO634" s="1" t="s">
        <v>6498</v>
      </c>
      <c r="AP634" s="1" t="s">
        <v>74</v>
      </c>
      <c r="AQ634" s="1" t="s">
        <v>74</v>
      </c>
      <c r="AR634" s="1" t="s">
        <v>74</v>
      </c>
      <c r="AS634" s="1" t="s">
        <v>74</v>
      </c>
      <c r="AT634" s="1" t="s">
        <v>622</v>
      </c>
      <c r="AU634" s="1">
        <v>2001.0</v>
      </c>
      <c r="AV634" s="1">
        <v>416.0</v>
      </c>
      <c r="AW634" s="1" t="s">
        <v>527</v>
      </c>
      <c r="AX634" s="1" t="s">
        <v>74</v>
      </c>
      <c r="AY634" s="1" t="s">
        <v>74</v>
      </c>
      <c r="AZ634" s="1" t="s">
        <v>74</v>
      </c>
      <c r="BA634" s="1" t="s">
        <v>74</v>
      </c>
      <c r="BB634" s="1">
        <v>51.0</v>
      </c>
      <c r="BC634" s="1">
        <v>57.0</v>
      </c>
      <c r="BD634" s="1" t="s">
        <v>74</v>
      </c>
      <c r="BE634" s="1" t="s">
        <v>6499</v>
      </c>
      <c r="BF634" s="2" t="str">
        <f>HYPERLINK("http://dx.doi.org/10.1016/S0014-2999(01)00848-2","http://dx.doi.org/10.1016/S0014-2999(01)00848-2")</f>
        <v>http://dx.doi.org/10.1016/S0014-2999(01)00848-2</v>
      </c>
      <c r="BG634" s="1" t="s">
        <v>74</v>
      </c>
      <c r="BH634" s="1" t="s">
        <v>74</v>
      </c>
      <c r="BI634" s="1" t="s">
        <v>74</v>
      </c>
      <c r="BJ634" s="1" t="s">
        <v>74</v>
      </c>
      <c r="BK634" s="1" t="s">
        <v>74</v>
      </c>
      <c r="BL634" s="1" t="s">
        <v>74</v>
      </c>
      <c r="BM634" s="1" t="s">
        <v>74</v>
      </c>
      <c r="BN634" s="1">
        <v>1.1282112E7</v>
      </c>
      <c r="BO634" s="1" t="s">
        <v>74</v>
      </c>
      <c r="BP634" s="1" t="s">
        <v>74</v>
      </c>
      <c r="BQ634" s="1" t="s">
        <v>74</v>
      </c>
      <c r="BR634" s="1" t="s">
        <v>74</v>
      </c>
      <c r="BS634" s="1" t="s">
        <v>6500</v>
      </c>
      <c r="BT634" s="1" t="str">
        <f>HYPERLINK("https%3A%2F%2Fwww.webofscience.com%2Fwos%2Fwoscc%2Ffull-record%2FWOS:000167954900007","View Full Record in Web of Science")</f>
        <v>View Full Record in Web of Science</v>
      </c>
    </row>
    <row r="635" ht="12.75" customHeight="1">
      <c r="A635" s="1" t="s">
        <v>72</v>
      </c>
      <c r="B635" s="1" t="s">
        <v>6501</v>
      </c>
      <c r="C635" s="1" t="s">
        <v>74</v>
      </c>
      <c r="D635" s="1" t="s">
        <v>74</v>
      </c>
      <c r="E635" s="1" t="s">
        <v>74</v>
      </c>
      <c r="F635" s="1" t="s">
        <v>6501</v>
      </c>
      <c r="G635" s="1" t="s">
        <v>74</v>
      </c>
      <c r="H635" s="1" t="s">
        <v>74</v>
      </c>
      <c r="I635" s="1" t="s">
        <v>6502</v>
      </c>
      <c r="J635" s="1" t="s">
        <v>6503</v>
      </c>
      <c r="K635" s="1" t="s">
        <v>74</v>
      </c>
      <c r="L635" s="1" t="s">
        <v>74</v>
      </c>
      <c r="M635" s="1" t="s">
        <v>74</v>
      </c>
      <c r="N635" s="1" t="s">
        <v>74</v>
      </c>
      <c r="O635" s="1" t="s">
        <v>74</v>
      </c>
      <c r="P635" s="1" t="s">
        <v>74</v>
      </c>
      <c r="Q635" s="1" t="s">
        <v>74</v>
      </c>
      <c r="R635" s="1" t="s">
        <v>74</v>
      </c>
      <c r="S635" s="1" t="s">
        <v>74</v>
      </c>
      <c r="T635" s="1" t="s">
        <v>74</v>
      </c>
      <c r="U635" s="1" t="s">
        <v>74</v>
      </c>
      <c r="V635" s="1" t="s">
        <v>6504</v>
      </c>
      <c r="W635" s="1" t="s">
        <v>74</v>
      </c>
      <c r="X635" s="1" t="s">
        <v>74</v>
      </c>
      <c r="Y635" s="1" t="s">
        <v>74</v>
      </c>
      <c r="Z635" s="1" t="s">
        <v>74</v>
      </c>
      <c r="AA635" s="1" t="s">
        <v>74</v>
      </c>
      <c r="AB635" s="1" t="s">
        <v>74</v>
      </c>
      <c r="AC635" s="1" t="s">
        <v>74</v>
      </c>
      <c r="AD635" s="1" t="s">
        <v>74</v>
      </c>
      <c r="AE635" s="1" t="s">
        <v>74</v>
      </c>
      <c r="AF635" s="1" t="s">
        <v>74</v>
      </c>
      <c r="AG635" s="1" t="s">
        <v>74</v>
      </c>
      <c r="AH635" s="1" t="s">
        <v>74</v>
      </c>
      <c r="AI635" s="1" t="s">
        <v>74</v>
      </c>
      <c r="AJ635" s="1" t="s">
        <v>74</v>
      </c>
      <c r="AK635" s="1" t="s">
        <v>74</v>
      </c>
      <c r="AL635" s="1" t="s">
        <v>74</v>
      </c>
      <c r="AM635" s="1" t="s">
        <v>74</v>
      </c>
      <c r="AN635" s="1" t="s">
        <v>74</v>
      </c>
      <c r="AO635" s="1" t="s">
        <v>6505</v>
      </c>
      <c r="AP635" s="1" t="s">
        <v>74</v>
      </c>
      <c r="AQ635" s="1" t="s">
        <v>74</v>
      </c>
      <c r="AR635" s="1" t="s">
        <v>74</v>
      </c>
      <c r="AS635" s="1" t="s">
        <v>74</v>
      </c>
      <c r="AT635" s="1" t="s">
        <v>1213</v>
      </c>
      <c r="AU635" s="1">
        <v>1992.0</v>
      </c>
      <c r="AV635" s="1">
        <v>193.0</v>
      </c>
      <c r="AW635" s="1">
        <v>3.0</v>
      </c>
      <c r="AX635" s="1" t="s">
        <v>74</v>
      </c>
      <c r="AY635" s="1" t="s">
        <v>74</v>
      </c>
      <c r="AZ635" s="1" t="s">
        <v>74</v>
      </c>
      <c r="BA635" s="1" t="s">
        <v>74</v>
      </c>
      <c r="BB635" s="1">
        <v>593.0</v>
      </c>
      <c r="BC635" s="1">
        <v>599.0</v>
      </c>
      <c r="BD635" s="1" t="s">
        <v>74</v>
      </c>
      <c r="BE635" s="1" t="s">
        <v>74</v>
      </c>
      <c r="BF635" s="1" t="s">
        <v>74</v>
      </c>
      <c r="BG635" s="1" t="s">
        <v>74</v>
      </c>
      <c r="BH635" s="1" t="s">
        <v>74</v>
      </c>
      <c r="BI635" s="1" t="s">
        <v>74</v>
      </c>
      <c r="BJ635" s="1" t="s">
        <v>74</v>
      </c>
      <c r="BK635" s="1" t="s">
        <v>74</v>
      </c>
      <c r="BL635" s="1" t="s">
        <v>74</v>
      </c>
      <c r="BM635" s="1" t="s">
        <v>74</v>
      </c>
      <c r="BN635" s="1" t="s">
        <v>74</v>
      </c>
      <c r="BO635" s="1" t="s">
        <v>74</v>
      </c>
      <c r="BP635" s="1" t="s">
        <v>74</v>
      </c>
      <c r="BQ635" s="1" t="s">
        <v>74</v>
      </c>
      <c r="BR635" s="1" t="s">
        <v>74</v>
      </c>
      <c r="BS635" s="1" t="s">
        <v>6506</v>
      </c>
      <c r="BT635" s="1" t="str">
        <f>HYPERLINK("https%3A%2F%2Fwww.webofscience.com%2Fwos%2Fwoscc%2Ffull-record%2FWOS:A1992HL02800004","View Full Record in Web of Science")</f>
        <v>View Full Record in Web of Science</v>
      </c>
    </row>
    <row r="636" ht="12.75" customHeight="1">
      <c r="A636" s="1" t="s">
        <v>72</v>
      </c>
      <c r="B636" s="1" t="s">
        <v>6507</v>
      </c>
      <c r="C636" s="1" t="s">
        <v>74</v>
      </c>
      <c r="D636" s="1" t="s">
        <v>74</v>
      </c>
      <c r="E636" s="1" t="s">
        <v>74</v>
      </c>
      <c r="F636" s="1" t="s">
        <v>6508</v>
      </c>
      <c r="G636" s="1" t="s">
        <v>74</v>
      </c>
      <c r="H636" s="1" t="s">
        <v>74</v>
      </c>
      <c r="I636" s="1" t="s">
        <v>6509</v>
      </c>
      <c r="J636" s="1" t="s">
        <v>2103</v>
      </c>
      <c r="K636" s="1" t="s">
        <v>74</v>
      </c>
      <c r="L636" s="1" t="s">
        <v>74</v>
      </c>
      <c r="M636" s="1" t="s">
        <v>74</v>
      </c>
      <c r="N636" s="1" t="s">
        <v>74</v>
      </c>
      <c r="O636" s="1" t="s">
        <v>74</v>
      </c>
      <c r="P636" s="1" t="s">
        <v>74</v>
      </c>
      <c r="Q636" s="1" t="s">
        <v>74</v>
      </c>
      <c r="R636" s="1" t="s">
        <v>74</v>
      </c>
      <c r="S636" s="1" t="s">
        <v>74</v>
      </c>
      <c r="T636" s="1" t="s">
        <v>74</v>
      </c>
      <c r="U636" s="1" t="s">
        <v>74</v>
      </c>
      <c r="V636" s="1" t="s">
        <v>6510</v>
      </c>
      <c r="W636" s="1" t="s">
        <v>74</v>
      </c>
      <c r="X636" s="1" t="s">
        <v>74</v>
      </c>
      <c r="Y636" s="1" t="s">
        <v>74</v>
      </c>
      <c r="Z636" s="1" t="s">
        <v>74</v>
      </c>
      <c r="AA636" s="1" t="s">
        <v>6511</v>
      </c>
      <c r="AB636" s="1" t="s">
        <v>6512</v>
      </c>
      <c r="AC636" s="1" t="s">
        <v>74</v>
      </c>
      <c r="AD636" s="1" t="s">
        <v>74</v>
      </c>
      <c r="AE636" s="1" t="s">
        <v>74</v>
      </c>
      <c r="AF636" s="1" t="s">
        <v>74</v>
      </c>
      <c r="AG636" s="1" t="s">
        <v>74</v>
      </c>
      <c r="AH636" s="1" t="s">
        <v>74</v>
      </c>
      <c r="AI636" s="1" t="s">
        <v>74</v>
      </c>
      <c r="AJ636" s="1" t="s">
        <v>74</v>
      </c>
      <c r="AK636" s="1" t="s">
        <v>74</v>
      </c>
      <c r="AL636" s="1" t="s">
        <v>74</v>
      </c>
      <c r="AM636" s="1" t="s">
        <v>74</v>
      </c>
      <c r="AN636" s="1" t="s">
        <v>74</v>
      </c>
      <c r="AO636" s="1" t="s">
        <v>74</v>
      </c>
      <c r="AP636" s="1" t="s">
        <v>2107</v>
      </c>
      <c r="AQ636" s="1" t="s">
        <v>74</v>
      </c>
      <c r="AR636" s="1" t="s">
        <v>74</v>
      </c>
      <c r="AS636" s="1" t="s">
        <v>74</v>
      </c>
      <c r="AT636" s="1" t="s">
        <v>2006</v>
      </c>
      <c r="AU636" s="1">
        <v>2024.0</v>
      </c>
      <c r="AV636" s="1">
        <v>15.0</v>
      </c>
      <c r="AW636" s="1" t="s">
        <v>74</v>
      </c>
      <c r="AX636" s="1" t="s">
        <v>74</v>
      </c>
      <c r="AY636" s="1" t="s">
        <v>74</v>
      </c>
      <c r="AZ636" s="1" t="s">
        <v>74</v>
      </c>
      <c r="BA636" s="1" t="s">
        <v>74</v>
      </c>
      <c r="BB636" s="1" t="s">
        <v>74</v>
      </c>
      <c r="BC636" s="1" t="s">
        <v>74</v>
      </c>
      <c r="BD636" s="1">
        <v>1484387.0</v>
      </c>
      <c r="BE636" s="1" t="s">
        <v>6513</v>
      </c>
      <c r="BF636" s="2" t="str">
        <f>HYPERLINK("http://dx.doi.org/10.3389/fphar.2024.1484387","http://dx.doi.org/10.3389/fphar.2024.1484387")</f>
        <v>http://dx.doi.org/10.3389/fphar.2024.1484387</v>
      </c>
      <c r="BG636" s="1" t="s">
        <v>74</v>
      </c>
      <c r="BH636" s="1" t="s">
        <v>74</v>
      </c>
      <c r="BI636" s="1" t="s">
        <v>74</v>
      </c>
      <c r="BJ636" s="1" t="s">
        <v>74</v>
      </c>
      <c r="BK636" s="1" t="s">
        <v>74</v>
      </c>
      <c r="BL636" s="1" t="s">
        <v>74</v>
      </c>
      <c r="BM636" s="1" t="s">
        <v>74</v>
      </c>
      <c r="BN636" s="1">
        <v>3.9703391E7</v>
      </c>
      <c r="BO636" s="1" t="s">
        <v>74</v>
      </c>
      <c r="BP636" s="1" t="s">
        <v>74</v>
      </c>
      <c r="BQ636" s="1" t="s">
        <v>74</v>
      </c>
      <c r="BR636" s="1" t="s">
        <v>74</v>
      </c>
      <c r="BS636" s="1" t="s">
        <v>6514</v>
      </c>
      <c r="BT636" s="1" t="str">
        <f>HYPERLINK("https%3A%2F%2Fwww.webofscience.com%2Fwos%2Fwoscc%2Ffull-record%2FWOS:001380611700001","View Full Record in Web of Science")</f>
        <v>View Full Record in Web of Science</v>
      </c>
    </row>
    <row r="637" ht="12.75" customHeight="1">
      <c r="A637" s="1" t="s">
        <v>72</v>
      </c>
      <c r="B637" s="1" t="s">
        <v>6515</v>
      </c>
      <c r="C637" s="1" t="s">
        <v>74</v>
      </c>
      <c r="D637" s="1" t="s">
        <v>74</v>
      </c>
      <c r="E637" s="1" t="s">
        <v>74</v>
      </c>
      <c r="F637" s="1" t="s">
        <v>6516</v>
      </c>
      <c r="G637" s="1" t="s">
        <v>74</v>
      </c>
      <c r="H637" s="1" t="s">
        <v>74</v>
      </c>
      <c r="I637" s="1" t="s">
        <v>6517</v>
      </c>
      <c r="J637" s="1" t="s">
        <v>6518</v>
      </c>
      <c r="K637" s="1" t="s">
        <v>74</v>
      </c>
      <c r="L637" s="1" t="s">
        <v>74</v>
      </c>
      <c r="M637" s="1" t="s">
        <v>74</v>
      </c>
      <c r="N637" s="1" t="s">
        <v>74</v>
      </c>
      <c r="O637" s="1" t="s">
        <v>74</v>
      </c>
      <c r="P637" s="1" t="s">
        <v>74</v>
      </c>
      <c r="Q637" s="1" t="s">
        <v>74</v>
      </c>
      <c r="R637" s="1" t="s">
        <v>74</v>
      </c>
      <c r="S637" s="1" t="s">
        <v>74</v>
      </c>
      <c r="T637" s="1" t="s">
        <v>74</v>
      </c>
      <c r="U637" s="1" t="s">
        <v>74</v>
      </c>
      <c r="V637" s="1" t="s">
        <v>6519</v>
      </c>
      <c r="W637" s="1" t="s">
        <v>74</v>
      </c>
      <c r="X637" s="1" t="s">
        <v>74</v>
      </c>
      <c r="Y637" s="1" t="s">
        <v>74</v>
      </c>
      <c r="Z637" s="1" t="s">
        <v>74</v>
      </c>
      <c r="AA637" s="1" t="s">
        <v>6520</v>
      </c>
      <c r="AB637" s="1" t="s">
        <v>6521</v>
      </c>
      <c r="AC637" s="1" t="s">
        <v>74</v>
      </c>
      <c r="AD637" s="1" t="s">
        <v>74</v>
      </c>
      <c r="AE637" s="1" t="s">
        <v>74</v>
      </c>
      <c r="AF637" s="1" t="s">
        <v>74</v>
      </c>
      <c r="AG637" s="1" t="s">
        <v>74</v>
      </c>
      <c r="AH637" s="1" t="s">
        <v>74</v>
      </c>
      <c r="AI637" s="1" t="s">
        <v>74</v>
      </c>
      <c r="AJ637" s="1" t="s">
        <v>74</v>
      </c>
      <c r="AK637" s="1" t="s">
        <v>74</v>
      </c>
      <c r="AL637" s="1" t="s">
        <v>74</v>
      </c>
      <c r="AM637" s="1" t="s">
        <v>74</v>
      </c>
      <c r="AN637" s="1" t="s">
        <v>74</v>
      </c>
      <c r="AO637" s="1" t="s">
        <v>6522</v>
      </c>
      <c r="AP637" s="1" t="s">
        <v>6523</v>
      </c>
      <c r="AQ637" s="1" t="s">
        <v>74</v>
      </c>
      <c r="AR637" s="1" t="s">
        <v>74</v>
      </c>
      <c r="AS637" s="1" t="s">
        <v>74</v>
      </c>
      <c r="AT637" s="1" t="s">
        <v>6212</v>
      </c>
      <c r="AU637" s="1">
        <v>2024.0</v>
      </c>
      <c r="AV637" s="1">
        <v>55.0</v>
      </c>
      <c r="AW637" s="1">
        <v>13.0</v>
      </c>
      <c r="AX637" s="1" t="s">
        <v>74</v>
      </c>
      <c r="AY637" s="1" t="s">
        <v>74</v>
      </c>
      <c r="AZ637" s="1" t="s">
        <v>74</v>
      </c>
      <c r="BA637" s="1" t="s">
        <v>74</v>
      </c>
      <c r="BB637" s="1">
        <v>2646.0</v>
      </c>
      <c r="BC637" s="1">
        <v>2658.0</v>
      </c>
      <c r="BD637" s="1" t="s">
        <v>74</v>
      </c>
      <c r="BE637" s="1" t="s">
        <v>6524</v>
      </c>
      <c r="BF637" s="2" t="str">
        <f>HYPERLINK("http://dx.doi.org/10.1080/00207721.2024.2344049","http://dx.doi.org/10.1080/00207721.2024.2344049")</f>
        <v>http://dx.doi.org/10.1080/00207721.2024.2344049</v>
      </c>
      <c r="BG637" s="1" t="s">
        <v>74</v>
      </c>
      <c r="BH637" s="1" t="s">
        <v>4786</v>
      </c>
      <c r="BI637" s="1" t="s">
        <v>74</v>
      </c>
      <c r="BJ637" s="1" t="s">
        <v>74</v>
      </c>
      <c r="BK637" s="1" t="s">
        <v>74</v>
      </c>
      <c r="BL637" s="1" t="s">
        <v>74</v>
      </c>
      <c r="BM637" s="1" t="s">
        <v>74</v>
      </c>
      <c r="BN637" s="1" t="s">
        <v>74</v>
      </c>
      <c r="BO637" s="1" t="s">
        <v>74</v>
      </c>
      <c r="BP637" s="1" t="s">
        <v>74</v>
      </c>
      <c r="BQ637" s="1" t="s">
        <v>74</v>
      </c>
      <c r="BR637" s="1" t="s">
        <v>74</v>
      </c>
      <c r="BS637" s="1" t="s">
        <v>6525</v>
      </c>
      <c r="BT637" s="1" t="str">
        <f>HYPERLINK("https%3A%2F%2Fwww.webofscience.com%2Fwos%2Fwoscc%2Ffull-record%2FWOS:001208159100001","View Full Record in Web of Science")</f>
        <v>View Full Record in Web of Science</v>
      </c>
    </row>
    <row r="638" ht="12.75" customHeight="1">
      <c r="A638" s="1" t="s">
        <v>72</v>
      </c>
      <c r="B638" s="1" t="s">
        <v>6526</v>
      </c>
      <c r="C638" s="1" t="s">
        <v>74</v>
      </c>
      <c r="D638" s="1" t="s">
        <v>74</v>
      </c>
      <c r="E638" s="1" t="s">
        <v>74</v>
      </c>
      <c r="F638" s="1" t="s">
        <v>6527</v>
      </c>
      <c r="G638" s="1" t="s">
        <v>74</v>
      </c>
      <c r="H638" s="1" t="s">
        <v>74</v>
      </c>
      <c r="I638" s="1" t="s">
        <v>6528</v>
      </c>
      <c r="J638" s="1" t="s">
        <v>6529</v>
      </c>
      <c r="K638" s="1" t="s">
        <v>74</v>
      </c>
      <c r="L638" s="1" t="s">
        <v>74</v>
      </c>
      <c r="M638" s="1" t="s">
        <v>74</v>
      </c>
      <c r="N638" s="1" t="s">
        <v>74</v>
      </c>
      <c r="O638" s="1" t="s">
        <v>74</v>
      </c>
      <c r="P638" s="1" t="s">
        <v>74</v>
      </c>
      <c r="Q638" s="1" t="s">
        <v>74</v>
      </c>
      <c r="R638" s="1" t="s">
        <v>74</v>
      </c>
      <c r="S638" s="1" t="s">
        <v>74</v>
      </c>
      <c r="T638" s="1" t="s">
        <v>74</v>
      </c>
      <c r="U638" s="1" t="s">
        <v>74</v>
      </c>
      <c r="V638" s="1" t="s">
        <v>6530</v>
      </c>
      <c r="W638" s="1" t="s">
        <v>74</v>
      </c>
      <c r="X638" s="1" t="s">
        <v>74</v>
      </c>
      <c r="Y638" s="1" t="s">
        <v>74</v>
      </c>
      <c r="Z638" s="1" t="s">
        <v>74</v>
      </c>
      <c r="AA638" s="1" t="s">
        <v>74</v>
      </c>
      <c r="AB638" s="1" t="s">
        <v>6531</v>
      </c>
      <c r="AC638" s="1" t="s">
        <v>74</v>
      </c>
      <c r="AD638" s="1" t="s">
        <v>74</v>
      </c>
      <c r="AE638" s="1" t="s">
        <v>74</v>
      </c>
      <c r="AF638" s="1" t="s">
        <v>74</v>
      </c>
      <c r="AG638" s="1" t="s">
        <v>74</v>
      </c>
      <c r="AH638" s="1" t="s">
        <v>74</v>
      </c>
      <c r="AI638" s="1" t="s">
        <v>74</v>
      </c>
      <c r="AJ638" s="1" t="s">
        <v>74</v>
      </c>
      <c r="AK638" s="1" t="s">
        <v>74</v>
      </c>
      <c r="AL638" s="1" t="s">
        <v>74</v>
      </c>
      <c r="AM638" s="1" t="s">
        <v>74</v>
      </c>
      <c r="AN638" s="1" t="s">
        <v>74</v>
      </c>
      <c r="AO638" s="1" t="s">
        <v>6532</v>
      </c>
      <c r="AP638" s="1" t="s">
        <v>6533</v>
      </c>
      <c r="AQ638" s="1" t="s">
        <v>74</v>
      </c>
      <c r="AR638" s="1" t="s">
        <v>74</v>
      </c>
      <c r="AS638" s="1" t="s">
        <v>74</v>
      </c>
      <c r="AT638" s="1" t="s">
        <v>164</v>
      </c>
      <c r="AU638" s="1">
        <v>2024.0</v>
      </c>
      <c r="AV638" s="1">
        <v>338.0</v>
      </c>
      <c r="AW638" s="1">
        <v>1.0</v>
      </c>
      <c r="AX638" s="1" t="s">
        <v>74</v>
      </c>
      <c r="AY638" s="1" t="s">
        <v>74</v>
      </c>
      <c r="AZ638" s="1" t="s">
        <v>1416</v>
      </c>
      <c r="BA638" s="1" t="s">
        <v>74</v>
      </c>
      <c r="BB638" s="1">
        <v>335.0</v>
      </c>
      <c r="BC638" s="1">
        <v>345.0</v>
      </c>
      <c r="BD638" s="1" t="s">
        <v>74</v>
      </c>
      <c r="BE638" s="1" t="s">
        <v>6534</v>
      </c>
      <c r="BF638" s="2" t="str">
        <f>HYPERLINK("http://dx.doi.org/10.1007/s10479-023-05801-9","http://dx.doi.org/10.1007/s10479-023-05801-9")</f>
        <v>http://dx.doi.org/10.1007/s10479-023-05801-9</v>
      </c>
      <c r="BG638" s="1" t="s">
        <v>74</v>
      </c>
      <c r="BH638" s="1" t="s">
        <v>6535</v>
      </c>
      <c r="BI638" s="1" t="s">
        <v>74</v>
      </c>
      <c r="BJ638" s="1" t="s">
        <v>74</v>
      </c>
      <c r="BK638" s="1" t="s">
        <v>74</v>
      </c>
      <c r="BL638" s="1" t="s">
        <v>74</v>
      </c>
      <c r="BM638" s="1" t="s">
        <v>74</v>
      </c>
      <c r="BN638" s="1" t="s">
        <v>74</v>
      </c>
      <c r="BO638" s="1" t="s">
        <v>74</v>
      </c>
      <c r="BP638" s="1" t="s">
        <v>74</v>
      </c>
      <c r="BQ638" s="1" t="s">
        <v>74</v>
      </c>
      <c r="BR638" s="1" t="s">
        <v>74</v>
      </c>
      <c r="BS638" s="1" t="s">
        <v>6536</v>
      </c>
      <c r="BT638" s="1" t="str">
        <f>HYPERLINK("https%3A%2F%2Fwww.webofscience.com%2Fwos%2Fwoscc%2Ffull-record%2FWOS:001147645000001","View Full Record in Web of Science")</f>
        <v>View Full Record in Web of Science</v>
      </c>
    </row>
    <row r="639" ht="12.75" customHeight="1">
      <c r="A639" s="1" t="s">
        <v>72</v>
      </c>
      <c r="B639" s="1" t="s">
        <v>6537</v>
      </c>
      <c r="C639" s="1" t="s">
        <v>74</v>
      </c>
      <c r="D639" s="1" t="s">
        <v>74</v>
      </c>
      <c r="E639" s="1" t="s">
        <v>74</v>
      </c>
      <c r="F639" s="1" t="s">
        <v>6538</v>
      </c>
      <c r="G639" s="1" t="s">
        <v>74</v>
      </c>
      <c r="H639" s="1" t="s">
        <v>74</v>
      </c>
      <c r="I639" s="1" t="s">
        <v>6539</v>
      </c>
      <c r="J639" s="1" t="s">
        <v>6540</v>
      </c>
      <c r="K639" s="1" t="s">
        <v>74</v>
      </c>
      <c r="L639" s="1" t="s">
        <v>74</v>
      </c>
      <c r="M639" s="1" t="s">
        <v>74</v>
      </c>
      <c r="N639" s="1" t="s">
        <v>74</v>
      </c>
      <c r="O639" s="1" t="s">
        <v>74</v>
      </c>
      <c r="P639" s="1" t="s">
        <v>74</v>
      </c>
      <c r="Q639" s="1" t="s">
        <v>74</v>
      </c>
      <c r="R639" s="1" t="s">
        <v>74</v>
      </c>
      <c r="S639" s="1" t="s">
        <v>74</v>
      </c>
      <c r="T639" s="1" t="s">
        <v>74</v>
      </c>
      <c r="U639" s="1" t="s">
        <v>74</v>
      </c>
      <c r="V639" s="1" t="s">
        <v>6541</v>
      </c>
      <c r="W639" s="1" t="s">
        <v>74</v>
      </c>
      <c r="X639" s="1" t="s">
        <v>74</v>
      </c>
      <c r="Y639" s="1" t="s">
        <v>74</v>
      </c>
      <c r="Z639" s="1" t="s">
        <v>74</v>
      </c>
      <c r="AA639" s="1" t="s">
        <v>6542</v>
      </c>
      <c r="AB639" s="1" t="s">
        <v>6543</v>
      </c>
      <c r="AC639" s="1" t="s">
        <v>74</v>
      </c>
      <c r="AD639" s="1" t="s">
        <v>74</v>
      </c>
      <c r="AE639" s="1" t="s">
        <v>74</v>
      </c>
      <c r="AF639" s="1" t="s">
        <v>74</v>
      </c>
      <c r="AG639" s="1" t="s">
        <v>74</v>
      </c>
      <c r="AH639" s="1" t="s">
        <v>74</v>
      </c>
      <c r="AI639" s="1" t="s">
        <v>74</v>
      </c>
      <c r="AJ639" s="1" t="s">
        <v>74</v>
      </c>
      <c r="AK639" s="1" t="s">
        <v>74</v>
      </c>
      <c r="AL639" s="1" t="s">
        <v>74</v>
      </c>
      <c r="AM639" s="1" t="s">
        <v>74</v>
      </c>
      <c r="AN639" s="1" t="s">
        <v>74</v>
      </c>
      <c r="AO639" s="1" t="s">
        <v>6544</v>
      </c>
      <c r="AP639" s="1" t="s">
        <v>6545</v>
      </c>
      <c r="AQ639" s="1" t="s">
        <v>74</v>
      </c>
      <c r="AR639" s="1" t="s">
        <v>74</v>
      </c>
      <c r="AS639" s="1" t="s">
        <v>74</v>
      </c>
      <c r="AT639" s="1" t="s">
        <v>201</v>
      </c>
      <c r="AU639" s="1">
        <v>2023.0</v>
      </c>
      <c r="AV639" s="1">
        <v>193.0</v>
      </c>
      <c r="AW639" s="1" t="s">
        <v>74</v>
      </c>
      <c r="AX639" s="1" t="s">
        <v>74</v>
      </c>
      <c r="AY639" s="1" t="s">
        <v>74</v>
      </c>
      <c r="AZ639" s="1" t="s">
        <v>74</v>
      </c>
      <c r="BA639" s="1" t="s">
        <v>74</v>
      </c>
      <c r="BB639" s="1" t="s">
        <v>74</v>
      </c>
      <c r="BC639" s="1" t="s">
        <v>74</v>
      </c>
      <c r="BD639" s="1">
        <v>109022.0</v>
      </c>
      <c r="BE639" s="1" t="s">
        <v>6546</v>
      </c>
      <c r="BF639" s="2" t="str">
        <f>HYPERLINK("http://dx.doi.org/10.1016/j.microc.2023.109022","http://dx.doi.org/10.1016/j.microc.2023.109022")</f>
        <v>http://dx.doi.org/10.1016/j.microc.2023.109022</v>
      </c>
      <c r="BG639" s="1" t="s">
        <v>74</v>
      </c>
      <c r="BH639" s="1" t="s">
        <v>2425</v>
      </c>
      <c r="BI639" s="1" t="s">
        <v>74</v>
      </c>
      <c r="BJ639" s="1" t="s">
        <v>74</v>
      </c>
      <c r="BK639" s="1" t="s">
        <v>74</v>
      </c>
      <c r="BL639" s="1" t="s">
        <v>74</v>
      </c>
      <c r="BM639" s="1" t="s">
        <v>74</v>
      </c>
      <c r="BN639" s="1" t="s">
        <v>74</v>
      </c>
      <c r="BO639" s="1" t="s">
        <v>74</v>
      </c>
      <c r="BP639" s="1" t="s">
        <v>74</v>
      </c>
      <c r="BQ639" s="1" t="s">
        <v>74</v>
      </c>
      <c r="BR639" s="1" t="s">
        <v>74</v>
      </c>
      <c r="BS639" s="1" t="s">
        <v>6547</v>
      </c>
      <c r="BT639" s="1" t="str">
        <f>HYPERLINK("https%3A%2F%2Fwww.webofscience.com%2Fwos%2Fwoscc%2Ffull-record%2FWOS:001038622500001","View Full Record in Web of Science")</f>
        <v>View Full Record in Web of Science</v>
      </c>
    </row>
    <row r="640" ht="12.75" customHeight="1">
      <c r="A640" s="1" t="s">
        <v>72</v>
      </c>
      <c r="B640" s="1" t="s">
        <v>6548</v>
      </c>
      <c r="C640" s="1" t="s">
        <v>74</v>
      </c>
      <c r="D640" s="1" t="s">
        <v>74</v>
      </c>
      <c r="E640" s="1" t="s">
        <v>74</v>
      </c>
      <c r="F640" s="1" t="s">
        <v>6549</v>
      </c>
      <c r="G640" s="1" t="s">
        <v>74</v>
      </c>
      <c r="H640" s="1" t="s">
        <v>74</v>
      </c>
      <c r="I640" s="1" t="s">
        <v>6550</v>
      </c>
      <c r="J640" s="1" t="s">
        <v>4807</v>
      </c>
      <c r="K640" s="1" t="s">
        <v>74</v>
      </c>
      <c r="L640" s="1" t="s">
        <v>74</v>
      </c>
      <c r="M640" s="1" t="s">
        <v>74</v>
      </c>
      <c r="N640" s="1" t="s">
        <v>74</v>
      </c>
      <c r="O640" s="1" t="s">
        <v>74</v>
      </c>
      <c r="P640" s="1" t="s">
        <v>74</v>
      </c>
      <c r="Q640" s="1" t="s">
        <v>74</v>
      </c>
      <c r="R640" s="1" t="s">
        <v>74</v>
      </c>
      <c r="S640" s="1" t="s">
        <v>74</v>
      </c>
      <c r="T640" s="1" t="s">
        <v>74</v>
      </c>
      <c r="U640" s="1" t="s">
        <v>74</v>
      </c>
      <c r="V640" s="1" t="s">
        <v>6551</v>
      </c>
      <c r="W640" s="1" t="s">
        <v>74</v>
      </c>
      <c r="X640" s="1" t="s">
        <v>74</v>
      </c>
      <c r="Y640" s="1" t="s">
        <v>74</v>
      </c>
      <c r="Z640" s="1" t="s">
        <v>74</v>
      </c>
      <c r="AA640" s="1" t="s">
        <v>6552</v>
      </c>
      <c r="AB640" s="1" t="s">
        <v>6553</v>
      </c>
      <c r="AC640" s="1" t="s">
        <v>74</v>
      </c>
      <c r="AD640" s="1" t="s">
        <v>74</v>
      </c>
      <c r="AE640" s="1" t="s">
        <v>74</v>
      </c>
      <c r="AF640" s="1" t="s">
        <v>74</v>
      </c>
      <c r="AG640" s="1" t="s">
        <v>74</v>
      </c>
      <c r="AH640" s="1" t="s">
        <v>74</v>
      </c>
      <c r="AI640" s="1" t="s">
        <v>74</v>
      </c>
      <c r="AJ640" s="1" t="s">
        <v>74</v>
      </c>
      <c r="AK640" s="1" t="s">
        <v>74</v>
      </c>
      <c r="AL640" s="1" t="s">
        <v>74</v>
      </c>
      <c r="AM640" s="1" t="s">
        <v>74</v>
      </c>
      <c r="AN640" s="1" t="s">
        <v>74</v>
      </c>
      <c r="AO640" s="1" t="s">
        <v>74</v>
      </c>
      <c r="AP640" s="1" t="s">
        <v>4811</v>
      </c>
      <c r="AQ640" s="1" t="s">
        <v>74</v>
      </c>
      <c r="AR640" s="1" t="s">
        <v>74</v>
      </c>
      <c r="AS640" s="1" t="s">
        <v>74</v>
      </c>
      <c r="AT640" s="1" t="s">
        <v>485</v>
      </c>
      <c r="AU640" s="1">
        <v>2022.0</v>
      </c>
      <c r="AV640" s="1">
        <v>15.0</v>
      </c>
      <c r="AW640" s="1">
        <v>10.0</v>
      </c>
      <c r="AX640" s="1" t="s">
        <v>74</v>
      </c>
      <c r="AY640" s="1" t="s">
        <v>74</v>
      </c>
      <c r="AZ640" s="1" t="s">
        <v>74</v>
      </c>
      <c r="BA640" s="1" t="s">
        <v>74</v>
      </c>
      <c r="BB640" s="1" t="s">
        <v>74</v>
      </c>
      <c r="BC640" s="1" t="s">
        <v>74</v>
      </c>
      <c r="BD640" s="1">
        <v>3606.0</v>
      </c>
      <c r="BE640" s="1" t="s">
        <v>6554</v>
      </c>
      <c r="BF640" s="2" t="str">
        <f>HYPERLINK("http://dx.doi.org/10.3390/en15103606","http://dx.doi.org/10.3390/en15103606")</f>
        <v>http://dx.doi.org/10.3390/en15103606</v>
      </c>
      <c r="BG640" s="1" t="s">
        <v>74</v>
      </c>
      <c r="BH640" s="1" t="s">
        <v>74</v>
      </c>
      <c r="BI640" s="1" t="s">
        <v>74</v>
      </c>
      <c r="BJ640" s="1" t="s">
        <v>74</v>
      </c>
      <c r="BK640" s="1" t="s">
        <v>74</v>
      </c>
      <c r="BL640" s="1" t="s">
        <v>74</v>
      </c>
      <c r="BM640" s="1" t="s">
        <v>74</v>
      </c>
      <c r="BN640" s="1" t="s">
        <v>74</v>
      </c>
      <c r="BO640" s="1" t="s">
        <v>74</v>
      </c>
      <c r="BP640" s="1" t="s">
        <v>74</v>
      </c>
      <c r="BQ640" s="1" t="s">
        <v>74</v>
      </c>
      <c r="BR640" s="1" t="s">
        <v>74</v>
      </c>
      <c r="BS640" s="1" t="s">
        <v>6555</v>
      </c>
      <c r="BT640" s="1" t="str">
        <f>HYPERLINK("https%3A%2F%2Fwww.webofscience.com%2Fwos%2Fwoscc%2Ffull-record%2FWOS:000803163900001","View Full Record in Web of Science")</f>
        <v>View Full Record in Web of Science</v>
      </c>
    </row>
    <row r="641" ht="12.75" customHeight="1">
      <c r="A641" s="1" t="s">
        <v>72</v>
      </c>
      <c r="B641" s="1" t="s">
        <v>6556</v>
      </c>
      <c r="C641" s="1" t="s">
        <v>74</v>
      </c>
      <c r="D641" s="1" t="s">
        <v>74</v>
      </c>
      <c r="E641" s="1" t="s">
        <v>74</v>
      </c>
      <c r="F641" s="1" t="s">
        <v>6557</v>
      </c>
      <c r="G641" s="1" t="s">
        <v>74</v>
      </c>
      <c r="H641" s="1" t="s">
        <v>74</v>
      </c>
      <c r="I641" s="1" t="s">
        <v>6558</v>
      </c>
      <c r="J641" s="1" t="s">
        <v>6559</v>
      </c>
      <c r="K641" s="1" t="s">
        <v>74</v>
      </c>
      <c r="L641" s="1" t="s">
        <v>74</v>
      </c>
      <c r="M641" s="1" t="s">
        <v>74</v>
      </c>
      <c r="N641" s="1" t="s">
        <v>74</v>
      </c>
      <c r="O641" s="1" t="s">
        <v>74</v>
      </c>
      <c r="P641" s="1" t="s">
        <v>74</v>
      </c>
      <c r="Q641" s="1" t="s">
        <v>74</v>
      </c>
      <c r="R641" s="1" t="s">
        <v>74</v>
      </c>
      <c r="S641" s="1" t="s">
        <v>74</v>
      </c>
      <c r="T641" s="1" t="s">
        <v>74</v>
      </c>
      <c r="U641" s="1" t="s">
        <v>74</v>
      </c>
      <c r="V641" s="1" t="s">
        <v>6560</v>
      </c>
      <c r="W641" s="1" t="s">
        <v>74</v>
      </c>
      <c r="X641" s="1" t="s">
        <v>74</v>
      </c>
      <c r="Y641" s="1" t="s">
        <v>74</v>
      </c>
      <c r="Z641" s="1" t="s">
        <v>74</v>
      </c>
      <c r="AA641" s="1" t="s">
        <v>6561</v>
      </c>
      <c r="AB641" s="1" t="s">
        <v>6562</v>
      </c>
      <c r="AC641" s="1" t="s">
        <v>74</v>
      </c>
      <c r="AD641" s="1" t="s">
        <v>74</v>
      </c>
      <c r="AE641" s="1" t="s">
        <v>74</v>
      </c>
      <c r="AF641" s="1" t="s">
        <v>74</v>
      </c>
      <c r="AG641" s="1" t="s">
        <v>74</v>
      </c>
      <c r="AH641" s="1" t="s">
        <v>74</v>
      </c>
      <c r="AI641" s="1" t="s">
        <v>74</v>
      </c>
      <c r="AJ641" s="1" t="s">
        <v>74</v>
      </c>
      <c r="AK641" s="1" t="s">
        <v>74</v>
      </c>
      <c r="AL641" s="1" t="s">
        <v>74</v>
      </c>
      <c r="AM641" s="1" t="s">
        <v>74</v>
      </c>
      <c r="AN641" s="1" t="s">
        <v>74</v>
      </c>
      <c r="AO641" s="1" t="s">
        <v>6563</v>
      </c>
      <c r="AP641" s="1" t="s">
        <v>6564</v>
      </c>
      <c r="AQ641" s="1" t="s">
        <v>74</v>
      </c>
      <c r="AR641" s="1" t="s">
        <v>74</v>
      </c>
      <c r="AS641" s="1" t="s">
        <v>74</v>
      </c>
      <c r="AT641" s="1" t="s">
        <v>201</v>
      </c>
      <c r="AU641" s="1">
        <v>2022.0</v>
      </c>
      <c r="AV641" s="1">
        <v>44.0</v>
      </c>
      <c r="AW641" s="1">
        <v>10.0</v>
      </c>
      <c r="AX641" s="1" t="s">
        <v>74</v>
      </c>
      <c r="AY641" s="1" t="s">
        <v>74</v>
      </c>
      <c r="AZ641" s="1" t="s">
        <v>74</v>
      </c>
      <c r="BA641" s="1" t="s">
        <v>74</v>
      </c>
      <c r="BB641" s="1">
        <v>3173.0</v>
      </c>
      <c r="BC641" s="1">
        <v>3189.0</v>
      </c>
      <c r="BD641" s="1" t="s">
        <v>74</v>
      </c>
      <c r="BE641" s="1" t="s">
        <v>6565</v>
      </c>
      <c r="BF641" s="2" t="str">
        <f>HYPERLINK("http://dx.doi.org/10.1007/s10653-021-01098-4","http://dx.doi.org/10.1007/s10653-021-01098-4")</f>
        <v>http://dx.doi.org/10.1007/s10653-021-01098-4</v>
      </c>
      <c r="BG641" s="1" t="s">
        <v>74</v>
      </c>
      <c r="BH641" s="1" t="s">
        <v>1405</v>
      </c>
      <c r="BI641" s="1" t="s">
        <v>74</v>
      </c>
      <c r="BJ641" s="1" t="s">
        <v>74</v>
      </c>
      <c r="BK641" s="1" t="s">
        <v>74</v>
      </c>
      <c r="BL641" s="1" t="s">
        <v>74</v>
      </c>
      <c r="BM641" s="1" t="s">
        <v>74</v>
      </c>
      <c r="BN641" s="1">
        <v>3.462855E7</v>
      </c>
      <c r="BO641" s="1" t="s">
        <v>74</v>
      </c>
      <c r="BP641" s="1" t="s">
        <v>74</v>
      </c>
      <c r="BQ641" s="1" t="s">
        <v>74</v>
      </c>
      <c r="BR641" s="1" t="s">
        <v>74</v>
      </c>
      <c r="BS641" s="1" t="s">
        <v>6566</v>
      </c>
      <c r="BT641" s="1" t="str">
        <f>HYPERLINK("https%3A%2F%2Fwww.webofscience.com%2Fwos%2Fwoscc%2Ffull-record%2FWOS:000705725300001","View Full Record in Web of Science")</f>
        <v>View Full Record in Web of Science</v>
      </c>
    </row>
    <row r="642" ht="12.75" customHeight="1">
      <c r="A642" s="1" t="s">
        <v>72</v>
      </c>
      <c r="B642" s="1" t="s">
        <v>6567</v>
      </c>
      <c r="C642" s="1" t="s">
        <v>74</v>
      </c>
      <c r="D642" s="1" t="s">
        <v>74</v>
      </c>
      <c r="E642" s="1" t="s">
        <v>74</v>
      </c>
      <c r="F642" s="1" t="s">
        <v>6568</v>
      </c>
      <c r="G642" s="1" t="s">
        <v>74</v>
      </c>
      <c r="H642" s="1" t="s">
        <v>74</v>
      </c>
      <c r="I642" s="1" t="s">
        <v>6569</v>
      </c>
      <c r="J642" s="1" t="s">
        <v>1034</v>
      </c>
      <c r="K642" s="1" t="s">
        <v>74</v>
      </c>
      <c r="L642" s="1" t="s">
        <v>74</v>
      </c>
      <c r="M642" s="1" t="s">
        <v>74</v>
      </c>
      <c r="N642" s="1" t="s">
        <v>74</v>
      </c>
      <c r="O642" s="1" t="s">
        <v>74</v>
      </c>
      <c r="P642" s="1" t="s">
        <v>74</v>
      </c>
      <c r="Q642" s="1" t="s">
        <v>74</v>
      </c>
      <c r="R642" s="1" t="s">
        <v>74</v>
      </c>
      <c r="S642" s="1" t="s">
        <v>74</v>
      </c>
      <c r="T642" s="1" t="s">
        <v>74</v>
      </c>
      <c r="U642" s="1" t="s">
        <v>74</v>
      </c>
      <c r="V642" s="1" t="s">
        <v>6570</v>
      </c>
      <c r="W642" s="1" t="s">
        <v>74</v>
      </c>
      <c r="X642" s="1" t="s">
        <v>74</v>
      </c>
      <c r="Y642" s="1" t="s">
        <v>74</v>
      </c>
      <c r="Z642" s="1" t="s">
        <v>74</v>
      </c>
      <c r="AA642" s="1" t="s">
        <v>6571</v>
      </c>
      <c r="AB642" s="1" t="s">
        <v>6572</v>
      </c>
      <c r="AC642" s="1" t="s">
        <v>74</v>
      </c>
      <c r="AD642" s="1" t="s">
        <v>74</v>
      </c>
      <c r="AE642" s="1" t="s">
        <v>74</v>
      </c>
      <c r="AF642" s="1" t="s">
        <v>74</v>
      </c>
      <c r="AG642" s="1" t="s">
        <v>74</v>
      </c>
      <c r="AH642" s="1" t="s">
        <v>74</v>
      </c>
      <c r="AI642" s="1" t="s">
        <v>74</v>
      </c>
      <c r="AJ642" s="1" t="s">
        <v>74</v>
      </c>
      <c r="AK642" s="1" t="s">
        <v>74</v>
      </c>
      <c r="AL642" s="1" t="s">
        <v>74</v>
      </c>
      <c r="AM642" s="1" t="s">
        <v>74</v>
      </c>
      <c r="AN642" s="1" t="s">
        <v>74</v>
      </c>
      <c r="AO642" s="1" t="s">
        <v>74</v>
      </c>
      <c r="AP642" s="1" t="s">
        <v>1038</v>
      </c>
      <c r="AQ642" s="1" t="s">
        <v>74</v>
      </c>
      <c r="AR642" s="1" t="s">
        <v>74</v>
      </c>
      <c r="AS642" s="1" t="s">
        <v>74</v>
      </c>
      <c r="AT642" s="1" t="s">
        <v>1213</v>
      </c>
      <c r="AU642" s="1">
        <v>2021.0</v>
      </c>
      <c r="AV642" s="1">
        <v>18.0</v>
      </c>
      <c r="AW642" s="1">
        <v>6.0</v>
      </c>
      <c r="AX642" s="1" t="s">
        <v>74</v>
      </c>
      <c r="AY642" s="1" t="s">
        <v>74</v>
      </c>
      <c r="AZ642" s="1" t="s">
        <v>74</v>
      </c>
      <c r="BA642" s="1" t="s">
        <v>74</v>
      </c>
      <c r="BB642" s="1" t="s">
        <v>74</v>
      </c>
      <c r="BC642" s="1" t="s">
        <v>74</v>
      </c>
      <c r="BD642" s="1">
        <v>3082.0</v>
      </c>
      <c r="BE642" s="1" t="s">
        <v>6573</v>
      </c>
      <c r="BF642" s="2" t="str">
        <f>HYPERLINK("http://dx.doi.org/10.3390/ijerph18063082","http://dx.doi.org/10.3390/ijerph18063082")</f>
        <v>http://dx.doi.org/10.3390/ijerph18063082</v>
      </c>
      <c r="BG642" s="1" t="s">
        <v>74</v>
      </c>
      <c r="BH642" s="1" t="s">
        <v>74</v>
      </c>
      <c r="BI642" s="1" t="s">
        <v>74</v>
      </c>
      <c r="BJ642" s="1" t="s">
        <v>74</v>
      </c>
      <c r="BK642" s="1" t="s">
        <v>74</v>
      </c>
      <c r="BL642" s="1" t="s">
        <v>74</v>
      </c>
      <c r="BM642" s="1" t="s">
        <v>74</v>
      </c>
      <c r="BN642" s="1">
        <v>3.3802727E7</v>
      </c>
      <c r="BO642" s="1" t="s">
        <v>74</v>
      </c>
      <c r="BP642" s="1" t="s">
        <v>74</v>
      </c>
      <c r="BQ642" s="1" t="s">
        <v>74</v>
      </c>
      <c r="BR642" s="1" t="s">
        <v>74</v>
      </c>
      <c r="BS642" s="1" t="s">
        <v>6574</v>
      </c>
      <c r="BT642" s="1" t="str">
        <f>HYPERLINK("https%3A%2F%2Fwww.webofscience.com%2Fwos%2Fwoscc%2Ffull-record%2FWOS:000639193500001","View Full Record in Web of Science")</f>
        <v>View Full Record in Web of Science</v>
      </c>
    </row>
    <row r="643" ht="12.75" customHeight="1">
      <c r="A643" s="1" t="s">
        <v>72</v>
      </c>
      <c r="B643" s="1" t="s">
        <v>6575</v>
      </c>
      <c r="C643" s="1" t="s">
        <v>74</v>
      </c>
      <c r="D643" s="1" t="s">
        <v>74</v>
      </c>
      <c r="E643" s="1" t="s">
        <v>74</v>
      </c>
      <c r="F643" s="1" t="s">
        <v>6576</v>
      </c>
      <c r="G643" s="1" t="s">
        <v>74</v>
      </c>
      <c r="H643" s="1" t="s">
        <v>74</v>
      </c>
      <c r="I643" s="1" t="s">
        <v>6577</v>
      </c>
      <c r="J643" s="1" t="s">
        <v>6578</v>
      </c>
      <c r="K643" s="1" t="s">
        <v>74</v>
      </c>
      <c r="L643" s="1" t="s">
        <v>74</v>
      </c>
      <c r="M643" s="1" t="s">
        <v>74</v>
      </c>
      <c r="N643" s="1" t="s">
        <v>74</v>
      </c>
      <c r="O643" s="1" t="s">
        <v>74</v>
      </c>
      <c r="P643" s="1" t="s">
        <v>74</v>
      </c>
      <c r="Q643" s="1" t="s">
        <v>74</v>
      </c>
      <c r="R643" s="1" t="s">
        <v>74</v>
      </c>
      <c r="S643" s="1" t="s">
        <v>74</v>
      </c>
      <c r="T643" s="1" t="s">
        <v>74</v>
      </c>
      <c r="U643" s="1" t="s">
        <v>74</v>
      </c>
      <c r="V643" s="1" t="s">
        <v>6579</v>
      </c>
      <c r="W643" s="1" t="s">
        <v>74</v>
      </c>
      <c r="X643" s="1" t="s">
        <v>74</v>
      </c>
      <c r="Y643" s="1" t="s">
        <v>74</v>
      </c>
      <c r="Z643" s="1" t="s">
        <v>74</v>
      </c>
      <c r="AA643" s="1" t="s">
        <v>6580</v>
      </c>
      <c r="AB643" s="1" t="s">
        <v>6581</v>
      </c>
      <c r="AC643" s="1" t="s">
        <v>74</v>
      </c>
      <c r="AD643" s="1" t="s">
        <v>74</v>
      </c>
      <c r="AE643" s="1" t="s">
        <v>74</v>
      </c>
      <c r="AF643" s="1" t="s">
        <v>74</v>
      </c>
      <c r="AG643" s="1" t="s">
        <v>74</v>
      </c>
      <c r="AH643" s="1" t="s">
        <v>74</v>
      </c>
      <c r="AI643" s="1" t="s">
        <v>74</v>
      </c>
      <c r="AJ643" s="1" t="s">
        <v>74</v>
      </c>
      <c r="AK643" s="1" t="s">
        <v>74</v>
      </c>
      <c r="AL643" s="1" t="s">
        <v>74</v>
      </c>
      <c r="AM643" s="1" t="s">
        <v>74</v>
      </c>
      <c r="AN643" s="1" t="s">
        <v>74</v>
      </c>
      <c r="AO643" s="1" t="s">
        <v>6582</v>
      </c>
      <c r="AP643" s="1" t="s">
        <v>6583</v>
      </c>
      <c r="AQ643" s="1" t="s">
        <v>74</v>
      </c>
      <c r="AR643" s="1" t="s">
        <v>74</v>
      </c>
      <c r="AS643" s="1" t="s">
        <v>74</v>
      </c>
      <c r="AT643" s="1" t="s">
        <v>3926</v>
      </c>
      <c r="AU643" s="1">
        <v>2021.0</v>
      </c>
      <c r="AV643" s="1">
        <v>28.0</v>
      </c>
      <c r="AW643" s="1">
        <v>21.0</v>
      </c>
      <c r="AX643" s="1" t="s">
        <v>74</v>
      </c>
      <c r="AY643" s="1" t="s">
        <v>74</v>
      </c>
      <c r="AZ643" s="1" t="s">
        <v>74</v>
      </c>
      <c r="BA643" s="1" t="s">
        <v>74</v>
      </c>
      <c r="BB643" s="1">
        <v>1898.0</v>
      </c>
      <c r="BC643" s="1">
        <v>1901.0</v>
      </c>
      <c r="BD643" s="1" t="s">
        <v>74</v>
      </c>
      <c r="BE643" s="1" t="s">
        <v>6584</v>
      </c>
      <c r="BF643" s="2" t="str">
        <f>HYPERLINK("http://dx.doi.org/10.1080/13504851.2020.1854659","http://dx.doi.org/10.1080/13504851.2020.1854659")</f>
        <v>http://dx.doi.org/10.1080/13504851.2020.1854659</v>
      </c>
      <c r="BG643" s="1" t="s">
        <v>74</v>
      </c>
      <c r="BH643" s="1" t="s">
        <v>6585</v>
      </c>
      <c r="BI643" s="1" t="s">
        <v>74</v>
      </c>
      <c r="BJ643" s="1" t="s">
        <v>74</v>
      </c>
      <c r="BK643" s="1" t="s">
        <v>74</v>
      </c>
      <c r="BL643" s="1" t="s">
        <v>74</v>
      </c>
      <c r="BM643" s="1" t="s">
        <v>74</v>
      </c>
      <c r="BN643" s="1" t="s">
        <v>74</v>
      </c>
      <c r="BO643" s="1" t="s">
        <v>74</v>
      </c>
      <c r="BP643" s="1" t="s">
        <v>74</v>
      </c>
      <c r="BQ643" s="1" t="s">
        <v>74</v>
      </c>
      <c r="BR643" s="1" t="s">
        <v>74</v>
      </c>
      <c r="BS643" s="1" t="s">
        <v>6586</v>
      </c>
      <c r="BT643" s="1" t="str">
        <f>HYPERLINK("https%3A%2F%2Fwww.webofscience.com%2Fwos%2Fwoscc%2Ffull-record%2FWOS:000596319500001","View Full Record in Web of Science")</f>
        <v>View Full Record in Web of Science</v>
      </c>
    </row>
    <row r="644" ht="12.75" customHeight="1">
      <c r="A644" s="1" t="s">
        <v>72</v>
      </c>
      <c r="B644" s="1" t="s">
        <v>6587</v>
      </c>
      <c r="C644" s="1" t="s">
        <v>74</v>
      </c>
      <c r="D644" s="1" t="s">
        <v>74</v>
      </c>
      <c r="E644" s="1" t="s">
        <v>74</v>
      </c>
      <c r="F644" s="1" t="s">
        <v>6588</v>
      </c>
      <c r="G644" s="1" t="s">
        <v>74</v>
      </c>
      <c r="H644" s="1" t="s">
        <v>74</v>
      </c>
      <c r="I644" s="1" t="s">
        <v>6589</v>
      </c>
      <c r="J644" s="1" t="s">
        <v>1343</v>
      </c>
      <c r="K644" s="1" t="s">
        <v>74</v>
      </c>
      <c r="L644" s="1" t="s">
        <v>74</v>
      </c>
      <c r="M644" s="1" t="s">
        <v>74</v>
      </c>
      <c r="N644" s="1" t="s">
        <v>74</v>
      </c>
      <c r="O644" s="1" t="s">
        <v>74</v>
      </c>
      <c r="P644" s="1" t="s">
        <v>74</v>
      </c>
      <c r="Q644" s="1" t="s">
        <v>74</v>
      </c>
      <c r="R644" s="1" t="s">
        <v>74</v>
      </c>
      <c r="S644" s="1" t="s">
        <v>74</v>
      </c>
      <c r="T644" s="1" t="s">
        <v>74</v>
      </c>
      <c r="U644" s="1" t="s">
        <v>74</v>
      </c>
      <c r="V644" s="1" t="s">
        <v>6590</v>
      </c>
      <c r="W644" s="1" t="s">
        <v>74</v>
      </c>
      <c r="X644" s="1" t="s">
        <v>74</v>
      </c>
      <c r="Y644" s="1" t="s">
        <v>74</v>
      </c>
      <c r="Z644" s="1" t="s">
        <v>74</v>
      </c>
      <c r="AA644" s="1" t="s">
        <v>6591</v>
      </c>
      <c r="AB644" s="1" t="s">
        <v>6592</v>
      </c>
      <c r="AC644" s="1" t="s">
        <v>74</v>
      </c>
      <c r="AD644" s="1" t="s">
        <v>74</v>
      </c>
      <c r="AE644" s="1" t="s">
        <v>74</v>
      </c>
      <c r="AF644" s="1" t="s">
        <v>74</v>
      </c>
      <c r="AG644" s="1" t="s">
        <v>74</v>
      </c>
      <c r="AH644" s="1" t="s">
        <v>74</v>
      </c>
      <c r="AI644" s="1" t="s">
        <v>74</v>
      </c>
      <c r="AJ644" s="1" t="s">
        <v>74</v>
      </c>
      <c r="AK644" s="1" t="s">
        <v>74</v>
      </c>
      <c r="AL644" s="1" t="s">
        <v>74</v>
      </c>
      <c r="AM644" s="1" t="s">
        <v>74</v>
      </c>
      <c r="AN644" s="1" t="s">
        <v>74</v>
      </c>
      <c r="AO644" s="1" t="s">
        <v>1345</v>
      </c>
      <c r="AP644" s="1" t="s">
        <v>1346</v>
      </c>
      <c r="AQ644" s="1" t="s">
        <v>74</v>
      </c>
      <c r="AR644" s="1" t="s">
        <v>74</v>
      </c>
      <c r="AS644" s="1" t="s">
        <v>74</v>
      </c>
      <c r="AT644" s="1" t="s">
        <v>111</v>
      </c>
      <c r="AU644" s="1">
        <v>2020.0</v>
      </c>
      <c r="AV644" s="1">
        <v>372.0</v>
      </c>
      <c r="AW644" s="1" t="s">
        <v>74</v>
      </c>
      <c r="AX644" s="1" t="s">
        <v>74</v>
      </c>
      <c r="AY644" s="1" t="s">
        <v>74</v>
      </c>
      <c r="AZ644" s="1" t="s">
        <v>74</v>
      </c>
      <c r="BA644" s="1" t="s">
        <v>74</v>
      </c>
      <c r="BB644" s="1" t="s">
        <v>74</v>
      </c>
      <c r="BC644" s="1" t="s">
        <v>74</v>
      </c>
      <c r="BD644" s="1">
        <v>113380.0</v>
      </c>
      <c r="BE644" s="1" t="s">
        <v>6593</v>
      </c>
      <c r="BF644" s="2" t="str">
        <f>HYPERLINK("http://dx.doi.org/10.1016/j.cma.2020.113380","http://dx.doi.org/10.1016/j.cma.2020.113380")</f>
        <v>http://dx.doi.org/10.1016/j.cma.2020.113380</v>
      </c>
      <c r="BG644" s="1" t="s">
        <v>74</v>
      </c>
      <c r="BH644" s="1" t="s">
        <v>74</v>
      </c>
      <c r="BI644" s="1" t="s">
        <v>74</v>
      </c>
      <c r="BJ644" s="1" t="s">
        <v>74</v>
      </c>
      <c r="BK644" s="1" t="s">
        <v>74</v>
      </c>
      <c r="BL644" s="1" t="s">
        <v>74</v>
      </c>
      <c r="BM644" s="1" t="s">
        <v>74</v>
      </c>
      <c r="BN644" s="1" t="s">
        <v>74</v>
      </c>
      <c r="BO644" s="1" t="s">
        <v>74</v>
      </c>
      <c r="BP644" s="1" t="s">
        <v>74</v>
      </c>
      <c r="BQ644" s="1" t="s">
        <v>74</v>
      </c>
      <c r="BR644" s="1" t="s">
        <v>74</v>
      </c>
      <c r="BS644" s="1" t="s">
        <v>6594</v>
      </c>
      <c r="BT644" s="1" t="str">
        <f>HYPERLINK("https%3A%2F%2Fwww.webofscience.com%2Fwos%2Fwoscc%2Ffull-record%2FWOS:000592538400002","View Full Record in Web of Science")</f>
        <v>View Full Record in Web of Science</v>
      </c>
    </row>
    <row r="645" ht="12.75" customHeight="1">
      <c r="A645" s="1" t="s">
        <v>72</v>
      </c>
      <c r="B645" s="1" t="s">
        <v>6595</v>
      </c>
      <c r="C645" s="1" t="s">
        <v>74</v>
      </c>
      <c r="D645" s="1" t="s">
        <v>74</v>
      </c>
      <c r="E645" s="1" t="s">
        <v>74</v>
      </c>
      <c r="F645" s="1" t="s">
        <v>6596</v>
      </c>
      <c r="G645" s="1" t="s">
        <v>74</v>
      </c>
      <c r="H645" s="1" t="s">
        <v>74</v>
      </c>
      <c r="I645" s="1" t="s">
        <v>6597</v>
      </c>
      <c r="J645" s="1" t="s">
        <v>847</v>
      </c>
      <c r="K645" s="1" t="s">
        <v>74</v>
      </c>
      <c r="L645" s="1" t="s">
        <v>74</v>
      </c>
      <c r="M645" s="1" t="s">
        <v>74</v>
      </c>
      <c r="N645" s="1" t="s">
        <v>74</v>
      </c>
      <c r="O645" s="1" t="s">
        <v>74</v>
      </c>
      <c r="P645" s="1" t="s">
        <v>74</v>
      </c>
      <c r="Q645" s="1" t="s">
        <v>74</v>
      </c>
      <c r="R645" s="1" t="s">
        <v>74</v>
      </c>
      <c r="S645" s="1" t="s">
        <v>74</v>
      </c>
      <c r="T645" s="1" t="s">
        <v>74</v>
      </c>
      <c r="U645" s="1" t="s">
        <v>74</v>
      </c>
      <c r="V645" s="1" t="s">
        <v>6598</v>
      </c>
      <c r="W645" s="1" t="s">
        <v>74</v>
      </c>
      <c r="X645" s="1" t="s">
        <v>74</v>
      </c>
      <c r="Y645" s="1" t="s">
        <v>74</v>
      </c>
      <c r="Z645" s="1" t="s">
        <v>74</v>
      </c>
      <c r="AA645" s="1" t="s">
        <v>6599</v>
      </c>
      <c r="AB645" s="1" t="s">
        <v>6600</v>
      </c>
      <c r="AC645" s="1" t="s">
        <v>74</v>
      </c>
      <c r="AD645" s="1" t="s">
        <v>74</v>
      </c>
      <c r="AE645" s="1" t="s">
        <v>74</v>
      </c>
      <c r="AF645" s="1" t="s">
        <v>74</v>
      </c>
      <c r="AG645" s="1" t="s">
        <v>74</v>
      </c>
      <c r="AH645" s="1" t="s">
        <v>74</v>
      </c>
      <c r="AI645" s="1" t="s">
        <v>74</v>
      </c>
      <c r="AJ645" s="1" t="s">
        <v>74</v>
      </c>
      <c r="AK645" s="1" t="s">
        <v>74</v>
      </c>
      <c r="AL645" s="1" t="s">
        <v>74</v>
      </c>
      <c r="AM645" s="1" t="s">
        <v>74</v>
      </c>
      <c r="AN645" s="1" t="s">
        <v>74</v>
      </c>
      <c r="AO645" s="1" t="s">
        <v>851</v>
      </c>
      <c r="AP645" s="1" t="s">
        <v>852</v>
      </c>
      <c r="AQ645" s="1" t="s">
        <v>74</v>
      </c>
      <c r="AR645" s="1" t="s">
        <v>74</v>
      </c>
      <c r="AS645" s="1" t="s">
        <v>74</v>
      </c>
      <c r="AT645" s="1" t="s">
        <v>2222</v>
      </c>
      <c r="AU645" s="1">
        <v>2020.0</v>
      </c>
      <c r="AV645" s="1">
        <v>497.0</v>
      </c>
      <c r="AW645" s="1" t="s">
        <v>74</v>
      </c>
      <c r="AX645" s="1" t="s">
        <v>74</v>
      </c>
      <c r="AY645" s="1" t="s">
        <v>74</v>
      </c>
      <c r="AZ645" s="1" t="s">
        <v>74</v>
      </c>
      <c r="BA645" s="1" t="s">
        <v>74</v>
      </c>
      <c r="BB645" s="1" t="s">
        <v>74</v>
      </c>
      <c r="BC645" s="1" t="s">
        <v>74</v>
      </c>
      <c r="BD645" s="1">
        <v>165944.0</v>
      </c>
      <c r="BE645" s="1" t="s">
        <v>6601</v>
      </c>
      <c r="BF645" s="2" t="str">
        <f>HYPERLINK("http://dx.doi.org/10.1016/j.jmmm.2019.165944","http://dx.doi.org/10.1016/j.jmmm.2019.165944")</f>
        <v>http://dx.doi.org/10.1016/j.jmmm.2019.165944</v>
      </c>
      <c r="BG645" s="1" t="s">
        <v>74</v>
      </c>
      <c r="BH645" s="1" t="s">
        <v>74</v>
      </c>
      <c r="BI645" s="1" t="s">
        <v>74</v>
      </c>
      <c r="BJ645" s="1" t="s">
        <v>74</v>
      </c>
      <c r="BK645" s="1" t="s">
        <v>74</v>
      </c>
      <c r="BL645" s="1" t="s">
        <v>74</v>
      </c>
      <c r="BM645" s="1" t="s">
        <v>74</v>
      </c>
      <c r="BN645" s="1" t="s">
        <v>74</v>
      </c>
      <c r="BO645" s="1" t="s">
        <v>74</v>
      </c>
      <c r="BP645" s="1" t="s">
        <v>74</v>
      </c>
      <c r="BQ645" s="1" t="s">
        <v>74</v>
      </c>
      <c r="BR645" s="1" t="s">
        <v>74</v>
      </c>
      <c r="BS645" s="1" t="s">
        <v>6602</v>
      </c>
      <c r="BT645" s="1" t="str">
        <f>HYPERLINK("https%3A%2F%2Fwww.webofscience.com%2Fwos%2Fwoscc%2Ffull-record%2FWOS:000501596800098","View Full Record in Web of Science")</f>
        <v>View Full Record in Web of Science</v>
      </c>
    </row>
    <row r="646" ht="12.75" customHeight="1">
      <c r="A646" s="1" t="s">
        <v>72</v>
      </c>
      <c r="B646" s="1" t="s">
        <v>6603</v>
      </c>
      <c r="C646" s="1" t="s">
        <v>74</v>
      </c>
      <c r="D646" s="1" t="s">
        <v>74</v>
      </c>
      <c r="E646" s="1" t="s">
        <v>74</v>
      </c>
      <c r="F646" s="1" t="s">
        <v>6604</v>
      </c>
      <c r="G646" s="1" t="s">
        <v>74</v>
      </c>
      <c r="H646" s="1" t="s">
        <v>74</v>
      </c>
      <c r="I646" s="1" t="s">
        <v>6605</v>
      </c>
      <c r="J646" s="1" t="s">
        <v>6606</v>
      </c>
      <c r="K646" s="1" t="s">
        <v>74</v>
      </c>
      <c r="L646" s="1" t="s">
        <v>74</v>
      </c>
      <c r="M646" s="1" t="s">
        <v>74</v>
      </c>
      <c r="N646" s="1" t="s">
        <v>74</v>
      </c>
      <c r="O646" s="1" t="s">
        <v>74</v>
      </c>
      <c r="P646" s="1" t="s">
        <v>74</v>
      </c>
      <c r="Q646" s="1" t="s">
        <v>74</v>
      </c>
      <c r="R646" s="1" t="s">
        <v>74</v>
      </c>
      <c r="S646" s="1" t="s">
        <v>74</v>
      </c>
      <c r="T646" s="1" t="s">
        <v>74</v>
      </c>
      <c r="U646" s="1" t="s">
        <v>74</v>
      </c>
      <c r="V646" s="1" t="s">
        <v>6607</v>
      </c>
      <c r="W646" s="1" t="s">
        <v>74</v>
      </c>
      <c r="X646" s="1" t="s">
        <v>74</v>
      </c>
      <c r="Y646" s="1" t="s">
        <v>74</v>
      </c>
      <c r="Z646" s="1" t="s">
        <v>74</v>
      </c>
      <c r="AA646" s="1" t="s">
        <v>6608</v>
      </c>
      <c r="AB646" s="1" t="s">
        <v>6609</v>
      </c>
      <c r="AC646" s="1" t="s">
        <v>74</v>
      </c>
      <c r="AD646" s="1" t="s">
        <v>74</v>
      </c>
      <c r="AE646" s="1" t="s">
        <v>74</v>
      </c>
      <c r="AF646" s="1" t="s">
        <v>74</v>
      </c>
      <c r="AG646" s="1" t="s">
        <v>74</v>
      </c>
      <c r="AH646" s="1" t="s">
        <v>74</v>
      </c>
      <c r="AI646" s="1" t="s">
        <v>74</v>
      </c>
      <c r="AJ646" s="1" t="s">
        <v>74</v>
      </c>
      <c r="AK646" s="1" t="s">
        <v>74</v>
      </c>
      <c r="AL646" s="1" t="s">
        <v>74</v>
      </c>
      <c r="AM646" s="1" t="s">
        <v>74</v>
      </c>
      <c r="AN646" s="1" t="s">
        <v>74</v>
      </c>
      <c r="AO646" s="1" t="s">
        <v>6610</v>
      </c>
      <c r="AP646" s="1" t="s">
        <v>6611</v>
      </c>
      <c r="AQ646" s="1" t="s">
        <v>74</v>
      </c>
      <c r="AR646" s="1" t="s">
        <v>74</v>
      </c>
      <c r="AS646" s="1" t="s">
        <v>74</v>
      </c>
      <c r="AT646" s="1" t="s">
        <v>123</v>
      </c>
      <c r="AU646" s="1">
        <v>2020.0</v>
      </c>
      <c r="AV646" s="1">
        <v>2020.0</v>
      </c>
      <c r="AW646" s="1">
        <v>10.0</v>
      </c>
      <c r="AX646" s="1" t="s">
        <v>74</v>
      </c>
      <c r="AY646" s="1" t="s">
        <v>74</v>
      </c>
      <c r="AZ646" s="1" t="s">
        <v>74</v>
      </c>
      <c r="BA646" s="1" t="s">
        <v>74</v>
      </c>
      <c r="BB646" s="1">
        <v>823.0</v>
      </c>
      <c r="BC646" s="1">
        <v>832.0</v>
      </c>
      <c r="BD646" s="1" t="s">
        <v>74</v>
      </c>
      <c r="BE646" s="1" t="s">
        <v>6612</v>
      </c>
      <c r="BF646" s="2" t="str">
        <f>HYPERLINK("http://dx.doi.org/10.1002/ejic.201901350","http://dx.doi.org/10.1002/ejic.201901350")</f>
        <v>http://dx.doi.org/10.1002/ejic.201901350</v>
      </c>
      <c r="BG646" s="1" t="s">
        <v>74</v>
      </c>
      <c r="BH646" s="1" t="s">
        <v>4348</v>
      </c>
      <c r="BI646" s="1" t="s">
        <v>74</v>
      </c>
      <c r="BJ646" s="1" t="s">
        <v>74</v>
      </c>
      <c r="BK646" s="1" t="s">
        <v>74</v>
      </c>
      <c r="BL646" s="1" t="s">
        <v>74</v>
      </c>
      <c r="BM646" s="1" t="s">
        <v>74</v>
      </c>
      <c r="BN646" s="1" t="s">
        <v>74</v>
      </c>
      <c r="BO646" s="1" t="s">
        <v>74</v>
      </c>
      <c r="BP646" s="1" t="s">
        <v>74</v>
      </c>
      <c r="BQ646" s="1" t="s">
        <v>74</v>
      </c>
      <c r="BR646" s="1" t="s">
        <v>74</v>
      </c>
      <c r="BS646" s="1" t="s">
        <v>6613</v>
      </c>
      <c r="BT646" s="1" t="str">
        <f>HYPERLINK("https%3A%2F%2Fwww.webofscience.com%2Fwos%2Fwoscc%2Ffull-record%2FWOS:000517450100001","View Full Record in Web of Science")</f>
        <v>View Full Record in Web of Science</v>
      </c>
    </row>
    <row r="647" ht="12.75" customHeight="1">
      <c r="A647" s="1" t="s">
        <v>72</v>
      </c>
      <c r="B647" s="1" t="s">
        <v>6614</v>
      </c>
      <c r="C647" s="1" t="s">
        <v>74</v>
      </c>
      <c r="D647" s="1" t="s">
        <v>74</v>
      </c>
      <c r="E647" s="1" t="s">
        <v>74</v>
      </c>
      <c r="F647" s="1" t="s">
        <v>6615</v>
      </c>
      <c r="G647" s="1" t="s">
        <v>74</v>
      </c>
      <c r="H647" s="1" t="s">
        <v>74</v>
      </c>
      <c r="I647" s="1" t="s">
        <v>6616</v>
      </c>
      <c r="J647" s="1" t="s">
        <v>6617</v>
      </c>
      <c r="K647" s="1" t="s">
        <v>74</v>
      </c>
      <c r="L647" s="1" t="s">
        <v>74</v>
      </c>
      <c r="M647" s="1" t="s">
        <v>74</v>
      </c>
      <c r="N647" s="1" t="s">
        <v>74</v>
      </c>
      <c r="O647" s="1" t="s">
        <v>74</v>
      </c>
      <c r="P647" s="1" t="s">
        <v>74</v>
      </c>
      <c r="Q647" s="1" t="s">
        <v>74</v>
      </c>
      <c r="R647" s="1" t="s">
        <v>74</v>
      </c>
      <c r="S647" s="1" t="s">
        <v>74</v>
      </c>
      <c r="T647" s="1" t="s">
        <v>74</v>
      </c>
      <c r="U647" s="1" t="s">
        <v>74</v>
      </c>
      <c r="V647" s="1" t="s">
        <v>6618</v>
      </c>
      <c r="W647" s="1" t="s">
        <v>74</v>
      </c>
      <c r="X647" s="1" t="s">
        <v>74</v>
      </c>
      <c r="Y647" s="1" t="s">
        <v>74</v>
      </c>
      <c r="Z647" s="1" t="s">
        <v>74</v>
      </c>
      <c r="AA647" s="1" t="s">
        <v>6619</v>
      </c>
      <c r="AB647" s="1" t="s">
        <v>6620</v>
      </c>
      <c r="AC647" s="1" t="s">
        <v>74</v>
      </c>
      <c r="AD647" s="1" t="s">
        <v>74</v>
      </c>
      <c r="AE647" s="1" t="s">
        <v>74</v>
      </c>
      <c r="AF647" s="1" t="s">
        <v>74</v>
      </c>
      <c r="AG647" s="1" t="s">
        <v>74</v>
      </c>
      <c r="AH647" s="1" t="s">
        <v>74</v>
      </c>
      <c r="AI647" s="1" t="s">
        <v>74</v>
      </c>
      <c r="AJ647" s="1" t="s">
        <v>74</v>
      </c>
      <c r="AK647" s="1" t="s">
        <v>74</v>
      </c>
      <c r="AL647" s="1" t="s">
        <v>74</v>
      </c>
      <c r="AM647" s="1" t="s">
        <v>74</v>
      </c>
      <c r="AN647" s="1" t="s">
        <v>74</v>
      </c>
      <c r="AO647" s="1" t="s">
        <v>6621</v>
      </c>
      <c r="AP647" s="1" t="s">
        <v>6622</v>
      </c>
      <c r="AQ647" s="1" t="s">
        <v>74</v>
      </c>
      <c r="AR647" s="1" t="s">
        <v>74</v>
      </c>
      <c r="AS647" s="1" t="s">
        <v>74</v>
      </c>
      <c r="AT647" s="1" t="s">
        <v>307</v>
      </c>
      <c r="AU647" s="1">
        <v>2019.0</v>
      </c>
      <c r="AV647" s="1">
        <v>42.0</v>
      </c>
      <c r="AW647" s="1">
        <v>4.0</v>
      </c>
      <c r="AX647" s="1" t="s">
        <v>74</v>
      </c>
      <c r="AY647" s="1" t="s">
        <v>74</v>
      </c>
      <c r="AZ647" s="1" t="s">
        <v>74</v>
      </c>
      <c r="BA647" s="1" t="s">
        <v>74</v>
      </c>
      <c r="BB647" s="1">
        <v>473.0</v>
      </c>
      <c r="BC647" s="1">
        <v>497.0</v>
      </c>
      <c r="BD647" s="1" t="s">
        <v>74</v>
      </c>
      <c r="BE647" s="1" t="s">
        <v>6623</v>
      </c>
      <c r="BF647" s="2" t="str">
        <f>HYPERLINK("http://dx.doi.org/10.1177/0163278717745344","http://dx.doi.org/10.1177/0163278717745344")</f>
        <v>http://dx.doi.org/10.1177/0163278717745344</v>
      </c>
      <c r="BG647" s="1" t="s">
        <v>74</v>
      </c>
      <c r="BH647" s="1" t="s">
        <v>74</v>
      </c>
      <c r="BI647" s="1" t="s">
        <v>74</v>
      </c>
      <c r="BJ647" s="1" t="s">
        <v>74</v>
      </c>
      <c r="BK647" s="1" t="s">
        <v>74</v>
      </c>
      <c r="BL647" s="1" t="s">
        <v>74</v>
      </c>
      <c r="BM647" s="1" t="s">
        <v>74</v>
      </c>
      <c r="BN647" s="1">
        <v>2.9246086E7</v>
      </c>
      <c r="BO647" s="1" t="s">
        <v>74</v>
      </c>
      <c r="BP647" s="1" t="s">
        <v>74</v>
      </c>
      <c r="BQ647" s="1" t="s">
        <v>74</v>
      </c>
      <c r="BR647" s="1" t="s">
        <v>74</v>
      </c>
      <c r="BS647" s="1" t="s">
        <v>6624</v>
      </c>
      <c r="BT647" s="1" t="str">
        <f>HYPERLINK("https%3A%2F%2Fwww.webofscience.com%2Fwos%2Fwoscc%2Ffull-record%2FWOS:000485316400004","View Full Record in Web of Science")</f>
        <v>View Full Record in Web of Science</v>
      </c>
    </row>
    <row r="648" ht="12.75" customHeight="1">
      <c r="A648" s="1" t="s">
        <v>72</v>
      </c>
      <c r="B648" s="1" t="s">
        <v>6625</v>
      </c>
      <c r="C648" s="1" t="s">
        <v>74</v>
      </c>
      <c r="D648" s="1" t="s">
        <v>74</v>
      </c>
      <c r="E648" s="1" t="s">
        <v>74</v>
      </c>
      <c r="F648" s="1" t="s">
        <v>6626</v>
      </c>
      <c r="G648" s="1" t="s">
        <v>74</v>
      </c>
      <c r="H648" s="1" t="s">
        <v>74</v>
      </c>
      <c r="I648" s="1" t="s">
        <v>6627</v>
      </c>
      <c r="J648" s="1" t="s">
        <v>6415</v>
      </c>
      <c r="K648" s="1" t="s">
        <v>74</v>
      </c>
      <c r="L648" s="1" t="s">
        <v>74</v>
      </c>
      <c r="M648" s="1" t="s">
        <v>74</v>
      </c>
      <c r="N648" s="1" t="s">
        <v>74</v>
      </c>
      <c r="O648" s="1" t="s">
        <v>74</v>
      </c>
      <c r="P648" s="1" t="s">
        <v>74</v>
      </c>
      <c r="Q648" s="1" t="s">
        <v>74</v>
      </c>
      <c r="R648" s="1" t="s">
        <v>74</v>
      </c>
      <c r="S648" s="1" t="s">
        <v>74</v>
      </c>
      <c r="T648" s="1" t="s">
        <v>74</v>
      </c>
      <c r="U648" s="1" t="s">
        <v>74</v>
      </c>
      <c r="V648" s="1" t="s">
        <v>6628</v>
      </c>
      <c r="W648" s="1" t="s">
        <v>74</v>
      </c>
      <c r="X648" s="1" t="s">
        <v>74</v>
      </c>
      <c r="Y648" s="1" t="s">
        <v>74</v>
      </c>
      <c r="Z648" s="1" t="s">
        <v>74</v>
      </c>
      <c r="AA648" s="1" t="s">
        <v>6629</v>
      </c>
      <c r="AB648" s="1" t="s">
        <v>6630</v>
      </c>
      <c r="AC648" s="1" t="s">
        <v>74</v>
      </c>
      <c r="AD648" s="1" t="s">
        <v>74</v>
      </c>
      <c r="AE648" s="1" t="s">
        <v>74</v>
      </c>
      <c r="AF648" s="1" t="s">
        <v>74</v>
      </c>
      <c r="AG648" s="1" t="s">
        <v>74</v>
      </c>
      <c r="AH648" s="1" t="s">
        <v>74</v>
      </c>
      <c r="AI648" s="1" t="s">
        <v>74</v>
      </c>
      <c r="AJ648" s="1" t="s">
        <v>74</v>
      </c>
      <c r="AK648" s="1" t="s">
        <v>74</v>
      </c>
      <c r="AL648" s="1" t="s">
        <v>74</v>
      </c>
      <c r="AM648" s="1" t="s">
        <v>74</v>
      </c>
      <c r="AN648" s="1" t="s">
        <v>74</v>
      </c>
      <c r="AO648" s="1" t="s">
        <v>74</v>
      </c>
      <c r="AP648" s="1" t="s">
        <v>6419</v>
      </c>
      <c r="AQ648" s="1" t="s">
        <v>74</v>
      </c>
      <c r="AR648" s="1" t="s">
        <v>74</v>
      </c>
      <c r="AS648" s="1" t="s">
        <v>74</v>
      </c>
      <c r="AT648" s="1" t="s">
        <v>201</v>
      </c>
      <c r="AU648" s="1">
        <v>2019.0</v>
      </c>
      <c r="AV648" s="1">
        <v>10.0</v>
      </c>
      <c r="AW648" s="1">
        <v>10.0</v>
      </c>
      <c r="AX648" s="1" t="s">
        <v>74</v>
      </c>
      <c r="AY648" s="1" t="s">
        <v>74</v>
      </c>
      <c r="AZ648" s="1" t="s">
        <v>74</v>
      </c>
      <c r="BA648" s="1" t="s">
        <v>74</v>
      </c>
      <c r="BB648" s="1" t="s">
        <v>74</v>
      </c>
      <c r="BC648" s="1" t="s">
        <v>74</v>
      </c>
      <c r="BD648" s="1">
        <v>575.0</v>
      </c>
      <c r="BE648" s="1" t="s">
        <v>6631</v>
      </c>
      <c r="BF648" s="2" t="str">
        <f>HYPERLINK("http://dx.doi.org/10.3390/atmos10100575","http://dx.doi.org/10.3390/atmos10100575")</f>
        <v>http://dx.doi.org/10.3390/atmos10100575</v>
      </c>
      <c r="BG648" s="1" t="s">
        <v>74</v>
      </c>
      <c r="BH648" s="1" t="s">
        <v>74</v>
      </c>
      <c r="BI648" s="1" t="s">
        <v>74</v>
      </c>
      <c r="BJ648" s="1" t="s">
        <v>74</v>
      </c>
      <c r="BK648" s="1" t="s">
        <v>74</v>
      </c>
      <c r="BL648" s="1" t="s">
        <v>74</v>
      </c>
      <c r="BM648" s="1" t="s">
        <v>74</v>
      </c>
      <c r="BN648" s="1" t="s">
        <v>74</v>
      </c>
      <c r="BO648" s="1" t="s">
        <v>74</v>
      </c>
      <c r="BP648" s="1" t="s">
        <v>74</v>
      </c>
      <c r="BQ648" s="1" t="s">
        <v>74</v>
      </c>
      <c r="BR648" s="1" t="s">
        <v>74</v>
      </c>
      <c r="BS648" s="1" t="s">
        <v>6632</v>
      </c>
      <c r="BT648" s="1" t="str">
        <f>HYPERLINK("https%3A%2F%2Fwww.webofscience.com%2Fwos%2Fwoscc%2Ffull-record%2FWOS:000498267500013","View Full Record in Web of Science")</f>
        <v>View Full Record in Web of Science</v>
      </c>
    </row>
    <row r="649" ht="12.75" customHeight="1">
      <c r="A649" s="1" t="s">
        <v>72</v>
      </c>
      <c r="B649" s="1" t="s">
        <v>6633</v>
      </c>
      <c r="C649" s="1" t="s">
        <v>74</v>
      </c>
      <c r="D649" s="1" t="s">
        <v>74</v>
      </c>
      <c r="E649" s="1" t="s">
        <v>74</v>
      </c>
      <c r="F649" s="1" t="s">
        <v>6634</v>
      </c>
      <c r="G649" s="1" t="s">
        <v>74</v>
      </c>
      <c r="H649" s="1" t="s">
        <v>74</v>
      </c>
      <c r="I649" s="1" t="s">
        <v>6635</v>
      </c>
      <c r="J649" s="1" t="s">
        <v>2186</v>
      </c>
      <c r="K649" s="1" t="s">
        <v>74</v>
      </c>
      <c r="L649" s="1" t="s">
        <v>74</v>
      </c>
      <c r="M649" s="1" t="s">
        <v>74</v>
      </c>
      <c r="N649" s="1" t="s">
        <v>74</v>
      </c>
      <c r="O649" s="1" t="s">
        <v>74</v>
      </c>
      <c r="P649" s="1" t="s">
        <v>74</v>
      </c>
      <c r="Q649" s="1" t="s">
        <v>74</v>
      </c>
      <c r="R649" s="1" t="s">
        <v>74</v>
      </c>
      <c r="S649" s="1" t="s">
        <v>74</v>
      </c>
      <c r="T649" s="1" t="s">
        <v>74</v>
      </c>
      <c r="U649" s="1" t="s">
        <v>74</v>
      </c>
      <c r="V649" s="1" t="s">
        <v>6636</v>
      </c>
      <c r="W649" s="1" t="s">
        <v>74</v>
      </c>
      <c r="X649" s="1" t="s">
        <v>74</v>
      </c>
      <c r="Y649" s="1" t="s">
        <v>74</v>
      </c>
      <c r="Z649" s="1" t="s">
        <v>74</v>
      </c>
      <c r="AA649" s="1" t="s">
        <v>6637</v>
      </c>
      <c r="AB649" s="1" t="s">
        <v>6638</v>
      </c>
      <c r="AC649" s="1" t="s">
        <v>74</v>
      </c>
      <c r="AD649" s="1" t="s">
        <v>74</v>
      </c>
      <c r="AE649" s="1" t="s">
        <v>74</v>
      </c>
      <c r="AF649" s="1" t="s">
        <v>74</v>
      </c>
      <c r="AG649" s="1" t="s">
        <v>74</v>
      </c>
      <c r="AH649" s="1" t="s">
        <v>74</v>
      </c>
      <c r="AI649" s="1" t="s">
        <v>74</v>
      </c>
      <c r="AJ649" s="1" t="s">
        <v>74</v>
      </c>
      <c r="AK649" s="1" t="s">
        <v>74</v>
      </c>
      <c r="AL649" s="1" t="s">
        <v>74</v>
      </c>
      <c r="AM649" s="1" t="s">
        <v>74</v>
      </c>
      <c r="AN649" s="1" t="s">
        <v>74</v>
      </c>
      <c r="AO649" s="1" t="s">
        <v>2260</v>
      </c>
      <c r="AP649" s="1" t="s">
        <v>2261</v>
      </c>
      <c r="AQ649" s="1" t="s">
        <v>74</v>
      </c>
      <c r="AR649" s="1" t="s">
        <v>74</v>
      </c>
      <c r="AS649" s="1" t="s">
        <v>74</v>
      </c>
      <c r="AT649" s="1" t="s">
        <v>6639</v>
      </c>
      <c r="AU649" s="1">
        <v>2019.0</v>
      </c>
      <c r="AV649" s="1">
        <v>100.0</v>
      </c>
      <c r="AW649" s="1">
        <v>6.0</v>
      </c>
      <c r="AX649" s="1" t="s">
        <v>74</v>
      </c>
      <c r="AY649" s="1" t="s">
        <v>74</v>
      </c>
      <c r="AZ649" s="1" t="s">
        <v>74</v>
      </c>
      <c r="BA649" s="1" t="s">
        <v>74</v>
      </c>
      <c r="BB649" s="1" t="s">
        <v>74</v>
      </c>
      <c r="BC649" s="1" t="s">
        <v>74</v>
      </c>
      <c r="BD649" s="1">
        <v>64051.0</v>
      </c>
      <c r="BE649" s="1" t="s">
        <v>6640</v>
      </c>
      <c r="BF649" s="2" t="str">
        <f>HYPERLINK("http://dx.doi.org/10.1103/PhysRevD.100.064051","http://dx.doi.org/10.1103/PhysRevD.100.064051")</f>
        <v>http://dx.doi.org/10.1103/PhysRevD.100.064051</v>
      </c>
      <c r="BG649" s="1" t="s">
        <v>74</v>
      </c>
      <c r="BH649" s="1" t="s">
        <v>74</v>
      </c>
      <c r="BI649" s="1" t="s">
        <v>74</v>
      </c>
      <c r="BJ649" s="1" t="s">
        <v>74</v>
      </c>
      <c r="BK649" s="1" t="s">
        <v>74</v>
      </c>
      <c r="BL649" s="1" t="s">
        <v>74</v>
      </c>
      <c r="BM649" s="1" t="s">
        <v>74</v>
      </c>
      <c r="BN649" s="1" t="s">
        <v>74</v>
      </c>
      <c r="BO649" s="1" t="s">
        <v>74</v>
      </c>
      <c r="BP649" s="1" t="s">
        <v>74</v>
      </c>
      <c r="BQ649" s="1" t="s">
        <v>74</v>
      </c>
      <c r="BR649" s="1" t="s">
        <v>74</v>
      </c>
      <c r="BS649" s="1" t="s">
        <v>6641</v>
      </c>
      <c r="BT649" s="1" t="str">
        <f>HYPERLINK("https%3A%2F%2Fwww.webofscience.com%2Fwos%2Fwoscc%2Ffull-record%2FWOS:000487736900003","View Full Record in Web of Science")</f>
        <v>View Full Record in Web of Science</v>
      </c>
    </row>
    <row r="650" ht="12.75" customHeight="1">
      <c r="A650" s="1" t="s">
        <v>72</v>
      </c>
      <c r="B650" s="1" t="s">
        <v>6642</v>
      </c>
      <c r="C650" s="1" t="s">
        <v>74</v>
      </c>
      <c r="D650" s="1" t="s">
        <v>74</v>
      </c>
      <c r="E650" s="1" t="s">
        <v>74</v>
      </c>
      <c r="F650" s="1" t="s">
        <v>6643</v>
      </c>
      <c r="G650" s="1" t="s">
        <v>74</v>
      </c>
      <c r="H650" s="1" t="s">
        <v>74</v>
      </c>
      <c r="I650" s="1" t="s">
        <v>6644</v>
      </c>
      <c r="J650" s="1" t="s">
        <v>6645</v>
      </c>
      <c r="K650" s="1" t="s">
        <v>74</v>
      </c>
      <c r="L650" s="1" t="s">
        <v>74</v>
      </c>
      <c r="M650" s="1" t="s">
        <v>74</v>
      </c>
      <c r="N650" s="1" t="s">
        <v>74</v>
      </c>
      <c r="O650" s="1" t="s">
        <v>74</v>
      </c>
      <c r="P650" s="1" t="s">
        <v>74</v>
      </c>
      <c r="Q650" s="1" t="s">
        <v>74</v>
      </c>
      <c r="R650" s="1" t="s">
        <v>74</v>
      </c>
      <c r="S650" s="1" t="s">
        <v>74</v>
      </c>
      <c r="T650" s="1" t="s">
        <v>74</v>
      </c>
      <c r="U650" s="1" t="s">
        <v>74</v>
      </c>
      <c r="V650" s="1" t="s">
        <v>6646</v>
      </c>
      <c r="W650" s="1" t="s">
        <v>74</v>
      </c>
      <c r="X650" s="1" t="s">
        <v>74</v>
      </c>
      <c r="Y650" s="1" t="s">
        <v>74</v>
      </c>
      <c r="Z650" s="1" t="s">
        <v>74</v>
      </c>
      <c r="AA650" s="1" t="s">
        <v>74</v>
      </c>
      <c r="AB650" s="1" t="s">
        <v>6647</v>
      </c>
      <c r="AC650" s="1" t="s">
        <v>74</v>
      </c>
      <c r="AD650" s="1" t="s">
        <v>74</v>
      </c>
      <c r="AE650" s="1" t="s">
        <v>74</v>
      </c>
      <c r="AF650" s="1" t="s">
        <v>74</v>
      </c>
      <c r="AG650" s="1" t="s">
        <v>74</v>
      </c>
      <c r="AH650" s="1" t="s">
        <v>74</v>
      </c>
      <c r="AI650" s="1" t="s">
        <v>74</v>
      </c>
      <c r="AJ650" s="1" t="s">
        <v>74</v>
      </c>
      <c r="AK650" s="1" t="s">
        <v>74</v>
      </c>
      <c r="AL650" s="1" t="s">
        <v>74</v>
      </c>
      <c r="AM650" s="1" t="s">
        <v>74</v>
      </c>
      <c r="AN650" s="1" t="s">
        <v>74</v>
      </c>
      <c r="AO650" s="1" t="s">
        <v>6648</v>
      </c>
      <c r="AP650" s="1" t="s">
        <v>6649</v>
      </c>
      <c r="AQ650" s="1" t="s">
        <v>74</v>
      </c>
      <c r="AR650" s="1" t="s">
        <v>74</v>
      </c>
      <c r="AS650" s="1" t="s">
        <v>74</v>
      </c>
      <c r="AT650" s="1" t="s">
        <v>2530</v>
      </c>
      <c r="AU650" s="1">
        <v>2019.0</v>
      </c>
      <c r="AV650" s="1">
        <v>372.0</v>
      </c>
      <c r="AW650" s="1">
        <v>1.0</v>
      </c>
      <c r="AX650" s="1" t="s">
        <v>74</v>
      </c>
      <c r="AY650" s="1" t="s">
        <v>74</v>
      </c>
      <c r="AZ650" s="1" t="s">
        <v>74</v>
      </c>
      <c r="BA650" s="1" t="s">
        <v>74</v>
      </c>
      <c r="BB650" s="1">
        <v>1.0</v>
      </c>
      <c r="BC650" s="1">
        <v>34.0</v>
      </c>
      <c r="BD650" s="1" t="s">
        <v>74</v>
      </c>
      <c r="BE650" s="1" t="s">
        <v>6650</v>
      </c>
      <c r="BF650" s="2" t="str">
        <f>HYPERLINK("http://dx.doi.org/10.1090/tran/7436","http://dx.doi.org/10.1090/tran/7436")</f>
        <v>http://dx.doi.org/10.1090/tran/7436</v>
      </c>
      <c r="BG650" s="1" t="s">
        <v>74</v>
      </c>
      <c r="BH650" s="1" t="s">
        <v>74</v>
      </c>
      <c r="BI650" s="1" t="s">
        <v>74</v>
      </c>
      <c r="BJ650" s="1" t="s">
        <v>74</v>
      </c>
      <c r="BK650" s="1" t="s">
        <v>74</v>
      </c>
      <c r="BL650" s="1" t="s">
        <v>74</v>
      </c>
      <c r="BM650" s="1" t="s">
        <v>74</v>
      </c>
      <c r="BN650" s="1" t="s">
        <v>74</v>
      </c>
      <c r="BO650" s="1" t="s">
        <v>74</v>
      </c>
      <c r="BP650" s="1" t="s">
        <v>74</v>
      </c>
      <c r="BQ650" s="1" t="s">
        <v>74</v>
      </c>
      <c r="BR650" s="1" t="s">
        <v>74</v>
      </c>
      <c r="BS650" s="1" t="s">
        <v>6651</v>
      </c>
      <c r="BT650" s="1" t="str">
        <f>HYPERLINK("https%3A%2F%2Fwww.webofscience.com%2Fwos%2Fwoscc%2Ffull-record%2FWOS:000472528700001","View Full Record in Web of Science")</f>
        <v>View Full Record in Web of Science</v>
      </c>
    </row>
    <row r="651" ht="12.75" customHeight="1">
      <c r="A651" s="1" t="s">
        <v>72</v>
      </c>
      <c r="B651" s="1" t="s">
        <v>6652</v>
      </c>
      <c r="C651" s="1" t="s">
        <v>74</v>
      </c>
      <c r="D651" s="1" t="s">
        <v>74</v>
      </c>
      <c r="E651" s="1" t="s">
        <v>74</v>
      </c>
      <c r="F651" s="1" t="s">
        <v>6653</v>
      </c>
      <c r="G651" s="1" t="s">
        <v>74</v>
      </c>
      <c r="H651" s="1" t="s">
        <v>74</v>
      </c>
      <c r="I651" s="1" t="s">
        <v>6654</v>
      </c>
      <c r="J651" s="1" t="s">
        <v>354</v>
      </c>
      <c r="K651" s="1" t="s">
        <v>74</v>
      </c>
      <c r="L651" s="1" t="s">
        <v>74</v>
      </c>
      <c r="M651" s="1" t="s">
        <v>74</v>
      </c>
      <c r="N651" s="1" t="s">
        <v>74</v>
      </c>
      <c r="O651" s="1" t="s">
        <v>74</v>
      </c>
      <c r="P651" s="1" t="s">
        <v>74</v>
      </c>
      <c r="Q651" s="1" t="s">
        <v>74</v>
      </c>
      <c r="R651" s="1" t="s">
        <v>74</v>
      </c>
      <c r="S651" s="1" t="s">
        <v>74</v>
      </c>
      <c r="T651" s="1" t="s">
        <v>74</v>
      </c>
      <c r="U651" s="1" t="s">
        <v>74</v>
      </c>
      <c r="V651" s="1" t="s">
        <v>6655</v>
      </c>
      <c r="W651" s="1" t="s">
        <v>74</v>
      </c>
      <c r="X651" s="1" t="s">
        <v>74</v>
      </c>
      <c r="Y651" s="1" t="s">
        <v>74</v>
      </c>
      <c r="Z651" s="1" t="s">
        <v>74</v>
      </c>
      <c r="AA651" s="1" t="s">
        <v>6656</v>
      </c>
      <c r="AB651" s="1" t="s">
        <v>6657</v>
      </c>
      <c r="AC651" s="1" t="s">
        <v>74</v>
      </c>
      <c r="AD651" s="1" t="s">
        <v>74</v>
      </c>
      <c r="AE651" s="1" t="s">
        <v>74</v>
      </c>
      <c r="AF651" s="1" t="s">
        <v>74</v>
      </c>
      <c r="AG651" s="1" t="s">
        <v>74</v>
      </c>
      <c r="AH651" s="1" t="s">
        <v>74</v>
      </c>
      <c r="AI651" s="1" t="s">
        <v>74</v>
      </c>
      <c r="AJ651" s="1" t="s">
        <v>74</v>
      </c>
      <c r="AK651" s="1" t="s">
        <v>74</v>
      </c>
      <c r="AL651" s="1" t="s">
        <v>74</v>
      </c>
      <c r="AM651" s="1" t="s">
        <v>74</v>
      </c>
      <c r="AN651" s="1" t="s">
        <v>74</v>
      </c>
      <c r="AO651" s="1" t="s">
        <v>358</v>
      </c>
      <c r="AP651" s="1" t="s">
        <v>359</v>
      </c>
      <c r="AQ651" s="1" t="s">
        <v>74</v>
      </c>
      <c r="AR651" s="1" t="s">
        <v>74</v>
      </c>
      <c r="AS651" s="1" t="s">
        <v>74</v>
      </c>
      <c r="AT651" s="1" t="s">
        <v>3971</v>
      </c>
      <c r="AU651" s="1">
        <v>2019.0</v>
      </c>
      <c r="AV651" s="1">
        <v>299.0</v>
      </c>
      <c r="AW651" s="1" t="s">
        <v>74</v>
      </c>
      <c r="AX651" s="1" t="s">
        <v>74</v>
      </c>
      <c r="AY651" s="1" t="s">
        <v>74</v>
      </c>
      <c r="AZ651" s="1" t="s">
        <v>74</v>
      </c>
      <c r="BA651" s="1" t="s">
        <v>74</v>
      </c>
      <c r="BB651" s="1">
        <v>999.0</v>
      </c>
      <c r="BC651" s="1">
        <v>1010.0</v>
      </c>
      <c r="BD651" s="1" t="s">
        <v>74</v>
      </c>
      <c r="BE651" s="1" t="s">
        <v>6658</v>
      </c>
      <c r="BF651" s="2" t="str">
        <f>HYPERLINK("http://dx.doi.org/10.1016/j.electacta.2019.01.062","http://dx.doi.org/10.1016/j.electacta.2019.01.062")</f>
        <v>http://dx.doi.org/10.1016/j.electacta.2019.01.062</v>
      </c>
      <c r="BG651" s="1" t="s">
        <v>74</v>
      </c>
      <c r="BH651" s="1" t="s">
        <v>74</v>
      </c>
      <c r="BI651" s="1" t="s">
        <v>74</v>
      </c>
      <c r="BJ651" s="1" t="s">
        <v>74</v>
      </c>
      <c r="BK651" s="1" t="s">
        <v>74</v>
      </c>
      <c r="BL651" s="1" t="s">
        <v>74</v>
      </c>
      <c r="BM651" s="1" t="s">
        <v>74</v>
      </c>
      <c r="BN651" s="1" t="s">
        <v>74</v>
      </c>
      <c r="BO651" s="1" t="s">
        <v>74</v>
      </c>
      <c r="BP651" s="1" t="s">
        <v>74</v>
      </c>
      <c r="BQ651" s="1" t="s">
        <v>74</v>
      </c>
      <c r="BR651" s="1" t="s">
        <v>74</v>
      </c>
      <c r="BS651" s="1" t="s">
        <v>6659</v>
      </c>
      <c r="BT651" s="1" t="str">
        <f>HYPERLINK("https%3A%2F%2Fwww.webofscience.com%2Fwos%2Fwoscc%2Ffull-record%2FWOS:000457551900107","View Full Record in Web of Science")</f>
        <v>View Full Record in Web of Science</v>
      </c>
    </row>
    <row r="652" ht="12.75" customHeight="1">
      <c r="A652" s="1" t="s">
        <v>72</v>
      </c>
      <c r="B652" s="1" t="s">
        <v>6660</v>
      </c>
      <c r="C652" s="1" t="s">
        <v>74</v>
      </c>
      <c r="D652" s="1" t="s">
        <v>74</v>
      </c>
      <c r="E652" s="1" t="s">
        <v>74</v>
      </c>
      <c r="F652" s="1" t="s">
        <v>6661</v>
      </c>
      <c r="G652" s="1" t="s">
        <v>74</v>
      </c>
      <c r="H652" s="1" t="s">
        <v>74</v>
      </c>
      <c r="I652" s="1" t="s">
        <v>6662</v>
      </c>
      <c r="J652" s="1" t="s">
        <v>2186</v>
      </c>
      <c r="K652" s="1" t="s">
        <v>74</v>
      </c>
      <c r="L652" s="1" t="s">
        <v>74</v>
      </c>
      <c r="M652" s="1" t="s">
        <v>74</v>
      </c>
      <c r="N652" s="1" t="s">
        <v>74</v>
      </c>
      <c r="O652" s="1" t="s">
        <v>74</v>
      </c>
      <c r="P652" s="1" t="s">
        <v>74</v>
      </c>
      <c r="Q652" s="1" t="s">
        <v>74</v>
      </c>
      <c r="R652" s="1" t="s">
        <v>74</v>
      </c>
      <c r="S652" s="1" t="s">
        <v>74</v>
      </c>
      <c r="T652" s="1" t="s">
        <v>74</v>
      </c>
      <c r="U652" s="1" t="s">
        <v>74</v>
      </c>
      <c r="V652" s="1" t="s">
        <v>6663</v>
      </c>
      <c r="W652" s="1" t="s">
        <v>74</v>
      </c>
      <c r="X652" s="1" t="s">
        <v>74</v>
      </c>
      <c r="Y652" s="1" t="s">
        <v>74</v>
      </c>
      <c r="Z652" s="1" t="s">
        <v>74</v>
      </c>
      <c r="AA652" s="1" t="s">
        <v>6664</v>
      </c>
      <c r="AB652" s="1" t="s">
        <v>6665</v>
      </c>
      <c r="AC652" s="1" t="s">
        <v>74</v>
      </c>
      <c r="AD652" s="1" t="s">
        <v>74</v>
      </c>
      <c r="AE652" s="1" t="s">
        <v>74</v>
      </c>
      <c r="AF652" s="1" t="s">
        <v>74</v>
      </c>
      <c r="AG652" s="1" t="s">
        <v>74</v>
      </c>
      <c r="AH652" s="1" t="s">
        <v>74</v>
      </c>
      <c r="AI652" s="1" t="s">
        <v>74</v>
      </c>
      <c r="AJ652" s="1" t="s">
        <v>74</v>
      </c>
      <c r="AK652" s="1" t="s">
        <v>74</v>
      </c>
      <c r="AL652" s="1" t="s">
        <v>74</v>
      </c>
      <c r="AM652" s="1" t="s">
        <v>74</v>
      </c>
      <c r="AN652" s="1" t="s">
        <v>74</v>
      </c>
      <c r="AO652" s="1" t="s">
        <v>2260</v>
      </c>
      <c r="AP652" s="1" t="s">
        <v>2261</v>
      </c>
      <c r="AQ652" s="1" t="s">
        <v>74</v>
      </c>
      <c r="AR652" s="1" t="s">
        <v>74</v>
      </c>
      <c r="AS652" s="1" t="s">
        <v>74</v>
      </c>
      <c r="AT652" s="1" t="s">
        <v>6666</v>
      </c>
      <c r="AU652" s="1">
        <v>2019.0</v>
      </c>
      <c r="AV652" s="1">
        <v>99.0</v>
      </c>
      <c r="AW652" s="1">
        <v>3.0</v>
      </c>
      <c r="AX652" s="1" t="s">
        <v>74</v>
      </c>
      <c r="AY652" s="1" t="s">
        <v>74</v>
      </c>
      <c r="AZ652" s="1" t="s">
        <v>74</v>
      </c>
      <c r="BA652" s="1" t="s">
        <v>74</v>
      </c>
      <c r="BB652" s="1" t="s">
        <v>74</v>
      </c>
      <c r="BC652" s="1" t="s">
        <v>74</v>
      </c>
      <c r="BD652" s="1">
        <v>36008.0</v>
      </c>
      <c r="BE652" s="1" t="s">
        <v>6667</v>
      </c>
      <c r="BF652" s="2" t="str">
        <f>HYPERLINK("http://dx.doi.org/10.1103/PhysRevD.99.036008","http://dx.doi.org/10.1103/PhysRevD.99.036008")</f>
        <v>http://dx.doi.org/10.1103/PhysRevD.99.036008</v>
      </c>
      <c r="BG652" s="1" t="s">
        <v>74</v>
      </c>
      <c r="BH652" s="1" t="s">
        <v>74</v>
      </c>
      <c r="BI652" s="1" t="s">
        <v>74</v>
      </c>
      <c r="BJ652" s="1" t="s">
        <v>74</v>
      </c>
      <c r="BK652" s="1" t="s">
        <v>74</v>
      </c>
      <c r="BL652" s="1" t="s">
        <v>74</v>
      </c>
      <c r="BM652" s="1" t="s">
        <v>74</v>
      </c>
      <c r="BN652" s="1" t="s">
        <v>74</v>
      </c>
      <c r="BO652" s="1" t="s">
        <v>74</v>
      </c>
      <c r="BP652" s="1" t="s">
        <v>74</v>
      </c>
      <c r="BQ652" s="1" t="s">
        <v>74</v>
      </c>
      <c r="BR652" s="1" t="s">
        <v>74</v>
      </c>
      <c r="BS652" s="1" t="s">
        <v>6668</v>
      </c>
      <c r="BT652" s="1" t="str">
        <f>HYPERLINK("https%3A%2F%2Fwww.webofscience.com%2Fwos%2Fwoscc%2Ffull-record%2FWOS:000458370800009","View Full Record in Web of Science")</f>
        <v>View Full Record in Web of Science</v>
      </c>
    </row>
    <row r="653" ht="12.75" customHeight="1">
      <c r="A653" s="1" t="s">
        <v>86</v>
      </c>
      <c r="B653" s="1" t="s">
        <v>6669</v>
      </c>
      <c r="C653" s="1" t="s">
        <v>74</v>
      </c>
      <c r="D653" s="1" t="s">
        <v>74</v>
      </c>
      <c r="E653" s="1" t="s">
        <v>248</v>
      </c>
      <c r="F653" s="1" t="s">
        <v>6670</v>
      </c>
      <c r="G653" s="1" t="s">
        <v>74</v>
      </c>
      <c r="H653" s="1" t="s">
        <v>74</v>
      </c>
      <c r="I653" s="1" t="s">
        <v>6671</v>
      </c>
      <c r="J653" s="1" t="s">
        <v>6672</v>
      </c>
      <c r="K653" s="1" t="s">
        <v>6673</v>
      </c>
      <c r="L653" s="1" t="s">
        <v>74</v>
      </c>
      <c r="M653" s="1" t="s">
        <v>74</v>
      </c>
      <c r="N653" s="1" t="s">
        <v>74</v>
      </c>
      <c r="O653" s="1" t="s">
        <v>6674</v>
      </c>
      <c r="P653" s="1" t="s">
        <v>6675</v>
      </c>
      <c r="Q653" s="1" t="s">
        <v>6676</v>
      </c>
      <c r="R653" s="1" t="s">
        <v>6677</v>
      </c>
      <c r="S653" s="1" t="s">
        <v>74</v>
      </c>
      <c r="T653" s="1" t="s">
        <v>74</v>
      </c>
      <c r="U653" s="1" t="s">
        <v>74</v>
      </c>
      <c r="V653" s="1" t="s">
        <v>6678</v>
      </c>
      <c r="W653" s="1" t="s">
        <v>74</v>
      </c>
      <c r="X653" s="1" t="s">
        <v>74</v>
      </c>
      <c r="Y653" s="1" t="s">
        <v>74</v>
      </c>
      <c r="Z653" s="1" t="s">
        <v>74</v>
      </c>
      <c r="AA653" s="1" t="s">
        <v>6679</v>
      </c>
      <c r="AB653" s="1" t="s">
        <v>6680</v>
      </c>
      <c r="AC653" s="1" t="s">
        <v>74</v>
      </c>
      <c r="AD653" s="1" t="s">
        <v>74</v>
      </c>
      <c r="AE653" s="1" t="s">
        <v>74</v>
      </c>
      <c r="AF653" s="1" t="s">
        <v>74</v>
      </c>
      <c r="AG653" s="1" t="s">
        <v>74</v>
      </c>
      <c r="AH653" s="1" t="s">
        <v>74</v>
      </c>
      <c r="AI653" s="1" t="s">
        <v>74</v>
      </c>
      <c r="AJ653" s="1" t="s">
        <v>74</v>
      </c>
      <c r="AK653" s="1" t="s">
        <v>74</v>
      </c>
      <c r="AL653" s="1" t="s">
        <v>74</v>
      </c>
      <c r="AM653" s="1" t="s">
        <v>74</v>
      </c>
      <c r="AN653" s="1" t="s">
        <v>74</v>
      </c>
      <c r="AO653" s="1" t="s">
        <v>6681</v>
      </c>
      <c r="AP653" s="1" t="s">
        <v>74</v>
      </c>
      <c r="AQ653" s="1" t="s">
        <v>6682</v>
      </c>
      <c r="AR653" s="1" t="s">
        <v>74</v>
      </c>
      <c r="AS653" s="1" t="s">
        <v>74</v>
      </c>
      <c r="AT653" s="1" t="s">
        <v>74</v>
      </c>
      <c r="AU653" s="1">
        <v>2019.0</v>
      </c>
      <c r="AV653" s="1" t="s">
        <v>74</v>
      </c>
      <c r="AW653" s="1" t="s">
        <v>74</v>
      </c>
      <c r="AX653" s="1" t="s">
        <v>74</v>
      </c>
      <c r="AY653" s="1" t="s">
        <v>74</v>
      </c>
      <c r="AZ653" s="1" t="s">
        <v>74</v>
      </c>
      <c r="BA653" s="1" t="s">
        <v>74</v>
      </c>
      <c r="BB653" s="1">
        <v>6382.0</v>
      </c>
      <c r="BC653" s="1">
        <v>6387.0</v>
      </c>
      <c r="BD653" s="1" t="s">
        <v>74</v>
      </c>
      <c r="BE653" s="1" t="s">
        <v>6683</v>
      </c>
      <c r="BF653" s="2" t="str">
        <f>HYPERLINK("http://dx.doi.org/10.1109/ecce.2019.8912646","http://dx.doi.org/10.1109/ecce.2019.8912646")</f>
        <v>http://dx.doi.org/10.1109/ecce.2019.8912646</v>
      </c>
      <c r="BG653" s="1" t="s">
        <v>74</v>
      </c>
      <c r="BH653" s="1" t="s">
        <v>74</v>
      </c>
      <c r="BI653" s="1" t="s">
        <v>74</v>
      </c>
      <c r="BJ653" s="1" t="s">
        <v>74</v>
      </c>
      <c r="BK653" s="1" t="s">
        <v>74</v>
      </c>
      <c r="BL653" s="1" t="s">
        <v>74</v>
      </c>
      <c r="BM653" s="1" t="s">
        <v>74</v>
      </c>
      <c r="BN653" s="1" t="s">
        <v>74</v>
      </c>
      <c r="BO653" s="1" t="s">
        <v>74</v>
      </c>
      <c r="BP653" s="1" t="s">
        <v>74</v>
      </c>
      <c r="BQ653" s="1" t="s">
        <v>74</v>
      </c>
      <c r="BR653" s="1" t="s">
        <v>74</v>
      </c>
      <c r="BS653" s="1" t="s">
        <v>6684</v>
      </c>
      <c r="BT653" s="1" t="str">
        <f>HYPERLINK("https%3A%2F%2Fwww.webofscience.com%2Fwos%2Fwoscc%2Ffull-record%2FWOS:000520543706112","View Full Record in Web of Science")</f>
        <v>View Full Record in Web of Science</v>
      </c>
    </row>
    <row r="654" ht="12.75" customHeight="1">
      <c r="A654" s="1" t="s">
        <v>72</v>
      </c>
      <c r="B654" s="1" t="s">
        <v>6685</v>
      </c>
      <c r="C654" s="1" t="s">
        <v>74</v>
      </c>
      <c r="D654" s="1" t="s">
        <v>74</v>
      </c>
      <c r="E654" s="1" t="s">
        <v>74</v>
      </c>
      <c r="F654" s="1" t="s">
        <v>6686</v>
      </c>
      <c r="G654" s="1" t="s">
        <v>74</v>
      </c>
      <c r="H654" s="1" t="s">
        <v>74</v>
      </c>
      <c r="I654" s="1" t="s">
        <v>6687</v>
      </c>
      <c r="J654" s="1" t="s">
        <v>6688</v>
      </c>
      <c r="K654" s="1" t="s">
        <v>74</v>
      </c>
      <c r="L654" s="1" t="s">
        <v>74</v>
      </c>
      <c r="M654" s="1" t="s">
        <v>74</v>
      </c>
      <c r="N654" s="1" t="s">
        <v>74</v>
      </c>
      <c r="O654" s="1" t="s">
        <v>74</v>
      </c>
      <c r="P654" s="1" t="s">
        <v>74</v>
      </c>
      <c r="Q654" s="1" t="s">
        <v>74</v>
      </c>
      <c r="R654" s="1" t="s">
        <v>74</v>
      </c>
      <c r="S654" s="1" t="s">
        <v>74</v>
      </c>
      <c r="T654" s="1" t="s">
        <v>74</v>
      </c>
      <c r="U654" s="1" t="s">
        <v>74</v>
      </c>
      <c r="V654" s="1" t="s">
        <v>6689</v>
      </c>
      <c r="W654" s="1" t="s">
        <v>74</v>
      </c>
      <c r="X654" s="1" t="s">
        <v>74</v>
      </c>
      <c r="Y654" s="1" t="s">
        <v>74</v>
      </c>
      <c r="Z654" s="1" t="s">
        <v>74</v>
      </c>
      <c r="AA654" s="1" t="s">
        <v>6690</v>
      </c>
      <c r="AB654" s="1" t="s">
        <v>6691</v>
      </c>
      <c r="AC654" s="1" t="s">
        <v>74</v>
      </c>
      <c r="AD654" s="1" t="s">
        <v>74</v>
      </c>
      <c r="AE654" s="1" t="s">
        <v>74</v>
      </c>
      <c r="AF654" s="1" t="s">
        <v>74</v>
      </c>
      <c r="AG654" s="1" t="s">
        <v>74</v>
      </c>
      <c r="AH654" s="1" t="s">
        <v>74</v>
      </c>
      <c r="AI654" s="1" t="s">
        <v>74</v>
      </c>
      <c r="AJ654" s="1" t="s">
        <v>74</v>
      </c>
      <c r="AK654" s="1" t="s">
        <v>74</v>
      </c>
      <c r="AL654" s="1" t="s">
        <v>74</v>
      </c>
      <c r="AM654" s="1" t="s">
        <v>74</v>
      </c>
      <c r="AN654" s="1" t="s">
        <v>74</v>
      </c>
      <c r="AO654" s="1" t="s">
        <v>6692</v>
      </c>
      <c r="AP654" s="1" t="s">
        <v>6693</v>
      </c>
      <c r="AQ654" s="1" t="s">
        <v>74</v>
      </c>
      <c r="AR654" s="1" t="s">
        <v>74</v>
      </c>
      <c r="AS654" s="1" t="s">
        <v>74</v>
      </c>
      <c r="AT654" s="1" t="s">
        <v>485</v>
      </c>
      <c r="AU654" s="1">
        <v>2018.0</v>
      </c>
      <c r="AV654" s="1">
        <v>60.0</v>
      </c>
      <c r="AW654" s="1">
        <v>3.0</v>
      </c>
      <c r="AX654" s="1" t="s">
        <v>74</v>
      </c>
      <c r="AY654" s="1" t="s">
        <v>74</v>
      </c>
      <c r="AZ654" s="1" t="s">
        <v>1416</v>
      </c>
      <c r="BA654" s="1" t="s">
        <v>74</v>
      </c>
      <c r="BB654" s="1">
        <v>112.0</v>
      </c>
      <c r="BC654" s="1">
        <v>132.0</v>
      </c>
      <c r="BD654" s="1" t="s">
        <v>74</v>
      </c>
      <c r="BE654" s="1" t="s">
        <v>6694</v>
      </c>
      <c r="BF654" s="2" t="str">
        <f>HYPERLINK("http://dx.doi.org/10.1177/0008125617752695","http://dx.doi.org/10.1177/0008125617752695")</f>
        <v>http://dx.doi.org/10.1177/0008125617752695</v>
      </c>
      <c r="BG654" s="1" t="s">
        <v>74</v>
      </c>
      <c r="BH654" s="1" t="s">
        <v>74</v>
      </c>
      <c r="BI654" s="1" t="s">
        <v>74</v>
      </c>
      <c r="BJ654" s="1" t="s">
        <v>74</v>
      </c>
      <c r="BK654" s="1" t="s">
        <v>74</v>
      </c>
      <c r="BL654" s="1" t="s">
        <v>74</v>
      </c>
      <c r="BM654" s="1" t="s">
        <v>74</v>
      </c>
      <c r="BN654" s="1" t="s">
        <v>74</v>
      </c>
      <c r="BO654" s="1" t="s">
        <v>74</v>
      </c>
      <c r="BP654" s="1" t="s">
        <v>74</v>
      </c>
      <c r="BQ654" s="1" t="s">
        <v>74</v>
      </c>
      <c r="BR654" s="1" t="s">
        <v>74</v>
      </c>
      <c r="BS654" s="1" t="s">
        <v>6695</v>
      </c>
      <c r="BT654" s="1" t="str">
        <f>HYPERLINK("https%3A%2F%2Fwww.webofscience.com%2Fwos%2Fwoscc%2Ffull-record%2FWOS:000445386700006","View Full Record in Web of Science")</f>
        <v>View Full Record in Web of Science</v>
      </c>
    </row>
    <row r="655" ht="12.75" customHeight="1">
      <c r="A655" s="1" t="s">
        <v>72</v>
      </c>
      <c r="B655" s="1" t="s">
        <v>6696</v>
      </c>
      <c r="C655" s="1" t="s">
        <v>74</v>
      </c>
      <c r="D655" s="1" t="s">
        <v>74</v>
      </c>
      <c r="E655" s="1" t="s">
        <v>74</v>
      </c>
      <c r="F655" s="1" t="s">
        <v>6697</v>
      </c>
      <c r="G655" s="1" t="s">
        <v>74</v>
      </c>
      <c r="H655" s="1" t="s">
        <v>74</v>
      </c>
      <c r="I655" s="1" t="s">
        <v>6698</v>
      </c>
      <c r="J655" s="1" t="s">
        <v>77</v>
      </c>
      <c r="K655" s="1" t="s">
        <v>74</v>
      </c>
      <c r="L655" s="1" t="s">
        <v>74</v>
      </c>
      <c r="M655" s="1" t="s">
        <v>74</v>
      </c>
      <c r="N655" s="1" t="s">
        <v>74</v>
      </c>
      <c r="O655" s="1" t="s">
        <v>74</v>
      </c>
      <c r="P655" s="1" t="s">
        <v>74</v>
      </c>
      <c r="Q655" s="1" t="s">
        <v>74</v>
      </c>
      <c r="R655" s="1" t="s">
        <v>74</v>
      </c>
      <c r="S655" s="1" t="s">
        <v>74</v>
      </c>
      <c r="T655" s="1" t="s">
        <v>74</v>
      </c>
      <c r="U655" s="1" t="s">
        <v>74</v>
      </c>
      <c r="V655" s="1" t="s">
        <v>6699</v>
      </c>
      <c r="W655" s="1" t="s">
        <v>74</v>
      </c>
      <c r="X655" s="1" t="s">
        <v>74</v>
      </c>
      <c r="Y655" s="1" t="s">
        <v>74</v>
      </c>
      <c r="Z655" s="1" t="s">
        <v>74</v>
      </c>
      <c r="AA655" s="1" t="s">
        <v>6700</v>
      </c>
      <c r="AB655" s="1" t="s">
        <v>6701</v>
      </c>
      <c r="AC655" s="1" t="s">
        <v>74</v>
      </c>
      <c r="AD655" s="1" t="s">
        <v>74</v>
      </c>
      <c r="AE655" s="1" t="s">
        <v>74</v>
      </c>
      <c r="AF655" s="1" t="s">
        <v>74</v>
      </c>
      <c r="AG655" s="1" t="s">
        <v>74</v>
      </c>
      <c r="AH655" s="1" t="s">
        <v>74</v>
      </c>
      <c r="AI655" s="1" t="s">
        <v>74</v>
      </c>
      <c r="AJ655" s="1" t="s">
        <v>74</v>
      </c>
      <c r="AK655" s="1" t="s">
        <v>74</v>
      </c>
      <c r="AL655" s="1" t="s">
        <v>74</v>
      </c>
      <c r="AM655" s="1" t="s">
        <v>74</v>
      </c>
      <c r="AN655" s="1" t="s">
        <v>74</v>
      </c>
      <c r="AO655" s="1" t="s">
        <v>81</v>
      </c>
      <c r="AP655" s="1" t="s">
        <v>74</v>
      </c>
      <c r="AQ655" s="1" t="s">
        <v>74</v>
      </c>
      <c r="AR655" s="1" t="s">
        <v>74</v>
      </c>
      <c r="AS655" s="1" t="s">
        <v>74</v>
      </c>
      <c r="AT655" s="1" t="s">
        <v>6702</v>
      </c>
      <c r="AU655" s="1">
        <v>2017.0</v>
      </c>
      <c r="AV655" s="1">
        <v>12.0</v>
      </c>
      <c r="AW655" s="1">
        <v>10.0</v>
      </c>
      <c r="AX655" s="1" t="s">
        <v>74</v>
      </c>
      <c r="AY655" s="1" t="s">
        <v>74</v>
      </c>
      <c r="AZ655" s="1" t="s">
        <v>74</v>
      </c>
      <c r="BA655" s="1" t="s">
        <v>74</v>
      </c>
      <c r="BB655" s="1" t="s">
        <v>74</v>
      </c>
      <c r="BC655" s="1" t="s">
        <v>74</v>
      </c>
      <c r="BD655" s="1">
        <v>185908.0</v>
      </c>
      <c r="BE655" s="1" t="s">
        <v>6703</v>
      </c>
      <c r="BF655" s="2" t="str">
        <f>HYPERLINK("http://dx.doi.org/10.1371/journal.pone.0185908","http://dx.doi.org/10.1371/journal.pone.0185908")</f>
        <v>http://dx.doi.org/10.1371/journal.pone.0185908</v>
      </c>
      <c r="BG655" s="1" t="s">
        <v>74</v>
      </c>
      <c r="BH655" s="1" t="s">
        <v>74</v>
      </c>
      <c r="BI655" s="1" t="s">
        <v>74</v>
      </c>
      <c r="BJ655" s="1" t="s">
        <v>74</v>
      </c>
      <c r="BK655" s="1" t="s">
        <v>74</v>
      </c>
      <c r="BL655" s="1" t="s">
        <v>74</v>
      </c>
      <c r="BM655" s="1" t="s">
        <v>74</v>
      </c>
      <c r="BN655" s="1">
        <v>2.9049384E7</v>
      </c>
      <c r="BO655" s="1" t="s">
        <v>74</v>
      </c>
      <c r="BP655" s="1" t="s">
        <v>74</v>
      </c>
      <c r="BQ655" s="1" t="s">
        <v>74</v>
      </c>
      <c r="BR655" s="1" t="s">
        <v>74</v>
      </c>
      <c r="BS655" s="1" t="s">
        <v>6704</v>
      </c>
      <c r="BT655" s="1" t="str">
        <f>HYPERLINK("https%3A%2F%2Fwww.webofscience.com%2Fwos%2Fwoscc%2Ffull-record%2FWOS:000413195900029","View Full Record in Web of Science")</f>
        <v>View Full Record in Web of Science</v>
      </c>
    </row>
    <row r="656" ht="12.75" customHeight="1">
      <c r="A656" s="1" t="s">
        <v>72</v>
      </c>
      <c r="B656" s="1" t="s">
        <v>6705</v>
      </c>
      <c r="C656" s="1" t="s">
        <v>74</v>
      </c>
      <c r="D656" s="1" t="s">
        <v>74</v>
      </c>
      <c r="E656" s="1" t="s">
        <v>74</v>
      </c>
      <c r="F656" s="1" t="s">
        <v>6706</v>
      </c>
      <c r="G656" s="1" t="s">
        <v>74</v>
      </c>
      <c r="H656" s="1" t="s">
        <v>74</v>
      </c>
      <c r="I656" s="1" t="s">
        <v>6707</v>
      </c>
      <c r="J656" s="1" t="s">
        <v>6708</v>
      </c>
      <c r="K656" s="1" t="s">
        <v>74</v>
      </c>
      <c r="L656" s="1" t="s">
        <v>74</v>
      </c>
      <c r="M656" s="1" t="s">
        <v>74</v>
      </c>
      <c r="N656" s="1" t="s">
        <v>74</v>
      </c>
      <c r="O656" s="1" t="s">
        <v>74</v>
      </c>
      <c r="P656" s="1" t="s">
        <v>74</v>
      </c>
      <c r="Q656" s="1" t="s">
        <v>74</v>
      </c>
      <c r="R656" s="1" t="s">
        <v>74</v>
      </c>
      <c r="S656" s="1" t="s">
        <v>74</v>
      </c>
      <c r="T656" s="1" t="s">
        <v>74</v>
      </c>
      <c r="U656" s="1" t="s">
        <v>74</v>
      </c>
      <c r="V656" s="1" t="s">
        <v>6709</v>
      </c>
      <c r="W656" s="1" t="s">
        <v>74</v>
      </c>
      <c r="X656" s="1" t="s">
        <v>74</v>
      </c>
      <c r="Y656" s="1" t="s">
        <v>74</v>
      </c>
      <c r="Z656" s="1" t="s">
        <v>74</v>
      </c>
      <c r="AA656" s="1" t="s">
        <v>6710</v>
      </c>
      <c r="AB656" s="1" t="s">
        <v>6711</v>
      </c>
      <c r="AC656" s="1" t="s">
        <v>74</v>
      </c>
      <c r="AD656" s="1" t="s">
        <v>74</v>
      </c>
      <c r="AE656" s="1" t="s">
        <v>74</v>
      </c>
      <c r="AF656" s="1" t="s">
        <v>74</v>
      </c>
      <c r="AG656" s="1" t="s">
        <v>74</v>
      </c>
      <c r="AH656" s="1" t="s">
        <v>74</v>
      </c>
      <c r="AI656" s="1" t="s">
        <v>74</v>
      </c>
      <c r="AJ656" s="1" t="s">
        <v>74</v>
      </c>
      <c r="AK656" s="1" t="s">
        <v>74</v>
      </c>
      <c r="AL656" s="1" t="s">
        <v>74</v>
      </c>
      <c r="AM656" s="1" t="s">
        <v>74</v>
      </c>
      <c r="AN656" s="1" t="s">
        <v>74</v>
      </c>
      <c r="AO656" s="1" t="s">
        <v>6712</v>
      </c>
      <c r="AP656" s="1" t="s">
        <v>6713</v>
      </c>
      <c r="AQ656" s="1" t="s">
        <v>74</v>
      </c>
      <c r="AR656" s="1" t="s">
        <v>74</v>
      </c>
      <c r="AS656" s="1" t="s">
        <v>74</v>
      </c>
      <c r="AT656" s="1" t="s">
        <v>348</v>
      </c>
      <c r="AU656" s="1">
        <v>2017.0</v>
      </c>
      <c r="AV656" s="1">
        <v>80.0</v>
      </c>
      <c r="AW656" s="1" t="s">
        <v>74</v>
      </c>
      <c r="AX656" s="1" t="s">
        <v>74</v>
      </c>
      <c r="AY656" s="1" t="s">
        <v>74</v>
      </c>
      <c r="AZ656" s="1" t="s">
        <v>1416</v>
      </c>
      <c r="BA656" s="1" t="s">
        <v>74</v>
      </c>
      <c r="BB656" s="1">
        <v>149.0</v>
      </c>
      <c r="BC656" s="1">
        <v>156.0</v>
      </c>
      <c r="BD656" s="1" t="s">
        <v>74</v>
      </c>
      <c r="BE656" s="1" t="s">
        <v>6714</v>
      </c>
      <c r="BF656" s="2" t="str">
        <f>HYPERLINK("http://dx.doi.org/10.1016/j.childyouth.2017.06.053","http://dx.doi.org/10.1016/j.childyouth.2017.06.053")</f>
        <v>http://dx.doi.org/10.1016/j.childyouth.2017.06.053</v>
      </c>
      <c r="BG656" s="1" t="s">
        <v>74</v>
      </c>
      <c r="BH656" s="1" t="s">
        <v>74</v>
      </c>
      <c r="BI656" s="1" t="s">
        <v>74</v>
      </c>
      <c r="BJ656" s="1" t="s">
        <v>74</v>
      </c>
      <c r="BK656" s="1" t="s">
        <v>74</v>
      </c>
      <c r="BL656" s="1" t="s">
        <v>74</v>
      </c>
      <c r="BM656" s="1" t="s">
        <v>74</v>
      </c>
      <c r="BN656" s="1" t="s">
        <v>74</v>
      </c>
      <c r="BO656" s="1" t="s">
        <v>74</v>
      </c>
      <c r="BP656" s="1" t="s">
        <v>74</v>
      </c>
      <c r="BQ656" s="1" t="s">
        <v>74</v>
      </c>
      <c r="BR656" s="1" t="s">
        <v>74</v>
      </c>
      <c r="BS656" s="1" t="s">
        <v>6715</v>
      </c>
      <c r="BT656" s="1" t="str">
        <f>HYPERLINK("https%3A%2F%2Fwww.webofscience.com%2Fwos%2Fwoscc%2Ffull-record%2FWOS:000411302300016","View Full Record in Web of Science")</f>
        <v>View Full Record in Web of Science</v>
      </c>
    </row>
    <row r="657" ht="12.75" customHeight="1">
      <c r="A657" s="1" t="s">
        <v>86</v>
      </c>
      <c r="B657" s="1" t="s">
        <v>6716</v>
      </c>
      <c r="C657" s="1" t="s">
        <v>74</v>
      </c>
      <c r="D657" s="1" t="s">
        <v>74</v>
      </c>
      <c r="E657" s="1" t="s">
        <v>6717</v>
      </c>
      <c r="F657" s="1" t="s">
        <v>6718</v>
      </c>
      <c r="G657" s="1" t="s">
        <v>74</v>
      </c>
      <c r="H657" s="1" t="s">
        <v>74</v>
      </c>
      <c r="I657" s="1" t="s">
        <v>6719</v>
      </c>
      <c r="J657" s="1" t="s">
        <v>6720</v>
      </c>
      <c r="K657" s="1" t="s">
        <v>6721</v>
      </c>
      <c r="L657" s="1" t="s">
        <v>74</v>
      </c>
      <c r="M657" s="1" t="s">
        <v>74</v>
      </c>
      <c r="N657" s="1" t="s">
        <v>74</v>
      </c>
      <c r="O657" s="1" t="s">
        <v>6722</v>
      </c>
      <c r="P657" s="1" t="s">
        <v>6723</v>
      </c>
      <c r="Q657" s="1" t="s">
        <v>6724</v>
      </c>
      <c r="R657" s="1" t="s">
        <v>74</v>
      </c>
      <c r="S657" s="1" t="s">
        <v>74</v>
      </c>
      <c r="T657" s="1" t="s">
        <v>74</v>
      </c>
      <c r="U657" s="1" t="s">
        <v>74</v>
      </c>
      <c r="V657" s="1" t="s">
        <v>6725</v>
      </c>
      <c r="W657" s="1" t="s">
        <v>74</v>
      </c>
      <c r="X657" s="1" t="s">
        <v>74</v>
      </c>
      <c r="Y657" s="1" t="s">
        <v>74</v>
      </c>
      <c r="Z657" s="1" t="s">
        <v>74</v>
      </c>
      <c r="AA657" s="1" t="s">
        <v>6726</v>
      </c>
      <c r="AB657" s="1" t="s">
        <v>6727</v>
      </c>
      <c r="AC657" s="1" t="s">
        <v>74</v>
      </c>
      <c r="AD657" s="1" t="s">
        <v>74</v>
      </c>
      <c r="AE657" s="1" t="s">
        <v>74</v>
      </c>
      <c r="AF657" s="1" t="s">
        <v>74</v>
      </c>
      <c r="AG657" s="1" t="s">
        <v>74</v>
      </c>
      <c r="AH657" s="1" t="s">
        <v>74</v>
      </c>
      <c r="AI657" s="1" t="s">
        <v>74</v>
      </c>
      <c r="AJ657" s="1" t="s">
        <v>74</v>
      </c>
      <c r="AK657" s="1" t="s">
        <v>74</v>
      </c>
      <c r="AL657" s="1" t="s">
        <v>74</v>
      </c>
      <c r="AM657" s="1" t="s">
        <v>74</v>
      </c>
      <c r="AN657" s="1" t="s">
        <v>74</v>
      </c>
      <c r="AO657" s="1" t="s">
        <v>6728</v>
      </c>
      <c r="AP657" s="1" t="s">
        <v>74</v>
      </c>
      <c r="AQ657" s="1" t="s">
        <v>74</v>
      </c>
      <c r="AR657" s="1" t="s">
        <v>74</v>
      </c>
      <c r="AS657" s="1" t="s">
        <v>74</v>
      </c>
      <c r="AT657" s="1" t="s">
        <v>74</v>
      </c>
      <c r="AU657" s="1">
        <v>2017.0</v>
      </c>
      <c r="AV657" s="1">
        <v>219.0</v>
      </c>
      <c r="AW657" s="1" t="s">
        <v>74</v>
      </c>
      <c r="AX657" s="1" t="s">
        <v>74</v>
      </c>
      <c r="AY657" s="1" t="s">
        <v>74</v>
      </c>
      <c r="AZ657" s="1" t="s">
        <v>74</v>
      </c>
      <c r="BA657" s="1" t="s">
        <v>74</v>
      </c>
      <c r="BB657" s="1" t="s">
        <v>74</v>
      </c>
      <c r="BC657" s="1" t="s">
        <v>74</v>
      </c>
      <c r="BD657" s="1">
        <v>12004.0</v>
      </c>
      <c r="BE657" s="1" t="s">
        <v>6729</v>
      </c>
      <c r="BF657" s="2" t="str">
        <f>HYPERLINK("http://dx.doi.org/10.1088/1757-899X/219/1/012004","http://dx.doi.org/10.1088/1757-899X/219/1/012004")</f>
        <v>http://dx.doi.org/10.1088/1757-899X/219/1/012004</v>
      </c>
      <c r="BG657" s="1" t="s">
        <v>74</v>
      </c>
      <c r="BH657" s="1" t="s">
        <v>74</v>
      </c>
      <c r="BI657" s="1" t="s">
        <v>74</v>
      </c>
      <c r="BJ657" s="1" t="s">
        <v>74</v>
      </c>
      <c r="BK657" s="1" t="s">
        <v>74</v>
      </c>
      <c r="BL657" s="1" t="s">
        <v>74</v>
      </c>
      <c r="BM657" s="1" t="s">
        <v>74</v>
      </c>
      <c r="BN657" s="1" t="s">
        <v>74</v>
      </c>
      <c r="BO657" s="1" t="s">
        <v>74</v>
      </c>
      <c r="BP657" s="1" t="s">
        <v>74</v>
      </c>
      <c r="BQ657" s="1" t="s">
        <v>74</v>
      </c>
      <c r="BR657" s="1" t="s">
        <v>74</v>
      </c>
      <c r="BS657" s="1" t="s">
        <v>6730</v>
      </c>
      <c r="BT657" s="1" t="str">
        <f>HYPERLINK("https%3A%2F%2Fwww.webofscience.com%2Fwos%2Fwoscc%2Ffull-record%2FWOS:000409355600004","View Full Record in Web of Science")</f>
        <v>View Full Record in Web of Science</v>
      </c>
    </row>
    <row r="658" ht="12.75" customHeight="1">
      <c r="A658" s="1" t="s">
        <v>72</v>
      </c>
      <c r="B658" s="1" t="s">
        <v>6731</v>
      </c>
      <c r="C658" s="1" t="s">
        <v>74</v>
      </c>
      <c r="D658" s="1" t="s">
        <v>74</v>
      </c>
      <c r="E658" s="1" t="s">
        <v>74</v>
      </c>
      <c r="F658" s="1" t="s">
        <v>6732</v>
      </c>
      <c r="G658" s="1" t="s">
        <v>74</v>
      </c>
      <c r="H658" s="1" t="s">
        <v>74</v>
      </c>
      <c r="I658" s="1" t="s">
        <v>6733</v>
      </c>
      <c r="J658" s="1" t="s">
        <v>6734</v>
      </c>
      <c r="K658" s="1" t="s">
        <v>74</v>
      </c>
      <c r="L658" s="1" t="s">
        <v>74</v>
      </c>
      <c r="M658" s="1" t="s">
        <v>74</v>
      </c>
      <c r="N658" s="1" t="s">
        <v>74</v>
      </c>
      <c r="O658" s="1" t="s">
        <v>74</v>
      </c>
      <c r="P658" s="1" t="s">
        <v>74</v>
      </c>
      <c r="Q658" s="1" t="s">
        <v>74</v>
      </c>
      <c r="R658" s="1" t="s">
        <v>74</v>
      </c>
      <c r="S658" s="1" t="s">
        <v>74</v>
      </c>
      <c r="T658" s="1" t="s">
        <v>74</v>
      </c>
      <c r="U658" s="1" t="s">
        <v>74</v>
      </c>
      <c r="V658" s="1" t="s">
        <v>6735</v>
      </c>
      <c r="W658" s="1" t="s">
        <v>74</v>
      </c>
      <c r="X658" s="1" t="s">
        <v>74</v>
      </c>
      <c r="Y658" s="1" t="s">
        <v>74</v>
      </c>
      <c r="Z658" s="1" t="s">
        <v>74</v>
      </c>
      <c r="AA658" s="1" t="s">
        <v>6736</v>
      </c>
      <c r="AB658" s="1" t="s">
        <v>6737</v>
      </c>
      <c r="AC658" s="1" t="s">
        <v>74</v>
      </c>
      <c r="AD658" s="1" t="s">
        <v>74</v>
      </c>
      <c r="AE658" s="1" t="s">
        <v>74</v>
      </c>
      <c r="AF658" s="1" t="s">
        <v>74</v>
      </c>
      <c r="AG658" s="1" t="s">
        <v>74</v>
      </c>
      <c r="AH658" s="1" t="s">
        <v>74</v>
      </c>
      <c r="AI658" s="1" t="s">
        <v>74</v>
      </c>
      <c r="AJ658" s="1" t="s">
        <v>74</v>
      </c>
      <c r="AK658" s="1" t="s">
        <v>74</v>
      </c>
      <c r="AL658" s="1" t="s">
        <v>74</v>
      </c>
      <c r="AM658" s="1" t="s">
        <v>74</v>
      </c>
      <c r="AN658" s="1" t="s">
        <v>74</v>
      </c>
      <c r="AO658" s="1" t="s">
        <v>6738</v>
      </c>
      <c r="AP658" s="1" t="s">
        <v>6739</v>
      </c>
      <c r="AQ658" s="1" t="s">
        <v>74</v>
      </c>
      <c r="AR658" s="1" t="s">
        <v>74</v>
      </c>
      <c r="AS658" s="1" t="s">
        <v>74</v>
      </c>
      <c r="AT658" s="1" t="s">
        <v>939</v>
      </c>
      <c r="AU658" s="1">
        <v>2016.0</v>
      </c>
      <c r="AV658" s="1">
        <v>157.0</v>
      </c>
      <c r="AW658" s="1">
        <v>6.0</v>
      </c>
      <c r="AX658" s="1" t="s">
        <v>74</v>
      </c>
      <c r="AY658" s="1" t="s">
        <v>74</v>
      </c>
      <c r="AZ658" s="1" t="s">
        <v>74</v>
      </c>
      <c r="BA658" s="1" t="s">
        <v>74</v>
      </c>
      <c r="BB658" s="1">
        <v>1346.0</v>
      </c>
      <c r="BC658" s="1">
        <v>1362.0</v>
      </c>
      <c r="BD658" s="1" t="s">
        <v>74</v>
      </c>
      <c r="BE658" s="1" t="s">
        <v>6740</v>
      </c>
      <c r="BF658" s="2" t="str">
        <f>HYPERLINK("http://dx.doi.org/10.1097/j.pain.0000000000000527","http://dx.doi.org/10.1097/j.pain.0000000000000527")</f>
        <v>http://dx.doi.org/10.1097/j.pain.0000000000000527</v>
      </c>
      <c r="BG658" s="1" t="s">
        <v>74</v>
      </c>
      <c r="BH658" s="1" t="s">
        <v>74</v>
      </c>
      <c r="BI658" s="1" t="s">
        <v>74</v>
      </c>
      <c r="BJ658" s="1" t="s">
        <v>74</v>
      </c>
      <c r="BK658" s="1" t="s">
        <v>74</v>
      </c>
      <c r="BL658" s="1" t="s">
        <v>74</v>
      </c>
      <c r="BM658" s="1" t="s">
        <v>74</v>
      </c>
      <c r="BN658" s="1">
        <v>2.6894912E7</v>
      </c>
      <c r="BO658" s="1" t="s">
        <v>74</v>
      </c>
      <c r="BP658" s="1" t="s">
        <v>74</v>
      </c>
      <c r="BQ658" s="1" t="s">
        <v>74</v>
      </c>
      <c r="BR658" s="1" t="s">
        <v>74</v>
      </c>
      <c r="BS658" s="1" t="s">
        <v>6741</v>
      </c>
      <c r="BT658" s="1" t="str">
        <f>HYPERLINK("https%3A%2F%2Fwww.webofscience.com%2Fwos%2Fwoscc%2Ffull-record%2FWOS:000378876300022","View Full Record in Web of Science")</f>
        <v>View Full Record in Web of Science</v>
      </c>
    </row>
    <row r="659" ht="12.75" customHeight="1">
      <c r="A659" s="1" t="s">
        <v>86</v>
      </c>
      <c r="B659" s="1" t="s">
        <v>6742</v>
      </c>
      <c r="C659" s="1" t="s">
        <v>74</v>
      </c>
      <c r="D659" s="1" t="s">
        <v>6743</v>
      </c>
      <c r="E659" s="1" t="s">
        <v>74</v>
      </c>
      <c r="F659" s="1" t="s">
        <v>6744</v>
      </c>
      <c r="G659" s="1" t="s">
        <v>74</v>
      </c>
      <c r="H659" s="1" t="s">
        <v>74</v>
      </c>
      <c r="I659" s="1" t="s">
        <v>6745</v>
      </c>
      <c r="J659" s="1" t="s">
        <v>6746</v>
      </c>
      <c r="K659" s="1" t="s">
        <v>74</v>
      </c>
      <c r="L659" s="1" t="s">
        <v>74</v>
      </c>
      <c r="M659" s="1" t="s">
        <v>74</v>
      </c>
      <c r="N659" s="1" t="s">
        <v>74</v>
      </c>
      <c r="O659" s="1" t="s">
        <v>6747</v>
      </c>
      <c r="P659" s="1" t="s">
        <v>6748</v>
      </c>
      <c r="Q659" s="1" t="s">
        <v>4406</v>
      </c>
      <c r="R659" s="1" t="s">
        <v>6749</v>
      </c>
      <c r="S659" s="1" t="s">
        <v>74</v>
      </c>
      <c r="T659" s="1" t="s">
        <v>74</v>
      </c>
      <c r="U659" s="1" t="s">
        <v>74</v>
      </c>
      <c r="V659" s="1" t="s">
        <v>6750</v>
      </c>
      <c r="W659" s="1" t="s">
        <v>74</v>
      </c>
      <c r="X659" s="1" t="s">
        <v>74</v>
      </c>
      <c r="Y659" s="1" t="s">
        <v>74</v>
      </c>
      <c r="Z659" s="1" t="s">
        <v>74</v>
      </c>
      <c r="AA659" s="1" t="s">
        <v>6751</v>
      </c>
      <c r="AB659" s="1" t="s">
        <v>6752</v>
      </c>
      <c r="AC659" s="1" t="s">
        <v>74</v>
      </c>
      <c r="AD659" s="1" t="s">
        <v>74</v>
      </c>
      <c r="AE659" s="1" t="s">
        <v>74</v>
      </c>
      <c r="AF659" s="1" t="s">
        <v>74</v>
      </c>
      <c r="AG659" s="1" t="s">
        <v>74</v>
      </c>
      <c r="AH659" s="1" t="s">
        <v>74</v>
      </c>
      <c r="AI659" s="1" t="s">
        <v>74</v>
      </c>
      <c r="AJ659" s="1" t="s">
        <v>74</v>
      </c>
      <c r="AK659" s="1" t="s">
        <v>74</v>
      </c>
      <c r="AL659" s="1" t="s">
        <v>74</v>
      </c>
      <c r="AM659" s="1" t="s">
        <v>74</v>
      </c>
      <c r="AN659" s="1" t="s">
        <v>74</v>
      </c>
      <c r="AO659" s="1" t="s">
        <v>74</v>
      </c>
      <c r="AP659" s="1" t="s">
        <v>74</v>
      </c>
      <c r="AQ659" s="1" t="s">
        <v>6753</v>
      </c>
      <c r="AR659" s="1" t="s">
        <v>74</v>
      </c>
      <c r="AS659" s="1" t="s">
        <v>74</v>
      </c>
      <c r="AT659" s="1" t="s">
        <v>74</v>
      </c>
      <c r="AU659" s="1">
        <v>2016.0</v>
      </c>
      <c r="AV659" s="1" t="s">
        <v>74</v>
      </c>
      <c r="AW659" s="1" t="s">
        <v>74</v>
      </c>
      <c r="AX659" s="1" t="s">
        <v>74</v>
      </c>
      <c r="AY659" s="1" t="s">
        <v>74</v>
      </c>
      <c r="AZ659" s="1" t="s">
        <v>74</v>
      </c>
      <c r="BA659" s="1" t="s">
        <v>74</v>
      </c>
      <c r="BB659" s="1">
        <v>244.0</v>
      </c>
      <c r="BC659" s="1">
        <v>249.0</v>
      </c>
      <c r="BD659" s="1" t="s">
        <v>74</v>
      </c>
      <c r="BE659" s="1" t="s">
        <v>74</v>
      </c>
      <c r="BF659" s="1" t="s">
        <v>74</v>
      </c>
      <c r="BG659" s="1" t="s">
        <v>74</v>
      </c>
      <c r="BH659" s="1" t="s">
        <v>74</v>
      </c>
      <c r="BI659" s="1" t="s">
        <v>74</v>
      </c>
      <c r="BJ659" s="1" t="s">
        <v>74</v>
      </c>
      <c r="BK659" s="1" t="s">
        <v>74</v>
      </c>
      <c r="BL659" s="1" t="s">
        <v>74</v>
      </c>
      <c r="BM659" s="1" t="s">
        <v>74</v>
      </c>
      <c r="BN659" s="1" t="s">
        <v>74</v>
      </c>
      <c r="BO659" s="1" t="s">
        <v>74</v>
      </c>
      <c r="BP659" s="1" t="s">
        <v>74</v>
      </c>
      <c r="BQ659" s="1" t="s">
        <v>74</v>
      </c>
      <c r="BR659" s="1" t="s">
        <v>74</v>
      </c>
      <c r="BS659" s="1" t="s">
        <v>6754</v>
      </c>
      <c r="BT659" s="1" t="str">
        <f>HYPERLINK("https%3A%2F%2Fwww.webofscience.com%2Fwos%2Fwoscc%2Ffull-record%2FWOS:000391251000038","View Full Record in Web of Science")</f>
        <v>View Full Record in Web of Science</v>
      </c>
    </row>
    <row r="660" ht="12.75" customHeight="1">
      <c r="A660" s="1" t="s">
        <v>72</v>
      </c>
      <c r="B660" s="1" t="s">
        <v>6755</v>
      </c>
      <c r="C660" s="1" t="s">
        <v>74</v>
      </c>
      <c r="D660" s="1" t="s">
        <v>74</v>
      </c>
      <c r="E660" s="1" t="s">
        <v>74</v>
      </c>
      <c r="F660" s="1" t="s">
        <v>6756</v>
      </c>
      <c r="G660" s="1" t="s">
        <v>74</v>
      </c>
      <c r="H660" s="1" t="s">
        <v>74</v>
      </c>
      <c r="I660" s="1" t="s">
        <v>6757</v>
      </c>
      <c r="J660" s="1" t="s">
        <v>2012</v>
      </c>
      <c r="K660" s="1" t="s">
        <v>74</v>
      </c>
      <c r="L660" s="1" t="s">
        <v>74</v>
      </c>
      <c r="M660" s="1" t="s">
        <v>74</v>
      </c>
      <c r="N660" s="1" t="s">
        <v>74</v>
      </c>
      <c r="O660" s="1" t="s">
        <v>74</v>
      </c>
      <c r="P660" s="1" t="s">
        <v>74</v>
      </c>
      <c r="Q660" s="1" t="s">
        <v>74</v>
      </c>
      <c r="R660" s="1" t="s">
        <v>74</v>
      </c>
      <c r="S660" s="1" t="s">
        <v>74</v>
      </c>
      <c r="T660" s="1" t="s">
        <v>74</v>
      </c>
      <c r="U660" s="1" t="s">
        <v>74</v>
      </c>
      <c r="V660" s="1" t="s">
        <v>6758</v>
      </c>
      <c r="W660" s="1" t="s">
        <v>74</v>
      </c>
      <c r="X660" s="1" t="s">
        <v>74</v>
      </c>
      <c r="Y660" s="1" t="s">
        <v>74</v>
      </c>
      <c r="Z660" s="1" t="s">
        <v>74</v>
      </c>
      <c r="AA660" s="1" t="s">
        <v>6759</v>
      </c>
      <c r="AB660" s="1" t="s">
        <v>6760</v>
      </c>
      <c r="AC660" s="1" t="s">
        <v>74</v>
      </c>
      <c r="AD660" s="1" t="s">
        <v>74</v>
      </c>
      <c r="AE660" s="1" t="s">
        <v>74</v>
      </c>
      <c r="AF660" s="1" t="s">
        <v>74</v>
      </c>
      <c r="AG660" s="1" t="s">
        <v>74</v>
      </c>
      <c r="AH660" s="1" t="s">
        <v>74</v>
      </c>
      <c r="AI660" s="1" t="s">
        <v>74</v>
      </c>
      <c r="AJ660" s="1" t="s">
        <v>74</v>
      </c>
      <c r="AK660" s="1" t="s">
        <v>74</v>
      </c>
      <c r="AL660" s="1" t="s">
        <v>74</v>
      </c>
      <c r="AM660" s="1" t="s">
        <v>74</v>
      </c>
      <c r="AN660" s="1" t="s">
        <v>74</v>
      </c>
      <c r="AO660" s="1" t="s">
        <v>2015</v>
      </c>
      <c r="AP660" s="1" t="s">
        <v>74</v>
      </c>
      <c r="AQ660" s="1" t="s">
        <v>74</v>
      </c>
      <c r="AR660" s="1" t="s">
        <v>74</v>
      </c>
      <c r="AS660" s="1" t="s">
        <v>74</v>
      </c>
      <c r="AT660" s="1" t="s">
        <v>74</v>
      </c>
      <c r="AU660" s="1">
        <v>2015.0</v>
      </c>
      <c r="AV660" s="1">
        <v>5.0</v>
      </c>
      <c r="AW660" s="1">
        <v>80.0</v>
      </c>
      <c r="AX660" s="1" t="s">
        <v>74</v>
      </c>
      <c r="AY660" s="1" t="s">
        <v>74</v>
      </c>
      <c r="AZ660" s="1" t="s">
        <v>74</v>
      </c>
      <c r="BA660" s="1" t="s">
        <v>74</v>
      </c>
      <c r="BB660" s="1">
        <v>65153.0</v>
      </c>
      <c r="BC660" s="1">
        <v>65166.0</v>
      </c>
      <c r="BD660" s="1" t="s">
        <v>74</v>
      </c>
      <c r="BE660" s="1" t="s">
        <v>6761</v>
      </c>
      <c r="BF660" s="2" t="str">
        <f>HYPERLINK("http://dx.doi.org/10.1039/c5ra10122k","http://dx.doi.org/10.1039/c5ra10122k")</f>
        <v>http://dx.doi.org/10.1039/c5ra10122k</v>
      </c>
      <c r="BG660" s="1" t="s">
        <v>74</v>
      </c>
      <c r="BH660" s="1" t="s">
        <v>74</v>
      </c>
      <c r="BI660" s="1" t="s">
        <v>74</v>
      </c>
      <c r="BJ660" s="1" t="s">
        <v>74</v>
      </c>
      <c r="BK660" s="1" t="s">
        <v>74</v>
      </c>
      <c r="BL660" s="1" t="s">
        <v>74</v>
      </c>
      <c r="BM660" s="1" t="s">
        <v>74</v>
      </c>
      <c r="BN660" s="1" t="s">
        <v>74</v>
      </c>
      <c r="BO660" s="1" t="s">
        <v>74</v>
      </c>
      <c r="BP660" s="1" t="s">
        <v>74</v>
      </c>
      <c r="BQ660" s="1" t="s">
        <v>74</v>
      </c>
      <c r="BR660" s="1" t="s">
        <v>74</v>
      </c>
      <c r="BS660" s="1" t="s">
        <v>6762</v>
      </c>
      <c r="BT660" s="1" t="str">
        <f>HYPERLINK("https%3A%2F%2Fwww.webofscience.com%2Fwos%2Fwoscc%2Ffull-record%2FWOS:000359136500042","View Full Record in Web of Science")</f>
        <v>View Full Record in Web of Science</v>
      </c>
    </row>
    <row r="661" ht="12.75" customHeight="1">
      <c r="A661" s="1" t="s">
        <v>72</v>
      </c>
      <c r="B661" s="1" t="s">
        <v>6763</v>
      </c>
      <c r="C661" s="1" t="s">
        <v>74</v>
      </c>
      <c r="D661" s="1" t="s">
        <v>74</v>
      </c>
      <c r="E661" s="1" t="s">
        <v>74</v>
      </c>
      <c r="F661" s="1" t="s">
        <v>6764</v>
      </c>
      <c r="G661" s="1" t="s">
        <v>74</v>
      </c>
      <c r="H661" s="1" t="s">
        <v>74</v>
      </c>
      <c r="I661" s="1" t="s">
        <v>6765</v>
      </c>
      <c r="J661" s="1" t="s">
        <v>354</v>
      </c>
      <c r="K661" s="1" t="s">
        <v>74</v>
      </c>
      <c r="L661" s="1" t="s">
        <v>74</v>
      </c>
      <c r="M661" s="1" t="s">
        <v>74</v>
      </c>
      <c r="N661" s="1" t="s">
        <v>74</v>
      </c>
      <c r="O661" s="1" t="s">
        <v>74</v>
      </c>
      <c r="P661" s="1" t="s">
        <v>74</v>
      </c>
      <c r="Q661" s="1" t="s">
        <v>74</v>
      </c>
      <c r="R661" s="1" t="s">
        <v>74</v>
      </c>
      <c r="S661" s="1" t="s">
        <v>74</v>
      </c>
      <c r="T661" s="1" t="s">
        <v>74</v>
      </c>
      <c r="U661" s="1" t="s">
        <v>74</v>
      </c>
      <c r="V661" s="1" t="s">
        <v>6766</v>
      </c>
      <c r="W661" s="1" t="s">
        <v>74</v>
      </c>
      <c r="X661" s="1" t="s">
        <v>74</v>
      </c>
      <c r="Y661" s="1" t="s">
        <v>74</v>
      </c>
      <c r="Z661" s="1" t="s">
        <v>74</v>
      </c>
      <c r="AA661" s="1" t="s">
        <v>6767</v>
      </c>
      <c r="AB661" s="1" t="s">
        <v>6768</v>
      </c>
      <c r="AC661" s="1" t="s">
        <v>74</v>
      </c>
      <c r="AD661" s="1" t="s">
        <v>74</v>
      </c>
      <c r="AE661" s="1" t="s">
        <v>74</v>
      </c>
      <c r="AF661" s="1" t="s">
        <v>74</v>
      </c>
      <c r="AG661" s="1" t="s">
        <v>74</v>
      </c>
      <c r="AH661" s="1" t="s">
        <v>74</v>
      </c>
      <c r="AI661" s="1" t="s">
        <v>74</v>
      </c>
      <c r="AJ661" s="1" t="s">
        <v>74</v>
      </c>
      <c r="AK661" s="1" t="s">
        <v>74</v>
      </c>
      <c r="AL661" s="1" t="s">
        <v>74</v>
      </c>
      <c r="AM661" s="1" t="s">
        <v>74</v>
      </c>
      <c r="AN661" s="1" t="s">
        <v>74</v>
      </c>
      <c r="AO661" s="1" t="s">
        <v>358</v>
      </c>
      <c r="AP661" s="1" t="s">
        <v>359</v>
      </c>
      <c r="AQ661" s="1" t="s">
        <v>74</v>
      </c>
      <c r="AR661" s="1" t="s">
        <v>74</v>
      </c>
      <c r="AS661" s="1" t="s">
        <v>74</v>
      </c>
      <c r="AT661" s="1" t="s">
        <v>6769</v>
      </c>
      <c r="AU661" s="1">
        <v>2013.0</v>
      </c>
      <c r="AV661" s="1">
        <v>111.0</v>
      </c>
      <c r="AW661" s="1" t="s">
        <v>74</v>
      </c>
      <c r="AX661" s="1" t="s">
        <v>74</v>
      </c>
      <c r="AY661" s="1" t="s">
        <v>74</v>
      </c>
      <c r="AZ661" s="1" t="s">
        <v>74</v>
      </c>
      <c r="BA661" s="1" t="s">
        <v>74</v>
      </c>
      <c r="BB661" s="1">
        <v>846.0</v>
      </c>
      <c r="BC661" s="1">
        <v>854.0</v>
      </c>
      <c r="BD661" s="1" t="s">
        <v>74</v>
      </c>
      <c r="BE661" s="1" t="s">
        <v>6770</v>
      </c>
      <c r="BF661" s="2" t="str">
        <f>HYPERLINK("http://dx.doi.org/10.1016/j.electacta.2013.08.103","http://dx.doi.org/10.1016/j.electacta.2013.08.103")</f>
        <v>http://dx.doi.org/10.1016/j.electacta.2013.08.103</v>
      </c>
      <c r="BG661" s="1" t="s">
        <v>74</v>
      </c>
      <c r="BH661" s="1" t="s">
        <v>74</v>
      </c>
      <c r="BI661" s="1" t="s">
        <v>74</v>
      </c>
      <c r="BJ661" s="1" t="s">
        <v>74</v>
      </c>
      <c r="BK661" s="1" t="s">
        <v>74</v>
      </c>
      <c r="BL661" s="1" t="s">
        <v>74</v>
      </c>
      <c r="BM661" s="1" t="s">
        <v>74</v>
      </c>
      <c r="BN661" s="1" t="s">
        <v>74</v>
      </c>
      <c r="BO661" s="1" t="s">
        <v>74</v>
      </c>
      <c r="BP661" s="1" t="s">
        <v>74</v>
      </c>
      <c r="BQ661" s="1" t="s">
        <v>74</v>
      </c>
      <c r="BR661" s="1" t="s">
        <v>74</v>
      </c>
      <c r="BS661" s="1" t="s">
        <v>6771</v>
      </c>
      <c r="BT661" s="1" t="str">
        <f>HYPERLINK("https%3A%2F%2Fwww.webofscience.com%2Fwos%2Fwoscc%2Ffull-record%2FWOS:000329531100111","View Full Record in Web of Science")</f>
        <v>View Full Record in Web of Science</v>
      </c>
    </row>
    <row r="662" ht="12.75" customHeight="1">
      <c r="A662" s="1" t="s">
        <v>86</v>
      </c>
      <c r="B662" s="1" t="s">
        <v>6772</v>
      </c>
      <c r="C662" s="1" t="s">
        <v>74</v>
      </c>
      <c r="D662" s="1" t="s">
        <v>6773</v>
      </c>
      <c r="E662" s="1" t="s">
        <v>74</v>
      </c>
      <c r="F662" s="1" t="s">
        <v>6774</v>
      </c>
      <c r="G662" s="1" t="s">
        <v>74</v>
      </c>
      <c r="H662" s="1" t="s">
        <v>74</v>
      </c>
      <c r="I662" s="1" t="s">
        <v>6775</v>
      </c>
      <c r="J662" s="1" t="s">
        <v>6776</v>
      </c>
      <c r="K662" s="1" t="s">
        <v>6777</v>
      </c>
      <c r="L662" s="1" t="s">
        <v>74</v>
      </c>
      <c r="M662" s="1" t="s">
        <v>74</v>
      </c>
      <c r="N662" s="1" t="s">
        <v>74</v>
      </c>
      <c r="O662" s="1" t="s">
        <v>6778</v>
      </c>
      <c r="P662" s="1" t="s">
        <v>6779</v>
      </c>
      <c r="Q662" s="1" t="s">
        <v>6780</v>
      </c>
      <c r="R662" s="1" t="s">
        <v>6781</v>
      </c>
      <c r="S662" s="1" t="s">
        <v>74</v>
      </c>
      <c r="T662" s="1" t="s">
        <v>74</v>
      </c>
      <c r="U662" s="1" t="s">
        <v>74</v>
      </c>
      <c r="V662" s="1" t="s">
        <v>6782</v>
      </c>
      <c r="W662" s="1" t="s">
        <v>74</v>
      </c>
      <c r="X662" s="1" t="s">
        <v>74</v>
      </c>
      <c r="Y662" s="1" t="s">
        <v>74</v>
      </c>
      <c r="Z662" s="1" t="s">
        <v>74</v>
      </c>
      <c r="AA662" s="1" t="s">
        <v>6783</v>
      </c>
      <c r="AB662" s="1" t="s">
        <v>6784</v>
      </c>
      <c r="AC662" s="1" t="s">
        <v>74</v>
      </c>
      <c r="AD662" s="1" t="s">
        <v>74</v>
      </c>
      <c r="AE662" s="1" t="s">
        <v>74</v>
      </c>
      <c r="AF662" s="1" t="s">
        <v>74</v>
      </c>
      <c r="AG662" s="1" t="s">
        <v>74</v>
      </c>
      <c r="AH662" s="1" t="s">
        <v>74</v>
      </c>
      <c r="AI662" s="1" t="s">
        <v>74</v>
      </c>
      <c r="AJ662" s="1" t="s">
        <v>74</v>
      </c>
      <c r="AK662" s="1" t="s">
        <v>74</v>
      </c>
      <c r="AL662" s="1" t="s">
        <v>74</v>
      </c>
      <c r="AM662" s="1" t="s">
        <v>74</v>
      </c>
      <c r="AN662" s="1" t="s">
        <v>74</v>
      </c>
      <c r="AO662" s="1" t="s">
        <v>6785</v>
      </c>
      <c r="AP662" s="1" t="s">
        <v>74</v>
      </c>
      <c r="AQ662" s="1" t="s">
        <v>74</v>
      </c>
      <c r="AR662" s="1" t="s">
        <v>74</v>
      </c>
      <c r="AS662" s="1" t="s">
        <v>74</v>
      </c>
      <c r="AT662" s="1" t="s">
        <v>74</v>
      </c>
      <c r="AU662" s="1">
        <v>2011.0</v>
      </c>
      <c r="AV662" s="1">
        <v>304.0</v>
      </c>
      <c r="AW662" s="1" t="s">
        <v>74</v>
      </c>
      <c r="AX662" s="1" t="s">
        <v>74</v>
      </c>
      <c r="AY662" s="1" t="s">
        <v>74</v>
      </c>
      <c r="AZ662" s="1" t="s">
        <v>74</v>
      </c>
      <c r="BA662" s="1" t="s">
        <v>74</v>
      </c>
      <c r="BB662" s="1">
        <v>93.0</v>
      </c>
      <c r="BC662" s="1">
        <v>100.0</v>
      </c>
      <c r="BD662" s="1" t="s">
        <v>74</v>
      </c>
      <c r="BE662" s="1" t="s">
        <v>6786</v>
      </c>
      <c r="BF662" s="2" t="str">
        <f>HYPERLINK("http://dx.doi.org/10.1002/masy.201150613","http://dx.doi.org/10.1002/masy.201150613")</f>
        <v>http://dx.doi.org/10.1002/masy.201150613</v>
      </c>
      <c r="BG662" s="1" t="s">
        <v>74</v>
      </c>
      <c r="BH662" s="1" t="s">
        <v>74</v>
      </c>
      <c r="BI662" s="1" t="s">
        <v>74</v>
      </c>
      <c r="BJ662" s="1" t="s">
        <v>74</v>
      </c>
      <c r="BK662" s="1" t="s">
        <v>74</v>
      </c>
      <c r="BL662" s="1" t="s">
        <v>74</v>
      </c>
      <c r="BM662" s="1" t="s">
        <v>74</v>
      </c>
      <c r="BN662" s="1" t="s">
        <v>74</v>
      </c>
      <c r="BO662" s="1" t="s">
        <v>74</v>
      </c>
      <c r="BP662" s="1" t="s">
        <v>74</v>
      </c>
      <c r="BQ662" s="1" t="s">
        <v>74</v>
      </c>
      <c r="BR662" s="1" t="s">
        <v>74</v>
      </c>
      <c r="BS662" s="1" t="s">
        <v>6787</v>
      </c>
      <c r="BT662" s="1" t="str">
        <f>HYPERLINK("https%3A%2F%2Fwww.webofscience.com%2Fwos%2Fwoscc%2Ffull-record%2FWOS:000297026400013","View Full Record in Web of Science")</f>
        <v>View Full Record in Web of Science</v>
      </c>
    </row>
    <row r="663" ht="12.75" customHeight="1">
      <c r="A663" s="1" t="s">
        <v>72</v>
      </c>
      <c r="B663" s="1" t="s">
        <v>6788</v>
      </c>
      <c r="C663" s="1" t="s">
        <v>74</v>
      </c>
      <c r="D663" s="1" t="s">
        <v>74</v>
      </c>
      <c r="E663" s="1" t="s">
        <v>74</v>
      </c>
      <c r="F663" s="1" t="s">
        <v>6789</v>
      </c>
      <c r="G663" s="1" t="s">
        <v>74</v>
      </c>
      <c r="H663" s="1" t="s">
        <v>74</v>
      </c>
      <c r="I663" s="1" t="s">
        <v>6790</v>
      </c>
      <c r="J663" s="1" t="s">
        <v>6791</v>
      </c>
      <c r="K663" s="1" t="s">
        <v>74</v>
      </c>
      <c r="L663" s="1" t="s">
        <v>74</v>
      </c>
      <c r="M663" s="1" t="s">
        <v>74</v>
      </c>
      <c r="N663" s="1" t="s">
        <v>74</v>
      </c>
      <c r="O663" s="1" t="s">
        <v>74</v>
      </c>
      <c r="P663" s="1" t="s">
        <v>74</v>
      </c>
      <c r="Q663" s="1" t="s">
        <v>74</v>
      </c>
      <c r="R663" s="1" t="s">
        <v>74</v>
      </c>
      <c r="S663" s="1" t="s">
        <v>74</v>
      </c>
      <c r="T663" s="1" t="s">
        <v>74</v>
      </c>
      <c r="U663" s="1" t="s">
        <v>74</v>
      </c>
      <c r="V663" s="1" t="s">
        <v>6792</v>
      </c>
      <c r="W663" s="1" t="s">
        <v>74</v>
      </c>
      <c r="X663" s="1" t="s">
        <v>74</v>
      </c>
      <c r="Y663" s="1" t="s">
        <v>74</v>
      </c>
      <c r="Z663" s="1" t="s">
        <v>74</v>
      </c>
      <c r="AA663" s="1" t="s">
        <v>6793</v>
      </c>
      <c r="AB663" s="1" t="s">
        <v>6794</v>
      </c>
      <c r="AC663" s="1" t="s">
        <v>74</v>
      </c>
      <c r="AD663" s="1" t="s">
        <v>74</v>
      </c>
      <c r="AE663" s="1" t="s">
        <v>74</v>
      </c>
      <c r="AF663" s="1" t="s">
        <v>74</v>
      </c>
      <c r="AG663" s="1" t="s">
        <v>74</v>
      </c>
      <c r="AH663" s="1" t="s">
        <v>74</v>
      </c>
      <c r="AI663" s="1" t="s">
        <v>74</v>
      </c>
      <c r="AJ663" s="1" t="s">
        <v>74</v>
      </c>
      <c r="AK663" s="1" t="s">
        <v>74</v>
      </c>
      <c r="AL663" s="1" t="s">
        <v>74</v>
      </c>
      <c r="AM663" s="1" t="s">
        <v>74</v>
      </c>
      <c r="AN663" s="1" t="s">
        <v>74</v>
      </c>
      <c r="AO663" s="1" t="s">
        <v>6795</v>
      </c>
      <c r="AP663" s="1" t="s">
        <v>6796</v>
      </c>
      <c r="AQ663" s="1" t="s">
        <v>74</v>
      </c>
      <c r="AR663" s="1" t="s">
        <v>74</v>
      </c>
      <c r="AS663" s="1" t="s">
        <v>74</v>
      </c>
      <c r="AT663" s="1" t="s">
        <v>939</v>
      </c>
      <c r="AU663" s="1">
        <v>2009.0</v>
      </c>
      <c r="AV663" s="1">
        <v>12.0</v>
      </c>
      <c r="AW663" s="1">
        <v>2.0</v>
      </c>
      <c r="AX663" s="1" t="s">
        <v>74</v>
      </c>
      <c r="AY663" s="1" t="s">
        <v>74</v>
      </c>
      <c r="AZ663" s="1" t="s">
        <v>74</v>
      </c>
      <c r="BA663" s="1" t="s">
        <v>74</v>
      </c>
      <c r="BB663" s="1">
        <v>123.0</v>
      </c>
      <c r="BC663" s="1">
        <v>129.0</v>
      </c>
      <c r="BD663" s="1" t="s">
        <v>74</v>
      </c>
      <c r="BE663" s="1" t="s">
        <v>6797</v>
      </c>
      <c r="BF663" s="2" t="str">
        <f>HYPERLINK("http://dx.doi.org/10.2436/20.1501.01.89","http://dx.doi.org/10.2436/20.1501.01.89")</f>
        <v>http://dx.doi.org/10.2436/20.1501.01.89</v>
      </c>
      <c r="BG663" s="1" t="s">
        <v>74</v>
      </c>
      <c r="BH663" s="1" t="s">
        <v>74</v>
      </c>
      <c r="BI663" s="1" t="s">
        <v>74</v>
      </c>
      <c r="BJ663" s="1" t="s">
        <v>74</v>
      </c>
      <c r="BK663" s="1" t="s">
        <v>74</v>
      </c>
      <c r="BL663" s="1" t="s">
        <v>74</v>
      </c>
      <c r="BM663" s="1" t="s">
        <v>74</v>
      </c>
      <c r="BN663" s="1">
        <v>1.9784932E7</v>
      </c>
      <c r="BO663" s="1" t="s">
        <v>74</v>
      </c>
      <c r="BP663" s="1" t="s">
        <v>74</v>
      </c>
      <c r="BQ663" s="1" t="s">
        <v>74</v>
      </c>
      <c r="BR663" s="1" t="s">
        <v>74</v>
      </c>
      <c r="BS663" s="1" t="s">
        <v>6798</v>
      </c>
      <c r="BT663" s="1" t="str">
        <f>HYPERLINK("https%3A%2F%2Fwww.webofscience.com%2Fwos%2Fwoscc%2Ffull-record%2FWOS:000269753900006","View Full Record in Web of Science")</f>
        <v>View Full Record in Web of Science</v>
      </c>
    </row>
    <row r="664" ht="12.75" customHeight="1">
      <c r="A664" s="1" t="s">
        <v>72</v>
      </c>
      <c r="B664" s="1" t="s">
        <v>6799</v>
      </c>
      <c r="C664" s="1" t="s">
        <v>74</v>
      </c>
      <c r="D664" s="1" t="s">
        <v>74</v>
      </c>
      <c r="E664" s="1" t="s">
        <v>74</v>
      </c>
      <c r="F664" s="1" t="s">
        <v>6800</v>
      </c>
      <c r="G664" s="1" t="s">
        <v>74</v>
      </c>
      <c r="H664" s="1" t="s">
        <v>74</v>
      </c>
      <c r="I664" s="1" t="s">
        <v>6801</v>
      </c>
      <c r="J664" s="1" t="s">
        <v>6802</v>
      </c>
      <c r="K664" s="1" t="s">
        <v>74</v>
      </c>
      <c r="L664" s="1" t="s">
        <v>74</v>
      </c>
      <c r="M664" s="1" t="s">
        <v>74</v>
      </c>
      <c r="N664" s="1" t="s">
        <v>74</v>
      </c>
      <c r="O664" s="1" t="s">
        <v>74</v>
      </c>
      <c r="P664" s="1" t="s">
        <v>74</v>
      </c>
      <c r="Q664" s="1" t="s">
        <v>74</v>
      </c>
      <c r="R664" s="1" t="s">
        <v>74</v>
      </c>
      <c r="S664" s="1" t="s">
        <v>74</v>
      </c>
      <c r="T664" s="1" t="s">
        <v>74</v>
      </c>
      <c r="U664" s="1" t="s">
        <v>74</v>
      </c>
      <c r="V664" s="1" t="s">
        <v>6803</v>
      </c>
      <c r="W664" s="1" t="s">
        <v>74</v>
      </c>
      <c r="X664" s="1" t="s">
        <v>74</v>
      </c>
      <c r="Y664" s="1" t="s">
        <v>74</v>
      </c>
      <c r="Z664" s="1" t="s">
        <v>74</v>
      </c>
      <c r="AA664" s="1" t="s">
        <v>6804</v>
      </c>
      <c r="AB664" s="1" t="s">
        <v>6805</v>
      </c>
      <c r="AC664" s="1" t="s">
        <v>74</v>
      </c>
      <c r="AD664" s="1" t="s">
        <v>74</v>
      </c>
      <c r="AE664" s="1" t="s">
        <v>74</v>
      </c>
      <c r="AF664" s="1" t="s">
        <v>74</v>
      </c>
      <c r="AG664" s="1" t="s">
        <v>74</v>
      </c>
      <c r="AH664" s="1" t="s">
        <v>74</v>
      </c>
      <c r="AI664" s="1" t="s">
        <v>74</v>
      </c>
      <c r="AJ664" s="1" t="s">
        <v>74</v>
      </c>
      <c r="AK664" s="1" t="s">
        <v>74</v>
      </c>
      <c r="AL664" s="1" t="s">
        <v>74</v>
      </c>
      <c r="AM664" s="1" t="s">
        <v>74</v>
      </c>
      <c r="AN664" s="1" t="s">
        <v>74</v>
      </c>
      <c r="AO664" s="1" t="s">
        <v>6806</v>
      </c>
      <c r="AP664" s="1" t="s">
        <v>6807</v>
      </c>
      <c r="AQ664" s="1" t="s">
        <v>74</v>
      </c>
      <c r="AR664" s="1" t="s">
        <v>74</v>
      </c>
      <c r="AS664" s="1" t="s">
        <v>74</v>
      </c>
      <c r="AT664" s="1" t="s">
        <v>1213</v>
      </c>
      <c r="AU664" s="1">
        <v>2009.0</v>
      </c>
      <c r="AV664" s="1">
        <v>9.0</v>
      </c>
      <c r="AW664" s="1">
        <v>3.0</v>
      </c>
      <c r="AX664" s="1" t="s">
        <v>74</v>
      </c>
      <c r="AY664" s="1" t="s">
        <v>74</v>
      </c>
      <c r="AZ664" s="1" t="s">
        <v>74</v>
      </c>
      <c r="BA664" s="1" t="s">
        <v>74</v>
      </c>
      <c r="BB664" s="1">
        <v>1992.0</v>
      </c>
      <c r="BC664" s="1">
        <v>2000.0</v>
      </c>
      <c r="BD664" s="1" t="s">
        <v>74</v>
      </c>
      <c r="BE664" s="1" t="s">
        <v>6808</v>
      </c>
      <c r="BF664" s="2" t="str">
        <f>HYPERLINK("http://dx.doi.org/10.1166/jnn.2009.374","http://dx.doi.org/10.1166/jnn.2009.374")</f>
        <v>http://dx.doi.org/10.1166/jnn.2009.374</v>
      </c>
      <c r="BG664" s="1" t="s">
        <v>74</v>
      </c>
      <c r="BH664" s="1" t="s">
        <v>74</v>
      </c>
      <c r="BI664" s="1" t="s">
        <v>74</v>
      </c>
      <c r="BJ664" s="1" t="s">
        <v>74</v>
      </c>
      <c r="BK664" s="1" t="s">
        <v>74</v>
      </c>
      <c r="BL664" s="1" t="s">
        <v>74</v>
      </c>
      <c r="BM664" s="1" t="s">
        <v>74</v>
      </c>
      <c r="BN664" s="1">
        <v>1.9435071E7</v>
      </c>
      <c r="BO664" s="1" t="s">
        <v>74</v>
      </c>
      <c r="BP664" s="1" t="s">
        <v>74</v>
      </c>
      <c r="BQ664" s="1" t="s">
        <v>74</v>
      </c>
      <c r="BR664" s="1" t="s">
        <v>74</v>
      </c>
      <c r="BS664" s="1" t="s">
        <v>6809</v>
      </c>
      <c r="BT664" s="1" t="str">
        <f>HYPERLINK("https%3A%2F%2Fwww.webofscience.com%2Fwos%2Fwoscc%2Ffull-record%2FWOS:000263653400050","View Full Record in Web of Science")</f>
        <v>View Full Record in Web of Science</v>
      </c>
    </row>
    <row r="665" ht="12.75" customHeight="1">
      <c r="A665" s="1" t="s">
        <v>72</v>
      </c>
      <c r="B665" s="1" t="s">
        <v>6810</v>
      </c>
      <c r="C665" s="1" t="s">
        <v>74</v>
      </c>
      <c r="D665" s="1" t="s">
        <v>74</v>
      </c>
      <c r="E665" s="1" t="s">
        <v>74</v>
      </c>
      <c r="F665" s="1" t="s">
        <v>6811</v>
      </c>
      <c r="G665" s="1" t="s">
        <v>74</v>
      </c>
      <c r="H665" s="1" t="s">
        <v>74</v>
      </c>
      <c r="I665" s="1" t="s">
        <v>6812</v>
      </c>
      <c r="J665" s="1" t="s">
        <v>858</v>
      </c>
      <c r="K665" s="1" t="s">
        <v>74</v>
      </c>
      <c r="L665" s="1" t="s">
        <v>74</v>
      </c>
      <c r="M665" s="1" t="s">
        <v>74</v>
      </c>
      <c r="N665" s="1" t="s">
        <v>74</v>
      </c>
      <c r="O665" s="1" t="s">
        <v>74</v>
      </c>
      <c r="P665" s="1" t="s">
        <v>74</v>
      </c>
      <c r="Q665" s="1" t="s">
        <v>74</v>
      </c>
      <c r="R665" s="1" t="s">
        <v>74</v>
      </c>
      <c r="S665" s="1" t="s">
        <v>74</v>
      </c>
      <c r="T665" s="1" t="s">
        <v>74</v>
      </c>
      <c r="U665" s="1" t="s">
        <v>74</v>
      </c>
      <c r="V665" s="1" t="s">
        <v>6813</v>
      </c>
      <c r="W665" s="1" t="s">
        <v>74</v>
      </c>
      <c r="X665" s="1" t="s">
        <v>74</v>
      </c>
      <c r="Y665" s="1" t="s">
        <v>74</v>
      </c>
      <c r="Z665" s="1" t="s">
        <v>74</v>
      </c>
      <c r="AA665" s="1" t="s">
        <v>6814</v>
      </c>
      <c r="AB665" s="1" t="s">
        <v>6815</v>
      </c>
      <c r="AC665" s="1" t="s">
        <v>74</v>
      </c>
      <c r="AD665" s="1" t="s">
        <v>74</v>
      </c>
      <c r="AE665" s="1" t="s">
        <v>74</v>
      </c>
      <c r="AF665" s="1" t="s">
        <v>74</v>
      </c>
      <c r="AG665" s="1" t="s">
        <v>74</v>
      </c>
      <c r="AH665" s="1" t="s">
        <v>74</v>
      </c>
      <c r="AI665" s="1" t="s">
        <v>74</v>
      </c>
      <c r="AJ665" s="1" t="s">
        <v>74</v>
      </c>
      <c r="AK665" s="1" t="s">
        <v>74</v>
      </c>
      <c r="AL665" s="1" t="s">
        <v>74</v>
      </c>
      <c r="AM665" s="1" t="s">
        <v>74</v>
      </c>
      <c r="AN665" s="1" t="s">
        <v>74</v>
      </c>
      <c r="AO665" s="1" t="s">
        <v>862</v>
      </c>
      <c r="AP665" s="1" t="s">
        <v>863</v>
      </c>
      <c r="AQ665" s="1" t="s">
        <v>74</v>
      </c>
      <c r="AR665" s="1" t="s">
        <v>74</v>
      </c>
      <c r="AS665" s="1" t="s">
        <v>74</v>
      </c>
      <c r="AT665" s="1" t="s">
        <v>422</v>
      </c>
      <c r="AU665" s="1">
        <v>2007.0</v>
      </c>
      <c r="AV665" s="1">
        <v>75.0</v>
      </c>
      <c r="AW665" s="1">
        <v>1.0</v>
      </c>
      <c r="AX665" s="1">
        <v>2.0</v>
      </c>
      <c r="AY665" s="1" t="s">
        <v>74</v>
      </c>
      <c r="AZ665" s="1" t="s">
        <v>74</v>
      </c>
      <c r="BA665" s="1" t="s">
        <v>74</v>
      </c>
      <c r="BB665" s="1" t="s">
        <v>74</v>
      </c>
      <c r="BC665" s="1" t="s">
        <v>74</v>
      </c>
      <c r="BD665" s="1">
        <v>16308.0</v>
      </c>
      <c r="BE665" s="1" t="s">
        <v>6816</v>
      </c>
      <c r="BF665" s="2" t="str">
        <f>HYPERLINK("http://dx.doi.org/10.1103/PhysRevE.75.016308","http://dx.doi.org/10.1103/PhysRevE.75.016308")</f>
        <v>http://dx.doi.org/10.1103/PhysRevE.75.016308</v>
      </c>
      <c r="BG665" s="1" t="s">
        <v>74</v>
      </c>
      <c r="BH665" s="1" t="s">
        <v>74</v>
      </c>
      <c r="BI665" s="1" t="s">
        <v>74</v>
      </c>
      <c r="BJ665" s="1" t="s">
        <v>74</v>
      </c>
      <c r="BK665" s="1" t="s">
        <v>74</v>
      </c>
      <c r="BL665" s="1" t="s">
        <v>74</v>
      </c>
      <c r="BM665" s="1" t="s">
        <v>74</v>
      </c>
      <c r="BN665" s="1">
        <v>1.7358254E7</v>
      </c>
      <c r="BO665" s="1" t="s">
        <v>74</v>
      </c>
      <c r="BP665" s="1" t="s">
        <v>74</v>
      </c>
      <c r="BQ665" s="1" t="s">
        <v>74</v>
      </c>
      <c r="BR665" s="1" t="s">
        <v>74</v>
      </c>
      <c r="BS665" s="1" t="s">
        <v>6817</v>
      </c>
      <c r="BT665" s="1" t="str">
        <f>HYPERLINK("https%3A%2F%2Fwww.webofscience.com%2Fwos%2Fwoscc%2Ffull-record%2FWOS:000243893700044","View Full Record in Web of Science")</f>
        <v>View Full Record in Web of Science</v>
      </c>
    </row>
    <row r="666" ht="12.75" customHeight="1">
      <c r="A666" s="1" t="s">
        <v>72</v>
      </c>
      <c r="B666" s="1" t="s">
        <v>6818</v>
      </c>
      <c r="C666" s="1" t="s">
        <v>74</v>
      </c>
      <c r="D666" s="1" t="s">
        <v>74</v>
      </c>
      <c r="E666" s="1" t="s">
        <v>74</v>
      </c>
      <c r="F666" s="1" t="s">
        <v>6818</v>
      </c>
      <c r="G666" s="1" t="s">
        <v>74</v>
      </c>
      <c r="H666" s="1" t="s">
        <v>74</v>
      </c>
      <c r="I666" s="1" t="s">
        <v>6819</v>
      </c>
      <c r="J666" s="1" t="s">
        <v>6820</v>
      </c>
      <c r="K666" s="1" t="s">
        <v>74</v>
      </c>
      <c r="L666" s="1" t="s">
        <v>74</v>
      </c>
      <c r="M666" s="1" t="s">
        <v>74</v>
      </c>
      <c r="N666" s="1" t="s">
        <v>74</v>
      </c>
      <c r="O666" s="1" t="s">
        <v>74</v>
      </c>
      <c r="P666" s="1" t="s">
        <v>74</v>
      </c>
      <c r="Q666" s="1" t="s">
        <v>74</v>
      </c>
      <c r="R666" s="1" t="s">
        <v>74</v>
      </c>
      <c r="S666" s="1" t="s">
        <v>74</v>
      </c>
      <c r="T666" s="1" t="s">
        <v>74</v>
      </c>
      <c r="U666" s="1" t="s">
        <v>74</v>
      </c>
      <c r="V666" s="1" t="s">
        <v>6821</v>
      </c>
      <c r="W666" s="1" t="s">
        <v>74</v>
      </c>
      <c r="X666" s="1" t="s">
        <v>74</v>
      </c>
      <c r="Y666" s="1" t="s">
        <v>74</v>
      </c>
      <c r="Z666" s="1" t="s">
        <v>74</v>
      </c>
      <c r="AA666" s="1" t="s">
        <v>6822</v>
      </c>
      <c r="AB666" s="1" t="s">
        <v>6823</v>
      </c>
      <c r="AC666" s="1" t="s">
        <v>74</v>
      </c>
      <c r="AD666" s="1" t="s">
        <v>74</v>
      </c>
      <c r="AE666" s="1" t="s">
        <v>74</v>
      </c>
      <c r="AF666" s="1" t="s">
        <v>74</v>
      </c>
      <c r="AG666" s="1" t="s">
        <v>74</v>
      </c>
      <c r="AH666" s="1" t="s">
        <v>74</v>
      </c>
      <c r="AI666" s="1" t="s">
        <v>74</v>
      </c>
      <c r="AJ666" s="1" t="s">
        <v>74</v>
      </c>
      <c r="AK666" s="1" t="s">
        <v>74</v>
      </c>
      <c r="AL666" s="1" t="s">
        <v>74</v>
      </c>
      <c r="AM666" s="1" t="s">
        <v>74</v>
      </c>
      <c r="AN666" s="1" t="s">
        <v>74</v>
      </c>
      <c r="AO666" s="1" t="s">
        <v>6824</v>
      </c>
      <c r="AP666" s="1" t="s">
        <v>6825</v>
      </c>
      <c r="AQ666" s="1" t="s">
        <v>74</v>
      </c>
      <c r="AR666" s="1" t="s">
        <v>74</v>
      </c>
      <c r="AS666" s="1" t="s">
        <v>74</v>
      </c>
      <c r="AT666" s="1" t="s">
        <v>5710</v>
      </c>
      <c r="AU666" s="1">
        <v>2005.0</v>
      </c>
      <c r="AV666" s="1">
        <v>40.0</v>
      </c>
      <c r="AW666" s="1">
        <v>6.0</v>
      </c>
      <c r="AX666" s="1" t="s">
        <v>74</v>
      </c>
      <c r="AY666" s="1" t="s">
        <v>74</v>
      </c>
      <c r="AZ666" s="1" t="s">
        <v>74</v>
      </c>
      <c r="BA666" s="1" t="s">
        <v>74</v>
      </c>
      <c r="BB666" s="1">
        <v>339.0</v>
      </c>
      <c r="BC666" s="1">
        <v>344.0</v>
      </c>
      <c r="BD666" s="1" t="s">
        <v>74</v>
      </c>
      <c r="BE666" s="1" t="s">
        <v>6826</v>
      </c>
      <c r="BF666" s="2" t="str">
        <f>HYPERLINK("http://dx.doi.org/10.33588/rn.4006.2004081","http://dx.doi.org/10.33588/rn.4006.2004081")</f>
        <v>http://dx.doi.org/10.33588/rn.4006.2004081</v>
      </c>
      <c r="BG666" s="1" t="s">
        <v>74</v>
      </c>
      <c r="BH666" s="1" t="s">
        <v>74</v>
      </c>
      <c r="BI666" s="1" t="s">
        <v>74</v>
      </c>
      <c r="BJ666" s="1" t="s">
        <v>74</v>
      </c>
      <c r="BK666" s="1" t="s">
        <v>74</v>
      </c>
      <c r="BL666" s="1" t="s">
        <v>74</v>
      </c>
      <c r="BM666" s="1" t="s">
        <v>74</v>
      </c>
      <c r="BN666" s="1">
        <v>1.5795869E7</v>
      </c>
      <c r="BO666" s="1" t="s">
        <v>74</v>
      </c>
      <c r="BP666" s="1" t="s">
        <v>74</v>
      </c>
      <c r="BQ666" s="1" t="s">
        <v>74</v>
      </c>
      <c r="BR666" s="1" t="s">
        <v>74</v>
      </c>
      <c r="BS666" s="1" t="s">
        <v>6827</v>
      </c>
      <c r="BT666" s="1" t="str">
        <f>HYPERLINK("https%3A%2F%2Fwww.webofscience.com%2Fwos%2Fwoscc%2Ffull-record%2FWOS:000228120300004","View Full Record in Web of Science")</f>
        <v>View Full Record in Web of Science</v>
      </c>
    </row>
    <row r="667" ht="12.75" customHeight="1">
      <c r="A667" s="1" t="s">
        <v>72</v>
      </c>
      <c r="B667" s="1" t="s">
        <v>6828</v>
      </c>
      <c r="C667" s="1" t="s">
        <v>74</v>
      </c>
      <c r="D667" s="1" t="s">
        <v>74</v>
      </c>
      <c r="E667" s="1" t="s">
        <v>74</v>
      </c>
      <c r="F667" s="1" t="s">
        <v>6828</v>
      </c>
      <c r="G667" s="1" t="s">
        <v>74</v>
      </c>
      <c r="H667" s="1" t="s">
        <v>74</v>
      </c>
      <c r="I667" s="1" t="s">
        <v>6829</v>
      </c>
      <c r="J667" s="1" t="s">
        <v>6830</v>
      </c>
      <c r="K667" s="1" t="s">
        <v>74</v>
      </c>
      <c r="L667" s="1" t="s">
        <v>74</v>
      </c>
      <c r="M667" s="1" t="s">
        <v>74</v>
      </c>
      <c r="N667" s="1" t="s">
        <v>74</v>
      </c>
      <c r="O667" s="1" t="s">
        <v>74</v>
      </c>
      <c r="P667" s="1" t="s">
        <v>74</v>
      </c>
      <c r="Q667" s="1" t="s">
        <v>74</v>
      </c>
      <c r="R667" s="1" t="s">
        <v>74</v>
      </c>
      <c r="S667" s="1" t="s">
        <v>74</v>
      </c>
      <c r="T667" s="1" t="s">
        <v>74</v>
      </c>
      <c r="U667" s="1" t="s">
        <v>74</v>
      </c>
      <c r="V667" s="1" t="s">
        <v>6831</v>
      </c>
      <c r="W667" s="1" t="s">
        <v>74</v>
      </c>
      <c r="X667" s="1" t="s">
        <v>74</v>
      </c>
      <c r="Y667" s="1" t="s">
        <v>74</v>
      </c>
      <c r="Z667" s="1" t="s">
        <v>74</v>
      </c>
      <c r="AA667" s="1" t="s">
        <v>74</v>
      </c>
      <c r="AB667" s="1" t="s">
        <v>74</v>
      </c>
      <c r="AC667" s="1" t="s">
        <v>74</v>
      </c>
      <c r="AD667" s="1" t="s">
        <v>74</v>
      </c>
      <c r="AE667" s="1" t="s">
        <v>74</v>
      </c>
      <c r="AF667" s="1" t="s">
        <v>74</v>
      </c>
      <c r="AG667" s="1" t="s">
        <v>74</v>
      </c>
      <c r="AH667" s="1" t="s">
        <v>74</v>
      </c>
      <c r="AI667" s="1" t="s">
        <v>74</v>
      </c>
      <c r="AJ667" s="1" t="s">
        <v>74</v>
      </c>
      <c r="AK667" s="1" t="s">
        <v>74</v>
      </c>
      <c r="AL667" s="1" t="s">
        <v>74</v>
      </c>
      <c r="AM667" s="1" t="s">
        <v>74</v>
      </c>
      <c r="AN667" s="1" t="s">
        <v>74</v>
      </c>
      <c r="AO667" s="1" t="s">
        <v>6832</v>
      </c>
      <c r="AP667" s="1" t="s">
        <v>6833</v>
      </c>
      <c r="AQ667" s="1" t="s">
        <v>74</v>
      </c>
      <c r="AR667" s="1" t="s">
        <v>74</v>
      </c>
      <c r="AS667" s="1" t="s">
        <v>74</v>
      </c>
      <c r="AT667" s="1" t="s">
        <v>537</v>
      </c>
      <c r="AU667" s="1">
        <v>2003.0</v>
      </c>
      <c r="AV667" s="1">
        <v>20.0</v>
      </c>
      <c r="AW667" s="1">
        <v>3.0</v>
      </c>
      <c r="AX667" s="1" t="s">
        <v>74</v>
      </c>
      <c r="AY667" s="1" t="s">
        <v>74</v>
      </c>
      <c r="AZ667" s="1" t="s">
        <v>74</v>
      </c>
      <c r="BA667" s="1" t="s">
        <v>74</v>
      </c>
      <c r="BB667" s="1">
        <v>1899.0</v>
      </c>
      <c r="BC667" s="1">
        <v>1902.0</v>
      </c>
      <c r="BD667" s="1" t="s">
        <v>74</v>
      </c>
      <c r="BE667" s="1" t="s">
        <v>6834</v>
      </c>
      <c r="BF667" s="2" t="str">
        <f>HYPERLINK("http://dx.doi.org/10.1016/j.neuroimage.2003.07.012","http://dx.doi.org/10.1016/j.neuroimage.2003.07.012")</f>
        <v>http://dx.doi.org/10.1016/j.neuroimage.2003.07.012</v>
      </c>
      <c r="BG667" s="1" t="s">
        <v>74</v>
      </c>
      <c r="BH667" s="1" t="s">
        <v>74</v>
      </c>
      <c r="BI667" s="1" t="s">
        <v>74</v>
      </c>
      <c r="BJ667" s="1" t="s">
        <v>74</v>
      </c>
      <c r="BK667" s="1" t="s">
        <v>74</v>
      </c>
      <c r="BL667" s="1" t="s">
        <v>74</v>
      </c>
      <c r="BM667" s="1" t="s">
        <v>74</v>
      </c>
      <c r="BN667" s="1">
        <v>1.46425E7</v>
      </c>
      <c r="BO667" s="1" t="s">
        <v>74</v>
      </c>
      <c r="BP667" s="1" t="s">
        <v>74</v>
      </c>
      <c r="BQ667" s="1" t="s">
        <v>74</v>
      </c>
      <c r="BR667" s="1" t="s">
        <v>74</v>
      </c>
      <c r="BS667" s="1" t="s">
        <v>6835</v>
      </c>
      <c r="BT667" s="1" t="str">
        <f>HYPERLINK("https%3A%2F%2Fwww.webofscience.com%2Fwos%2Fwoscc%2Ffull-record%2FWOS:000186723800044","View Full Record in Web of Science")</f>
        <v>View Full Record in Web of Science</v>
      </c>
    </row>
    <row r="668" ht="12.75" customHeight="1">
      <c r="A668" s="1" t="s">
        <v>72</v>
      </c>
      <c r="B668" s="1" t="s">
        <v>6836</v>
      </c>
      <c r="C668" s="1" t="s">
        <v>74</v>
      </c>
      <c r="D668" s="1" t="s">
        <v>74</v>
      </c>
      <c r="E668" s="1" t="s">
        <v>74</v>
      </c>
      <c r="F668" s="1" t="s">
        <v>6836</v>
      </c>
      <c r="G668" s="1" t="s">
        <v>74</v>
      </c>
      <c r="H668" s="1" t="s">
        <v>74</v>
      </c>
      <c r="I668" s="1" t="s">
        <v>6837</v>
      </c>
      <c r="J668" s="1" t="s">
        <v>1994</v>
      </c>
      <c r="K668" s="1" t="s">
        <v>74</v>
      </c>
      <c r="L668" s="1" t="s">
        <v>74</v>
      </c>
      <c r="M668" s="1" t="s">
        <v>74</v>
      </c>
      <c r="N668" s="1" t="s">
        <v>74</v>
      </c>
      <c r="O668" s="1" t="s">
        <v>74</v>
      </c>
      <c r="P668" s="1" t="s">
        <v>74</v>
      </c>
      <c r="Q668" s="1" t="s">
        <v>74</v>
      </c>
      <c r="R668" s="1" t="s">
        <v>74</v>
      </c>
      <c r="S668" s="1" t="s">
        <v>74</v>
      </c>
      <c r="T668" s="1" t="s">
        <v>74</v>
      </c>
      <c r="U668" s="1" t="s">
        <v>74</v>
      </c>
      <c r="V668" s="1" t="s">
        <v>6838</v>
      </c>
      <c r="W668" s="1" t="s">
        <v>74</v>
      </c>
      <c r="X668" s="1" t="s">
        <v>74</v>
      </c>
      <c r="Y668" s="1" t="s">
        <v>74</v>
      </c>
      <c r="Z668" s="1" t="s">
        <v>74</v>
      </c>
      <c r="AA668" s="1" t="s">
        <v>74</v>
      </c>
      <c r="AB668" s="1" t="s">
        <v>543</v>
      </c>
      <c r="AC668" s="1" t="s">
        <v>74</v>
      </c>
      <c r="AD668" s="1" t="s">
        <v>74</v>
      </c>
      <c r="AE668" s="1" t="s">
        <v>74</v>
      </c>
      <c r="AF668" s="1" t="s">
        <v>74</v>
      </c>
      <c r="AG668" s="1" t="s">
        <v>74</v>
      </c>
      <c r="AH668" s="1" t="s">
        <v>74</v>
      </c>
      <c r="AI668" s="1" t="s">
        <v>74</v>
      </c>
      <c r="AJ668" s="1" t="s">
        <v>74</v>
      </c>
      <c r="AK668" s="1" t="s">
        <v>74</v>
      </c>
      <c r="AL668" s="1" t="s">
        <v>74</v>
      </c>
      <c r="AM668" s="1" t="s">
        <v>74</v>
      </c>
      <c r="AN668" s="1" t="s">
        <v>74</v>
      </c>
      <c r="AO668" s="1" t="s">
        <v>1997</v>
      </c>
      <c r="AP668" s="1" t="s">
        <v>74</v>
      </c>
      <c r="AQ668" s="1" t="s">
        <v>74</v>
      </c>
      <c r="AR668" s="1" t="s">
        <v>74</v>
      </c>
      <c r="AS668" s="1" t="s">
        <v>74</v>
      </c>
      <c r="AT668" s="1" t="s">
        <v>348</v>
      </c>
      <c r="AU668" s="1">
        <v>2002.0</v>
      </c>
      <c r="AV668" s="1">
        <v>47.0</v>
      </c>
      <c r="AW668" s="1">
        <v>3.0</v>
      </c>
      <c r="AX668" s="1" t="s">
        <v>74</v>
      </c>
      <c r="AY668" s="1" t="s">
        <v>74</v>
      </c>
      <c r="AZ668" s="1" t="s">
        <v>74</v>
      </c>
      <c r="BA668" s="1" t="s">
        <v>74</v>
      </c>
      <c r="BB668" s="1">
        <v>259.0</v>
      </c>
      <c r="BC668" s="1">
        <v>263.0</v>
      </c>
      <c r="BD668" s="1" t="s">
        <v>74</v>
      </c>
      <c r="BE668" s="1" t="s">
        <v>74</v>
      </c>
      <c r="BF668" s="1" t="s">
        <v>74</v>
      </c>
      <c r="BG668" s="1" t="s">
        <v>74</v>
      </c>
      <c r="BH668" s="1" t="s">
        <v>74</v>
      </c>
      <c r="BI668" s="1" t="s">
        <v>74</v>
      </c>
      <c r="BJ668" s="1" t="s">
        <v>74</v>
      </c>
      <c r="BK668" s="1" t="s">
        <v>74</v>
      </c>
      <c r="BL668" s="1" t="s">
        <v>74</v>
      </c>
      <c r="BM668" s="1" t="s">
        <v>74</v>
      </c>
      <c r="BN668" s="1" t="s">
        <v>74</v>
      </c>
      <c r="BO668" s="1" t="s">
        <v>74</v>
      </c>
      <c r="BP668" s="1" t="s">
        <v>74</v>
      </c>
      <c r="BQ668" s="1" t="s">
        <v>74</v>
      </c>
      <c r="BR668" s="1" t="s">
        <v>74</v>
      </c>
      <c r="BS668" s="1" t="s">
        <v>6839</v>
      </c>
      <c r="BT668" s="1" t="str">
        <f>HYPERLINK("https%3A%2F%2Fwww.webofscience.com%2Fwos%2Fwoscc%2Ffull-record%2FWOS:000177975100008","View Full Record in Web of Science")</f>
        <v>View Full Record in Web of Science</v>
      </c>
    </row>
    <row r="669" ht="12.75" customHeight="1">
      <c r="A669" s="1" t="s">
        <v>72</v>
      </c>
      <c r="B669" s="1" t="s">
        <v>6840</v>
      </c>
      <c r="C669" s="1" t="s">
        <v>74</v>
      </c>
      <c r="D669" s="1" t="s">
        <v>74</v>
      </c>
      <c r="E669" s="1" t="s">
        <v>74</v>
      </c>
      <c r="F669" s="1" t="s">
        <v>6840</v>
      </c>
      <c r="G669" s="1" t="s">
        <v>74</v>
      </c>
      <c r="H669" s="1" t="s">
        <v>74</v>
      </c>
      <c r="I669" s="1" t="s">
        <v>6841</v>
      </c>
      <c r="J669" s="1" t="s">
        <v>6842</v>
      </c>
      <c r="K669" s="1" t="s">
        <v>74</v>
      </c>
      <c r="L669" s="1" t="s">
        <v>74</v>
      </c>
      <c r="M669" s="1" t="s">
        <v>74</v>
      </c>
      <c r="N669" s="1" t="s">
        <v>74</v>
      </c>
      <c r="O669" s="1" t="s">
        <v>6843</v>
      </c>
      <c r="P669" s="1" t="s">
        <v>6844</v>
      </c>
      <c r="Q669" s="1" t="s">
        <v>6845</v>
      </c>
      <c r="R669" s="1" t="s">
        <v>6846</v>
      </c>
      <c r="S669" s="1" t="s">
        <v>74</v>
      </c>
      <c r="T669" s="1" t="s">
        <v>74</v>
      </c>
      <c r="U669" s="1" t="s">
        <v>74</v>
      </c>
      <c r="V669" s="1" t="s">
        <v>6847</v>
      </c>
      <c r="W669" s="1" t="s">
        <v>74</v>
      </c>
      <c r="X669" s="1" t="s">
        <v>74</v>
      </c>
      <c r="Y669" s="1" t="s">
        <v>74</v>
      </c>
      <c r="Z669" s="1" t="s">
        <v>74</v>
      </c>
      <c r="AA669" s="1" t="s">
        <v>74</v>
      </c>
      <c r="AB669" s="1" t="s">
        <v>6848</v>
      </c>
      <c r="AC669" s="1" t="s">
        <v>74</v>
      </c>
      <c r="AD669" s="1" t="s">
        <v>74</v>
      </c>
      <c r="AE669" s="1" t="s">
        <v>74</v>
      </c>
      <c r="AF669" s="1" t="s">
        <v>74</v>
      </c>
      <c r="AG669" s="1" t="s">
        <v>74</v>
      </c>
      <c r="AH669" s="1" t="s">
        <v>74</v>
      </c>
      <c r="AI669" s="1" t="s">
        <v>74</v>
      </c>
      <c r="AJ669" s="1" t="s">
        <v>74</v>
      </c>
      <c r="AK669" s="1" t="s">
        <v>74</v>
      </c>
      <c r="AL669" s="1" t="s">
        <v>74</v>
      </c>
      <c r="AM669" s="1" t="s">
        <v>74</v>
      </c>
      <c r="AN669" s="1" t="s">
        <v>74</v>
      </c>
      <c r="AO669" s="1" t="s">
        <v>6849</v>
      </c>
      <c r="AP669" s="1" t="s">
        <v>74</v>
      </c>
      <c r="AQ669" s="1" t="s">
        <v>74</v>
      </c>
      <c r="AR669" s="1" t="s">
        <v>74</v>
      </c>
      <c r="AS669" s="1" t="s">
        <v>74</v>
      </c>
      <c r="AT669" s="1" t="s">
        <v>485</v>
      </c>
      <c r="AU669" s="1">
        <v>2001.0</v>
      </c>
      <c r="AV669" s="1">
        <v>178.0</v>
      </c>
      <c r="AW669" s="1" t="s">
        <v>74</v>
      </c>
      <c r="AX669" s="1" t="s">
        <v>74</v>
      </c>
      <c r="AY669" s="1" t="s">
        <v>74</v>
      </c>
      <c r="AZ669" s="1" t="s">
        <v>74</v>
      </c>
      <c r="BA669" s="1" t="s">
        <v>74</v>
      </c>
      <c r="BB669" s="1">
        <v>93.0</v>
      </c>
      <c r="BC669" s="1">
        <v>96.0</v>
      </c>
      <c r="BD669" s="1" t="s">
        <v>74</v>
      </c>
      <c r="BE669" s="1" t="s">
        <v>6850</v>
      </c>
      <c r="BF669" s="2" t="str">
        <f>HYPERLINK("http://dx.doi.org/10.1016/S0168-583X(01)00499-2","http://dx.doi.org/10.1016/S0168-583X(01)00499-2")</f>
        <v>http://dx.doi.org/10.1016/S0168-583X(01)00499-2</v>
      </c>
      <c r="BG669" s="1" t="s">
        <v>74</v>
      </c>
      <c r="BH669" s="1" t="s">
        <v>74</v>
      </c>
      <c r="BI669" s="1" t="s">
        <v>74</v>
      </c>
      <c r="BJ669" s="1" t="s">
        <v>74</v>
      </c>
      <c r="BK669" s="1" t="s">
        <v>74</v>
      </c>
      <c r="BL669" s="1" t="s">
        <v>74</v>
      </c>
      <c r="BM669" s="1" t="s">
        <v>74</v>
      </c>
      <c r="BN669" s="1" t="s">
        <v>74</v>
      </c>
      <c r="BO669" s="1" t="s">
        <v>74</v>
      </c>
      <c r="BP669" s="1" t="s">
        <v>74</v>
      </c>
      <c r="BQ669" s="1" t="s">
        <v>74</v>
      </c>
      <c r="BR669" s="1" t="s">
        <v>74</v>
      </c>
      <c r="BS669" s="1" t="s">
        <v>6851</v>
      </c>
      <c r="BT669" s="1" t="str">
        <f>HYPERLINK("https%3A%2F%2Fwww.webofscience.com%2Fwos%2Fwoscc%2Ffull-record%2FWOS:000169403700015","View Full Record in Web of Science")</f>
        <v>View Full Record in Web of Science</v>
      </c>
    </row>
    <row r="670" ht="12.75" customHeight="1">
      <c r="A670" s="1" t="s">
        <v>72</v>
      </c>
      <c r="B670" s="1" t="s">
        <v>6852</v>
      </c>
      <c r="C670" s="1" t="s">
        <v>74</v>
      </c>
      <c r="D670" s="1" t="s">
        <v>74</v>
      </c>
      <c r="E670" s="1" t="s">
        <v>74</v>
      </c>
      <c r="F670" s="1" t="s">
        <v>6853</v>
      </c>
      <c r="G670" s="1" t="s">
        <v>74</v>
      </c>
      <c r="H670" s="1" t="s">
        <v>74</v>
      </c>
      <c r="I670" s="1" t="s">
        <v>6854</v>
      </c>
      <c r="J670" s="1" t="s">
        <v>3076</v>
      </c>
      <c r="K670" s="1" t="s">
        <v>74</v>
      </c>
      <c r="L670" s="1" t="s">
        <v>74</v>
      </c>
      <c r="M670" s="1" t="s">
        <v>74</v>
      </c>
      <c r="N670" s="1" t="s">
        <v>74</v>
      </c>
      <c r="O670" s="1" t="s">
        <v>74</v>
      </c>
      <c r="P670" s="1" t="s">
        <v>74</v>
      </c>
      <c r="Q670" s="1" t="s">
        <v>74</v>
      </c>
      <c r="R670" s="1" t="s">
        <v>74</v>
      </c>
      <c r="S670" s="1" t="s">
        <v>74</v>
      </c>
      <c r="T670" s="1" t="s">
        <v>74</v>
      </c>
      <c r="U670" s="1" t="s">
        <v>74</v>
      </c>
      <c r="V670" s="1" t="s">
        <v>6855</v>
      </c>
      <c r="W670" s="1" t="s">
        <v>74</v>
      </c>
      <c r="X670" s="1" t="s">
        <v>74</v>
      </c>
      <c r="Y670" s="1" t="s">
        <v>74</v>
      </c>
      <c r="Z670" s="1" t="s">
        <v>74</v>
      </c>
      <c r="AA670" s="1" t="s">
        <v>74</v>
      </c>
      <c r="AB670" s="1" t="s">
        <v>74</v>
      </c>
      <c r="AC670" s="1" t="s">
        <v>74</v>
      </c>
      <c r="AD670" s="1" t="s">
        <v>74</v>
      </c>
      <c r="AE670" s="1" t="s">
        <v>74</v>
      </c>
      <c r="AF670" s="1" t="s">
        <v>74</v>
      </c>
      <c r="AG670" s="1" t="s">
        <v>74</v>
      </c>
      <c r="AH670" s="1" t="s">
        <v>74</v>
      </c>
      <c r="AI670" s="1" t="s">
        <v>74</v>
      </c>
      <c r="AJ670" s="1" t="s">
        <v>74</v>
      </c>
      <c r="AK670" s="1" t="s">
        <v>74</v>
      </c>
      <c r="AL670" s="1" t="s">
        <v>74</v>
      </c>
      <c r="AM670" s="1" t="s">
        <v>74</v>
      </c>
      <c r="AN670" s="1" t="s">
        <v>74</v>
      </c>
      <c r="AO670" s="1" t="s">
        <v>3080</v>
      </c>
      <c r="AP670" s="1" t="s">
        <v>74</v>
      </c>
      <c r="AQ670" s="1" t="s">
        <v>74</v>
      </c>
      <c r="AR670" s="1" t="s">
        <v>74</v>
      </c>
      <c r="AS670" s="1" t="s">
        <v>74</v>
      </c>
      <c r="AT670" s="1" t="s">
        <v>6856</v>
      </c>
      <c r="AU670" s="1">
        <v>2025.0</v>
      </c>
      <c r="AV670" s="1">
        <v>13.0</v>
      </c>
      <c r="AW670" s="1" t="s">
        <v>74</v>
      </c>
      <c r="AX670" s="1" t="s">
        <v>74</v>
      </c>
      <c r="AY670" s="1" t="s">
        <v>74</v>
      </c>
      <c r="AZ670" s="1" t="s">
        <v>74</v>
      </c>
      <c r="BA670" s="1" t="s">
        <v>74</v>
      </c>
      <c r="BB670" s="1" t="s">
        <v>74</v>
      </c>
      <c r="BC670" s="1" t="s">
        <v>74</v>
      </c>
      <c r="BD670" s="1">
        <v>1554004.0</v>
      </c>
      <c r="BE670" s="1" t="s">
        <v>6857</v>
      </c>
      <c r="BF670" s="2" t="str">
        <f>HYPERLINK("http://dx.doi.org/10.3389/fbioe.2025.1554004","http://dx.doi.org/10.3389/fbioe.2025.1554004")</f>
        <v>http://dx.doi.org/10.3389/fbioe.2025.1554004</v>
      </c>
      <c r="BG670" s="1" t="s">
        <v>74</v>
      </c>
      <c r="BH670" s="1" t="s">
        <v>74</v>
      </c>
      <c r="BI670" s="1" t="s">
        <v>74</v>
      </c>
      <c r="BJ670" s="1" t="s">
        <v>74</v>
      </c>
      <c r="BK670" s="1" t="s">
        <v>74</v>
      </c>
      <c r="BL670" s="1" t="s">
        <v>74</v>
      </c>
      <c r="BM670" s="1" t="s">
        <v>74</v>
      </c>
      <c r="BN670" s="1">
        <v>4.0309506E7</v>
      </c>
      <c r="BO670" s="1" t="s">
        <v>74</v>
      </c>
      <c r="BP670" s="1" t="s">
        <v>74</v>
      </c>
      <c r="BQ670" s="1" t="s">
        <v>74</v>
      </c>
      <c r="BR670" s="1" t="s">
        <v>74</v>
      </c>
      <c r="BS670" s="1" t="s">
        <v>6858</v>
      </c>
      <c r="BT670" s="1" t="str">
        <f>HYPERLINK("https%3A%2F%2Fwww.webofscience.com%2Fwos%2Fwoscc%2Ffull-record%2FWOS:001478757300001","View Full Record in Web of Science")</f>
        <v>View Full Record in Web of Science</v>
      </c>
    </row>
    <row r="671" ht="12.75" customHeight="1">
      <c r="A671" s="1" t="s">
        <v>72</v>
      </c>
      <c r="B671" s="1" t="s">
        <v>6859</v>
      </c>
      <c r="C671" s="1" t="s">
        <v>74</v>
      </c>
      <c r="D671" s="1" t="s">
        <v>74</v>
      </c>
      <c r="E671" s="1" t="s">
        <v>74</v>
      </c>
      <c r="F671" s="1" t="s">
        <v>6860</v>
      </c>
      <c r="G671" s="1" t="s">
        <v>74</v>
      </c>
      <c r="H671" s="1" t="s">
        <v>74</v>
      </c>
      <c r="I671" s="1" t="s">
        <v>6861</v>
      </c>
      <c r="J671" s="1" t="s">
        <v>2691</v>
      </c>
      <c r="K671" s="1" t="s">
        <v>74</v>
      </c>
      <c r="L671" s="1" t="s">
        <v>74</v>
      </c>
      <c r="M671" s="1" t="s">
        <v>74</v>
      </c>
      <c r="N671" s="1" t="s">
        <v>74</v>
      </c>
      <c r="O671" s="1" t="s">
        <v>74</v>
      </c>
      <c r="P671" s="1" t="s">
        <v>74</v>
      </c>
      <c r="Q671" s="1" t="s">
        <v>74</v>
      </c>
      <c r="R671" s="1" t="s">
        <v>74</v>
      </c>
      <c r="S671" s="1" t="s">
        <v>74</v>
      </c>
      <c r="T671" s="1" t="s">
        <v>74</v>
      </c>
      <c r="U671" s="1" t="s">
        <v>74</v>
      </c>
      <c r="V671" s="1" t="s">
        <v>6862</v>
      </c>
      <c r="W671" s="1" t="s">
        <v>74</v>
      </c>
      <c r="X671" s="1" t="s">
        <v>74</v>
      </c>
      <c r="Y671" s="1" t="s">
        <v>74</v>
      </c>
      <c r="Z671" s="1" t="s">
        <v>74</v>
      </c>
      <c r="AA671" s="1" t="s">
        <v>6863</v>
      </c>
      <c r="AB671" s="1" t="s">
        <v>6864</v>
      </c>
      <c r="AC671" s="1" t="s">
        <v>74</v>
      </c>
      <c r="AD671" s="1" t="s">
        <v>74</v>
      </c>
      <c r="AE671" s="1" t="s">
        <v>74</v>
      </c>
      <c r="AF671" s="1" t="s">
        <v>74</v>
      </c>
      <c r="AG671" s="1" t="s">
        <v>74</v>
      </c>
      <c r="AH671" s="1" t="s">
        <v>74</v>
      </c>
      <c r="AI671" s="1" t="s">
        <v>74</v>
      </c>
      <c r="AJ671" s="1" t="s">
        <v>74</v>
      </c>
      <c r="AK671" s="1" t="s">
        <v>74</v>
      </c>
      <c r="AL671" s="1" t="s">
        <v>74</v>
      </c>
      <c r="AM671" s="1" t="s">
        <v>74</v>
      </c>
      <c r="AN671" s="1" t="s">
        <v>74</v>
      </c>
      <c r="AO671" s="1" t="s">
        <v>74</v>
      </c>
      <c r="AP671" s="1" t="s">
        <v>2695</v>
      </c>
      <c r="AQ671" s="1" t="s">
        <v>74</v>
      </c>
      <c r="AR671" s="1" t="s">
        <v>74</v>
      </c>
      <c r="AS671" s="1" t="s">
        <v>74</v>
      </c>
      <c r="AT671" s="1" t="s">
        <v>2685</v>
      </c>
      <c r="AU671" s="1">
        <v>2025.0</v>
      </c>
      <c r="AV671" s="1">
        <v>17.0</v>
      </c>
      <c r="AW671" s="1">
        <v>3.0</v>
      </c>
      <c r="AX671" s="1" t="s">
        <v>74</v>
      </c>
      <c r="AY671" s="1" t="s">
        <v>74</v>
      </c>
      <c r="AZ671" s="1" t="s">
        <v>74</v>
      </c>
      <c r="BA671" s="1" t="s">
        <v>74</v>
      </c>
      <c r="BB671" s="1" t="s">
        <v>74</v>
      </c>
      <c r="BC671" s="1" t="s">
        <v>74</v>
      </c>
      <c r="BD671" s="1">
        <v>426.0</v>
      </c>
      <c r="BE671" s="1" t="s">
        <v>6865</v>
      </c>
      <c r="BF671" s="2" t="str">
        <f>HYPERLINK("http://dx.doi.org/10.3390/sym17030426","http://dx.doi.org/10.3390/sym17030426")</f>
        <v>http://dx.doi.org/10.3390/sym17030426</v>
      </c>
      <c r="BG671" s="1" t="s">
        <v>74</v>
      </c>
      <c r="BH671" s="1" t="s">
        <v>74</v>
      </c>
      <c r="BI671" s="1" t="s">
        <v>74</v>
      </c>
      <c r="BJ671" s="1" t="s">
        <v>74</v>
      </c>
      <c r="BK671" s="1" t="s">
        <v>74</v>
      </c>
      <c r="BL671" s="1" t="s">
        <v>74</v>
      </c>
      <c r="BM671" s="1" t="s">
        <v>74</v>
      </c>
      <c r="BN671" s="1" t="s">
        <v>74</v>
      </c>
      <c r="BO671" s="1" t="s">
        <v>74</v>
      </c>
      <c r="BP671" s="1" t="s">
        <v>74</v>
      </c>
      <c r="BQ671" s="1" t="s">
        <v>74</v>
      </c>
      <c r="BR671" s="1" t="s">
        <v>74</v>
      </c>
      <c r="BS671" s="1" t="s">
        <v>6866</v>
      </c>
      <c r="BT671" s="1" t="str">
        <f>HYPERLINK("https%3A%2F%2Fwww.webofscience.com%2Fwos%2Fwoscc%2Ffull-record%2FWOS:001453784400001","View Full Record in Web of Science")</f>
        <v>View Full Record in Web of Science</v>
      </c>
    </row>
    <row r="672" ht="12.75" customHeight="1">
      <c r="A672" s="1" t="s">
        <v>72</v>
      </c>
      <c r="B672" s="1" t="s">
        <v>6867</v>
      </c>
      <c r="C672" s="1" t="s">
        <v>74</v>
      </c>
      <c r="D672" s="1" t="s">
        <v>74</v>
      </c>
      <c r="E672" s="1" t="s">
        <v>74</v>
      </c>
      <c r="F672" s="1" t="s">
        <v>6868</v>
      </c>
      <c r="G672" s="1" t="s">
        <v>74</v>
      </c>
      <c r="H672" s="1" t="s">
        <v>74</v>
      </c>
      <c r="I672" s="1" t="s">
        <v>6869</v>
      </c>
      <c r="J672" s="1" t="s">
        <v>289</v>
      </c>
      <c r="K672" s="1" t="s">
        <v>74</v>
      </c>
      <c r="L672" s="1" t="s">
        <v>74</v>
      </c>
      <c r="M672" s="1" t="s">
        <v>74</v>
      </c>
      <c r="N672" s="1" t="s">
        <v>74</v>
      </c>
      <c r="O672" s="1" t="s">
        <v>74</v>
      </c>
      <c r="P672" s="1" t="s">
        <v>74</v>
      </c>
      <c r="Q672" s="1" t="s">
        <v>74</v>
      </c>
      <c r="R672" s="1" t="s">
        <v>74</v>
      </c>
      <c r="S672" s="1" t="s">
        <v>74</v>
      </c>
      <c r="T672" s="1" t="s">
        <v>74</v>
      </c>
      <c r="U672" s="1" t="s">
        <v>74</v>
      </c>
      <c r="V672" s="1" t="s">
        <v>6870</v>
      </c>
      <c r="W672" s="1" t="s">
        <v>74</v>
      </c>
      <c r="X672" s="1" t="s">
        <v>74</v>
      </c>
      <c r="Y672" s="1" t="s">
        <v>74</v>
      </c>
      <c r="Z672" s="1" t="s">
        <v>74</v>
      </c>
      <c r="AA672" s="1" t="s">
        <v>6871</v>
      </c>
      <c r="AB672" s="1" t="s">
        <v>6872</v>
      </c>
      <c r="AC672" s="1" t="s">
        <v>74</v>
      </c>
      <c r="AD672" s="1" t="s">
        <v>74</v>
      </c>
      <c r="AE672" s="1" t="s">
        <v>74</v>
      </c>
      <c r="AF672" s="1" t="s">
        <v>74</v>
      </c>
      <c r="AG672" s="1" t="s">
        <v>74</v>
      </c>
      <c r="AH672" s="1" t="s">
        <v>74</v>
      </c>
      <c r="AI672" s="1" t="s">
        <v>74</v>
      </c>
      <c r="AJ672" s="1" t="s">
        <v>74</v>
      </c>
      <c r="AK672" s="1" t="s">
        <v>74</v>
      </c>
      <c r="AL672" s="1" t="s">
        <v>74</v>
      </c>
      <c r="AM672" s="1" t="s">
        <v>74</v>
      </c>
      <c r="AN672" s="1" t="s">
        <v>74</v>
      </c>
      <c r="AO672" s="1" t="s">
        <v>293</v>
      </c>
      <c r="AP672" s="1" t="s">
        <v>294</v>
      </c>
      <c r="AQ672" s="1" t="s">
        <v>74</v>
      </c>
      <c r="AR672" s="1" t="s">
        <v>74</v>
      </c>
      <c r="AS672" s="1" t="s">
        <v>74</v>
      </c>
      <c r="AT672" s="1" t="s">
        <v>201</v>
      </c>
      <c r="AU672" s="1">
        <v>2024.0</v>
      </c>
      <c r="AV672" s="1">
        <v>278.0</v>
      </c>
      <c r="AW672" s="1" t="s">
        <v>74</v>
      </c>
      <c r="AX672" s="1">
        <v>2.0</v>
      </c>
      <c r="AY672" s="1" t="s">
        <v>74</v>
      </c>
      <c r="AZ672" s="1" t="s">
        <v>74</v>
      </c>
      <c r="BA672" s="1" t="s">
        <v>74</v>
      </c>
      <c r="BB672" s="1" t="s">
        <v>74</v>
      </c>
      <c r="BC672" s="1" t="s">
        <v>74</v>
      </c>
      <c r="BD672" s="1">
        <v>134697.0</v>
      </c>
      <c r="BE672" s="1" t="s">
        <v>6873</v>
      </c>
      <c r="BF672" s="2" t="str">
        <f>HYPERLINK("http://dx.doi.org/10.1016/j.ijbiomac.2024.134697","http://dx.doi.org/10.1016/j.ijbiomac.2024.134697")</f>
        <v>http://dx.doi.org/10.1016/j.ijbiomac.2024.134697</v>
      </c>
      <c r="BG672" s="1" t="s">
        <v>74</v>
      </c>
      <c r="BH672" s="1" t="s">
        <v>6874</v>
      </c>
      <c r="BI672" s="1" t="s">
        <v>74</v>
      </c>
      <c r="BJ672" s="1" t="s">
        <v>74</v>
      </c>
      <c r="BK672" s="1" t="s">
        <v>74</v>
      </c>
      <c r="BL672" s="1" t="s">
        <v>74</v>
      </c>
      <c r="BM672" s="1" t="s">
        <v>74</v>
      </c>
      <c r="BN672" s="1">
        <v>3.9147352E7</v>
      </c>
      <c r="BO672" s="1" t="s">
        <v>74</v>
      </c>
      <c r="BP672" s="1" t="s">
        <v>74</v>
      </c>
      <c r="BQ672" s="1" t="s">
        <v>74</v>
      </c>
      <c r="BR672" s="1" t="s">
        <v>74</v>
      </c>
      <c r="BS672" s="1" t="s">
        <v>6875</v>
      </c>
      <c r="BT672" s="1" t="str">
        <f>HYPERLINK("https%3A%2F%2Fwww.webofscience.com%2Fwos%2Fwoscc%2Ffull-record%2FWOS:001297497400001","View Full Record in Web of Science")</f>
        <v>View Full Record in Web of Science</v>
      </c>
    </row>
    <row r="673" ht="12.75" customHeight="1">
      <c r="A673" s="1" t="s">
        <v>72</v>
      </c>
      <c r="B673" s="1" t="s">
        <v>6876</v>
      </c>
      <c r="C673" s="1" t="s">
        <v>74</v>
      </c>
      <c r="D673" s="1" t="s">
        <v>74</v>
      </c>
      <c r="E673" s="1" t="s">
        <v>74</v>
      </c>
      <c r="F673" s="1" t="s">
        <v>6877</v>
      </c>
      <c r="G673" s="1" t="s">
        <v>74</v>
      </c>
      <c r="H673" s="1" t="s">
        <v>74</v>
      </c>
      <c r="I673" s="1" t="s">
        <v>6878</v>
      </c>
      <c r="J673" s="1" t="s">
        <v>3076</v>
      </c>
      <c r="K673" s="1" t="s">
        <v>74</v>
      </c>
      <c r="L673" s="1" t="s">
        <v>74</v>
      </c>
      <c r="M673" s="1" t="s">
        <v>74</v>
      </c>
      <c r="N673" s="1" t="s">
        <v>74</v>
      </c>
      <c r="O673" s="1" t="s">
        <v>74</v>
      </c>
      <c r="P673" s="1" t="s">
        <v>74</v>
      </c>
      <c r="Q673" s="1" t="s">
        <v>74</v>
      </c>
      <c r="R673" s="1" t="s">
        <v>74</v>
      </c>
      <c r="S673" s="1" t="s">
        <v>74</v>
      </c>
      <c r="T673" s="1" t="s">
        <v>74</v>
      </c>
      <c r="U673" s="1" t="s">
        <v>74</v>
      </c>
      <c r="V673" s="1" t="s">
        <v>6879</v>
      </c>
      <c r="W673" s="1" t="s">
        <v>74</v>
      </c>
      <c r="X673" s="1" t="s">
        <v>74</v>
      </c>
      <c r="Y673" s="1" t="s">
        <v>74</v>
      </c>
      <c r="Z673" s="1" t="s">
        <v>74</v>
      </c>
      <c r="AA673" s="1" t="s">
        <v>6880</v>
      </c>
      <c r="AB673" s="1" t="s">
        <v>6881</v>
      </c>
      <c r="AC673" s="1" t="s">
        <v>74</v>
      </c>
      <c r="AD673" s="1" t="s">
        <v>74</v>
      </c>
      <c r="AE673" s="1" t="s">
        <v>74</v>
      </c>
      <c r="AF673" s="1" t="s">
        <v>74</v>
      </c>
      <c r="AG673" s="1" t="s">
        <v>74</v>
      </c>
      <c r="AH673" s="1" t="s">
        <v>74</v>
      </c>
      <c r="AI673" s="1" t="s">
        <v>74</v>
      </c>
      <c r="AJ673" s="1" t="s">
        <v>74</v>
      </c>
      <c r="AK673" s="1" t="s">
        <v>74</v>
      </c>
      <c r="AL673" s="1" t="s">
        <v>74</v>
      </c>
      <c r="AM673" s="1" t="s">
        <v>74</v>
      </c>
      <c r="AN673" s="1" t="s">
        <v>74</v>
      </c>
      <c r="AO673" s="1" t="s">
        <v>3080</v>
      </c>
      <c r="AP673" s="1" t="s">
        <v>74</v>
      </c>
      <c r="AQ673" s="1" t="s">
        <v>74</v>
      </c>
      <c r="AR673" s="1" t="s">
        <v>74</v>
      </c>
      <c r="AS673" s="1" t="s">
        <v>74</v>
      </c>
      <c r="AT673" s="1" t="s">
        <v>864</v>
      </c>
      <c r="AU673" s="1">
        <v>2024.0</v>
      </c>
      <c r="AV673" s="1">
        <v>12.0</v>
      </c>
      <c r="AW673" s="1" t="s">
        <v>74</v>
      </c>
      <c r="AX673" s="1" t="s">
        <v>74</v>
      </c>
      <c r="AY673" s="1" t="s">
        <v>74</v>
      </c>
      <c r="AZ673" s="1" t="s">
        <v>74</v>
      </c>
      <c r="BA673" s="1" t="s">
        <v>74</v>
      </c>
      <c r="BB673" s="1" t="s">
        <v>74</v>
      </c>
      <c r="BC673" s="1" t="s">
        <v>74</v>
      </c>
      <c r="BD673" s="1">
        <v>1406214.0</v>
      </c>
      <c r="BE673" s="1" t="s">
        <v>6882</v>
      </c>
      <c r="BF673" s="2" t="str">
        <f>HYPERLINK("http://dx.doi.org/10.3389/fbioe.2024.1406214","http://dx.doi.org/10.3389/fbioe.2024.1406214")</f>
        <v>http://dx.doi.org/10.3389/fbioe.2024.1406214</v>
      </c>
      <c r="BG673" s="1" t="s">
        <v>74</v>
      </c>
      <c r="BH673" s="1" t="s">
        <v>74</v>
      </c>
      <c r="BI673" s="1" t="s">
        <v>74</v>
      </c>
      <c r="BJ673" s="1" t="s">
        <v>74</v>
      </c>
      <c r="BK673" s="1" t="s">
        <v>74</v>
      </c>
      <c r="BL673" s="1" t="s">
        <v>74</v>
      </c>
      <c r="BM673" s="1" t="s">
        <v>74</v>
      </c>
      <c r="BN673" s="1">
        <v>3.9021365E7</v>
      </c>
      <c r="BO673" s="1" t="s">
        <v>74</v>
      </c>
      <c r="BP673" s="1" t="s">
        <v>74</v>
      </c>
      <c r="BQ673" s="1" t="s">
        <v>74</v>
      </c>
      <c r="BR673" s="1" t="s">
        <v>74</v>
      </c>
      <c r="BS673" s="1" t="s">
        <v>6883</v>
      </c>
      <c r="BT673" s="1" t="str">
        <f>HYPERLINK("https%3A%2F%2Fwww.webofscience.com%2Fwos%2Fwoscc%2Ffull-record%2FWOS:001269082200001","View Full Record in Web of Science")</f>
        <v>View Full Record in Web of Science</v>
      </c>
    </row>
    <row r="674" ht="12.75" customHeight="1">
      <c r="A674" s="1" t="s">
        <v>72</v>
      </c>
      <c r="B674" s="1" t="s">
        <v>6884</v>
      </c>
      <c r="C674" s="1" t="s">
        <v>74</v>
      </c>
      <c r="D674" s="1" t="s">
        <v>74</v>
      </c>
      <c r="E674" s="1" t="s">
        <v>74</v>
      </c>
      <c r="F674" s="1" t="s">
        <v>6885</v>
      </c>
      <c r="G674" s="1" t="s">
        <v>74</v>
      </c>
      <c r="H674" s="1" t="s">
        <v>74</v>
      </c>
      <c r="I674" s="1" t="s">
        <v>6886</v>
      </c>
      <c r="J674" s="1" t="s">
        <v>6887</v>
      </c>
      <c r="K674" s="1" t="s">
        <v>74</v>
      </c>
      <c r="L674" s="1" t="s">
        <v>74</v>
      </c>
      <c r="M674" s="1" t="s">
        <v>74</v>
      </c>
      <c r="N674" s="1" t="s">
        <v>74</v>
      </c>
      <c r="O674" s="1" t="s">
        <v>74</v>
      </c>
      <c r="P674" s="1" t="s">
        <v>74</v>
      </c>
      <c r="Q674" s="1" t="s">
        <v>74</v>
      </c>
      <c r="R674" s="1" t="s">
        <v>74</v>
      </c>
      <c r="S674" s="1" t="s">
        <v>74</v>
      </c>
      <c r="T674" s="1" t="s">
        <v>74</v>
      </c>
      <c r="U674" s="1" t="s">
        <v>74</v>
      </c>
      <c r="V674" s="1" t="s">
        <v>6888</v>
      </c>
      <c r="W674" s="1" t="s">
        <v>74</v>
      </c>
      <c r="X674" s="1" t="s">
        <v>74</v>
      </c>
      <c r="Y674" s="1" t="s">
        <v>74</v>
      </c>
      <c r="Z674" s="1" t="s">
        <v>74</v>
      </c>
      <c r="AA674" s="1" t="s">
        <v>6889</v>
      </c>
      <c r="AB674" s="1" t="s">
        <v>6890</v>
      </c>
      <c r="AC674" s="1" t="s">
        <v>74</v>
      </c>
      <c r="AD674" s="1" t="s">
        <v>74</v>
      </c>
      <c r="AE674" s="1" t="s">
        <v>74</v>
      </c>
      <c r="AF674" s="1" t="s">
        <v>74</v>
      </c>
      <c r="AG674" s="1" t="s">
        <v>74</v>
      </c>
      <c r="AH674" s="1" t="s">
        <v>74</v>
      </c>
      <c r="AI674" s="1" t="s">
        <v>74</v>
      </c>
      <c r="AJ674" s="1" t="s">
        <v>74</v>
      </c>
      <c r="AK674" s="1" t="s">
        <v>74</v>
      </c>
      <c r="AL674" s="1" t="s">
        <v>74</v>
      </c>
      <c r="AM674" s="1" t="s">
        <v>74</v>
      </c>
      <c r="AN674" s="1" t="s">
        <v>74</v>
      </c>
      <c r="AO674" s="1" t="s">
        <v>6891</v>
      </c>
      <c r="AP674" s="1" t="s">
        <v>6892</v>
      </c>
      <c r="AQ674" s="1" t="s">
        <v>74</v>
      </c>
      <c r="AR674" s="1" t="s">
        <v>74</v>
      </c>
      <c r="AS674" s="1" t="s">
        <v>74</v>
      </c>
      <c r="AT674" s="1" t="s">
        <v>74</v>
      </c>
      <c r="AU674" s="1">
        <v>2024.0</v>
      </c>
      <c r="AV674" s="1">
        <v>46.0</v>
      </c>
      <c r="AW674" s="1">
        <v>4.0</v>
      </c>
      <c r="AX674" s="1" t="s">
        <v>74</v>
      </c>
      <c r="AY674" s="1" t="s">
        <v>74</v>
      </c>
      <c r="AZ674" s="1" t="s">
        <v>74</v>
      </c>
      <c r="BA674" s="1" t="s">
        <v>74</v>
      </c>
      <c r="BB674" s="1" t="s">
        <v>6893</v>
      </c>
      <c r="BC674" s="1" t="s">
        <v>6894</v>
      </c>
      <c r="BD674" s="1" t="s">
        <v>74</v>
      </c>
      <c r="BE674" s="1" t="s">
        <v>6895</v>
      </c>
      <c r="BF674" s="2" t="str">
        <f>HYPERLINK("http://dx.doi.org/10.1137/23M1606526","http://dx.doi.org/10.1137/23M1606526")</f>
        <v>http://dx.doi.org/10.1137/23M1606526</v>
      </c>
      <c r="BG674" s="1" t="s">
        <v>74</v>
      </c>
      <c r="BH674" s="1" t="s">
        <v>74</v>
      </c>
      <c r="BI674" s="1" t="s">
        <v>74</v>
      </c>
      <c r="BJ674" s="1" t="s">
        <v>74</v>
      </c>
      <c r="BK674" s="1" t="s">
        <v>74</v>
      </c>
      <c r="BL674" s="1" t="s">
        <v>74</v>
      </c>
      <c r="BM674" s="1" t="s">
        <v>74</v>
      </c>
      <c r="BN674" s="1" t="s">
        <v>74</v>
      </c>
      <c r="BO674" s="1" t="s">
        <v>74</v>
      </c>
      <c r="BP674" s="1" t="s">
        <v>74</v>
      </c>
      <c r="BQ674" s="1" t="s">
        <v>74</v>
      </c>
      <c r="BR674" s="1" t="s">
        <v>74</v>
      </c>
      <c r="BS674" s="1" t="s">
        <v>6896</v>
      </c>
      <c r="BT674" s="1" t="str">
        <f>HYPERLINK("https%3A%2F%2Fwww.webofscience.com%2Fwos%2Fwoscc%2Ffull-record%2FWOS:001311513200004","View Full Record in Web of Science")</f>
        <v>View Full Record in Web of Science</v>
      </c>
    </row>
    <row r="675" ht="12.75" customHeight="1">
      <c r="A675" s="1" t="s">
        <v>72</v>
      </c>
      <c r="B675" s="1" t="s">
        <v>6897</v>
      </c>
      <c r="C675" s="1" t="s">
        <v>74</v>
      </c>
      <c r="D675" s="1" t="s">
        <v>74</v>
      </c>
      <c r="E675" s="1" t="s">
        <v>74</v>
      </c>
      <c r="F675" s="1" t="s">
        <v>6898</v>
      </c>
      <c r="G675" s="1" t="s">
        <v>74</v>
      </c>
      <c r="H675" s="1" t="s">
        <v>74</v>
      </c>
      <c r="I675" s="1" t="s">
        <v>6899</v>
      </c>
      <c r="J675" s="1" t="s">
        <v>6900</v>
      </c>
      <c r="K675" s="1" t="s">
        <v>74</v>
      </c>
      <c r="L675" s="1" t="s">
        <v>74</v>
      </c>
      <c r="M675" s="1" t="s">
        <v>74</v>
      </c>
      <c r="N675" s="1" t="s">
        <v>74</v>
      </c>
      <c r="O675" s="1" t="s">
        <v>74</v>
      </c>
      <c r="P675" s="1" t="s">
        <v>74</v>
      </c>
      <c r="Q675" s="1" t="s">
        <v>74</v>
      </c>
      <c r="R675" s="1" t="s">
        <v>74</v>
      </c>
      <c r="S675" s="1" t="s">
        <v>74</v>
      </c>
      <c r="T675" s="1" t="s">
        <v>74</v>
      </c>
      <c r="U675" s="1" t="s">
        <v>74</v>
      </c>
      <c r="V675" s="1" t="s">
        <v>6901</v>
      </c>
      <c r="W675" s="1" t="s">
        <v>74</v>
      </c>
      <c r="X675" s="1" t="s">
        <v>74</v>
      </c>
      <c r="Y675" s="1" t="s">
        <v>74</v>
      </c>
      <c r="Z675" s="1" t="s">
        <v>74</v>
      </c>
      <c r="AA675" s="1" t="s">
        <v>74</v>
      </c>
      <c r="AB675" s="1" t="s">
        <v>74</v>
      </c>
      <c r="AC675" s="1" t="s">
        <v>74</v>
      </c>
      <c r="AD675" s="1" t="s">
        <v>74</v>
      </c>
      <c r="AE675" s="1" t="s">
        <v>74</v>
      </c>
      <c r="AF675" s="1" t="s">
        <v>74</v>
      </c>
      <c r="AG675" s="1" t="s">
        <v>74</v>
      </c>
      <c r="AH675" s="1" t="s">
        <v>74</v>
      </c>
      <c r="AI675" s="1" t="s">
        <v>74</v>
      </c>
      <c r="AJ675" s="1" t="s">
        <v>74</v>
      </c>
      <c r="AK675" s="1" t="s">
        <v>74</v>
      </c>
      <c r="AL675" s="1" t="s">
        <v>74</v>
      </c>
      <c r="AM675" s="1" t="s">
        <v>74</v>
      </c>
      <c r="AN675" s="1" t="s">
        <v>74</v>
      </c>
      <c r="AO675" s="1" t="s">
        <v>6902</v>
      </c>
      <c r="AP675" s="1" t="s">
        <v>6903</v>
      </c>
      <c r="AQ675" s="1" t="s">
        <v>74</v>
      </c>
      <c r="AR675" s="1" t="s">
        <v>74</v>
      </c>
      <c r="AS675" s="1" t="s">
        <v>74</v>
      </c>
      <c r="AT675" s="1" t="s">
        <v>6904</v>
      </c>
      <c r="AU675" s="1">
        <v>2023.0</v>
      </c>
      <c r="AV675" s="1">
        <v>29.0</v>
      </c>
      <c r="AW675" s="1" t="s">
        <v>74</v>
      </c>
      <c r="AX675" s="1" t="s">
        <v>74</v>
      </c>
      <c r="AY675" s="1" t="s">
        <v>74</v>
      </c>
      <c r="AZ675" s="1" t="s">
        <v>74</v>
      </c>
      <c r="BA675" s="1" t="s">
        <v>74</v>
      </c>
      <c r="BB675" s="1" t="s">
        <v>74</v>
      </c>
      <c r="BC675" s="1" t="s">
        <v>74</v>
      </c>
      <c r="BD675" s="1">
        <v>43.0</v>
      </c>
      <c r="BE675" s="1" t="s">
        <v>6905</v>
      </c>
      <c r="BF675" s="2" t="str">
        <f>HYPERLINK("http://dx.doi.org/10.1051/cocv/2023038","http://dx.doi.org/10.1051/cocv/2023038")</f>
        <v>http://dx.doi.org/10.1051/cocv/2023038</v>
      </c>
      <c r="BG675" s="1" t="s">
        <v>74</v>
      </c>
      <c r="BH675" s="1" t="s">
        <v>74</v>
      </c>
      <c r="BI675" s="1" t="s">
        <v>74</v>
      </c>
      <c r="BJ675" s="1" t="s">
        <v>74</v>
      </c>
      <c r="BK675" s="1" t="s">
        <v>74</v>
      </c>
      <c r="BL675" s="1" t="s">
        <v>74</v>
      </c>
      <c r="BM675" s="1" t="s">
        <v>74</v>
      </c>
      <c r="BN675" s="1" t="s">
        <v>74</v>
      </c>
      <c r="BO675" s="1" t="s">
        <v>74</v>
      </c>
      <c r="BP675" s="1" t="s">
        <v>74</v>
      </c>
      <c r="BQ675" s="1" t="s">
        <v>74</v>
      </c>
      <c r="BR675" s="1" t="s">
        <v>74</v>
      </c>
      <c r="BS675" s="1" t="s">
        <v>6906</v>
      </c>
      <c r="BT675" s="1" t="str">
        <f>HYPERLINK("https%3A%2F%2Fwww.webofscience.com%2Fwos%2Fwoscc%2Ffull-record%2FWOS:001005566300006","View Full Record in Web of Science")</f>
        <v>View Full Record in Web of Science</v>
      </c>
    </row>
    <row r="676" ht="12.75" customHeight="1">
      <c r="A676" s="1" t="s">
        <v>72</v>
      </c>
      <c r="B676" s="1" t="s">
        <v>6907</v>
      </c>
      <c r="C676" s="1" t="s">
        <v>74</v>
      </c>
      <c r="D676" s="1" t="s">
        <v>74</v>
      </c>
      <c r="E676" s="1" t="s">
        <v>74</v>
      </c>
      <c r="F676" s="1" t="s">
        <v>6908</v>
      </c>
      <c r="G676" s="1" t="s">
        <v>74</v>
      </c>
      <c r="H676" s="1" t="s">
        <v>74</v>
      </c>
      <c r="I676" s="1" t="s">
        <v>6909</v>
      </c>
      <c r="J676" s="1" t="s">
        <v>6910</v>
      </c>
      <c r="K676" s="1" t="s">
        <v>74</v>
      </c>
      <c r="L676" s="1" t="s">
        <v>74</v>
      </c>
      <c r="M676" s="1" t="s">
        <v>74</v>
      </c>
      <c r="N676" s="1" t="s">
        <v>74</v>
      </c>
      <c r="O676" s="1" t="s">
        <v>74</v>
      </c>
      <c r="P676" s="1" t="s">
        <v>74</v>
      </c>
      <c r="Q676" s="1" t="s">
        <v>74</v>
      </c>
      <c r="R676" s="1" t="s">
        <v>74</v>
      </c>
      <c r="S676" s="1" t="s">
        <v>74</v>
      </c>
      <c r="T676" s="1" t="s">
        <v>74</v>
      </c>
      <c r="U676" s="1" t="s">
        <v>74</v>
      </c>
      <c r="V676" s="1" t="s">
        <v>6911</v>
      </c>
      <c r="W676" s="1" t="s">
        <v>74</v>
      </c>
      <c r="X676" s="1" t="s">
        <v>74</v>
      </c>
      <c r="Y676" s="1" t="s">
        <v>74</v>
      </c>
      <c r="Z676" s="1" t="s">
        <v>74</v>
      </c>
      <c r="AA676" s="1" t="s">
        <v>6912</v>
      </c>
      <c r="AB676" s="1" t="s">
        <v>6913</v>
      </c>
      <c r="AC676" s="1" t="s">
        <v>74</v>
      </c>
      <c r="AD676" s="1" t="s">
        <v>74</v>
      </c>
      <c r="AE676" s="1" t="s">
        <v>74</v>
      </c>
      <c r="AF676" s="1" t="s">
        <v>74</v>
      </c>
      <c r="AG676" s="1" t="s">
        <v>74</v>
      </c>
      <c r="AH676" s="1" t="s">
        <v>74</v>
      </c>
      <c r="AI676" s="1" t="s">
        <v>74</v>
      </c>
      <c r="AJ676" s="1" t="s">
        <v>74</v>
      </c>
      <c r="AK676" s="1" t="s">
        <v>74</v>
      </c>
      <c r="AL676" s="1" t="s">
        <v>74</v>
      </c>
      <c r="AM676" s="1" t="s">
        <v>74</v>
      </c>
      <c r="AN676" s="1" t="s">
        <v>74</v>
      </c>
      <c r="AO676" s="1" t="s">
        <v>6914</v>
      </c>
      <c r="AP676" s="1" t="s">
        <v>6915</v>
      </c>
      <c r="AQ676" s="1" t="s">
        <v>74</v>
      </c>
      <c r="AR676" s="1" t="s">
        <v>74</v>
      </c>
      <c r="AS676" s="1" t="s">
        <v>74</v>
      </c>
      <c r="AT676" s="1" t="s">
        <v>537</v>
      </c>
      <c r="AU676" s="1">
        <v>2022.0</v>
      </c>
      <c r="AV676" s="1">
        <v>105.0</v>
      </c>
      <c r="AW676" s="1" t="s">
        <v>74</v>
      </c>
      <c r="AX676" s="1" t="s">
        <v>74</v>
      </c>
      <c r="AY676" s="1" t="s">
        <v>74</v>
      </c>
      <c r="AZ676" s="1" t="s">
        <v>74</v>
      </c>
      <c r="BA676" s="1" t="s">
        <v>74</v>
      </c>
      <c r="BB676" s="1" t="s">
        <v>74</v>
      </c>
      <c r="BC676" s="1" t="s">
        <v>74</v>
      </c>
      <c r="BD676" s="1">
        <v>102515.0</v>
      </c>
      <c r="BE676" s="1" t="s">
        <v>6916</v>
      </c>
      <c r="BF676" s="2" t="str">
        <f>HYPERLINK("http://dx.doi.org/10.1016/j.geothermics.2022.102515","http://dx.doi.org/10.1016/j.geothermics.2022.102515")</f>
        <v>http://dx.doi.org/10.1016/j.geothermics.2022.102515</v>
      </c>
      <c r="BG676" s="1" t="s">
        <v>74</v>
      </c>
      <c r="BH676" s="1" t="s">
        <v>3026</v>
      </c>
      <c r="BI676" s="1" t="s">
        <v>74</v>
      </c>
      <c r="BJ676" s="1" t="s">
        <v>74</v>
      </c>
      <c r="BK676" s="1" t="s">
        <v>74</v>
      </c>
      <c r="BL676" s="1" t="s">
        <v>74</v>
      </c>
      <c r="BM676" s="1" t="s">
        <v>74</v>
      </c>
      <c r="BN676" s="1" t="s">
        <v>74</v>
      </c>
      <c r="BO676" s="1" t="s">
        <v>74</v>
      </c>
      <c r="BP676" s="1" t="s">
        <v>74</v>
      </c>
      <c r="BQ676" s="1" t="s">
        <v>74</v>
      </c>
      <c r="BR676" s="1" t="s">
        <v>74</v>
      </c>
      <c r="BS676" s="1" t="s">
        <v>6917</v>
      </c>
      <c r="BT676" s="1" t="str">
        <f>HYPERLINK("https%3A%2F%2Fwww.webofscience.com%2Fwos%2Fwoscc%2Ffull-record%2FWOS:000831708900004","View Full Record in Web of Science")</f>
        <v>View Full Record in Web of Science</v>
      </c>
    </row>
    <row r="677" ht="12.75" customHeight="1">
      <c r="A677" s="1" t="s">
        <v>72</v>
      </c>
      <c r="B677" s="1" t="s">
        <v>6918</v>
      </c>
      <c r="C677" s="1" t="s">
        <v>74</v>
      </c>
      <c r="D677" s="1" t="s">
        <v>74</v>
      </c>
      <c r="E677" s="1" t="s">
        <v>74</v>
      </c>
      <c r="F677" s="1" t="s">
        <v>6919</v>
      </c>
      <c r="G677" s="1" t="s">
        <v>74</v>
      </c>
      <c r="H677" s="1" t="s">
        <v>74</v>
      </c>
      <c r="I677" s="1" t="s">
        <v>6920</v>
      </c>
      <c r="J677" s="1" t="s">
        <v>107</v>
      </c>
      <c r="K677" s="1" t="s">
        <v>74</v>
      </c>
      <c r="L677" s="1" t="s">
        <v>74</v>
      </c>
      <c r="M677" s="1" t="s">
        <v>74</v>
      </c>
      <c r="N677" s="1" t="s">
        <v>74</v>
      </c>
      <c r="O677" s="1" t="s">
        <v>74</v>
      </c>
      <c r="P677" s="1" t="s">
        <v>74</v>
      </c>
      <c r="Q677" s="1" t="s">
        <v>74</v>
      </c>
      <c r="R677" s="1" t="s">
        <v>74</v>
      </c>
      <c r="S677" s="1" t="s">
        <v>74</v>
      </c>
      <c r="T677" s="1" t="s">
        <v>74</v>
      </c>
      <c r="U677" s="1" t="s">
        <v>74</v>
      </c>
      <c r="V677" s="1" t="s">
        <v>6921</v>
      </c>
      <c r="W677" s="1" t="s">
        <v>74</v>
      </c>
      <c r="X677" s="1" t="s">
        <v>74</v>
      </c>
      <c r="Y677" s="1" t="s">
        <v>74</v>
      </c>
      <c r="Z677" s="1" t="s">
        <v>74</v>
      </c>
      <c r="AA677" s="1" t="s">
        <v>6922</v>
      </c>
      <c r="AB677" s="1" t="s">
        <v>6923</v>
      </c>
      <c r="AC677" s="1" t="s">
        <v>74</v>
      </c>
      <c r="AD677" s="1" t="s">
        <v>74</v>
      </c>
      <c r="AE677" s="1" t="s">
        <v>74</v>
      </c>
      <c r="AF677" s="1" t="s">
        <v>74</v>
      </c>
      <c r="AG677" s="1" t="s">
        <v>74</v>
      </c>
      <c r="AH677" s="1" t="s">
        <v>74</v>
      </c>
      <c r="AI677" s="1" t="s">
        <v>74</v>
      </c>
      <c r="AJ677" s="1" t="s">
        <v>74</v>
      </c>
      <c r="AK677" s="1" t="s">
        <v>74</v>
      </c>
      <c r="AL677" s="1" t="s">
        <v>74</v>
      </c>
      <c r="AM677" s="1" t="s">
        <v>74</v>
      </c>
      <c r="AN677" s="1" t="s">
        <v>74</v>
      </c>
      <c r="AO677" s="1" t="s">
        <v>110</v>
      </c>
      <c r="AP677" s="1" t="s">
        <v>563</v>
      </c>
      <c r="AQ677" s="1" t="s">
        <v>74</v>
      </c>
      <c r="AR677" s="1" t="s">
        <v>74</v>
      </c>
      <c r="AS677" s="1" t="s">
        <v>74</v>
      </c>
      <c r="AT677" s="1" t="s">
        <v>6323</v>
      </c>
      <c r="AU677" s="1">
        <v>2022.0</v>
      </c>
      <c r="AV677" s="1">
        <v>379.0</v>
      </c>
      <c r="AW677" s="1" t="s">
        <v>74</v>
      </c>
      <c r="AX677" s="1" t="s">
        <v>74</v>
      </c>
      <c r="AY677" s="1" t="s">
        <v>74</v>
      </c>
      <c r="AZ677" s="1" t="s">
        <v>74</v>
      </c>
      <c r="BA677" s="1" t="s">
        <v>74</v>
      </c>
      <c r="BB677" s="1" t="s">
        <v>74</v>
      </c>
      <c r="BC677" s="1" t="s">
        <v>74</v>
      </c>
      <c r="BD677" s="1">
        <v>132182.0</v>
      </c>
      <c r="BE677" s="1" t="s">
        <v>6924</v>
      </c>
      <c r="BF677" s="2" t="str">
        <f>HYPERLINK("http://dx.doi.org/10.1016/j.foodchem.2022.132182","http://dx.doi.org/10.1016/j.foodchem.2022.132182")</f>
        <v>http://dx.doi.org/10.1016/j.foodchem.2022.132182</v>
      </c>
      <c r="BG677" s="1" t="s">
        <v>74</v>
      </c>
      <c r="BH677" s="1" t="s">
        <v>297</v>
      </c>
      <c r="BI677" s="1" t="s">
        <v>74</v>
      </c>
      <c r="BJ677" s="1" t="s">
        <v>74</v>
      </c>
      <c r="BK677" s="1" t="s">
        <v>74</v>
      </c>
      <c r="BL677" s="1" t="s">
        <v>74</v>
      </c>
      <c r="BM677" s="1" t="s">
        <v>74</v>
      </c>
      <c r="BN677" s="1">
        <v>3.5065497E7</v>
      </c>
      <c r="BO677" s="1" t="s">
        <v>74</v>
      </c>
      <c r="BP677" s="1" t="s">
        <v>74</v>
      </c>
      <c r="BQ677" s="1" t="s">
        <v>74</v>
      </c>
      <c r="BR677" s="1" t="s">
        <v>74</v>
      </c>
      <c r="BS677" s="1" t="s">
        <v>6925</v>
      </c>
      <c r="BT677" s="1" t="str">
        <f>HYPERLINK("https%3A%2F%2Fwww.webofscience.com%2Fwos%2Fwoscc%2Ffull-record%2FWOS:000765984700001","View Full Record in Web of Science")</f>
        <v>View Full Record in Web of Science</v>
      </c>
    </row>
    <row r="678" ht="12.75" customHeight="1">
      <c r="A678" s="1" t="s">
        <v>72</v>
      </c>
      <c r="B678" s="1" t="s">
        <v>6926</v>
      </c>
      <c r="C678" s="1" t="s">
        <v>74</v>
      </c>
      <c r="D678" s="1" t="s">
        <v>74</v>
      </c>
      <c r="E678" s="1" t="s">
        <v>74</v>
      </c>
      <c r="F678" s="1" t="s">
        <v>6927</v>
      </c>
      <c r="G678" s="1" t="s">
        <v>74</v>
      </c>
      <c r="H678" s="1" t="s">
        <v>74</v>
      </c>
      <c r="I678" s="1" t="s">
        <v>6928</v>
      </c>
      <c r="J678" s="1" t="s">
        <v>6929</v>
      </c>
      <c r="K678" s="1" t="s">
        <v>74</v>
      </c>
      <c r="L678" s="1" t="s">
        <v>74</v>
      </c>
      <c r="M678" s="1" t="s">
        <v>74</v>
      </c>
      <c r="N678" s="1" t="s">
        <v>74</v>
      </c>
      <c r="O678" s="1" t="s">
        <v>74</v>
      </c>
      <c r="P678" s="1" t="s">
        <v>74</v>
      </c>
      <c r="Q678" s="1" t="s">
        <v>74</v>
      </c>
      <c r="R678" s="1" t="s">
        <v>74</v>
      </c>
      <c r="S678" s="1" t="s">
        <v>74</v>
      </c>
      <c r="T678" s="1" t="s">
        <v>74</v>
      </c>
      <c r="U678" s="1" t="s">
        <v>74</v>
      </c>
      <c r="V678" s="1" t="s">
        <v>6930</v>
      </c>
      <c r="W678" s="1" t="s">
        <v>74</v>
      </c>
      <c r="X678" s="1" t="s">
        <v>74</v>
      </c>
      <c r="Y678" s="1" t="s">
        <v>74</v>
      </c>
      <c r="Z678" s="1" t="s">
        <v>74</v>
      </c>
      <c r="AA678" s="1" t="s">
        <v>6931</v>
      </c>
      <c r="AB678" s="1" t="s">
        <v>6932</v>
      </c>
      <c r="AC678" s="1" t="s">
        <v>74</v>
      </c>
      <c r="AD678" s="1" t="s">
        <v>74</v>
      </c>
      <c r="AE678" s="1" t="s">
        <v>74</v>
      </c>
      <c r="AF678" s="1" t="s">
        <v>74</v>
      </c>
      <c r="AG678" s="1" t="s">
        <v>74</v>
      </c>
      <c r="AH678" s="1" t="s">
        <v>74</v>
      </c>
      <c r="AI678" s="1" t="s">
        <v>74</v>
      </c>
      <c r="AJ678" s="1" t="s">
        <v>74</v>
      </c>
      <c r="AK678" s="1" t="s">
        <v>74</v>
      </c>
      <c r="AL678" s="1" t="s">
        <v>74</v>
      </c>
      <c r="AM678" s="1" t="s">
        <v>74</v>
      </c>
      <c r="AN678" s="1" t="s">
        <v>74</v>
      </c>
      <c r="AO678" s="1" t="s">
        <v>74</v>
      </c>
      <c r="AP678" s="1" t="s">
        <v>6933</v>
      </c>
      <c r="AQ678" s="1" t="s">
        <v>74</v>
      </c>
      <c r="AR678" s="1" t="s">
        <v>74</v>
      </c>
      <c r="AS678" s="1" t="s">
        <v>74</v>
      </c>
      <c r="AT678" s="1" t="s">
        <v>6934</v>
      </c>
      <c r="AU678" s="1">
        <v>2021.0</v>
      </c>
      <c r="AV678" s="1">
        <v>20.0</v>
      </c>
      <c r="AW678" s="1">
        <v>1.0</v>
      </c>
      <c r="AX678" s="1" t="s">
        <v>74</v>
      </c>
      <c r="AY678" s="1" t="s">
        <v>74</v>
      </c>
      <c r="AZ678" s="1" t="s">
        <v>74</v>
      </c>
      <c r="BA678" s="1" t="s">
        <v>74</v>
      </c>
      <c r="BB678" s="1" t="s">
        <v>74</v>
      </c>
      <c r="BC678" s="1" t="s">
        <v>74</v>
      </c>
      <c r="BD678" s="1">
        <v>188.0</v>
      </c>
      <c r="BE678" s="1" t="s">
        <v>6935</v>
      </c>
      <c r="BF678" s="2" t="str">
        <f>HYPERLINK("http://dx.doi.org/10.1186/s12939-021-01533-z","http://dx.doi.org/10.1186/s12939-021-01533-z")</f>
        <v>http://dx.doi.org/10.1186/s12939-021-01533-z</v>
      </c>
      <c r="BG678" s="1" t="s">
        <v>74</v>
      </c>
      <c r="BH678" s="1" t="s">
        <v>74</v>
      </c>
      <c r="BI678" s="1" t="s">
        <v>74</v>
      </c>
      <c r="BJ678" s="1" t="s">
        <v>74</v>
      </c>
      <c r="BK678" s="1" t="s">
        <v>74</v>
      </c>
      <c r="BL678" s="1" t="s">
        <v>74</v>
      </c>
      <c r="BM678" s="1" t="s">
        <v>74</v>
      </c>
      <c r="BN678" s="1">
        <v>3.4425824E7</v>
      </c>
      <c r="BO678" s="1" t="s">
        <v>74</v>
      </c>
      <c r="BP678" s="1" t="s">
        <v>74</v>
      </c>
      <c r="BQ678" s="1" t="s">
        <v>74</v>
      </c>
      <c r="BR678" s="1" t="s">
        <v>74</v>
      </c>
      <c r="BS678" s="1" t="s">
        <v>6936</v>
      </c>
      <c r="BT678" s="1" t="str">
        <f>HYPERLINK("https%3A%2F%2Fwww.webofscience.com%2Fwos%2Fwoscc%2Ffull-record%2FWOS:000687685000001","View Full Record in Web of Science")</f>
        <v>View Full Record in Web of Science</v>
      </c>
    </row>
    <row r="679" ht="12.75" customHeight="1">
      <c r="A679" s="1" t="s">
        <v>72</v>
      </c>
      <c r="B679" s="1" t="s">
        <v>6937</v>
      </c>
      <c r="C679" s="1" t="s">
        <v>74</v>
      </c>
      <c r="D679" s="1" t="s">
        <v>74</v>
      </c>
      <c r="E679" s="1" t="s">
        <v>74</v>
      </c>
      <c r="F679" s="1" t="s">
        <v>6938</v>
      </c>
      <c r="G679" s="1" t="s">
        <v>74</v>
      </c>
      <c r="H679" s="1" t="s">
        <v>74</v>
      </c>
      <c r="I679" s="1" t="s">
        <v>6939</v>
      </c>
      <c r="J679" s="1" t="s">
        <v>6940</v>
      </c>
      <c r="K679" s="1" t="s">
        <v>74</v>
      </c>
      <c r="L679" s="1" t="s">
        <v>74</v>
      </c>
      <c r="M679" s="1" t="s">
        <v>74</v>
      </c>
      <c r="N679" s="1" t="s">
        <v>74</v>
      </c>
      <c r="O679" s="1" t="s">
        <v>74</v>
      </c>
      <c r="P679" s="1" t="s">
        <v>74</v>
      </c>
      <c r="Q679" s="1" t="s">
        <v>74</v>
      </c>
      <c r="R679" s="1" t="s">
        <v>74</v>
      </c>
      <c r="S679" s="1" t="s">
        <v>74</v>
      </c>
      <c r="T679" s="1" t="s">
        <v>74</v>
      </c>
      <c r="U679" s="1" t="s">
        <v>74</v>
      </c>
      <c r="V679" s="1" t="s">
        <v>6941</v>
      </c>
      <c r="W679" s="1" t="s">
        <v>74</v>
      </c>
      <c r="X679" s="1" t="s">
        <v>74</v>
      </c>
      <c r="Y679" s="1" t="s">
        <v>74</v>
      </c>
      <c r="Z679" s="1" t="s">
        <v>74</v>
      </c>
      <c r="AA679" s="1" t="s">
        <v>6942</v>
      </c>
      <c r="AB679" s="1" t="s">
        <v>6943</v>
      </c>
      <c r="AC679" s="1" t="s">
        <v>74</v>
      </c>
      <c r="AD679" s="1" t="s">
        <v>74</v>
      </c>
      <c r="AE679" s="1" t="s">
        <v>74</v>
      </c>
      <c r="AF679" s="1" t="s">
        <v>74</v>
      </c>
      <c r="AG679" s="1" t="s">
        <v>74</v>
      </c>
      <c r="AH679" s="1" t="s">
        <v>74</v>
      </c>
      <c r="AI679" s="1" t="s">
        <v>74</v>
      </c>
      <c r="AJ679" s="1" t="s">
        <v>74</v>
      </c>
      <c r="AK679" s="1" t="s">
        <v>74</v>
      </c>
      <c r="AL679" s="1" t="s">
        <v>74</v>
      </c>
      <c r="AM679" s="1" t="s">
        <v>74</v>
      </c>
      <c r="AN679" s="1" t="s">
        <v>74</v>
      </c>
      <c r="AO679" s="1" t="s">
        <v>6944</v>
      </c>
      <c r="AP679" s="1" t="s">
        <v>6945</v>
      </c>
      <c r="AQ679" s="1" t="s">
        <v>74</v>
      </c>
      <c r="AR679" s="1" t="s">
        <v>74</v>
      </c>
      <c r="AS679" s="1" t="s">
        <v>74</v>
      </c>
      <c r="AT679" s="1" t="s">
        <v>164</v>
      </c>
      <c r="AU679" s="1">
        <v>2021.0</v>
      </c>
      <c r="AV679" s="1">
        <v>44.0</v>
      </c>
      <c r="AW679" s="1">
        <v>4.0</v>
      </c>
      <c r="AX679" s="1" t="s">
        <v>74</v>
      </c>
      <c r="AY679" s="1" t="s">
        <v>74</v>
      </c>
      <c r="AZ679" s="1" t="s">
        <v>74</v>
      </c>
      <c r="BA679" s="1" t="s">
        <v>74</v>
      </c>
      <c r="BB679" s="1" t="s">
        <v>74</v>
      </c>
      <c r="BC679" s="1" t="s">
        <v>74</v>
      </c>
      <c r="BD679" s="1">
        <v>126230.0</v>
      </c>
      <c r="BE679" s="1" t="s">
        <v>6946</v>
      </c>
      <c r="BF679" s="2" t="str">
        <f>HYPERLINK("http://dx.doi.org/10.1016/j.syapm.2021.126230","http://dx.doi.org/10.1016/j.syapm.2021.126230")</f>
        <v>http://dx.doi.org/10.1016/j.syapm.2021.126230</v>
      </c>
      <c r="BG679" s="1" t="s">
        <v>74</v>
      </c>
      <c r="BH679" s="1" t="s">
        <v>3550</v>
      </c>
      <c r="BI679" s="1" t="s">
        <v>74</v>
      </c>
      <c r="BJ679" s="1" t="s">
        <v>74</v>
      </c>
      <c r="BK679" s="1" t="s">
        <v>74</v>
      </c>
      <c r="BL679" s="1" t="s">
        <v>74</v>
      </c>
      <c r="BM679" s="1" t="s">
        <v>74</v>
      </c>
      <c r="BN679" s="1">
        <v>3.4293647E7</v>
      </c>
      <c r="BO679" s="1" t="s">
        <v>74</v>
      </c>
      <c r="BP679" s="1" t="s">
        <v>74</v>
      </c>
      <c r="BQ679" s="1" t="s">
        <v>74</v>
      </c>
      <c r="BR679" s="1" t="s">
        <v>74</v>
      </c>
      <c r="BS679" s="1" t="s">
        <v>6947</v>
      </c>
      <c r="BT679" s="1" t="str">
        <f>HYPERLINK("https%3A%2F%2Fwww.webofscience.com%2Fwos%2Fwoscc%2Ffull-record%2FWOS:000680042300013","View Full Record in Web of Science")</f>
        <v>View Full Record in Web of Science</v>
      </c>
    </row>
    <row r="680" ht="12.75" customHeight="1">
      <c r="A680" s="1" t="s">
        <v>72</v>
      </c>
      <c r="B680" s="1" t="s">
        <v>6948</v>
      </c>
      <c r="C680" s="1" t="s">
        <v>74</v>
      </c>
      <c r="D680" s="1" t="s">
        <v>74</v>
      </c>
      <c r="E680" s="1" t="s">
        <v>74</v>
      </c>
      <c r="F680" s="1" t="s">
        <v>6949</v>
      </c>
      <c r="G680" s="1" t="s">
        <v>74</v>
      </c>
      <c r="H680" s="1" t="s">
        <v>74</v>
      </c>
      <c r="I680" s="1" t="s">
        <v>6950</v>
      </c>
      <c r="J680" s="1" t="s">
        <v>1034</v>
      </c>
      <c r="K680" s="1" t="s">
        <v>74</v>
      </c>
      <c r="L680" s="1" t="s">
        <v>74</v>
      </c>
      <c r="M680" s="1" t="s">
        <v>74</v>
      </c>
      <c r="N680" s="1" t="s">
        <v>74</v>
      </c>
      <c r="O680" s="1" t="s">
        <v>74</v>
      </c>
      <c r="P680" s="1" t="s">
        <v>74</v>
      </c>
      <c r="Q680" s="1" t="s">
        <v>74</v>
      </c>
      <c r="R680" s="1" t="s">
        <v>74</v>
      </c>
      <c r="S680" s="1" t="s">
        <v>74</v>
      </c>
      <c r="T680" s="1" t="s">
        <v>74</v>
      </c>
      <c r="U680" s="1" t="s">
        <v>74</v>
      </c>
      <c r="V680" s="1" t="s">
        <v>6951</v>
      </c>
      <c r="W680" s="1" t="s">
        <v>74</v>
      </c>
      <c r="X680" s="1" t="s">
        <v>74</v>
      </c>
      <c r="Y680" s="1" t="s">
        <v>74</v>
      </c>
      <c r="Z680" s="1" t="s">
        <v>74</v>
      </c>
      <c r="AA680" s="1" t="s">
        <v>6952</v>
      </c>
      <c r="AB680" s="1" t="s">
        <v>6953</v>
      </c>
      <c r="AC680" s="1" t="s">
        <v>74</v>
      </c>
      <c r="AD680" s="1" t="s">
        <v>74</v>
      </c>
      <c r="AE680" s="1" t="s">
        <v>74</v>
      </c>
      <c r="AF680" s="1" t="s">
        <v>74</v>
      </c>
      <c r="AG680" s="1" t="s">
        <v>74</v>
      </c>
      <c r="AH680" s="1" t="s">
        <v>74</v>
      </c>
      <c r="AI680" s="1" t="s">
        <v>74</v>
      </c>
      <c r="AJ680" s="1" t="s">
        <v>74</v>
      </c>
      <c r="AK680" s="1" t="s">
        <v>74</v>
      </c>
      <c r="AL680" s="1" t="s">
        <v>74</v>
      </c>
      <c r="AM680" s="1" t="s">
        <v>74</v>
      </c>
      <c r="AN680" s="1" t="s">
        <v>74</v>
      </c>
      <c r="AO680" s="1" t="s">
        <v>74</v>
      </c>
      <c r="AP680" s="1" t="s">
        <v>1038</v>
      </c>
      <c r="AQ680" s="1" t="s">
        <v>74</v>
      </c>
      <c r="AR680" s="1" t="s">
        <v>74</v>
      </c>
      <c r="AS680" s="1" t="s">
        <v>74</v>
      </c>
      <c r="AT680" s="1" t="s">
        <v>1018</v>
      </c>
      <c r="AU680" s="1">
        <v>2020.0</v>
      </c>
      <c r="AV680" s="1">
        <v>17.0</v>
      </c>
      <c r="AW680" s="1">
        <v>15.0</v>
      </c>
      <c r="AX680" s="1" t="s">
        <v>74</v>
      </c>
      <c r="AY680" s="1" t="s">
        <v>74</v>
      </c>
      <c r="AZ680" s="1" t="s">
        <v>74</v>
      </c>
      <c r="BA680" s="1" t="s">
        <v>74</v>
      </c>
      <c r="BB680" s="1" t="s">
        <v>74</v>
      </c>
      <c r="BC680" s="1" t="s">
        <v>74</v>
      </c>
      <c r="BD680" s="1">
        <v>5280.0</v>
      </c>
      <c r="BE680" s="1" t="s">
        <v>6954</v>
      </c>
      <c r="BF680" s="2" t="str">
        <f>HYPERLINK("http://dx.doi.org/10.3390/ijerph17155280","http://dx.doi.org/10.3390/ijerph17155280")</f>
        <v>http://dx.doi.org/10.3390/ijerph17155280</v>
      </c>
      <c r="BG680" s="1" t="s">
        <v>74</v>
      </c>
      <c r="BH680" s="1" t="s">
        <v>74</v>
      </c>
      <c r="BI680" s="1" t="s">
        <v>74</v>
      </c>
      <c r="BJ680" s="1" t="s">
        <v>74</v>
      </c>
      <c r="BK680" s="1" t="s">
        <v>74</v>
      </c>
      <c r="BL680" s="1" t="s">
        <v>74</v>
      </c>
      <c r="BM680" s="1" t="s">
        <v>74</v>
      </c>
      <c r="BN680" s="1">
        <v>3.2707973E7</v>
      </c>
      <c r="BO680" s="1" t="s">
        <v>74</v>
      </c>
      <c r="BP680" s="1" t="s">
        <v>74</v>
      </c>
      <c r="BQ680" s="1" t="s">
        <v>74</v>
      </c>
      <c r="BR680" s="1" t="s">
        <v>74</v>
      </c>
      <c r="BS680" s="1" t="s">
        <v>6955</v>
      </c>
      <c r="BT680" s="1" t="str">
        <f>HYPERLINK("https%3A%2F%2Fwww.webofscience.com%2Fwos%2Fwoscc%2Ffull-record%2FWOS:000559552300001","View Full Record in Web of Science")</f>
        <v>View Full Record in Web of Science</v>
      </c>
    </row>
    <row r="681" ht="12.75" customHeight="1">
      <c r="A681" s="1" t="s">
        <v>72</v>
      </c>
      <c r="B681" s="1" t="s">
        <v>6956</v>
      </c>
      <c r="C681" s="1" t="s">
        <v>74</v>
      </c>
      <c r="D681" s="1" t="s">
        <v>74</v>
      </c>
      <c r="E681" s="1" t="s">
        <v>74</v>
      </c>
      <c r="F681" s="1" t="s">
        <v>6957</v>
      </c>
      <c r="G681" s="1" t="s">
        <v>74</v>
      </c>
      <c r="H681" s="1" t="s">
        <v>74</v>
      </c>
      <c r="I681" s="1" t="s">
        <v>6958</v>
      </c>
      <c r="J681" s="1" t="s">
        <v>1377</v>
      </c>
      <c r="K681" s="1" t="s">
        <v>74</v>
      </c>
      <c r="L681" s="1" t="s">
        <v>74</v>
      </c>
      <c r="M681" s="1" t="s">
        <v>74</v>
      </c>
      <c r="N681" s="1" t="s">
        <v>74</v>
      </c>
      <c r="O681" s="1" t="s">
        <v>74</v>
      </c>
      <c r="P681" s="1" t="s">
        <v>74</v>
      </c>
      <c r="Q681" s="1" t="s">
        <v>74</v>
      </c>
      <c r="R681" s="1" t="s">
        <v>74</v>
      </c>
      <c r="S681" s="1" t="s">
        <v>74</v>
      </c>
      <c r="T681" s="1" t="s">
        <v>74</v>
      </c>
      <c r="U681" s="1" t="s">
        <v>74</v>
      </c>
      <c r="V681" s="1" t="s">
        <v>6959</v>
      </c>
      <c r="W681" s="1" t="s">
        <v>74</v>
      </c>
      <c r="X681" s="1" t="s">
        <v>74</v>
      </c>
      <c r="Y681" s="1" t="s">
        <v>74</v>
      </c>
      <c r="Z681" s="1" t="s">
        <v>74</v>
      </c>
      <c r="AA681" s="1" t="s">
        <v>6960</v>
      </c>
      <c r="AB681" s="1" t="s">
        <v>6961</v>
      </c>
      <c r="AC681" s="1" t="s">
        <v>74</v>
      </c>
      <c r="AD681" s="1" t="s">
        <v>74</v>
      </c>
      <c r="AE681" s="1" t="s">
        <v>74</v>
      </c>
      <c r="AF681" s="1" t="s">
        <v>74</v>
      </c>
      <c r="AG681" s="1" t="s">
        <v>74</v>
      </c>
      <c r="AH681" s="1" t="s">
        <v>74</v>
      </c>
      <c r="AI681" s="1" t="s">
        <v>74</v>
      </c>
      <c r="AJ681" s="1" t="s">
        <v>74</v>
      </c>
      <c r="AK681" s="1" t="s">
        <v>74</v>
      </c>
      <c r="AL681" s="1" t="s">
        <v>74</v>
      </c>
      <c r="AM681" s="1" t="s">
        <v>74</v>
      </c>
      <c r="AN681" s="1" t="s">
        <v>74</v>
      </c>
      <c r="AO681" s="1" t="s">
        <v>74</v>
      </c>
      <c r="AP681" s="1" t="s">
        <v>1381</v>
      </c>
      <c r="AQ681" s="1" t="s">
        <v>74</v>
      </c>
      <c r="AR681" s="1" t="s">
        <v>74</v>
      </c>
      <c r="AS681" s="1" t="s">
        <v>74</v>
      </c>
      <c r="AT681" s="1" t="s">
        <v>1018</v>
      </c>
      <c r="AU681" s="1">
        <v>2020.0</v>
      </c>
      <c r="AV681" s="1">
        <v>8.0</v>
      </c>
      <c r="AW681" s="1">
        <v>8.0</v>
      </c>
      <c r="AX681" s="1" t="s">
        <v>74</v>
      </c>
      <c r="AY681" s="1" t="s">
        <v>74</v>
      </c>
      <c r="AZ681" s="1" t="s">
        <v>74</v>
      </c>
      <c r="BA681" s="1" t="s">
        <v>74</v>
      </c>
      <c r="BB681" s="1" t="s">
        <v>74</v>
      </c>
      <c r="BC681" s="1" t="s">
        <v>74</v>
      </c>
      <c r="BD681" s="1">
        <v>1194.0</v>
      </c>
      <c r="BE681" s="1" t="s">
        <v>6962</v>
      </c>
      <c r="BF681" s="2" t="str">
        <f>HYPERLINK("http://dx.doi.org/10.3390/microorganisms8081194","http://dx.doi.org/10.3390/microorganisms8081194")</f>
        <v>http://dx.doi.org/10.3390/microorganisms8081194</v>
      </c>
      <c r="BG681" s="1" t="s">
        <v>74</v>
      </c>
      <c r="BH681" s="1" t="s">
        <v>74</v>
      </c>
      <c r="BI681" s="1" t="s">
        <v>74</v>
      </c>
      <c r="BJ681" s="1" t="s">
        <v>74</v>
      </c>
      <c r="BK681" s="1" t="s">
        <v>74</v>
      </c>
      <c r="BL681" s="1" t="s">
        <v>74</v>
      </c>
      <c r="BM681" s="1" t="s">
        <v>74</v>
      </c>
      <c r="BN681" s="1">
        <v>3.2781606E7</v>
      </c>
      <c r="BO681" s="1" t="s">
        <v>74</v>
      </c>
      <c r="BP681" s="1" t="s">
        <v>74</v>
      </c>
      <c r="BQ681" s="1" t="s">
        <v>74</v>
      </c>
      <c r="BR681" s="1" t="s">
        <v>74</v>
      </c>
      <c r="BS681" s="1" t="s">
        <v>6963</v>
      </c>
      <c r="BT681" s="1" t="str">
        <f>HYPERLINK("https%3A%2F%2Fwww.webofscience.com%2Fwos%2Fwoscc%2Ffull-record%2FWOS:000564762200001","View Full Record in Web of Science")</f>
        <v>View Full Record in Web of Science</v>
      </c>
    </row>
    <row r="682" ht="12.75" customHeight="1">
      <c r="A682" s="1" t="s">
        <v>72</v>
      </c>
      <c r="B682" s="1" t="s">
        <v>6964</v>
      </c>
      <c r="C682" s="1" t="s">
        <v>74</v>
      </c>
      <c r="D682" s="1" t="s">
        <v>74</v>
      </c>
      <c r="E682" s="1" t="s">
        <v>74</v>
      </c>
      <c r="F682" s="1" t="s">
        <v>6965</v>
      </c>
      <c r="G682" s="1" t="s">
        <v>74</v>
      </c>
      <c r="H682" s="1" t="s">
        <v>74</v>
      </c>
      <c r="I682" s="1" t="s">
        <v>6966</v>
      </c>
      <c r="J682" s="1" t="s">
        <v>1775</v>
      </c>
      <c r="K682" s="1" t="s">
        <v>74</v>
      </c>
      <c r="L682" s="1" t="s">
        <v>74</v>
      </c>
      <c r="M682" s="1" t="s">
        <v>74</v>
      </c>
      <c r="N682" s="1" t="s">
        <v>74</v>
      </c>
      <c r="O682" s="1" t="s">
        <v>74</v>
      </c>
      <c r="P682" s="1" t="s">
        <v>74</v>
      </c>
      <c r="Q682" s="1" t="s">
        <v>74</v>
      </c>
      <c r="R682" s="1" t="s">
        <v>74</v>
      </c>
      <c r="S682" s="1" t="s">
        <v>74</v>
      </c>
      <c r="T682" s="1" t="s">
        <v>74</v>
      </c>
      <c r="U682" s="1" t="s">
        <v>74</v>
      </c>
      <c r="V682" s="1" t="s">
        <v>6967</v>
      </c>
      <c r="W682" s="1" t="s">
        <v>74</v>
      </c>
      <c r="X682" s="1" t="s">
        <v>74</v>
      </c>
      <c r="Y682" s="1" t="s">
        <v>74</v>
      </c>
      <c r="Z682" s="1" t="s">
        <v>74</v>
      </c>
      <c r="AA682" s="1" t="s">
        <v>1180</v>
      </c>
      <c r="AB682" s="1" t="s">
        <v>6968</v>
      </c>
      <c r="AC682" s="1" t="s">
        <v>74</v>
      </c>
      <c r="AD682" s="1" t="s">
        <v>74</v>
      </c>
      <c r="AE682" s="1" t="s">
        <v>74</v>
      </c>
      <c r="AF682" s="1" t="s">
        <v>74</v>
      </c>
      <c r="AG682" s="1" t="s">
        <v>74</v>
      </c>
      <c r="AH682" s="1" t="s">
        <v>74</v>
      </c>
      <c r="AI682" s="1" t="s">
        <v>74</v>
      </c>
      <c r="AJ682" s="1" t="s">
        <v>74</v>
      </c>
      <c r="AK682" s="1" t="s">
        <v>74</v>
      </c>
      <c r="AL682" s="1" t="s">
        <v>74</v>
      </c>
      <c r="AM682" s="1" t="s">
        <v>74</v>
      </c>
      <c r="AN682" s="1" t="s">
        <v>74</v>
      </c>
      <c r="AO682" s="1" t="s">
        <v>1779</v>
      </c>
      <c r="AP682" s="1" t="s">
        <v>74</v>
      </c>
      <c r="AQ682" s="1" t="s">
        <v>74</v>
      </c>
      <c r="AR682" s="1" t="s">
        <v>74</v>
      </c>
      <c r="AS682" s="1" t="s">
        <v>74</v>
      </c>
      <c r="AT682" s="1" t="s">
        <v>6969</v>
      </c>
      <c r="AU682" s="1">
        <v>2019.0</v>
      </c>
      <c r="AV682" s="1">
        <v>10.0</v>
      </c>
      <c r="AW682" s="1" t="s">
        <v>74</v>
      </c>
      <c r="AX682" s="1" t="s">
        <v>74</v>
      </c>
      <c r="AY682" s="1" t="s">
        <v>74</v>
      </c>
      <c r="AZ682" s="1" t="s">
        <v>74</v>
      </c>
      <c r="BA682" s="1" t="s">
        <v>74</v>
      </c>
      <c r="BB682" s="1" t="s">
        <v>74</v>
      </c>
      <c r="BC682" s="1" t="s">
        <v>74</v>
      </c>
      <c r="BD682" s="1">
        <v>2675.0</v>
      </c>
      <c r="BE682" s="1" t="s">
        <v>6970</v>
      </c>
      <c r="BF682" s="2" t="str">
        <f>HYPERLINK("http://dx.doi.org/10.3389/fmicb.2019.02675","http://dx.doi.org/10.3389/fmicb.2019.02675")</f>
        <v>http://dx.doi.org/10.3389/fmicb.2019.02675</v>
      </c>
      <c r="BG682" s="1" t="s">
        <v>74</v>
      </c>
      <c r="BH682" s="1" t="s">
        <v>74</v>
      </c>
      <c r="BI682" s="1" t="s">
        <v>74</v>
      </c>
      <c r="BJ682" s="1" t="s">
        <v>74</v>
      </c>
      <c r="BK682" s="1" t="s">
        <v>74</v>
      </c>
      <c r="BL682" s="1" t="s">
        <v>74</v>
      </c>
      <c r="BM682" s="1" t="s">
        <v>74</v>
      </c>
      <c r="BN682" s="1">
        <v>3.182446E7</v>
      </c>
      <c r="BO682" s="1" t="s">
        <v>74</v>
      </c>
      <c r="BP682" s="1" t="s">
        <v>74</v>
      </c>
      <c r="BQ682" s="1" t="s">
        <v>74</v>
      </c>
      <c r="BR682" s="1" t="s">
        <v>74</v>
      </c>
      <c r="BS682" s="1" t="s">
        <v>6971</v>
      </c>
      <c r="BT682" s="1" t="str">
        <f>HYPERLINK("https%3A%2F%2Fwww.webofscience.com%2Fwos%2Fwoscc%2Ffull-record%2FWOS:000501287800001","View Full Record in Web of Science")</f>
        <v>View Full Record in Web of Science</v>
      </c>
    </row>
    <row r="683" ht="12.75" customHeight="1">
      <c r="A683" s="1" t="s">
        <v>72</v>
      </c>
      <c r="B683" s="1" t="s">
        <v>6972</v>
      </c>
      <c r="C683" s="1" t="s">
        <v>74</v>
      </c>
      <c r="D683" s="1" t="s">
        <v>74</v>
      </c>
      <c r="E683" s="1" t="s">
        <v>74</v>
      </c>
      <c r="F683" s="1" t="s">
        <v>6973</v>
      </c>
      <c r="G683" s="1" t="s">
        <v>74</v>
      </c>
      <c r="H683" s="1" t="s">
        <v>74</v>
      </c>
      <c r="I683" s="1" t="s">
        <v>6974</v>
      </c>
      <c r="J683" s="1" t="s">
        <v>6975</v>
      </c>
      <c r="K683" s="1" t="s">
        <v>74</v>
      </c>
      <c r="L683" s="1" t="s">
        <v>74</v>
      </c>
      <c r="M683" s="1" t="s">
        <v>74</v>
      </c>
      <c r="N683" s="1" t="s">
        <v>74</v>
      </c>
      <c r="O683" s="1" t="s">
        <v>74</v>
      </c>
      <c r="P683" s="1" t="s">
        <v>74</v>
      </c>
      <c r="Q683" s="1" t="s">
        <v>74</v>
      </c>
      <c r="R683" s="1" t="s">
        <v>74</v>
      </c>
      <c r="S683" s="1" t="s">
        <v>74</v>
      </c>
      <c r="T683" s="1" t="s">
        <v>74</v>
      </c>
      <c r="U683" s="1" t="s">
        <v>74</v>
      </c>
      <c r="V683" s="1" t="s">
        <v>6976</v>
      </c>
      <c r="W683" s="1" t="s">
        <v>74</v>
      </c>
      <c r="X683" s="1" t="s">
        <v>74</v>
      </c>
      <c r="Y683" s="1" t="s">
        <v>74</v>
      </c>
      <c r="Z683" s="1" t="s">
        <v>74</v>
      </c>
      <c r="AA683" s="1" t="s">
        <v>6977</v>
      </c>
      <c r="AB683" s="1" t="s">
        <v>5353</v>
      </c>
      <c r="AC683" s="1" t="s">
        <v>74</v>
      </c>
      <c r="AD683" s="1" t="s">
        <v>74</v>
      </c>
      <c r="AE683" s="1" t="s">
        <v>74</v>
      </c>
      <c r="AF683" s="1" t="s">
        <v>74</v>
      </c>
      <c r="AG683" s="1" t="s">
        <v>74</v>
      </c>
      <c r="AH683" s="1" t="s">
        <v>74</v>
      </c>
      <c r="AI683" s="1" t="s">
        <v>74</v>
      </c>
      <c r="AJ683" s="1" t="s">
        <v>74</v>
      </c>
      <c r="AK683" s="1" t="s">
        <v>74</v>
      </c>
      <c r="AL683" s="1" t="s">
        <v>74</v>
      </c>
      <c r="AM683" s="1" t="s">
        <v>74</v>
      </c>
      <c r="AN683" s="1" t="s">
        <v>74</v>
      </c>
      <c r="AO683" s="1" t="s">
        <v>6978</v>
      </c>
      <c r="AP683" s="1" t="s">
        <v>6979</v>
      </c>
      <c r="AQ683" s="1" t="s">
        <v>74</v>
      </c>
      <c r="AR683" s="1" t="s">
        <v>74</v>
      </c>
      <c r="AS683" s="1" t="s">
        <v>74</v>
      </c>
      <c r="AT683" s="1" t="s">
        <v>235</v>
      </c>
      <c r="AU683" s="1">
        <v>2020.0</v>
      </c>
      <c r="AV683" s="1">
        <v>58.0</v>
      </c>
      <c r="AW683" s="1">
        <v>2.0</v>
      </c>
      <c r="AX683" s="1" t="s">
        <v>74</v>
      </c>
      <c r="AY683" s="1" t="s">
        <v>74</v>
      </c>
      <c r="AZ683" s="1" t="s">
        <v>74</v>
      </c>
      <c r="BA683" s="1" t="s">
        <v>74</v>
      </c>
      <c r="BB683" s="1">
        <v>275.0</v>
      </c>
      <c r="BC683" s="1">
        <v>296.0</v>
      </c>
      <c r="BD683" s="1">
        <v>7.35633119865554E14</v>
      </c>
      <c r="BE683" s="1" t="s">
        <v>6980</v>
      </c>
      <c r="BF683" s="2" t="str">
        <f>HYPERLINK("http://dx.doi.org/10.1177/0735633119865554","http://dx.doi.org/10.1177/0735633119865554")</f>
        <v>http://dx.doi.org/10.1177/0735633119865554</v>
      </c>
      <c r="BG683" s="1" t="s">
        <v>74</v>
      </c>
      <c r="BH683" s="1" t="s">
        <v>6272</v>
      </c>
      <c r="BI683" s="1" t="s">
        <v>74</v>
      </c>
      <c r="BJ683" s="1" t="s">
        <v>74</v>
      </c>
      <c r="BK683" s="1" t="s">
        <v>74</v>
      </c>
      <c r="BL683" s="1" t="s">
        <v>74</v>
      </c>
      <c r="BM683" s="1" t="s">
        <v>74</v>
      </c>
      <c r="BN683" s="1" t="s">
        <v>74</v>
      </c>
      <c r="BO683" s="1" t="s">
        <v>74</v>
      </c>
      <c r="BP683" s="1" t="s">
        <v>74</v>
      </c>
      <c r="BQ683" s="1" t="s">
        <v>74</v>
      </c>
      <c r="BR683" s="1" t="s">
        <v>74</v>
      </c>
      <c r="BS683" s="1" t="s">
        <v>6981</v>
      </c>
      <c r="BT683" s="1" t="str">
        <f>HYPERLINK("https%3A%2F%2Fwww.webofscience.com%2Fwos%2Fwoscc%2Ffull-record%2FWOS:000480319400001","View Full Record in Web of Science")</f>
        <v>View Full Record in Web of Science</v>
      </c>
    </row>
    <row r="684" ht="12.75" customHeight="1">
      <c r="A684" s="1" t="s">
        <v>72</v>
      </c>
      <c r="B684" s="1" t="s">
        <v>6982</v>
      </c>
      <c r="C684" s="1" t="s">
        <v>74</v>
      </c>
      <c r="D684" s="1" t="s">
        <v>74</v>
      </c>
      <c r="E684" s="1" t="s">
        <v>74</v>
      </c>
      <c r="F684" s="1" t="s">
        <v>6983</v>
      </c>
      <c r="G684" s="1" t="s">
        <v>74</v>
      </c>
      <c r="H684" s="1" t="s">
        <v>74</v>
      </c>
      <c r="I684" s="1" t="s">
        <v>6984</v>
      </c>
      <c r="J684" s="1" t="s">
        <v>5831</v>
      </c>
      <c r="K684" s="1" t="s">
        <v>74</v>
      </c>
      <c r="L684" s="1" t="s">
        <v>74</v>
      </c>
      <c r="M684" s="1" t="s">
        <v>74</v>
      </c>
      <c r="N684" s="1" t="s">
        <v>74</v>
      </c>
      <c r="O684" s="1" t="s">
        <v>74</v>
      </c>
      <c r="P684" s="1" t="s">
        <v>74</v>
      </c>
      <c r="Q684" s="1" t="s">
        <v>74</v>
      </c>
      <c r="R684" s="1" t="s">
        <v>74</v>
      </c>
      <c r="S684" s="1" t="s">
        <v>74</v>
      </c>
      <c r="T684" s="1" t="s">
        <v>74</v>
      </c>
      <c r="U684" s="1" t="s">
        <v>74</v>
      </c>
      <c r="V684" s="1" t="s">
        <v>6985</v>
      </c>
      <c r="W684" s="1" t="s">
        <v>74</v>
      </c>
      <c r="X684" s="1" t="s">
        <v>74</v>
      </c>
      <c r="Y684" s="1" t="s">
        <v>74</v>
      </c>
      <c r="Z684" s="1" t="s">
        <v>74</v>
      </c>
      <c r="AA684" s="1" t="s">
        <v>6986</v>
      </c>
      <c r="AB684" s="1" t="s">
        <v>6987</v>
      </c>
      <c r="AC684" s="1" t="s">
        <v>74</v>
      </c>
      <c r="AD684" s="1" t="s">
        <v>74</v>
      </c>
      <c r="AE684" s="1" t="s">
        <v>74</v>
      </c>
      <c r="AF684" s="1" t="s">
        <v>74</v>
      </c>
      <c r="AG684" s="1" t="s">
        <v>74</v>
      </c>
      <c r="AH684" s="1" t="s">
        <v>74</v>
      </c>
      <c r="AI684" s="1" t="s">
        <v>74</v>
      </c>
      <c r="AJ684" s="1" t="s">
        <v>74</v>
      </c>
      <c r="AK684" s="1" t="s">
        <v>74</v>
      </c>
      <c r="AL684" s="1" t="s">
        <v>74</v>
      </c>
      <c r="AM684" s="1" t="s">
        <v>74</v>
      </c>
      <c r="AN684" s="1" t="s">
        <v>74</v>
      </c>
      <c r="AO684" s="1" t="s">
        <v>74</v>
      </c>
      <c r="AP684" s="1" t="s">
        <v>5835</v>
      </c>
      <c r="AQ684" s="1" t="s">
        <v>74</v>
      </c>
      <c r="AR684" s="1" t="s">
        <v>74</v>
      </c>
      <c r="AS684" s="1" t="s">
        <v>74</v>
      </c>
      <c r="AT684" s="1" t="s">
        <v>2222</v>
      </c>
      <c r="AU684" s="1">
        <v>2019.0</v>
      </c>
      <c r="AV684" s="1">
        <v>12.0</v>
      </c>
      <c r="AW684" s="1">
        <v>5.0</v>
      </c>
      <c r="AX684" s="1" t="s">
        <v>74</v>
      </c>
      <c r="AY684" s="1" t="s">
        <v>74</v>
      </c>
      <c r="AZ684" s="1" t="s">
        <v>74</v>
      </c>
      <c r="BA684" s="1" t="s">
        <v>74</v>
      </c>
      <c r="BB684" s="1" t="s">
        <v>74</v>
      </c>
      <c r="BC684" s="1" t="s">
        <v>74</v>
      </c>
      <c r="BD684" s="1">
        <v>804.0</v>
      </c>
      <c r="BE684" s="1" t="s">
        <v>6988</v>
      </c>
      <c r="BF684" s="2" t="str">
        <f>HYPERLINK("http://dx.doi.org/10.3390/ma12050804","http://dx.doi.org/10.3390/ma12050804")</f>
        <v>http://dx.doi.org/10.3390/ma12050804</v>
      </c>
      <c r="BG684" s="1" t="s">
        <v>74</v>
      </c>
      <c r="BH684" s="1" t="s">
        <v>74</v>
      </c>
      <c r="BI684" s="1" t="s">
        <v>74</v>
      </c>
      <c r="BJ684" s="1" t="s">
        <v>74</v>
      </c>
      <c r="BK684" s="1" t="s">
        <v>74</v>
      </c>
      <c r="BL684" s="1" t="s">
        <v>74</v>
      </c>
      <c r="BM684" s="1" t="s">
        <v>74</v>
      </c>
      <c r="BN684" s="1">
        <v>3.0857179E7</v>
      </c>
      <c r="BO684" s="1" t="s">
        <v>74</v>
      </c>
      <c r="BP684" s="1" t="s">
        <v>74</v>
      </c>
      <c r="BQ684" s="1" t="s">
        <v>74</v>
      </c>
      <c r="BR684" s="1" t="s">
        <v>74</v>
      </c>
      <c r="BS684" s="1" t="s">
        <v>6989</v>
      </c>
      <c r="BT684" s="1" t="str">
        <f>HYPERLINK("https%3A%2F%2Fwww.webofscience.com%2Fwos%2Fwoscc%2Ffull-record%2FWOS:000462543700120","View Full Record in Web of Science")</f>
        <v>View Full Record in Web of Science</v>
      </c>
    </row>
    <row r="685" ht="12.75" customHeight="1">
      <c r="A685" s="1" t="s">
        <v>72</v>
      </c>
      <c r="B685" s="1" t="s">
        <v>6990</v>
      </c>
      <c r="C685" s="1" t="s">
        <v>74</v>
      </c>
      <c r="D685" s="1" t="s">
        <v>74</v>
      </c>
      <c r="E685" s="1" t="s">
        <v>74</v>
      </c>
      <c r="F685" s="1" t="s">
        <v>6991</v>
      </c>
      <c r="G685" s="1" t="s">
        <v>74</v>
      </c>
      <c r="H685" s="1" t="s">
        <v>74</v>
      </c>
      <c r="I685" s="1" t="s">
        <v>6992</v>
      </c>
      <c r="J685" s="1" t="s">
        <v>5513</v>
      </c>
      <c r="K685" s="1" t="s">
        <v>74</v>
      </c>
      <c r="L685" s="1" t="s">
        <v>74</v>
      </c>
      <c r="M685" s="1" t="s">
        <v>74</v>
      </c>
      <c r="N685" s="1" t="s">
        <v>74</v>
      </c>
      <c r="O685" s="1" t="s">
        <v>74</v>
      </c>
      <c r="P685" s="1" t="s">
        <v>74</v>
      </c>
      <c r="Q685" s="1" t="s">
        <v>74</v>
      </c>
      <c r="R685" s="1" t="s">
        <v>74</v>
      </c>
      <c r="S685" s="1" t="s">
        <v>74</v>
      </c>
      <c r="T685" s="1" t="s">
        <v>74</v>
      </c>
      <c r="U685" s="1" t="s">
        <v>74</v>
      </c>
      <c r="V685" s="1" t="s">
        <v>6993</v>
      </c>
      <c r="W685" s="1" t="s">
        <v>74</v>
      </c>
      <c r="X685" s="1" t="s">
        <v>74</v>
      </c>
      <c r="Y685" s="1" t="s">
        <v>74</v>
      </c>
      <c r="Z685" s="1" t="s">
        <v>74</v>
      </c>
      <c r="AA685" s="1" t="s">
        <v>6994</v>
      </c>
      <c r="AB685" s="1" t="s">
        <v>6995</v>
      </c>
      <c r="AC685" s="1" t="s">
        <v>74</v>
      </c>
      <c r="AD685" s="1" t="s">
        <v>74</v>
      </c>
      <c r="AE685" s="1" t="s">
        <v>74</v>
      </c>
      <c r="AF685" s="1" t="s">
        <v>74</v>
      </c>
      <c r="AG685" s="1" t="s">
        <v>74</v>
      </c>
      <c r="AH685" s="1" t="s">
        <v>74</v>
      </c>
      <c r="AI685" s="1" t="s">
        <v>74</v>
      </c>
      <c r="AJ685" s="1" t="s">
        <v>74</v>
      </c>
      <c r="AK685" s="1" t="s">
        <v>74</v>
      </c>
      <c r="AL685" s="1" t="s">
        <v>74</v>
      </c>
      <c r="AM685" s="1" t="s">
        <v>74</v>
      </c>
      <c r="AN685" s="1" t="s">
        <v>74</v>
      </c>
      <c r="AO685" s="1" t="s">
        <v>5517</v>
      </c>
      <c r="AP685" s="1" t="s">
        <v>74</v>
      </c>
      <c r="AQ685" s="1" t="s">
        <v>74</v>
      </c>
      <c r="AR685" s="1" t="s">
        <v>74</v>
      </c>
      <c r="AS685" s="1" t="s">
        <v>74</v>
      </c>
      <c r="AT685" s="1" t="s">
        <v>3761</v>
      </c>
      <c r="AU685" s="1">
        <v>2018.0</v>
      </c>
      <c r="AV685" s="1" t="s">
        <v>74</v>
      </c>
      <c r="AW685" s="1">
        <v>1.0</v>
      </c>
      <c r="AX685" s="1" t="s">
        <v>74</v>
      </c>
      <c r="AY685" s="1" t="s">
        <v>74</v>
      </c>
      <c r="AZ685" s="1" t="s">
        <v>74</v>
      </c>
      <c r="BA685" s="1" t="s">
        <v>74</v>
      </c>
      <c r="BB685" s="1" t="s">
        <v>74</v>
      </c>
      <c r="BC685" s="1" t="s">
        <v>74</v>
      </c>
      <c r="BD685" s="1">
        <v>148.0</v>
      </c>
      <c r="BE685" s="1" t="s">
        <v>6996</v>
      </c>
      <c r="BF685" s="2" t="str">
        <f>HYPERLINK("http://dx.doi.org/10.1007/JHEP01(2018)148","http://dx.doi.org/10.1007/JHEP01(2018)148")</f>
        <v>http://dx.doi.org/10.1007/JHEP01(2018)148</v>
      </c>
      <c r="BG685" s="1" t="s">
        <v>74</v>
      </c>
      <c r="BH685" s="1" t="s">
        <v>74</v>
      </c>
      <c r="BI685" s="1" t="s">
        <v>74</v>
      </c>
      <c r="BJ685" s="1" t="s">
        <v>74</v>
      </c>
      <c r="BK685" s="1" t="s">
        <v>74</v>
      </c>
      <c r="BL685" s="1" t="s">
        <v>74</v>
      </c>
      <c r="BM685" s="1" t="s">
        <v>74</v>
      </c>
      <c r="BN685" s="1" t="s">
        <v>74</v>
      </c>
      <c r="BO685" s="1" t="s">
        <v>74</v>
      </c>
      <c r="BP685" s="1" t="s">
        <v>74</v>
      </c>
      <c r="BQ685" s="1" t="s">
        <v>74</v>
      </c>
      <c r="BR685" s="1" t="s">
        <v>74</v>
      </c>
      <c r="BS685" s="1" t="s">
        <v>6997</v>
      </c>
      <c r="BT685" s="1" t="str">
        <f>HYPERLINK("https%3A%2F%2Fwww.webofscience.com%2Fwos%2Fwoscc%2Ffull-record%2FWOS:000423793200003","View Full Record in Web of Science")</f>
        <v>View Full Record in Web of Science</v>
      </c>
    </row>
    <row r="686" ht="12.75" customHeight="1">
      <c r="A686" s="1" t="s">
        <v>72</v>
      </c>
      <c r="B686" s="1" t="s">
        <v>6998</v>
      </c>
      <c r="C686" s="1" t="s">
        <v>74</v>
      </c>
      <c r="D686" s="1" t="s">
        <v>74</v>
      </c>
      <c r="E686" s="1" t="s">
        <v>74</v>
      </c>
      <c r="F686" s="1" t="s">
        <v>6999</v>
      </c>
      <c r="G686" s="1" t="s">
        <v>74</v>
      </c>
      <c r="H686" s="1" t="s">
        <v>74</v>
      </c>
      <c r="I686" s="1" t="s">
        <v>7000</v>
      </c>
      <c r="J686" s="1" t="s">
        <v>7001</v>
      </c>
      <c r="K686" s="1" t="s">
        <v>74</v>
      </c>
      <c r="L686" s="1" t="s">
        <v>74</v>
      </c>
      <c r="M686" s="1" t="s">
        <v>74</v>
      </c>
      <c r="N686" s="1" t="s">
        <v>74</v>
      </c>
      <c r="O686" s="1" t="s">
        <v>74</v>
      </c>
      <c r="P686" s="1" t="s">
        <v>74</v>
      </c>
      <c r="Q686" s="1" t="s">
        <v>74</v>
      </c>
      <c r="R686" s="1" t="s">
        <v>74</v>
      </c>
      <c r="S686" s="1" t="s">
        <v>74</v>
      </c>
      <c r="T686" s="1" t="s">
        <v>74</v>
      </c>
      <c r="U686" s="1" t="s">
        <v>74</v>
      </c>
      <c r="V686" s="1" t="s">
        <v>7002</v>
      </c>
      <c r="W686" s="1" t="s">
        <v>74</v>
      </c>
      <c r="X686" s="1" t="s">
        <v>74</v>
      </c>
      <c r="Y686" s="1" t="s">
        <v>74</v>
      </c>
      <c r="Z686" s="1" t="s">
        <v>74</v>
      </c>
      <c r="AA686" s="1" t="s">
        <v>7003</v>
      </c>
      <c r="AB686" s="1" t="s">
        <v>7004</v>
      </c>
      <c r="AC686" s="1" t="s">
        <v>74</v>
      </c>
      <c r="AD686" s="1" t="s">
        <v>74</v>
      </c>
      <c r="AE686" s="1" t="s">
        <v>74</v>
      </c>
      <c r="AF686" s="1" t="s">
        <v>74</v>
      </c>
      <c r="AG686" s="1" t="s">
        <v>74</v>
      </c>
      <c r="AH686" s="1" t="s">
        <v>74</v>
      </c>
      <c r="AI686" s="1" t="s">
        <v>74</v>
      </c>
      <c r="AJ686" s="1" t="s">
        <v>74</v>
      </c>
      <c r="AK686" s="1" t="s">
        <v>74</v>
      </c>
      <c r="AL686" s="1" t="s">
        <v>74</v>
      </c>
      <c r="AM686" s="1" t="s">
        <v>74</v>
      </c>
      <c r="AN686" s="1" t="s">
        <v>74</v>
      </c>
      <c r="AO686" s="1" t="s">
        <v>7005</v>
      </c>
      <c r="AP686" s="1" t="s">
        <v>7006</v>
      </c>
      <c r="AQ686" s="1" t="s">
        <v>74</v>
      </c>
      <c r="AR686" s="1" t="s">
        <v>74</v>
      </c>
      <c r="AS686" s="1" t="s">
        <v>74</v>
      </c>
      <c r="AT686" s="1" t="s">
        <v>995</v>
      </c>
      <c r="AU686" s="1">
        <v>2017.0</v>
      </c>
      <c r="AV686" s="1">
        <v>71.0</v>
      </c>
      <c r="AW686" s="1">
        <v>12.0</v>
      </c>
      <c r="AX686" s="1" t="s">
        <v>74</v>
      </c>
      <c r="AY686" s="1" t="s">
        <v>74</v>
      </c>
      <c r="AZ686" s="1" t="s">
        <v>74</v>
      </c>
      <c r="BA686" s="1" t="s">
        <v>74</v>
      </c>
      <c r="BB686" s="1" t="s">
        <v>74</v>
      </c>
      <c r="BC686" s="1" t="s">
        <v>74</v>
      </c>
      <c r="BD686" s="1">
        <v>330.0</v>
      </c>
      <c r="BE686" s="1" t="s">
        <v>7007</v>
      </c>
      <c r="BF686" s="2" t="str">
        <f>HYPERLINK("http://dx.doi.org/10.1140/epjd/e2017-80299-x","http://dx.doi.org/10.1140/epjd/e2017-80299-x")</f>
        <v>http://dx.doi.org/10.1140/epjd/e2017-80299-x</v>
      </c>
      <c r="BG686" s="1" t="s">
        <v>74</v>
      </c>
      <c r="BH686" s="1" t="s">
        <v>74</v>
      </c>
      <c r="BI686" s="1" t="s">
        <v>74</v>
      </c>
      <c r="BJ686" s="1" t="s">
        <v>74</v>
      </c>
      <c r="BK686" s="1" t="s">
        <v>74</v>
      </c>
      <c r="BL686" s="1" t="s">
        <v>74</v>
      </c>
      <c r="BM686" s="1" t="s">
        <v>74</v>
      </c>
      <c r="BN686" s="1" t="s">
        <v>74</v>
      </c>
      <c r="BO686" s="1" t="s">
        <v>74</v>
      </c>
      <c r="BP686" s="1" t="s">
        <v>74</v>
      </c>
      <c r="BQ686" s="1" t="s">
        <v>74</v>
      </c>
      <c r="BR686" s="1" t="s">
        <v>74</v>
      </c>
      <c r="BS686" s="1" t="s">
        <v>7008</v>
      </c>
      <c r="BT686" s="1" t="str">
        <f>HYPERLINK("https%3A%2F%2Fwww.webofscience.com%2Fwos%2Fwoscc%2Ffull-record%2FWOS:000418957900003","View Full Record in Web of Science")</f>
        <v>View Full Record in Web of Science</v>
      </c>
    </row>
    <row r="687" ht="12.75" customHeight="1">
      <c r="A687" s="1" t="s">
        <v>72</v>
      </c>
      <c r="B687" s="1" t="s">
        <v>7009</v>
      </c>
      <c r="C687" s="1" t="s">
        <v>74</v>
      </c>
      <c r="D687" s="1" t="s">
        <v>74</v>
      </c>
      <c r="E687" s="1" t="s">
        <v>74</v>
      </c>
      <c r="F687" s="1" t="s">
        <v>7010</v>
      </c>
      <c r="G687" s="1" t="s">
        <v>74</v>
      </c>
      <c r="H687" s="1" t="s">
        <v>74</v>
      </c>
      <c r="I687" s="1" t="s">
        <v>7011</v>
      </c>
      <c r="J687" s="1" t="s">
        <v>7012</v>
      </c>
      <c r="K687" s="1" t="s">
        <v>74</v>
      </c>
      <c r="L687" s="1" t="s">
        <v>74</v>
      </c>
      <c r="M687" s="1" t="s">
        <v>74</v>
      </c>
      <c r="N687" s="1" t="s">
        <v>74</v>
      </c>
      <c r="O687" s="1" t="s">
        <v>74</v>
      </c>
      <c r="P687" s="1" t="s">
        <v>74</v>
      </c>
      <c r="Q687" s="1" t="s">
        <v>74</v>
      </c>
      <c r="R687" s="1" t="s">
        <v>74</v>
      </c>
      <c r="S687" s="1" t="s">
        <v>74</v>
      </c>
      <c r="T687" s="1" t="s">
        <v>74</v>
      </c>
      <c r="U687" s="1" t="s">
        <v>74</v>
      </c>
      <c r="V687" s="1" t="s">
        <v>7013</v>
      </c>
      <c r="W687" s="1" t="s">
        <v>74</v>
      </c>
      <c r="X687" s="1" t="s">
        <v>74</v>
      </c>
      <c r="Y687" s="1" t="s">
        <v>74</v>
      </c>
      <c r="Z687" s="1" t="s">
        <v>74</v>
      </c>
      <c r="AA687" s="1" t="s">
        <v>7014</v>
      </c>
      <c r="AB687" s="1" t="s">
        <v>7015</v>
      </c>
      <c r="AC687" s="1" t="s">
        <v>74</v>
      </c>
      <c r="AD687" s="1" t="s">
        <v>74</v>
      </c>
      <c r="AE687" s="1" t="s">
        <v>74</v>
      </c>
      <c r="AF687" s="1" t="s">
        <v>74</v>
      </c>
      <c r="AG687" s="1" t="s">
        <v>74</v>
      </c>
      <c r="AH687" s="1" t="s">
        <v>74</v>
      </c>
      <c r="AI687" s="1" t="s">
        <v>74</v>
      </c>
      <c r="AJ687" s="1" t="s">
        <v>74</v>
      </c>
      <c r="AK687" s="1" t="s">
        <v>74</v>
      </c>
      <c r="AL687" s="1" t="s">
        <v>74</v>
      </c>
      <c r="AM687" s="1" t="s">
        <v>74</v>
      </c>
      <c r="AN687" s="1" t="s">
        <v>74</v>
      </c>
      <c r="AO687" s="1" t="s">
        <v>7016</v>
      </c>
      <c r="AP687" s="1" t="s">
        <v>7017</v>
      </c>
      <c r="AQ687" s="1" t="s">
        <v>74</v>
      </c>
      <c r="AR687" s="1" t="s">
        <v>74</v>
      </c>
      <c r="AS687" s="1" t="s">
        <v>74</v>
      </c>
      <c r="AT687" s="1" t="s">
        <v>111</v>
      </c>
      <c r="AU687" s="1">
        <v>2017.0</v>
      </c>
      <c r="AV687" s="1">
        <v>456.0</v>
      </c>
      <c r="AW687" s="1">
        <v>1.0</v>
      </c>
      <c r="AX687" s="1" t="s">
        <v>74</v>
      </c>
      <c r="AY687" s="1" t="s">
        <v>74</v>
      </c>
      <c r="AZ687" s="1" t="s">
        <v>74</v>
      </c>
      <c r="BA687" s="1" t="s">
        <v>74</v>
      </c>
      <c r="BB687" s="1">
        <v>402.0</v>
      </c>
      <c r="BC687" s="1">
        <v>411.0</v>
      </c>
      <c r="BD687" s="1" t="s">
        <v>74</v>
      </c>
      <c r="BE687" s="1" t="s">
        <v>7018</v>
      </c>
      <c r="BF687" s="2" t="str">
        <f>HYPERLINK("http://dx.doi.org/10.1016/j.jmaa.2017.07.013","http://dx.doi.org/10.1016/j.jmaa.2017.07.013")</f>
        <v>http://dx.doi.org/10.1016/j.jmaa.2017.07.013</v>
      </c>
      <c r="BG687" s="1" t="s">
        <v>74</v>
      </c>
      <c r="BH687" s="1" t="s">
        <v>74</v>
      </c>
      <c r="BI687" s="1" t="s">
        <v>74</v>
      </c>
      <c r="BJ687" s="1" t="s">
        <v>74</v>
      </c>
      <c r="BK687" s="1" t="s">
        <v>74</v>
      </c>
      <c r="BL687" s="1" t="s">
        <v>74</v>
      </c>
      <c r="BM687" s="1" t="s">
        <v>74</v>
      </c>
      <c r="BN687" s="1" t="s">
        <v>74</v>
      </c>
      <c r="BO687" s="1" t="s">
        <v>74</v>
      </c>
      <c r="BP687" s="1" t="s">
        <v>74</v>
      </c>
      <c r="BQ687" s="1" t="s">
        <v>74</v>
      </c>
      <c r="BR687" s="1" t="s">
        <v>74</v>
      </c>
      <c r="BS687" s="1" t="s">
        <v>7019</v>
      </c>
      <c r="BT687" s="1" t="str">
        <f>HYPERLINK("https%3A%2F%2Fwww.webofscience.com%2Fwos%2Fwoscc%2Ffull-record%2FWOS:000407667900022","View Full Record in Web of Science")</f>
        <v>View Full Record in Web of Science</v>
      </c>
    </row>
    <row r="688" ht="12.75" customHeight="1">
      <c r="A688" s="1" t="s">
        <v>72</v>
      </c>
      <c r="B688" s="1" t="s">
        <v>7020</v>
      </c>
      <c r="C688" s="1" t="s">
        <v>74</v>
      </c>
      <c r="D688" s="1" t="s">
        <v>74</v>
      </c>
      <c r="E688" s="1" t="s">
        <v>74</v>
      </c>
      <c r="F688" s="1" t="s">
        <v>7021</v>
      </c>
      <c r="G688" s="1" t="s">
        <v>74</v>
      </c>
      <c r="H688" s="1" t="s">
        <v>74</v>
      </c>
      <c r="I688" s="1" t="s">
        <v>7022</v>
      </c>
      <c r="J688" s="1" t="s">
        <v>7023</v>
      </c>
      <c r="K688" s="1" t="s">
        <v>74</v>
      </c>
      <c r="L688" s="1" t="s">
        <v>74</v>
      </c>
      <c r="M688" s="1" t="s">
        <v>74</v>
      </c>
      <c r="N688" s="1" t="s">
        <v>74</v>
      </c>
      <c r="O688" s="1" t="s">
        <v>74</v>
      </c>
      <c r="P688" s="1" t="s">
        <v>74</v>
      </c>
      <c r="Q688" s="1" t="s">
        <v>74</v>
      </c>
      <c r="R688" s="1" t="s">
        <v>74</v>
      </c>
      <c r="S688" s="1" t="s">
        <v>74</v>
      </c>
      <c r="T688" s="1" t="s">
        <v>74</v>
      </c>
      <c r="U688" s="1" t="s">
        <v>74</v>
      </c>
      <c r="V688" s="1" t="s">
        <v>7024</v>
      </c>
      <c r="W688" s="1" t="s">
        <v>74</v>
      </c>
      <c r="X688" s="1" t="s">
        <v>74</v>
      </c>
      <c r="Y688" s="1" t="s">
        <v>74</v>
      </c>
      <c r="Z688" s="1" t="s">
        <v>74</v>
      </c>
      <c r="AA688" s="1" t="s">
        <v>7025</v>
      </c>
      <c r="AB688" s="1" t="s">
        <v>7026</v>
      </c>
      <c r="AC688" s="1" t="s">
        <v>74</v>
      </c>
      <c r="AD688" s="1" t="s">
        <v>74</v>
      </c>
      <c r="AE688" s="1" t="s">
        <v>74</v>
      </c>
      <c r="AF688" s="1" t="s">
        <v>74</v>
      </c>
      <c r="AG688" s="1" t="s">
        <v>74</v>
      </c>
      <c r="AH688" s="1" t="s">
        <v>74</v>
      </c>
      <c r="AI688" s="1" t="s">
        <v>74</v>
      </c>
      <c r="AJ688" s="1" t="s">
        <v>74</v>
      </c>
      <c r="AK688" s="1" t="s">
        <v>74</v>
      </c>
      <c r="AL688" s="1" t="s">
        <v>74</v>
      </c>
      <c r="AM688" s="1" t="s">
        <v>74</v>
      </c>
      <c r="AN688" s="1" t="s">
        <v>74</v>
      </c>
      <c r="AO688" s="1" t="s">
        <v>7027</v>
      </c>
      <c r="AP688" s="1" t="s">
        <v>7028</v>
      </c>
      <c r="AQ688" s="1" t="s">
        <v>74</v>
      </c>
      <c r="AR688" s="1" t="s">
        <v>74</v>
      </c>
      <c r="AS688" s="1" t="s">
        <v>74</v>
      </c>
      <c r="AT688" s="1" t="s">
        <v>2530</v>
      </c>
      <c r="AU688" s="1">
        <v>2017.0</v>
      </c>
      <c r="AV688" s="1">
        <v>129.0</v>
      </c>
      <c r="AW688" s="1">
        <v>977.0</v>
      </c>
      <c r="AX688" s="1" t="s">
        <v>74</v>
      </c>
      <c r="AY688" s="1" t="s">
        <v>74</v>
      </c>
      <c r="AZ688" s="1" t="s">
        <v>74</v>
      </c>
      <c r="BA688" s="1" t="s">
        <v>74</v>
      </c>
      <c r="BB688" s="1" t="s">
        <v>74</v>
      </c>
      <c r="BC688" s="1" t="s">
        <v>74</v>
      </c>
      <c r="BD688" s="1">
        <v>74502.0</v>
      </c>
      <c r="BE688" s="1" t="s">
        <v>7029</v>
      </c>
      <c r="BF688" s="2" t="str">
        <f>HYPERLINK("http://dx.doi.org/10.1088/1538-3873/aa70df","http://dx.doi.org/10.1088/1538-3873/aa70df")</f>
        <v>http://dx.doi.org/10.1088/1538-3873/aa70df</v>
      </c>
      <c r="BG688" s="1" t="s">
        <v>74</v>
      </c>
      <c r="BH688" s="1" t="s">
        <v>74</v>
      </c>
      <c r="BI688" s="1" t="s">
        <v>74</v>
      </c>
      <c r="BJ688" s="1" t="s">
        <v>74</v>
      </c>
      <c r="BK688" s="1" t="s">
        <v>74</v>
      </c>
      <c r="BL688" s="1" t="s">
        <v>74</v>
      </c>
      <c r="BM688" s="1" t="s">
        <v>74</v>
      </c>
      <c r="BN688" s="1" t="s">
        <v>74</v>
      </c>
      <c r="BO688" s="1" t="s">
        <v>74</v>
      </c>
      <c r="BP688" s="1" t="s">
        <v>74</v>
      </c>
      <c r="BQ688" s="1" t="s">
        <v>74</v>
      </c>
      <c r="BR688" s="1" t="s">
        <v>74</v>
      </c>
      <c r="BS688" s="1" t="s">
        <v>7030</v>
      </c>
      <c r="BT688" s="1" t="str">
        <f>HYPERLINK("https%3A%2F%2Fwww.webofscience.com%2Fwos%2Fwoscc%2Ffull-record%2FWOS:000402535300002","View Full Record in Web of Science")</f>
        <v>View Full Record in Web of Science</v>
      </c>
    </row>
    <row r="689" ht="12.75" customHeight="1">
      <c r="A689" s="1" t="s">
        <v>72</v>
      </c>
      <c r="B689" s="1" t="s">
        <v>7031</v>
      </c>
      <c r="C689" s="1" t="s">
        <v>74</v>
      </c>
      <c r="D689" s="1" t="s">
        <v>74</v>
      </c>
      <c r="E689" s="1" t="s">
        <v>74</v>
      </c>
      <c r="F689" s="1" t="s">
        <v>7032</v>
      </c>
      <c r="G689" s="1" t="s">
        <v>74</v>
      </c>
      <c r="H689" s="1" t="s">
        <v>74</v>
      </c>
      <c r="I689" s="1" t="s">
        <v>7033</v>
      </c>
      <c r="J689" s="1" t="s">
        <v>3145</v>
      </c>
      <c r="K689" s="1" t="s">
        <v>74</v>
      </c>
      <c r="L689" s="1" t="s">
        <v>74</v>
      </c>
      <c r="M689" s="1" t="s">
        <v>74</v>
      </c>
      <c r="N689" s="1" t="s">
        <v>74</v>
      </c>
      <c r="O689" s="1" t="s">
        <v>74</v>
      </c>
      <c r="P689" s="1" t="s">
        <v>74</v>
      </c>
      <c r="Q689" s="1" t="s">
        <v>74</v>
      </c>
      <c r="R689" s="1" t="s">
        <v>74</v>
      </c>
      <c r="S689" s="1" t="s">
        <v>74</v>
      </c>
      <c r="T689" s="1" t="s">
        <v>74</v>
      </c>
      <c r="U689" s="1" t="s">
        <v>74</v>
      </c>
      <c r="V689" s="1" t="s">
        <v>7034</v>
      </c>
      <c r="W689" s="1" t="s">
        <v>74</v>
      </c>
      <c r="X689" s="1" t="s">
        <v>74</v>
      </c>
      <c r="Y689" s="1" t="s">
        <v>74</v>
      </c>
      <c r="Z689" s="1" t="s">
        <v>74</v>
      </c>
      <c r="AA689" s="1" t="s">
        <v>7035</v>
      </c>
      <c r="AB689" s="1" t="s">
        <v>7036</v>
      </c>
      <c r="AC689" s="1" t="s">
        <v>74</v>
      </c>
      <c r="AD689" s="1" t="s">
        <v>74</v>
      </c>
      <c r="AE689" s="1" t="s">
        <v>74</v>
      </c>
      <c r="AF689" s="1" t="s">
        <v>74</v>
      </c>
      <c r="AG689" s="1" t="s">
        <v>74</v>
      </c>
      <c r="AH689" s="1" t="s">
        <v>74</v>
      </c>
      <c r="AI689" s="1" t="s">
        <v>74</v>
      </c>
      <c r="AJ689" s="1" t="s">
        <v>74</v>
      </c>
      <c r="AK689" s="1" t="s">
        <v>74</v>
      </c>
      <c r="AL689" s="1" t="s">
        <v>74</v>
      </c>
      <c r="AM689" s="1" t="s">
        <v>74</v>
      </c>
      <c r="AN689" s="1" t="s">
        <v>74</v>
      </c>
      <c r="AO689" s="1" t="s">
        <v>3149</v>
      </c>
      <c r="AP689" s="1" t="s">
        <v>3150</v>
      </c>
      <c r="AQ689" s="1" t="s">
        <v>74</v>
      </c>
      <c r="AR689" s="1" t="s">
        <v>74</v>
      </c>
      <c r="AS689" s="1" t="s">
        <v>74</v>
      </c>
      <c r="AT689" s="1" t="s">
        <v>175</v>
      </c>
      <c r="AU689" s="1">
        <v>2016.0</v>
      </c>
      <c r="AV689" s="1">
        <v>58.0</v>
      </c>
      <c r="AW689" s="1">
        <v>10.0</v>
      </c>
      <c r="AX689" s="1" t="s">
        <v>74</v>
      </c>
      <c r="AY689" s="1" t="s">
        <v>74</v>
      </c>
      <c r="AZ689" s="1" t="s">
        <v>74</v>
      </c>
      <c r="BA689" s="1" t="s">
        <v>74</v>
      </c>
      <c r="BB689" s="1">
        <v>1968.0</v>
      </c>
      <c r="BC689" s="1">
        <v>1985.0</v>
      </c>
      <c r="BD689" s="1" t="s">
        <v>74</v>
      </c>
      <c r="BE689" s="1" t="s">
        <v>7037</v>
      </c>
      <c r="BF689" s="2" t="str">
        <f>HYPERLINK("http://dx.doi.org/10.1016/j.asr.2016.03.023","http://dx.doi.org/10.1016/j.asr.2016.03.023")</f>
        <v>http://dx.doi.org/10.1016/j.asr.2016.03.023</v>
      </c>
      <c r="BG689" s="1" t="s">
        <v>74</v>
      </c>
      <c r="BH689" s="1" t="s">
        <v>74</v>
      </c>
      <c r="BI689" s="1" t="s">
        <v>74</v>
      </c>
      <c r="BJ689" s="1" t="s">
        <v>74</v>
      </c>
      <c r="BK689" s="1" t="s">
        <v>74</v>
      </c>
      <c r="BL689" s="1" t="s">
        <v>74</v>
      </c>
      <c r="BM689" s="1" t="s">
        <v>74</v>
      </c>
      <c r="BN689" s="1" t="s">
        <v>74</v>
      </c>
      <c r="BO689" s="1" t="s">
        <v>74</v>
      </c>
      <c r="BP689" s="1" t="s">
        <v>74</v>
      </c>
      <c r="BQ689" s="1" t="s">
        <v>74</v>
      </c>
      <c r="BR689" s="1" t="s">
        <v>74</v>
      </c>
      <c r="BS689" s="1" t="s">
        <v>7038</v>
      </c>
      <c r="BT689" s="1" t="str">
        <f>HYPERLINK("https%3A%2F%2Fwww.webofscience.com%2Fwos%2Fwoscc%2Ffull-record%2FWOS:000387521000005","View Full Record in Web of Science")</f>
        <v>View Full Record in Web of Science</v>
      </c>
    </row>
    <row r="690" ht="12.75" customHeight="1">
      <c r="A690" s="1" t="s">
        <v>72</v>
      </c>
      <c r="B690" s="1" t="s">
        <v>7039</v>
      </c>
      <c r="C690" s="1" t="s">
        <v>74</v>
      </c>
      <c r="D690" s="1" t="s">
        <v>74</v>
      </c>
      <c r="E690" s="1" t="s">
        <v>74</v>
      </c>
      <c r="F690" s="1" t="s">
        <v>7040</v>
      </c>
      <c r="G690" s="1" t="s">
        <v>74</v>
      </c>
      <c r="H690" s="1" t="s">
        <v>74</v>
      </c>
      <c r="I690" s="1" t="s">
        <v>7041</v>
      </c>
      <c r="J690" s="1" t="s">
        <v>7042</v>
      </c>
      <c r="K690" s="1" t="s">
        <v>74</v>
      </c>
      <c r="L690" s="1" t="s">
        <v>74</v>
      </c>
      <c r="M690" s="1" t="s">
        <v>74</v>
      </c>
      <c r="N690" s="1" t="s">
        <v>74</v>
      </c>
      <c r="O690" s="1" t="s">
        <v>74</v>
      </c>
      <c r="P690" s="1" t="s">
        <v>74</v>
      </c>
      <c r="Q690" s="1" t="s">
        <v>74</v>
      </c>
      <c r="R690" s="1" t="s">
        <v>74</v>
      </c>
      <c r="S690" s="1" t="s">
        <v>74</v>
      </c>
      <c r="T690" s="1" t="s">
        <v>74</v>
      </c>
      <c r="U690" s="1" t="s">
        <v>74</v>
      </c>
      <c r="V690" s="1" t="s">
        <v>7043</v>
      </c>
      <c r="W690" s="1" t="s">
        <v>74</v>
      </c>
      <c r="X690" s="1" t="s">
        <v>74</v>
      </c>
      <c r="Y690" s="1" t="s">
        <v>74</v>
      </c>
      <c r="Z690" s="1" t="s">
        <v>74</v>
      </c>
      <c r="AA690" s="1" t="s">
        <v>7044</v>
      </c>
      <c r="AB690" s="1" t="s">
        <v>7045</v>
      </c>
      <c r="AC690" s="1" t="s">
        <v>74</v>
      </c>
      <c r="AD690" s="1" t="s">
        <v>74</v>
      </c>
      <c r="AE690" s="1" t="s">
        <v>74</v>
      </c>
      <c r="AF690" s="1" t="s">
        <v>74</v>
      </c>
      <c r="AG690" s="1" t="s">
        <v>74</v>
      </c>
      <c r="AH690" s="1" t="s">
        <v>74</v>
      </c>
      <c r="AI690" s="1" t="s">
        <v>74</v>
      </c>
      <c r="AJ690" s="1" t="s">
        <v>74</v>
      </c>
      <c r="AK690" s="1" t="s">
        <v>74</v>
      </c>
      <c r="AL690" s="1" t="s">
        <v>74</v>
      </c>
      <c r="AM690" s="1" t="s">
        <v>74</v>
      </c>
      <c r="AN690" s="1" t="s">
        <v>74</v>
      </c>
      <c r="AO690" s="1" t="s">
        <v>7046</v>
      </c>
      <c r="AP690" s="1" t="s">
        <v>74</v>
      </c>
      <c r="AQ690" s="1" t="s">
        <v>74</v>
      </c>
      <c r="AR690" s="1" t="s">
        <v>74</v>
      </c>
      <c r="AS690" s="1" t="s">
        <v>74</v>
      </c>
      <c r="AT690" s="1" t="s">
        <v>537</v>
      </c>
      <c r="AU690" s="1">
        <v>2016.0</v>
      </c>
      <c r="AV690" s="1">
        <v>6.0</v>
      </c>
      <c r="AW690" s="1">
        <v>11.0</v>
      </c>
      <c r="AX690" s="1" t="s">
        <v>74</v>
      </c>
      <c r="AY690" s="1" t="s">
        <v>74</v>
      </c>
      <c r="AZ690" s="1" t="s">
        <v>74</v>
      </c>
      <c r="BA690" s="1" t="s">
        <v>74</v>
      </c>
      <c r="BB690" s="1" t="s">
        <v>74</v>
      </c>
      <c r="BC690" s="1" t="s">
        <v>74</v>
      </c>
      <c r="BD690" s="1">
        <v>288.0</v>
      </c>
      <c r="BE690" s="1" t="s">
        <v>7047</v>
      </c>
      <c r="BF690" s="2" t="str">
        <f>HYPERLINK("http://dx.doi.org/10.3390/met6110288","http://dx.doi.org/10.3390/met6110288")</f>
        <v>http://dx.doi.org/10.3390/met6110288</v>
      </c>
      <c r="BG690" s="1" t="s">
        <v>74</v>
      </c>
      <c r="BH690" s="1" t="s">
        <v>74</v>
      </c>
      <c r="BI690" s="1" t="s">
        <v>74</v>
      </c>
      <c r="BJ690" s="1" t="s">
        <v>74</v>
      </c>
      <c r="BK690" s="1" t="s">
        <v>74</v>
      </c>
      <c r="BL690" s="1" t="s">
        <v>74</v>
      </c>
      <c r="BM690" s="1" t="s">
        <v>74</v>
      </c>
      <c r="BN690" s="1" t="s">
        <v>74</v>
      </c>
      <c r="BO690" s="1" t="s">
        <v>74</v>
      </c>
      <c r="BP690" s="1" t="s">
        <v>74</v>
      </c>
      <c r="BQ690" s="1" t="s">
        <v>74</v>
      </c>
      <c r="BR690" s="1" t="s">
        <v>74</v>
      </c>
      <c r="BS690" s="1" t="s">
        <v>7048</v>
      </c>
      <c r="BT690" s="1" t="str">
        <f>HYPERLINK("https%3A%2F%2Fwww.webofscience.com%2Fwos%2Fwoscc%2Ffull-record%2FWOS:000389600400035","View Full Record in Web of Science")</f>
        <v>View Full Record in Web of Science</v>
      </c>
    </row>
    <row r="691" ht="12.75" customHeight="1">
      <c r="A691" s="1" t="s">
        <v>72</v>
      </c>
      <c r="B691" s="1" t="s">
        <v>7049</v>
      </c>
      <c r="C691" s="1" t="s">
        <v>74</v>
      </c>
      <c r="D691" s="1" t="s">
        <v>74</v>
      </c>
      <c r="E691" s="1" t="s">
        <v>74</v>
      </c>
      <c r="F691" s="1" t="s">
        <v>7050</v>
      </c>
      <c r="G691" s="1" t="s">
        <v>74</v>
      </c>
      <c r="H691" s="1" t="s">
        <v>74</v>
      </c>
      <c r="I691" s="1" t="s">
        <v>7051</v>
      </c>
      <c r="J691" s="1" t="s">
        <v>7052</v>
      </c>
      <c r="K691" s="1" t="s">
        <v>74</v>
      </c>
      <c r="L691" s="1" t="s">
        <v>74</v>
      </c>
      <c r="M691" s="1" t="s">
        <v>74</v>
      </c>
      <c r="N691" s="1" t="s">
        <v>74</v>
      </c>
      <c r="O691" s="1" t="s">
        <v>74</v>
      </c>
      <c r="P691" s="1" t="s">
        <v>74</v>
      </c>
      <c r="Q691" s="1" t="s">
        <v>74</v>
      </c>
      <c r="R691" s="1" t="s">
        <v>74</v>
      </c>
      <c r="S691" s="1" t="s">
        <v>74</v>
      </c>
      <c r="T691" s="1" t="s">
        <v>74</v>
      </c>
      <c r="U691" s="1" t="s">
        <v>74</v>
      </c>
      <c r="V691" s="1" t="s">
        <v>7053</v>
      </c>
      <c r="W691" s="1" t="s">
        <v>74</v>
      </c>
      <c r="X691" s="1" t="s">
        <v>74</v>
      </c>
      <c r="Y691" s="1" t="s">
        <v>74</v>
      </c>
      <c r="Z691" s="1" t="s">
        <v>74</v>
      </c>
      <c r="AA691" s="1" t="s">
        <v>7054</v>
      </c>
      <c r="AB691" s="1" t="s">
        <v>7055</v>
      </c>
      <c r="AC691" s="1" t="s">
        <v>74</v>
      </c>
      <c r="AD691" s="1" t="s">
        <v>74</v>
      </c>
      <c r="AE691" s="1" t="s">
        <v>74</v>
      </c>
      <c r="AF691" s="1" t="s">
        <v>74</v>
      </c>
      <c r="AG691" s="1" t="s">
        <v>74</v>
      </c>
      <c r="AH691" s="1" t="s">
        <v>74</v>
      </c>
      <c r="AI691" s="1" t="s">
        <v>74</v>
      </c>
      <c r="AJ691" s="1" t="s">
        <v>74</v>
      </c>
      <c r="AK691" s="1" t="s">
        <v>74</v>
      </c>
      <c r="AL691" s="1" t="s">
        <v>74</v>
      </c>
      <c r="AM691" s="1" t="s">
        <v>74</v>
      </c>
      <c r="AN691" s="1" t="s">
        <v>74</v>
      </c>
      <c r="AO691" s="1" t="s">
        <v>7056</v>
      </c>
      <c r="AP691" s="1" t="s">
        <v>7057</v>
      </c>
      <c r="AQ691" s="1" t="s">
        <v>74</v>
      </c>
      <c r="AR691" s="1" t="s">
        <v>74</v>
      </c>
      <c r="AS691" s="1" t="s">
        <v>74</v>
      </c>
      <c r="AT691" s="1" t="s">
        <v>1213</v>
      </c>
      <c r="AU691" s="1">
        <v>2016.0</v>
      </c>
      <c r="AV691" s="1">
        <v>23.0</v>
      </c>
      <c r="AW691" s="1">
        <v>1.0</v>
      </c>
      <c r="AX691" s="1" t="s">
        <v>74</v>
      </c>
      <c r="AY691" s="1" t="s">
        <v>74</v>
      </c>
      <c r="AZ691" s="1" t="s">
        <v>74</v>
      </c>
      <c r="BA691" s="1" t="s">
        <v>74</v>
      </c>
      <c r="BB691" s="1">
        <v>139.0</v>
      </c>
      <c r="BC691" s="1">
        <v>169.0</v>
      </c>
      <c r="BD691" s="1" t="s">
        <v>74</v>
      </c>
      <c r="BE691" s="1" t="s">
        <v>7058</v>
      </c>
      <c r="BF691" s="2" t="str">
        <f>HYPERLINK("http://dx.doi.org/10.1007/s11831-014-9138-4","http://dx.doi.org/10.1007/s11831-014-9138-4")</f>
        <v>http://dx.doi.org/10.1007/s11831-014-9138-4</v>
      </c>
      <c r="BG691" s="1" t="s">
        <v>74</v>
      </c>
      <c r="BH691" s="1" t="s">
        <v>74</v>
      </c>
      <c r="BI691" s="1" t="s">
        <v>74</v>
      </c>
      <c r="BJ691" s="1" t="s">
        <v>74</v>
      </c>
      <c r="BK691" s="1" t="s">
        <v>74</v>
      </c>
      <c r="BL691" s="1" t="s">
        <v>74</v>
      </c>
      <c r="BM691" s="1" t="s">
        <v>74</v>
      </c>
      <c r="BN691" s="1" t="s">
        <v>74</v>
      </c>
      <c r="BO691" s="1" t="s">
        <v>74</v>
      </c>
      <c r="BP691" s="1" t="s">
        <v>74</v>
      </c>
      <c r="BQ691" s="1" t="s">
        <v>74</v>
      </c>
      <c r="BR691" s="1" t="s">
        <v>74</v>
      </c>
      <c r="BS691" s="1" t="s">
        <v>7059</v>
      </c>
      <c r="BT691" s="1" t="str">
        <f>HYPERLINK("https%3A%2F%2Fwww.webofscience.com%2Fwos%2Fwoscc%2Ffull-record%2FWOS:000368375700006","View Full Record in Web of Science")</f>
        <v>View Full Record in Web of Science</v>
      </c>
    </row>
    <row r="692" ht="12.75" customHeight="1">
      <c r="A692" s="1" t="s">
        <v>72</v>
      </c>
      <c r="B692" s="1" t="s">
        <v>7060</v>
      </c>
      <c r="C692" s="1" t="s">
        <v>74</v>
      </c>
      <c r="D692" s="1" t="s">
        <v>74</v>
      </c>
      <c r="E692" s="1" t="s">
        <v>74</v>
      </c>
      <c r="F692" s="1" t="s">
        <v>7061</v>
      </c>
      <c r="G692" s="1" t="s">
        <v>74</v>
      </c>
      <c r="H692" s="1" t="s">
        <v>74</v>
      </c>
      <c r="I692" s="1" t="s">
        <v>7062</v>
      </c>
      <c r="J692" s="1" t="s">
        <v>847</v>
      </c>
      <c r="K692" s="1" t="s">
        <v>74</v>
      </c>
      <c r="L692" s="1" t="s">
        <v>74</v>
      </c>
      <c r="M692" s="1" t="s">
        <v>74</v>
      </c>
      <c r="N692" s="1" t="s">
        <v>74</v>
      </c>
      <c r="O692" s="1" t="s">
        <v>74</v>
      </c>
      <c r="P692" s="1" t="s">
        <v>74</v>
      </c>
      <c r="Q692" s="1" t="s">
        <v>74</v>
      </c>
      <c r="R692" s="1" t="s">
        <v>74</v>
      </c>
      <c r="S692" s="1" t="s">
        <v>74</v>
      </c>
      <c r="T692" s="1" t="s">
        <v>74</v>
      </c>
      <c r="U692" s="1" t="s">
        <v>74</v>
      </c>
      <c r="V692" s="1" t="s">
        <v>7063</v>
      </c>
      <c r="W692" s="1" t="s">
        <v>74</v>
      </c>
      <c r="X692" s="1" t="s">
        <v>74</v>
      </c>
      <c r="Y692" s="1" t="s">
        <v>74</v>
      </c>
      <c r="Z692" s="1" t="s">
        <v>74</v>
      </c>
      <c r="AA692" s="1" t="s">
        <v>7064</v>
      </c>
      <c r="AB692" s="1" t="s">
        <v>7065</v>
      </c>
      <c r="AC692" s="1" t="s">
        <v>74</v>
      </c>
      <c r="AD692" s="1" t="s">
        <v>74</v>
      </c>
      <c r="AE692" s="1" t="s">
        <v>74</v>
      </c>
      <c r="AF692" s="1" t="s">
        <v>74</v>
      </c>
      <c r="AG692" s="1" t="s">
        <v>74</v>
      </c>
      <c r="AH692" s="1" t="s">
        <v>74</v>
      </c>
      <c r="AI692" s="1" t="s">
        <v>74</v>
      </c>
      <c r="AJ692" s="1" t="s">
        <v>74</v>
      </c>
      <c r="AK692" s="1" t="s">
        <v>74</v>
      </c>
      <c r="AL692" s="1" t="s">
        <v>74</v>
      </c>
      <c r="AM692" s="1" t="s">
        <v>74</v>
      </c>
      <c r="AN692" s="1" t="s">
        <v>74</v>
      </c>
      <c r="AO692" s="1" t="s">
        <v>851</v>
      </c>
      <c r="AP692" s="1" t="s">
        <v>852</v>
      </c>
      <c r="AQ692" s="1" t="s">
        <v>74</v>
      </c>
      <c r="AR692" s="1" t="s">
        <v>74</v>
      </c>
      <c r="AS692" s="1" t="s">
        <v>74</v>
      </c>
      <c r="AT692" s="1" t="s">
        <v>2222</v>
      </c>
      <c r="AU692" s="1">
        <v>2016.0</v>
      </c>
      <c r="AV692" s="1">
        <v>401.0</v>
      </c>
      <c r="AW692" s="1" t="s">
        <v>74</v>
      </c>
      <c r="AX692" s="1" t="s">
        <v>74</v>
      </c>
      <c r="AY692" s="1" t="s">
        <v>74</v>
      </c>
      <c r="AZ692" s="1" t="s">
        <v>74</v>
      </c>
      <c r="BA692" s="1" t="s">
        <v>74</v>
      </c>
      <c r="BB692" s="1">
        <v>848.0</v>
      </c>
      <c r="BC692" s="1">
        <v>852.0</v>
      </c>
      <c r="BD692" s="1" t="s">
        <v>74</v>
      </c>
      <c r="BE692" s="1" t="s">
        <v>7066</v>
      </c>
      <c r="BF692" s="2" t="str">
        <f>HYPERLINK("http://dx.doi.org/10.1016/j.jmmm.2015.10.092","http://dx.doi.org/10.1016/j.jmmm.2015.10.092")</f>
        <v>http://dx.doi.org/10.1016/j.jmmm.2015.10.092</v>
      </c>
      <c r="BG692" s="1" t="s">
        <v>74</v>
      </c>
      <c r="BH692" s="1" t="s">
        <v>74</v>
      </c>
      <c r="BI692" s="1" t="s">
        <v>74</v>
      </c>
      <c r="BJ692" s="1" t="s">
        <v>74</v>
      </c>
      <c r="BK692" s="1" t="s">
        <v>74</v>
      </c>
      <c r="BL692" s="1" t="s">
        <v>74</v>
      </c>
      <c r="BM692" s="1" t="s">
        <v>74</v>
      </c>
      <c r="BN692" s="1" t="s">
        <v>74</v>
      </c>
      <c r="BO692" s="1" t="s">
        <v>74</v>
      </c>
      <c r="BP692" s="1" t="s">
        <v>74</v>
      </c>
      <c r="BQ692" s="1" t="s">
        <v>74</v>
      </c>
      <c r="BR692" s="1" t="s">
        <v>74</v>
      </c>
      <c r="BS692" s="1" t="s">
        <v>7067</v>
      </c>
      <c r="BT692" s="1" t="str">
        <f>HYPERLINK("https%3A%2F%2Fwww.webofscience.com%2Fwos%2Fwoscc%2Ffull-record%2FWOS:000366585200119","View Full Record in Web of Science")</f>
        <v>View Full Record in Web of Science</v>
      </c>
    </row>
    <row r="693" ht="12.75" customHeight="1">
      <c r="A693" s="1" t="s">
        <v>72</v>
      </c>
      <c r="B693" s="1" t="s">
        <v>7068</v>
      </c>
      <c r="C693" s="1" t="s">
        <v>74</v>
      </c>
      <c r="D693" s="1" t="s">
        <v>74</v>
      </c>
      <c r="E693" s="1" t="s">
        <v>74</v>
      </c>
      <c r="F693" s="1" t="s">
        <v>7069</v>
      </c>
      <c r="G693" s="1" t="s">
        <v>74</v>
      </c>
      <c r="H693" s="1" t="s">
        <v>74</v>
      </c>
      <c r="I693" s="1" t="s">
        <v>7070</v>
      </c>
      <c r="J693" s="1" t="s">
        <v>7071</v>
      </c>
      <c r="K693" s="1" t="s">
        <v>74</v>
      </c>
      <c r="L693" s="1" t="s">
        <v>74</v>
      </c>
      <c r="M693" s="1" t="s">
        <v>74</v>
      </c>
      <c r="N693" s="1" t="s">
        <v>74</v>
      </c>
      <c r="O693" s="1" t="s">
        <v>74</v>
      </c>
      <c r="P693" s="1" t="s">
        <v>74</v>
      </c>
      <c r="Q693" s="1" t="s">
        <v>74</v>
      </c>
      <c r="R693" s="1" t="s">
        <v>74</v>
      </c>
      <c r="S693" s="1" t="s">
        <v>74</v>
      </c>
      <c r="T693" s="1" t="s">
        <v>74</v>
      </c>
      <c r="U693" s="1" t="s">
        <v>74</v>
      </c>
      <c r="V693" s="1" t="s">
        <v>7072</v>
      </c>
      <c r="W693" s="1" t="s">
        <v>74</v>
      </c>
      <c r="X693" s="1" t="s">
        <v>74</v>
      </c>
      <c r="Y693" s="1" t="s">
        <v>74</v>
      </c>
      <c r="Z693" s="1" t="s">
        <v>74</v>
      </c>
      <c r="AA693" s="1" t="s">
        <v>7073</v>
      </c>
      <c r="AB693" s="1" t="s">
        <v>4410</v>
      </c>
      <c r="AC693" s="1" t="s">
        <v>74</v>
      </c>
      <c r="AD693" s="1" t="s">
        <v>74</v>
      </c>
      <c r="AE693" s="1" t="s">
        <v>74</v>
      </c>
      <c r="AF693" s="1" t="s">
        <v>74</v>
      </c>
      <c r="AG693" s="1" t="s">
        <v>74</v>
      </c>
      <c r="AH693" s="1" t="s">
        <v>74</v>
      </c>
      <c r="AI693" s="1" t="s">
        <v>74</v>
      </c>
      <c r="AJ693" s="1" t="s">
        <v>74</v>
      </c>
      <c r="AK693" s="1" t="s">
        <v>74</v>
      </c>
      <c r="AL693" s="1" t="s">
        <v>74</v>
      </c>
      <c r="AM693" s="1" t="s">
        <v>74</v>
      </c>
      <c r="AN693" s="1" t="s">
        <v>74</v>
      </c>
      <c r="AO693" s="1" t="s">
        <v>7074</v>
      </c>
      <c r="AP693" s="1" t="s">
        <v>7075</v>
      </c>
      <c r="AQ693" s="1" t="s">
        <v>74</v>
      </c>
      <c r="AR693" s="1" t="s">
        <v>74</v>
      </c>
      <c r="AS693" s="1" t="s">
        <v>74</v>
      </c>
      <c r="AT693" s="1" t="s">
        <v>74</v>
      </c>
      <c r="AU693" s="1">
        <v>2016.0</v>
      </c>
      <c r="AV693" s="1">
        <v>2016.0</v>
      </c>
      <c r="AW693" s="1" t="s">
        <v>74</v>
      </c>
      <c r="AX693" s="1" t="s">
        <v>74</v>
      </c>
      <c r="AY693" s="1" t="s">
        <v>74</v>
      </c>
      <c r="AZ693" s="1" t="s">
        <v>74</v>
      </c>
      <c r="BA693" s="1" t="s">
        <v>74</v>
      </c>
      <c r="BB693" s="1" t="s">
        <v>74</v>
      </c>
      <c r="BC693" s="1" t="s">
        <v>74</v>
      </c>
      <c r="BD693" s="1">
        <v>4046061.0</v>
      </c>
      <c r="BE693" s="1" t="s">
        <v>7076</v>
      </c>
      <c r="BF693" s="2" t="str">
        <f>HYPERLINK("http://dx.doi.org/10.1155/2016/4046061","http://dx.doi.org/10.1155/2016/4046061")</f>
        <v>http://dx.doi.org/10.1155/2016/4046061</v>
      </c>
      <c r="BG693" s="1" t="s">
        <v>74</v>
      </c>
      <c r="BH693" s="1" t="s">
        <v>74</v>
      </c>
      <c r="BI693" s="1" t="s">
        <v>74</v>
      </c>
      <c r="BJ693" s="1" t="s">
        <v>74</v>
      </c>
      <c r="BK693" s="1" t="s">
        <v>74</v>
      </c>
      <c r="BL693" s="1" t="s">
        <v>74</v>
      </c>
      <c r="BM693" s="1" t="s">
        <v>74</v>
      </c>
      <c r="BN693" s="1" t="s">
        <v>74</v>
      </c>
      <c r="BO693" s="1" t="s">
        <v>74</v>
      </c>
      <c r="BP693" s="1" t="s">
        <v>74</v>
      </c>
      <c r="BQ693" s="1" t="s">
        <v>74</v>
      </c>
      <c r="BR693" s="1" t="s">
        <v>74</v>
      </c>
      <c r="BS693" s="1" t="s">
        <v>7077</v>
      </c>
      <c r="BT693" s="1" t="str">
        <f>HYPERLINK("https%3A%2F%2Fwww.webofscience.com%2Fwos%2Fwoscc%2Ffull-record%2FWOS:000386817700001","View Full Record in Web of Science")</f>
        <v>View Full Record in Web of Science</v>
      </c>
    </row>
    <row r="694" ht="12.75" customHeight="1">
      <c r="A694" s="1" t="s">
        <v>72</v>
      </c>
      <c r="B694" s="1" t="s">
        <v>7078</v>
      </c>
      <c r="C694" s="1" t="s">
        <v>74</v>
      </c>
      <c r="D694" s="1" t="s">
        <v>74</v>
      </c>
      <c r="E694" s="1" t="s">
        <v>74</v>
      </c>
      <c r="F694" s="1" t="s">
        <v>7079</v>
      </c>
      <c r="G694" s="1" t="s">
        <v>74</v>
      </c>
      <c r="H694" s="1" t="s">
        <v>74</v>
      </c>
      <c r="I694" s="1" t="s">
        <v>7080</v>
      </c>
      <c r="J694" s="1" t="s">
        <v>7081</v>
      </c>
      <c r="K694" s="1" t="s">
        <v>74</v>
      </c>
      <c r="L694" s="1" t="s">
        <v>74</v>
      </c>
      <c r="M694" s="1" t="s">
        <v>74</v>
      </c>
      <c r="N694" s="1" t="s">
        <v>74</v>
      </c>
      <c r="O694" s="1" t="s">
        <v>74</v>
      </c>
      <c r="P694" s="1" t="s">
        <v>74</v>
      </c>
      <c r="Q694" s="1" t="s">
        <v>74</v>
      </c>
      <c r="R694" s="1" t="s">
        <v>74</v>
      </c>
      <c r="S694" s="1" t="s">
        <v>74</v>
      </c>
      <c r="T694" s="1" t="s">
        <v>74</v>
      </c>
      <c r="U694" s="1" t="s">
        <v>74</v>
      </c>
      <c r="V694" s="1" t="s">
        <v>7082</v>
      </c>
      <c r="W694" s="1" t="s">
        <v>74</v>
      </c>
      <c r="X694" s="1" t="s">
        <v>74</v>
      </c>
      <c r="Y694" s="1" t="s">
        <v>74</v>
      </c>
      <c r="Z694" s="1" t="s">
        <v>74</v>
      </c>
      <c r="AA694" s="1" t="s">
        <v>7083</v>
      </c>
      <c r="AB694" s="1" t="s">
        <v>7084</v>
      </c>
      <c r="AC694" s="1" t="s">
        <v>74</v>
      </c>
      <c r="AD694" s="1" t="s">
        <v>74</v>
      </c>
      <c r="AE694" s="1" t="s">
        <v>74</v>
      </c>
      <c r="AF694" s="1" t="s">
        <v>74</v>
      </c>
      <c r="AG694" s="1" t="s">
        <v>74</v>
      </c>
      <c r="AH694" s="1" t="s">
        <v>74</v>
      </c>
      <c r="AI694" s="1" t="s">
        <v>74</v>
      </c>
      <c r="AJ694" s="1" t="s">
        <v>74</v>
      </c>
      <c r="AK694" s="1" t="s">
        <v>74</v>
      </c>
      <c r="AL694" s="1" t="s">
        <v>74</v>
      </c>
      <c r="AM694" s="1" t="s">
        <v>74</v>
      </c>
      <c r="AN694" s="1" t="s">
        <v>74</v>
      </c>
      <c r="AO694" s="1" t="s">
        <v>74</v>
      </c>
      <c r="AP694" s="1" t="s">
        <v>7085</v>
      </c>
      <c r="AQ694" s="1" t="s">
        <v>74</v>
      </c>
      <c r="AR694" s="1" t="s">
        <v>74</v>
      </c>
      <c r="AS694" s="1" t="s">
        <v>74</v>
      </c>
      <c r="AT694" s="1" t="s">
        <v>201</v>
      </c>
      <c r="AU694" s="1">
        <v>2015.0</v>
      </c>
      <c r="AV694" s="1">
        <v>17.0</v>
      </c>
      <c r="AW694" s="1">
        <v>10.0</v>
      </c>
      <c r="AX694" s="1" t="s">
        <v>74</v>
      </c>
      <c r="AY694" s="1" t="s">
        <v>74</v>
      </c>
      <c r="AZ694" s="1" t="s">
        <v>74</v>
      </c>
      <c r="BA694" s="1" t="s">
        <v>74</v>
      </c>
      <c r="BB694" s="1">
        <v>6576.0</v>
      </c>
      <c r="BC694" s="1">
        <v>6597.0</v>
      </c>
      <c r="BD694" s="1" t="s">
        <v>74</v>
      </c>
      <c r="BE694" s="1" t="s">
        <v>7086</v>
      </c>
      <c r="BF694" s="2" t="str">
        <f>HYPERLINK("http://dx.doi.org/10.3390/e17106576","http://dx.doi.org/10.3390/e17106576")</f>
        <v>http://dx.doi.org/10.3390/e17106576</v>
      </c>
      <c r="BG694" s="1" t="s">
        <v>74</v>
      </c>
      <c r="BH694" s="1" t="s">
        <v>74</v>
      </c>
      <c r="BI694" s="1" t="s">
        <v>74</v>
      </c>
      <c r="BJ694" s="1" t="s">
        <v>74</v>
      </c>
      <c r="BK694" s="1" t="s">
        <v>74</v>
      </c>
      <c r="BL694" s="1" t="s">
        <v>74</v>
      </c>
      <c r="BM694" s="1" t="s">
        <v>74</v>
      </c>
      <c r="BN694" s="1" t="s">
        <v>74</v>
      </c>
      <c r="BO694" s="1" t="s">
        <v>74</v>
      </c>
      <c r="BP694" s="1" t="s">
        <v>74</v>
      </c>
      <c r="BQ694" s="1" t="s">
        <v>74</v>
      </c>
      <c r="BR694" s="1" t="s">
        <v>74</v>
      </c>
      <c r="BS694" s="1" t="s">
        <v>7087</v>
      </c>
      <c r="BT694" s="1" t="str">
        <f>HYPERLINK("https%3A%2F%2Fwww.webofscience.com%2Fwos%2Fwoscc%2Ffull-record%2FWOS:000364216800003","View Full Record in Web of Science")</f>
        <v>View Full Record in Web of Science</v>
      </c>
    </row>
    <row r="695" ht="12.75" customHeight="1">
      <c r="A695" s="1" t="s">
        <v>72</v>
      </c>
      <c r="B695" s="1" t="s">
        <v>7088</v>
      </c>
      <c r="C695" s="1" t="s">
        <v>74</v>
      </c>
      <c r="D695" s="1" t="s">
        <v>74</v>
      </c>
      <c r="E695" s="1" t="s">
        <v>74</v>
      </c>
      <c r="F695" s="1" t="s">
        <v>7089</v>
      </c>
      <c r="G695" s="1" t="s">
        <v>74</v>
      </c>
      <c r="H695" s="1" t="s">
        <v>74</v>
      </c>
      <c r="I695" s="1" t="s">
        <v>7090</v>
      </c>
      <c r="J695" s="1" t="s">
        <v>428</v>
      </c>
      <c r="K695" s="1" t="s">
        <v>74</v>
      </c>
      <c r="L695" s="1" t="s">
        <v>74</v>
      </c>
      <c r="M695" s="1" t="s">
        <v>74</v>
      </c>
      <c r="N695" s="1" t="s">
        <v>74</v>
      </c>
      <c r="O695" s="1" t="s">
        <v>74</v>
      </c>
      <c r="P695" s="1" t="s">
        <v>74</v>
      </c>
      <c r="Q695" s="1" t="s">
        <v>74</v>
      </c>
      <c r="R695" s="1" t="s">
        <v>74</v>
      </c>
      <c r="S695" s="1" t="s">
        <v>74</v>
      </c>
      <c r="T695" s="1" t="s">
        <v>74</v>
      </c>
      <c r="U695" s="1" t="s">
        <v>74</v>
      </c>
      <c r="V695" s="1" t="s">
        <v>7091</v>
      </c>
      <c r="W695" s="1" t="s">
        <v>74</v>
      </c>
      <c r="X695" s="1" t="s">
        <v>74</v>
      </c>
      <c r="Y695" s="1" t="s">
        <v>74</v>
      </c>
      <c r="Z695" s="1" t="s">
        <v>74</v>
      </c>
      <c r="AA695" s="1" t="s">
        <v>7092</v>
      </c>
      <c r="AB695" s="1" t="s">
        <v>7093</v>
      </c>
      <c r="AC695" s="1" t="s">
        <v>74</v>
      </c>
      <c r="AD695" s="1" t="s">
        <v>74</v>
      </c>
      <c r="AE695" s="1" t="s">
        <v>74</v>
      </c>
      <c r="AF695" s="1" t="s">
        <v>74</v>
      </c>
      <c r="AG695" s="1" t="s">
        <v>74</v>
      </c>
      <c r="AH695" s="1" t="s">
        <v>74</v>
      </c>
      <c r="AI695" s="1" t="s">
        <v>74</v>
      </c>
      <c r="AJ695" s="1" t="s">
        <v>74</v>
      </c>
      <c r="AK695" s="1" t="s">
        <v>74</v>
      </c>
      <c r="AL695" s="1" t="s">
        <v>74</v>
      </c>
      <c r="AM695" s="1" t="s">
        <v>74</v>
      </c>
      <c r="AN695" s="1" t="s">
        <v>74</v>
      </c>
      <c r="AO695" s="1" t="s">
        <v>432</v>
      </c>
      <c r="AP695" s="1" t="s">
        <v>74</v>
      </c>
      <c r="AQ695" s="1" t="s">
        <v>74</v>
      </c>
      <c r="AR695" s="1" t="s">
        <v>74</v>
      </c>
      <c r="AS695" s="1" t="s">
        <v>74</v>
      </c>
      <c r="AT695" s="1" t="s">
        <v>4635</v>
      </c>
      <c r="AU695" s="1">
        <v>2013.0</v>
      </c>
      <c r="AV695" s="1">
        <v>73.0</v>
      </c>
      <c r="AW695" s="1">
        <v>4.0</v>
      </c>
      <c r="AX695" s="1" t="s">
        <v>74</v>
      </c>
      <c r="AY695" s="1" t="s">
        <v>74</v>
      </c>
      <c r="AZ695" s="1" t="s">
        <v>74</v>
      </c>
      <c r="BA695" s="1" t="s">
        <v>74</v>
      </c>
      <c r="BB695" s="1">
        <v>424.0</v>
      </c>
      <c r="BC695" s="1">
        <v>429.0</v>
      </c>
      <c r="BD695" s="1" t="s">
        <v>74</v>
      </c>
      <c r="BE695" s="1" t="s">
        <v>7094</v>
      </c>
      <c r="BF695" s="2" t="str">
        <f>HYPERLINK("http://dx.doi.org/10.4067/S0718-58392013000400014","http://dx.doi.org/10.4067/S0718-58392013000400014")</f>
        <v>http://dx.doi.org/10.4067/S0718-58392013000400014</v>
      </c>
      <c r="BG695" s="1" t="s">
        <v>74</v>
      </c>
      <c r="BH695" s="1" t="s">
        <v>74</v>
      </c>
      <c r="BI695" s="1" t="s">
        <v>74</v>
      </c>
      <c r="BJ695" s="1" t="s">
        <v>74</v>
      </c>
      <c r="BK695" s="1" t="s">
        <v>74</v>
      </c>
      <c r="BL695" s="1" t="s">
        <v>74</v>
      </c>
      <c r="BM695" s="1" t="s">
        <v>74</v>
      </c>
      <c r="BN695" s="1" t="s">
        <v>74</v>
      </c>
      <c r="BO695" s="1" t="s">
        <v>74</v>
      </c>
      <c r="BP695" s="1" t="s">
        <v>74</v>
      </c>
      <c r="BQ695" s="1" t="s">
        <v>74</v>
      </c>
      <c r="BR695" s="1" t="s">
        <v>74</v>
      </c>
      <c r="BS695" s="1" t="s">
        <v>7095</v>
      </c>
      <c r="BT695" s="1" t="str">
        <f>HYPERLINK("https%3A%2F%2Fwww.webofscience.com%2Fwos%2Fwoscc%2Ffull-record%2FWOS:000329432300014","View Full Record in Web of Science")</f>
        <v>View Full Record in Web of Science</v>
      </c>
    </row>
    <row r="696" ht="12.75" customHeight="1">
      <c r="A696" s="1" t="s">
        <v>72</v>
      </c>
      <c r="B696" s="1" t="s">
        <v>7096</v>
      </c>
      <c r="C696" s="1" t="s">
        <v>74</v>
      </c>
      <c r="D696" s="1" t="s">
        <v>74</v>
      </c>
      <c r="E696" s="1" t="s">
        <v>74</v>
      </c>
      <c r="F696" s="1" t="s">
        <v>7097</v>
      </c>
      <c r="G696" s="1" t="s">
        <v>74</v>
      </c>
      <c r="H696" s="1" t="s">
        <v>74</v>
      </c>
      <c r="I696" s="1" t="s">
        <v>7098</v>
      </c>
      <c r="J696" s="1" t="s">
        <v>7099</v>
      </c>
      <c r="K696" s="1" t="s">
        <v>74</v>
      </c>
      <c r="L696" s="1" t="s">
        <v>74</v>
      </c>
      <c r="M696" s="1" t="s">
        <v>74</v>
      </c>
      <c r="N696" s="1" t="s">
        <v>74</v>
      </c>
      <c r="O696" s="1" t="s">
        <v>74</v>
      </c>
      <c r="P696" s="1" t="s">
        <v>74</v>
      </c>
      <c r="Q696" s="1" t="s">
        <v>74</v>
      </c>
      <c r="R696" s="1" t="s">
        <v>74</v>
      </c>
      <c r="S696" s="1" t="s">
        <v>74</v>
      </c>
      <c r="T696" s="1" t="s">
        <v>74</v>
      </c>
      <c r="U696" s="1" t="s">
        <v>74</v>
      </c>
      <c r="V696" s="1" t="s">
        <v>7100</v>
      </c>
      <c r="W696" s="1" t="s">
        <v>74</v>
      </c>
      <c r="X696" s="1" t="s">
        <v>74</v>
      </c>
      <c r="Y696" s="1" t="s">
        <v>74</v>
      </c>
      <c r="Z696" s="1" t="s">
        <v>74</v>
      </c>
      <c r="AA696" s="1" t="s">
        <v>7101</v>
      </c>
      <c r="AB696" s="1" t="s">
        <v>7102</v>
      </c>
      <c r="AC696" s="1" t="s">
        <v>74</v>
      </c>
      <c r="AD696" s="1" t="s">
        <v>74</v>
      </c>
      <c r="AE696" s="1" t="s">
        <v>74</v>
      </c>
      <c r="AF696" s="1" t="s">
        <v>74</v>
      </c>
      <c r="AG696" s="1" t="s">
        <v>74</v>
      </c>
      <c r="AH696" s="1" t="s">
        <v>74</v>
      </c>
      <c r="AI696" s="1" t="s">
        <v>74</v>
      </c>
      <c r="AJ696" s="1" t="s">
        <v>74</v>
      </c>
      <c r="AK696" s="1" t="s">
        <v>74</v>
      </c>
      <c r="AL696" s="1" t="s">
        <v>74</v>
      </c>
      <c r="AM696" s="1" t="s">
        <v>74</v>
      </c>
      <c r="AN696" s="1" t="s">
        <v>74</v>
      </c>
      <c r="AO696" s="1" t="s">
        <v>7103</v>
      </c>
      <c r="AP696" s="1" t="s">
        <v>74</v>
      </c>
      <c r="AQ696" s="1" t="s">
        <v>74</v>
      </c>
      <c r="AR696" s="1" t="s">
        <v>74</v>
      </c>
      <c r="AS696" s="1" t="s">
        <v>74</v>
      </c>
      <c r="AT696" s="1" t="s">
        <v>111</v>
      </c>
      <c r="AU696" s="1">
        <v>2011.0</v>
      </c>
      <c r="AV696" s="1">
        <v>115.0</v>
      </c>
      <c r="AW696" s="1">
        <v>47.0</v>
      </c>
      <c r="AX696" s="1" t="s">
        <v>74</v>
      </c>
      <c r="AY696" s="1" t="s">
        <v>74</v>
      </c>
      <c r="AZ696" s="1" t="s">
        <v>74</v>
      </c>
      <c r="BA696" s="1" t="s">
        <v>74</v>
      </c>
      <c r="BB696" s="1">
        <v>23512.0</v>
      </c>
      <c r="BC696" s="1">
        <v>23518.0</v>
      </c>
      <c r="BD696" s="1" t="s">
        <v>74</v>
      </c>
      <c r="BE696" s="1" t="s">
        <v>7104</v>
      </c>
      <c r="BF696" s="2" t="str">
        <f>HYPERLINK("http://dx.doi.org/10.1021/jp208734f","http://dx.doi.org/10.1021/jp208734f")</f>
        <v>http://dx.doi.org/10.1021/jp208734f</v>
      </c>
      <c r="BG696" s="1" t="s">
        <v>74</v>
      </c>
      <c r="BH696" s="1" t="s">
        <v>74</v>
      </c>
      <c r="BI696" s="1" t="s">
        <v>74</v>
      </c>
      <c r="BJ696" s="1" t="s">
        <v>74</v>
      </c>
      <c r="BK696" s="1" t="s">
        <v>74</v>
      </c>
      <c r="BL696" s="1" t="s">
        <v>74</v>
      </c>
      <c r="BM696" s="1" t="s">
        <v>74</v>
      </c>
      <c r="BN696" s="1" t="s">
        <v>74</v>
      </c>
      <c r="BO696" s="1" t="s">
        <v>74</v>
      </c>
      <c r="BP696" s="1" t="s">
        <v>74</v>
      </c>
      <c r="BQ696" s="1" t="s">
        <v>74</v>
      </c>
      <c r="BR696" s="1" t="s">
        <v>74</v>
      </c>
      <c r="BS696" s="1" t="s">
        <v>7105</v>
      </c>
      <c r="BT696" s="1" t="str">
        <f>HYPERLINK("https%3A%2F%2Fwww.webofscience.com%2Fwos%2Fwoscc%2Ffull-record%2FWOS:000297195200031","View Full Record in Web of Science")</f>
        <v>View Full Record in Web of Science</v>
      </c>
    </row>
    <row r="697" ht="12.75" customHeight="1">
      <c r="A697" s="1" t="s">
        <v>72</v>
      </c>
      <c r="B697" s="1" t="s">
        <v>7106</v>
      </c>
      <c r="C697" s="1" t="s">
        <v>74</v>
      </c>
      <c r="D697" s="1" t="s">
        <v>74</v>
      </c>
      <c r="E697" s="1" t="s">
        <v>74</v>
      </c>
      <c r="F697" s="1" t="s">
        <v>7107</v>
      </c>
      <c r="G697" s="1" t="s">
        <v>74</v>
      </c>
      <c r="H697" s="1" t="s">
        <v>74</v>
      </c>
      <c r="I697" s="1" t="s">
        <v>7108</v>
      </c>
      <c r="J697" s="1" t="s">
        <v>7109</v>
      </c>
      <c r="K697" s="1" t="s">
        <v>74</v>
      </c>
      <c r="L697" s="1" t="s">
        <v>74</v>
      </c>
      <c r="M697" s="1" t="s">
        <v>74</v>
      </c>
      <c r="N697" s="1" t="s">
        <v>74</v>
      </c>
      <c r="O697" s="1" t="s">
        <v>74</v>
      </c>
      <c r="P697" s="1" t="s">
        <v>74</v>
      </c>
      <c r="Q697" s="1" t="s">
        <v>74</v>
      </c>
      <c r="R697" s="1" t="s">
        <v>74</v>
      </c>
      <c r="S697" s="1" t="s">
        <v>74</v>
      </c>
      <c r="T697" s="1" t="s">
        <v>74</v>
      </c>
      <c r="U697" s="1" t="s">
        <v>74</v>
      </c>
      <c r="V697" s="1" t="s">
        <v>7110</v>
      </c>
      <c r="W697" s="1" t="s">
        <v>74</v>
      </c>
      <c r="X697" s="1" t="s">
        <v>74</v>
      </c>
      <c r="Y697" s="1" t="s">
        <v>74</v>
      </c>
      <c r="Z697" s="1" t="s">
        <v>74</v>
      </c>
      <c r="AA697" s="1" t="s">
        <v>74</v>
      </c>
      <c r="AB697" s="1" t="s">
        <v>74</v>
      </c>
      <c r="AC697" s="1" t="s">
        <v>74</v>
      </c>
      <c r="AD697" s="1" t="s">
        <v>74</v>
      </c>
      <c r="AE697" s="1" t="s">
        <v>74</v>
      </c>
      <c r="AF697" s="1" t="s">
        <v>74</v>
      </c>
      <c r="AG697" s="1" t="s">
        <v>74</v>
      </c>
      <c r="AH697" s="1" t="s">
        <v>74</v>
      </c>
      <c r="AI697" s="1" t="s">
        <v>74</v>
      </c>
      <c r="AJ697" s="1" t="s">
        <v>74</v>
      </c>
      <c r="AK697" s="1" t="s">
        <v>74</v>
      </c>
      <c r="AL697" s="1" t="s">
        <v>74</v>
      </c>
      <c r="AM697" s="1" t="s">
        <v>74</v>
      </c>
      <c r="AN697" s="1" t="s">
        <v>74</v>
      </c>
      <c r="AO697" s="1" t="s">
        <v>7111</v>
      </c>
      <c r="AP697" s="1" t="s">
        <v>7112</v>
      </c>
      <c r="AQ697" s="1" t="s">
        <v>74</v>
      </c>
      <c r="AR697" s="1" t="s">
        <v>74</v>
      </c>
      <c r="AS697" s="1" t="s">
        <v>74</v>
      </c>
      <c r="AT697" s="1" t="s">
        <v>74</v>
      </c>
      <c r="AU697" s="1">
        <v>2010.0</v>
      </c>
      <c r="AV697" s="1">
        <v>19.0</v>
      </c>
      <c r="AW697" s="1">
        <v>4.0</v>
      </c>
      <c r="AX697" s="1" t="s">
        <v>74</v>
      </c>
      <c r="AY697" s="1" t="s">
        <v>74</v>
      </c>
      <c r="AZ697" s="1" t="s">
        <v>74</v>
      </c>
      <c r="BA697" s="1" t="s">
        <v>74</v>
      </c>
      <c r="BB697" s="1">
        <v>405.0</v>
      </c>
      <c r="BC697" s="1">
        <v>418.0</v>
      </c>
      <c r="BD697" s="1" t="s">
        <v>7113</v>
      </c>
      <c r="BE697" s="1" t="s">
        <v>7114</v>
      </c>
      <c r="BF697" s="2" t="str">
        <f>HYPERLINK("http://dx.doi.org/10.1080/15320383.2010.486053","http://dx.doi.org/10.1080/15320383.2010.486053")</f>
        <v>http://dx.doi.org/10.1080/15320383.2010.486053</v>
      </c>
      <c r="BG697" s="1" t="s">
        <v>74</v>
      </c>
      <c r="BH697" s="1" t="s">
        <v>74</v>
      </c>
      <c r="BI697" s="1" t="s">
        <v>74</v>
      </c>
      <c r="BJ697" s="1" t="s">
        <v>74</v>
      </c>
      <c r="BK697" s="1" t="s">
        <v>74</v>
      </c>
      <c r="BL697" s="1" t="s">
        <v>74</v>
      </c>
      <c r="BM697" s="1" t="s">
        <v>74</v>
      </c>
      <c r="BN697" s="1" t="s">
        <v>74</v>
      </c>
      <c r="BO697" s="1" t="s">
        <v>74</v>
      </c>
      <c r="BP697" s="1" t="s">
        <v>74</v>
      </c>
      <c r="BQ697" s="1" t="s">
        <v>74</v>
      </c>
      <c r="BR697" s="1" t="s">
        <v>74</v>
      </c>
      <c r="BS697" s="1" t="s">
        <v>7115</v>
      </c>
      <c r="BT697" s="1" t="str">
        <f>HYPERLINK("https%3A%2F%2Fwww.webofscience.com%2Fwos%2Fwoscc%2Ffull-record%2FWOS:000278713700002","View Full Record in Web of Science")</f>
        <v>View Full Record in Web of Science</v>
      </c>
    </row>
    <row r="698" ht="12.75" customHeight="1">
      <c r="A698" s="1" t="s">
        <v>72</v>
      </c>
      <c r="B698" s="1" t="s">
        <v>7116</v>
      </c>
      <c r="C698" s="1" t="s">
        <v>74</v>
      </c>
      <c r="D698" s="1" t="s">
        <v>74</v>
      </c>
      <c r="E698" s="1" t="s">
        <v>74</v>
      </c>
      <c r="F698" s="1" t="s">
        <v>7117</v>
      </c>
      <c r="G698" s="1" t="s">
        <v>74</v>
      </c>
      <c r="H698" s="1" t="s">
        <v>74</v>
      </c>
      <c r="I698" s="1" t="s">
        <v>7118</v>
      </c>
      <c r="J698" s="1" t="s">
        <v>630</v>
      </c>
      <c r="K698" s="1" t="s">
        <v>74</v>
      </c>
      <c r="L698" s="1" t="s">
        <v>74</v>
      </c>
      <c r="M698" s="1" t="s">
        <v>74</v>
      </c>
      <c r="N698" s="1" t="s">
        <v>74</v>
      </c>
      <c r="O698" s="1" t="s">
        <v>74</v>
      </c>
      <c r="P698" s="1" t="s">
        <v>74</v>
      </c>
      <c r="Q698" s="1" t="s">
        <v>74</v>
      </c>
      <c r="R698" s="1" t="s">
        <v>74</v>
      </c>
      <c r="S698" s="1" t="s">
        <v>74</v>
      </c>
      <c r="T698" s="1" t="s">
        <v>74</v>
      </c>
      <c r="U698" s="1" t="s">
        <v>74</v>
      </c>
      <c r="V698" s="1" t="s">
        <v>7119</v>
      </c>
      <c r="W698" s="1" t="s">
        <v>74</v>
      </c>
      <c r="X698" s="1" t="s">
        <v>74</v>
      </c>
      <c r="Y698" s="1" t="s">
        <v>74</v>
      </c>
      <c r="Z698" s="1" t="s">
        <v>74</v>
      </c>
      <c r="AA698" s="1" t="s">
        <v>2916</v>
      </c>
      <c r="AB698" s="1" t="s">
        <v>7120</v>
      </c>
      <c r="AC698" s="1" t="s">
        <v>74</v>
      </c>
      <c r="AD698" s="1" t="s">
        <v>74</v>
      </c>
      <c r="AE698" s="1" t="s">
        <v>74</v>
      </c>
      <c r="AF698" s="1" t="s">
        <v>74</v>
      </c>
      <c r="AG698" s="1" t="s">
        <v>74</v>
      </c>
      <c r="AH698" s="1" t="s">
        <v>74</v>
      </c>
      <c r="AI698" s="1" t="s">
        <v>74</v>
      </c>
      <c r="AJ698" s="1" t="s">
        <v>74</v>
      </c>
      <c r="AK698" s="1" t="s">
        <v>74</v>
      </c>
      <c r="AL698" s="1" t="s">
        <v>74</v>
      </c>
      <c r="AM698" s="1" t="s">
        <v>74</v>
      </c>
      <c r="AN698" s="1" t="s">
        <v>74</v>
      </c>
      <c r="AO698" s="1" t="s">
        <v>634</v>
      </c>
      <c r="AP698" s="1" t="s">
        <v>74</v>
      </c>
      <c r="AQ698" s="1" t="s">
        <v>74</v>
      </c>
      <c r="AR698" s="1" t="s">
        <v>74</v>
      </c>
      <c r="AS698" s="1" t="s">
        <v>74</v>
      </c>
      <c r="AT698" s="1" t="s">
        <v>1018</v>
      </c>
      <c r="AU698" s="1">
        <v>2009.0</v>
      </c>
      <c r="AV698" s="1">
        <v>14.0</v>
      </c>
      <c r="AW698" s="1">
        <v>2.0</v>
      </c>
      <c r="AX698" s="1" t="s">
        <v>74</v>
      </c>
      <c r="AY698" s="1" t="s">
        <v>74</v>
      </c>
      <c r="AZ698" s="1" t="s">
        <v>74</v>
      </c>
      <c r="BA698" s="1" t="s">
        <v>74</v>
      </c>
      <c r="BB698" s="1">
        <v>777.0</v>
      </c>
      <c r="BC698" s="1">
        <v>786.0</v>
      </c>
      <c r="BD698" s="1" t="s">
        <v>74</v>
      </c>
      <c r="BE698" s="1" t="s">
        <v>7121</v>
      </c>
      <c r="BF698" s="2" t="str">
        <f>HYPERLINK("http://dx.doi.org/10.1590/S1517-70762009000200002","http://dx.doi.org/10.1590/S1517-70762009000200002")</f>
        <v>http://dx.doi.org/10.1590/S1517-70762009000200002</v>
      </c>
      <c r="BG698" s="1" t="s">
        <v>74</v>
      </c>
      <c r="BH698" s="1" t="s">
        <v>74</v>
      </c>
      <c r="BI698" s="1" t="s">
        <v>74</v>
      </c>
      <c r="BJ698" s="1" t="s">
        <v>74</v>
      </c>
      <c r="BK698" s="1" t="s">
        <v>74</v>
      </c>
      <c r="BL698" s="1" t="s">
        <v>74</v>
      </c>
      <c r="BM698" s="1" t="s">
        <v>74</v>
      </c>
      <c r="BN698" s="1" t="s">
        <v>74</v>
      </c>
      <c r="BO698" s="1" t="s">
        <v>74</v>
      </c>
      <c r="BP698" s="1" t="s">
        <v>74</v>
      </c>
      <c r="BQ698" s="1" t="s">
        <v>74</v>
      </c>
      <c r="BR698" s="1" t="s">
        <v>74</v>
      </c>
      <c r="BS698" s="1" t="s">
        <v>7122</v>
      </c>
      <c r="BT698" s="1" t="str">
        <f>HYPERLINK("https%3A%2F%2Fwww.webofscience.com%2Fwos%2Fwoscc%2Ffull-record%2FWOS:000269838800002","View Full Record in Web of Science")</f>
        <v>View Full Record in Web of Science</v>
      </c>
    </row>
    <row r="699" ht="12.75" customHeight="1">
      <c r="A699" s="1" t="s">
        <v>72</v>
      </c>
      <c r="B699" s="1" t="s">
        <v>7123</v>
      </c>
      <c r="C699" s="1" t="s">
        <v>74</v>
      </c>
      <c r="D699" s="1" t="s">
        <v>74</v>
      </c>
      <c r="E699" s="1" t="s">
        <v>74</v>
      </c>
      <c r="F699" s="1" t="s">
        <v>7124</v>
      </c>
      <c r="G699" s="1" t="s">
        <v>74</v>
      </c>
      <c r="H699" s="1" t="s">
        <v>74</v>
      </c>
      <c r="I699" s="1" t="s">
        <v>7125</v>
      </c>
      <c r="J699" s="1" t="s">
        <v>7126</v>
      </c>
      <c r="K699" s="1" t="s">
        <v>74</v>
      </c>
      <c r="L699" s="1" t="s">
        <v>74</v>
      </c>
      <c r="M699" s="1" t="s">
        <v>74</v>
      </c>
      <c r="N699" s="1" t="s">
        <v>74</v>
      </c>
      <c r="O699" s="1" t="s">
        <v>74</v>
      </c>
      <c r="P699" s="1" t="s">
        <v>74</v>
      </c>
      <c r="Q699" s="1" t="s">
        <v>74</v>
      </c>
      <c r="R699" s="1" t="s">
        <v>74</v>
      </c>
      <c r="S699" s="1" t="s">
        <v>74</v>
      </c>
      <c r="T699" s="1" t="s">
        <v>74</v>
      </c>
      <c r="U699" s="1" t="s">
        <v>74</v>
      </c>
      <c r="V699" s="1" t="s">
        <v>7127</v>
      </c>
      <c r="W699" s="1" t="s">
        <v>74</v>
      </c>
      <c r="X699" s="1" t="s">
        <v>74</v>
      </c>
      <c r="Y699" s="1" t="s">
        <v>74</v>
      </c>
      <c r="Z699" s="1" t="s">
        <v>74</v>
      </c>
      <c r="AA699" s="1" t="s">
        <v>7128</v>
      </c>
      <c r="AB699" s="1" t="s">
        <v>7129</v>
      </c>
      <c r="AC699" s="1" t="s">
        <v>74</v>
      </c>
      <c r="AD699" s="1" t="s">
        <v>74</v>
      </c>
      <c r="AE699" s="1" t="s">
        <v>74</v>
      </c>
      <c r="AF699" s="1" t="s">
        <v>74</v>
      </c>
      <c r="AG699" s="1" t="s">
        <v>74</v>
      </c>
      <c r="AH699" s="1" t="s">
        <v>74</v>
      </c>
      <c r="AI699" s="1" t="s">
        <v>74</v>
      </c>
      <c r="AJ699" s="1" t="s">
        <v>74</v>
      </c>
      <c r="AK699" s="1" t="s">
        <v>74</v>
      </c>
      <c r="AL699" s="1" t="s">
        <v>74</v>
      </c>
      <c r="AM699" s="1" t="s">
        <v>74</v>
      </c>
      <c r="AN699" s="1" t="s">
        <v>74</v>
      </c>
      <c r="AO699" s="1" t="s">
        <v>7130</v>
      </c>
      <c r="AP699" s="1" t="s">
        <v>7131</v>
      </c>
      <c r="AQ699" s="1" t="s">
        <v>74</v>
      </c>
      <c r="AR699" s="1" t="s">
        <v>74</v>
      </c>
      <c r="AS699" s="1" t="s">
        <v>74</v>
      </c>
      <c r="AT699" s="1" t="s">
        <v>2281</v>
      </c>
      <c r="AU699" s="1">
        <v>2008.0</v>
      </c>
      <c r="AV699" s="1">
        <v>46.0</v>
      </c>
      <c r="AW699" s="1">
        <v>8.0</v>
      </c>
      <c r="AX699" s="1" t="s">
        <v>74</v>
      </c>
      <c r="AY699" s="1" t="s">
        <v>74</v>
      </c>
      <c r="AZ699" s="1" t="s">
        <v>74</v>
      </c>
      <c r="BA699" s="1" t="s">
        <v>74</v>
      </c>
      <c r="BB699" s="1">
        <v>798.0</v>
      </c>
      <c r="BC699" s="1">
        <v>806.0</v>
      </c>
      <c r="BD699" s="1" t="s">
        <v>74</v>
      </c>
      <c r="BE699" s="1" t="s">
        <v>7132</v>
      </c>
      <c r="BF699" s="2" t="str">
        <f>HYPERLINK("http://dx.doi.org/10.1002/polb.21416","http://dx.doi.org/10.1002/polb.21416")</f>
        <v>http://dx.doi.org/10.1002/polb.21416</v>
      </c>
      <c r="BG699" s="1" t="s">
        <v>74</v>
      </c>
      <c r="BH699" s="1" t="s">
        <v>74</v>
      </c>
      <c r="BI699" s="1" t="s">
        <v>74</v>
      </c>
      <c r="BJ699" s="1" t="s">
        <v>74</v>
      </c>
      <c r="BK699" s="1" t="s">
        <v>74</v>
      </c>
      <c r="BL699" s="1" t="s">
        <v>74</v>
      </c>
      <c r="BM699" s="1" t="s">
        <v>74</v>
      </c>
      <c r="BN699" s="1" t="s">
        <v>74</v>
      </c>
      <c r="BO699" s="1" t="s">
        <v>74</v>
      </c>
      <c r="BP699" s="1" t="s">
        <v>74</v>
      </c>
      <c r="BQ699" s="1" t="s">
        <v>74</v>
      </c>
      <c r="BR699" s="1" t="s">
        <v>74</v>
      </c>
      <c r="BS699" s="1" t="s">
        <v>7133</v>
      </c>
      <c r="BT699" s="1" t="str">
        <f>HYPERLINK("https%3A%2F%2Fwww.webofscience.com%2Fwos%2Fwoscc%2Ffull-record%2FWOS:000254978500004","View Full Record in Web of Science")</f>
        <v>View Full Record in Web of Science</v>
      </c>
    </row>
    <row r="700" ht="12.75" customHeight="1">
      <c r="A700" s="1" t="s">
        <v>72</v>
      </c>
      <c r="B700" s="1" t="s">
        <v>7134</v>
      </c>
      <c r="C700" s="1" t="s">
        <v>74</v>
      </c>
      <c r="D700" s="1" t="s">
        <v>74</v>
      </c>
      <c r="E700" s="1" t="s">
        <v>74</v>
      </c>
      <c r="F700" s="1" t="s">
        <v>7135</v>
      </c>
      <c r="G700" s="1" t="s">
        <v>74</v>
      </c>
      <c r="H700" s="1" t="s">
        <v>74</v>
      </c>
      <c r="I700" s="1" t="s">
        <v>7136</v>
      </c>
      <c r="J700" s="1" t="s">
        <v>7137</v>
      </c>
      <c r="K700" s="1" t="s">
        <v>74</v>
      </c>
      <c r="L700" s="1" t="s">
        <v>74</v>
      </c>
      <c r="M700" s="1" t="s">
        <v>74</v>
      </c>
      <c r="N700" s="1" t="s">
        <v>74</v>
      </c>
      <c r="O700" s="1" t="s">
        <v>74</v>
      </c>
      <c r="P700" s="1" t="s">
        <v>74</v>
      </c>
      <c r="Q700" s="1" t="s">
        <v>74</v>
      </c>
      <c r="R700" s="1" t="s">
        <v>74</v>
      </c>
      <c r="S700" s="1" t="s">
        <v>74</v>
      </c>
      <c r="T700" s="1" t="s">
        <v>74</v>
      </c>
      <c r="U700" s="1" t="s">
        <v>74</v>
      </c>
      <c r="V700" s="1" t="s">
        <v>7138</v>
      </c>
      <c r="W700" s="1" t="s">
        <v>74</v>
      </c>
      <c r="X700" s="1" t="s">
        <v>74</v>
      </c>
      <c r="Y700" s="1" t="s">
        <v>74</v>
      </c>
      <c r="Z700" s="1" t="s">
        <v>74</v>
      </c>
      <c r="AA700" s="1" t="s">
        <v>2538</v>
      </c>
      <c r="AB700" s="1" t="s">
        <v>2539</v>
      </c>
      <c r="AC700" s="1" t="s">
        <v>74</v>
      </c>
      <c r="AD700" s="1" t="s">
        <v>74</v>
      </c>
      <c r="AE700" s="1" t="s">
        <v>74</v>
      </c>
      <c r="AF700" s="1" t="s">
        <v>74</v>
      </c>
      <c r="AG700" s="1" t="s">
        <v>74</v>
      </c>
      <c r="AH700" s="1" t="s">
        <v>74</v>
      </c>
      <c r="AI700" s="1" t="s">
        <v>74</v>
      </c>
      <c r="AJ700" s="1" t="s">
        <v>74</v>
      </c>
      <c r="AK700" s="1" t="s">
        <v>74</v>
      </c>
      <c r="AL700" s="1" t="s">
        <v>74</v>
      </c>
      <c r="AM700" s="1" t="s">
        <v>74</v>
      </c>
      <c r="AN700" s="1" t="s">
        <v>74</v>
      </c>
      <c r="AO700" s="1" t="s">
        <v>7139</v>
      </c>
      <c r="AP700" s="1" t="s">
        <v>7140</v>
      </c>
      <c r="AQ700" s="1" t="s">
        <v>74</v>
      </c>
      <c r="AR700" s="1" t="s">
        <v>74</v>
      </c>
      <c r="AS700" s="1" t="s">
        <v>74</v>
      </c>
      <c r="AT700" s="1" t="s">
        <v>74</v>
      </c>
      <c r="AU700" s="1">
        <v>2008.0</v>
      </c>
      <c r="AV700" s="1">
        <v>43.0</v>
      </c>
      <c r="AW700" s="1">
        <v>5.0</v>
      </c>
      <c r="AX700" s="1" t="s">
        <v>74</v>
      </c>
      <c r="AY700" s="1" t="s">
        <v>74</v>
      </c>
      <c r="AZ700" s="1" t="s">
        <v>74</v>
      </c>
      <c r="BA700" s="1" t="s">
        <v>74</v>
      </c>
      <c r="BB700" s="1">
        <v>437.0</v>
      </c>
      <c r="BC700" s="1">
        <v>442.0</v>
      </c>
      <c r="BD700" s="1" t="s">
        <v>74</v>
      </c>
      <c r="BE700" s="1" t="s">
        <v>7141</v>
      </c>
      <c r="BF700" s="2" t="str">
        <f>HYPERLINK("http://dx.doi.org/10.1080/03601230802062281","http://dx.doi.org/10.1080/03601230802062281")</f>
        <v>http://dx.doi.org/10.1080/03601230802062281</v>
      </c>
      <c r="BG700" s="1" t="s">
        <v>74</v>
      </c>
      <c r="BH700" s="1" t="s">
        <v>74</v>
      </c>
      <c r="BI700" s="1" t="s">
        <v>74</v>
      </c>
      <c r="BJ700" s="1" t="s">
        <v>74</v>
      </c>
      <c r="BK700" s="1" t="s">
        <v>74</v>
      </c>
      <c r="BL700" s="1" t="s">
        <v>74</v>
      </c>
      <c r="BM700" s="1" t="s">
        <v>74</v>
      </c>
      <c r="BN700" s="1">
        <v>1.8576225E7</v>
      </c>
      <c r="BO700" s="1" t="s">
        <v>74</v>
      </c>
      <c r="BP700" s="1" t="s">
        <v>74</v>
      </c>
      <c r="BQ700" s="1" t="s">
        <v>74</v>
      </c>
      <c r="BR700" s="1" t="s">
        <v>74</v>
      </c>
      <c r="BS700" s="1" t="s">
        <v>7142</v>
      </c>
      <c r="BT700" s="1" t="str">
        <f>HYPERLINK("https%3A%2F%2Fwww.webofscience.com%2Fwos%2Fwoscc%2Ffull-record%2FWOS:000257112500010","View Full Record in Web of Science")</f>
        <v>View Full Record in Web of Science</v>
      </c>
    </row>
    <row r="701" ht="12.75" customHeight="1">
      <c r="A701" s="1" t="s">
        <v>72</v>
      </c>
      <c r="B701" s="1" t="s">
        <v>7143</v>
      </c>
      <c r="C701" s="1" t="s">
        <v>74</v>
      </c>
      <c r="D701" s="1" t="s">
        <v>74</v>
      </c>
      <c r="E701" s="1" t="s">
        <v>74</v>
      </c>
      <c r="F701" s="1" t="s">
        <v>7144</v>
      </c>
      <c r="G701" s="1" t="s">
        <v>74</v>
      </c>
      <c r="H701" s="1" t="s">
        <v>74</v>
      </c>
      <c r="I701" s="1" t="s">
        <v>7145</v>
      </c>
      <c r="J701" s="1" t="s">
        <v>7146</v>
      </c>
      <c r="K701" s="1" t="s">
        <v>74</v>
      </c>
      <c r="L701" s="1" t="s">
        <v>74</v>
      </c>
      <c r="M701" s="1" t="s">
        <v>74</v>
      </c>
      <c r="N701" s="1" t="s">
        <v>74</v>
      </c>
      <c r="O701" s="1" t="s">
        <v>74</v>
      </c>
      <c r="P701" s="1" t="s">
        <v>74</v>
      </c>
      <c r="Q701" s="1" t="s">
        <v>74</v>
      </c>
      <c r="R701" s="1" t="s">
        <v>74</v>
      </c>
      <c r="S701" s="1" t="s">
        <v>74</v>
      </c>
      <c r="T701" s="1" t="s">
        <v>74</v>
      </c>
      <c r="U701" s="1" t="s">
        <v>74</v>
      </c>
      <c r="V701" s="1" t="s">
        <v>7147</v>
      </c>
      <c r="W701" s="1" t="s">
        <v>74</v>
      </c>
      <c r="X701" s="1" t="s">
        <v>74</v>
      </c>
      <c r="Y701" s="1" t="s">
        <v>74</v>
      </c>
      <c r="Z701" s="1" t="s">
        <v>74</v>
      </c>
      <c r="AA701" s="1" t="s">
        <v>7148</v>
      </c>
      <c r="AB701" s="1" t="s">
        <v>7149</v>
      </c>
      <c r="AC701" s="1" t="s">
        <v>74</v>
      </c>
      <c r="AD701" s="1" t="s">
        <v>74</v>
      </c>
      <c r="AE701" s="1" t="s">
        <v>74</v>
      </c>
      <c r="AF701" s="1" t="s">
        <v>74</v>
      </c>
      <c r="AG701" s="1" t="s">
        <v>74</v>
      </c>
      <c r="AH701" s="1" t="s">
        <v>74</v>
      </c>
      <c r="AI701" s="1" t="s">
        <v>74</v>
      </c>
      <c r="AJ701" s="1" t="s">
        <v>74</v>
      </c>
      <c r="AK701" s="1" t="s">
        <v>74</v>
      </c>
      <c r="AL701" s="1" t="s">
        <v>74</v>
      </c>
      <c r="AM701" s="1" t="s">
        <v>74</v>
      </c>
      <c r="AN701" s="1" t="s">
        <v>74</v>
      </c>
      <c r="AO701" s="1" t="s">
        <v>7150</v>
      </c>
      <c r="AP701" s="1" t="s">
        <v>7151</v>
      </c>
      <c r="AQ701" s="1" t="s">
        <v>74</v>
      </c>
      <c r="AR701" s="1" t="s">
        <v>74</v>
      </c>
      <c r="AS701" s="1" t="s">
        <v>74</v>
      </c>
      <c r="AT701" s="1" t="s">
        <v>74</v>
      </c>
      <c r="AU701" s="1">
        <v>2006.0</v>
      </c>
      <c r="AV701" s="1">
        <v>122.0</v>
      </c>
      <c r="AW701" s="1" t="s">
        <v>1214</v>
      </c>
      <c r="AX701" s="1" t="s">
        <v>74</v>
      </c>
      <c r="AY701" s="1" t="s">
        <v>74</v>
      </c>
      <c r="AZ701" s="1" t="s">
        <v>74</v>
      </c>
      <c r="BA701" s="1" t="s">
        <v>74</v>
      </c>
      <c r="BB701" s="1">
        <v>313.0</v>
      </c>
      <c r="BC701" s="1">
        <v>320.0</v>
      </c>
      <c r="BD701" s="1" t="s">
        <v>74</v>
      </c>
      <c r="BE701" s="1" t="s">
        <v>7152</v>
      </c>
      <c r="BF701" s="2" t="str">
        <f>HYPERLINK("http://dx.doi.org/10.1007/s11214-006-7846-2","http://dx.doi.org/10.1007/s11214-006-7846-2")</f>
        <v>http://dx.doi.org/10.1007/s11214-006-7846-2</v>
      </c>
      <c r="BG701" s="1" t="s">
        <v>74</v>
      </c>
      <c r="BH701" s="1" t="s">
        <v>74</v>
      </c>
      <c r="BI701" s="1" t="s">
        <v>74</v>
      </c>
      <c r="BJ701" s="1" t="s">
        <v>74</v>
      </c>
      <c r="BK701" s="1" t="s">
        <v>74</v>
      </c>
      <c r="BL701" s="1" t="s">
        <v>74</v>
      </c>
      <c r="BM701" s="1" t="s">
        <v>74</v>
      </c>
      <c r="BN701" s="1" t="s">
        <v>74</v>
      </c>
      <c r="BO701" s="1" t="s">
        <v>74</v>
      </c>
      <c r="BP701" s="1" t="s">
        <v>74</v>
      </c>
      <c r="BQ701" s="1" t="s">
        <v>74</v>
      </c>
      <c r="BR701" s="1" t="s">
        <v>74</v>
      </c>
      <c r="BS701" s="1" t="s">
        <v>7153</v>
      </c>
      <c r="BT701" s="1" t="str">
        <f>HYPERLINK("https%3A%2F%2Fwww.webofscience.com%2Fwos%2Fwoscc%2Ffull-record%2FWOS:000239927800031","View Full Record in Web of Science")</f>
        <v>View Full Record in Web of Science</v>
      </c>
    </row>
    <row r="702" ht="12.75" customHeight="1">
      <c r="A702" s="1" t="s">
        <v>72</v>
      </c>
      <c r="B702" s="1" t="s">
        <v>6455</v>
      </c>
      <c r="C702" s="1" t="s">
        <v>74</v>
      </c>
      <c r="D702" s="1" t="s">
        <v>74</v>
      </c>
      <c r="E702" s="1" t="s">
        <v>74</v>
      </c>
      <c r="F702" s="1" t="s">
        <v>6455</v>
      </c>
      <c r="G702" s="1" t="s">
        <v>74</v>
      </c>
      <c r="H702" s="1" t="s">
        <v>74</v>
      </c>
      <c r="I702" s="1" t="s">
        <v>7154</v>
      </c>
      <c r="J702" s="1" t="s">
        <v>890</v>
      </c>
      <c r="K702" s="1" t="s">
        <v>74</v>
      </c>
      <c r="L702" s="1" t="s">
        <v>74</v>
      </c>
      <c r="M702" s="1" t="s">
        <v>74</v>
      </c>
      <c r="N702" s="1" t="s">
        <v>74</v>
      </c>
      <c r="O702" s="1" t="s">
        <v>74</v>
      </c>
      <c r="P702" s="1" t="s">
        <v>74</v>
      </c>
      <c r="Q702" s="1" t="s">
        <v>74</v>
      </c>
      <c r="R702" s="1" t="s">
        <v>74</v>
      </c>
      <c r="S702" s="1" t="s">
        <v>74</v>
      </c>
      <c r="T702" s="1" t="s">
        <v>74</v>
      </c>
      <c r="U702" s="1" t="s">
        <v>74</v>
      </c>
      <c r="V702" s="1" t="s">
        <v>7155</v>
      </c>
      <c r="W702" s="1" t="s">
        <v>74</v>
      </c>
      <c r="X702" s="1" t="s">
        <v>74</v>
      </c>
      <c r="Y702" s="1" t="s">
        <v>74</v>
      </c>
      <c r="Z702" s="1" t="s">
        <v>74</v>
      </c>
      <c r="AA702" s="1" t="s">
        <v>74</v>
      </c>
      <c r="AB702" s="1" t="s">
        <v>6460</v>
      </c>
      <c r="AC702" s="1" t="s">
        <v>74</v>
      </c>
      <c r="AD702" s="1" t="s">
        <v>74</v>
      </c>
      <c r="AE702" s="1" t="s">
        <v>74</v>
      </c>
      <c r="AF702" s="1" t="s">
        <v>74</v>
      </c>
      <c r="AG702" s="1" t="s">
        <v>74</v>
      </c>
      <c r="AH702" s="1" t="s">
        <v>74</v>
      </c>
      <c r="AI702" s="1" t="s">
        <v>74</v>
      </c>
      <c r="AJ702" s="1" t="s">
        <v>74</v>
      </c>
      <c r="AK702" s="1" t="s">
        <v>74</v>
      </c>
      <c r="AL702" s="1" t="s">
        <v>74</v>
      </c>
      <c r="AM702" s="1" t="s">
        <v>74</v>
      </c>
      <c r="AN702" s="1" t="s">
        <v>74</v>
      </c>
      <c r="AO702" s="1" t="s">
        <v>893</v>
      </c>
      <c r="AP702" s="1" t="s">
        <v>894</v>
      </c>
      <c r="AQ702" s="1" t="s">
        <v>74</v>
      </c>
      <c r="AR702" s="1" t="s">
        <v>74</v>
      </c>
      <c r="AS702" s="1" t="s">
        <v>74</v>
      </c>
      <c r="AT702" s="1" t="s">
        <v>2871</v>
      </c>
      <c r="AU702" s="1">
        <v>2005.0</v>
      </c>
      <c r="AV702" s="1">
        <v>211.0</v>
      </c>
      <c r="AW702" s="1">
        <v>1.0</v>
      </c>
      <c r="AX702" s="1" t="s">
        <v>74</v>
      </c>
      <c r="AY702" s="1" t="s">
        <v>74</v>
      </c>
      <c r="AZ702" s="1" t="s">
        <v>74</v>
      </c>
      <c r="BA702" s="1" t="s">
        <v>74</v>
      </c>
      <c r="BB702" s="1">
        <v>1.0</v>
      </c>
      <c r="BC702" s="1">
        <v>19.0</v>
      </c>
      <c r="BD702" s="1" t="s">
        <v>74</v>
      </c>
      <c r="BE702" s="1" t="s">
        <v>7156</v>
      </c>
      <c r="BF702" s="2" t="str">
        <f>HYPERLINK("http://dx.doi.org/10.1016/j.jde.2004.04.013","http://dx.doi.org/10.1016/j.jde.2004.04.013")</f>
        <v>http://dx.doi.org/10.1016/j.jde.2004.04.013</v>
      </c>
      <c r="BG702" s="1" t="s">
        <v>74</v>
      </c>
      <c r="BH702" s="1" t="s">
        <v>74</v>
      </c>
      <c r="BI702" s="1" t="s">
        <v>74</v>
      </c>
      <c r="BJ702" s="1" t="s">
        <v>74</v>
      </c>
      <c r="BK702" s="1" t="s">
        <v>74</v>
      </c>
      <c r="BL702" s="1" t="s">
        <v>74</v>
      </c>
      <c r="BM702" s="1" t="s">
        <v>74</v>
      </c>
      <c r="BN702" s="1" t="s">
        <v>74</v>
      </c>
      <c r="BO702" s="1" t="s">
        <v>74</v>
      </c>
      <c r="BP702" s="1" t="s">
        <v>74</v>
      </c>
      <c r="BQ702" s="1" t="s">
        <v>74</v>
      </c>
      <c r="BR702" s="1" t="s">
        <v>74</v>
      </c>
      <c r="BS702" s="1" t="s">
        <v>7157</v>
      </c>
      <c r="BT702" s="1" t="str">
        <f>HYPERLINK("https%3A%2F%2Fwww.webofscience.com%2Fwos%2Fwoscc%2Ffull-record%2FWOS:000227535900001","View Full Record in Web of Science")</f>
        <v>View Full Record in Web of Science</v>
      </c>
    </row>
    <row r="703" ht="12.75" customHeight="1">
      <c r="A703" s="1" t="s">
        <v>72</v>
      </c>
      <c r="B703" s="1" t="s">
        <v>5511</v>
      </c>
      <c r="C703" s="1" t="s">
        <v>74</v>
      </c>
      <c r="D703" s="1" t="s">
        <v>74</v>
      </c>
      <c r="E703" s="1" t="s">
        <v>74</v>
      </c>
      <c r="F703" s="1" t="s">
        <v>5511</v>
      </c>
      <c r="G703" s="1" t="s">
        <v>74</v>
      </c>
      <c r="H703" s="1" t="s">
        <v>74</v>
      </c>
      <c r="I703" s="1" t="s">
        <v>7158</v>
      </c>
      <c r="J703" s="1" t="s">
        <v>169</v>
      </c>
      <c r="K703" s="1" t="s">
        <v>74</v>
      </c>
      <c r="L703" s="1" t="s">
        <v>74</v>
      </c>
      <c r="M703" s="1" t="s">
        <v>74</v>
      </c>
      <c r="N703" s="1" t="s">
        <v>74</v>
      </c>
      <c r="O703" s="1" t="s">
        <v>74</v>
      </c>
      <c r="P703" s="1" t="s">
        <v>74</v>
      </c>
      <c r="Q703" s="1" t="s">
        <v>74</v>
      </c>
      <c r="R703" s="1" t="s">
        <v>74</v>
      </c>
      <c r="S703" s="1" t="s">
        <v>74</v>
      </c>
      <c r="T703" s="1" t="s">
        <v>74</v>
      </c>
      <c r="U703" s="1" t="s">
        <v>74</v>
      </c>
      <c r="V703" s="1" t="s">
        <v>7159</v>
      </c>
      <c r="W703" s="1" t="s">
        <v>74</v>
      </c>
      <c r="X703" s="1" t="s">
        <v>74</v>
      </c>
      <c r="Y703" s="1" t="s">
        <v>74</v>
      </c>
      <c r="Z703" s="1" t="s">
        <v>74</v>
      </c>
      <c r="AA703" s="1" t="s">
        <v>7160</v>
      </c>
      <c r="AB703" s="1" t="s">
        <v>7161</v>
      </c>
      <c r="AC703" s="1" t="s">
        <v>74</v>
      </c>
      <c r="AD703" s="1" t="s">
        <v>74</v>
      </c>
      <c r="AE703" s="1" t="s">
        <v>74</v>
      </c>
      <c r="AF703" s="1" t="s">
        <v>74</v>
      </c>
      <c r="AG703" s="1" t="s">
        <v>74</v>
      </c>
      <c r="AH703" s="1" t="s">
        <v>74</v>
      </c>
      <c r="AI703" s="1" t="s">
        <v>74</v>
      </c>
      <c r="AJ703" s="1" t="s">
        <v>74</v>
      </c>
      <c r="AK703" s="1" t="s">
        <v>74</v>
      </c>
      <c r="AL703" s="1" t="s">
        <v>74</v>
      </c>
      <c r="AM703" s="1" t="s">
        <v>74</v>
      </c>
      <c r="AN703" s="1" t="s">
        <v>74</v>
      </c>
      <c r="AO703" s="1" t="s">
        <v>173</v>
      </c>
      <c r="AP703" s="1" t="s">
        <v>174</v>
      </c>
      <c r="AQ703" s="1" t="s">
        <v>74</v>
      </c>
      <c r="AR703" s="1" t="s">
        <v>74</v>
      </c>
      <c r="AS703" s="1" t="s">
        <v>74</v>
      </c>
      <c r="AT703" s="1" t="s">
        <v>7162</v>
      </c>
      <c r="AU703" s="1">
        <v>2003.0</v>
      </c>
      <c r="AV703" s="1">
        <v>565.0</v>
      </c>
      <c r="AW703" s="1" t="s">
        <v>1214</v>
      </c>
      <c r="AX703" s="1" t="s">
        <v>74</v>
      </c>
      <c r="AY703" s="1" t="s">
        <v>74</v>
      </c>
      <c r="AZ703" s="1" t="s">
        <v>74</v>
      </c>
      <c r="BA703" s="1" t="s">
        <v>74</v>
      </c>
      <c r="BB703" s="1">
        <v>222.0</v>
      </c>
      <c r="BC703" s="1">
        <v>228.0</v>
      </c>
      <c r="BD703" s="1" t="s">
        <v>74</v>
      </c>
      <c r="BE703" s="1" t="s">
        <v>7163</v>
      </c>
      <c r="BF703" s="2" t="str">
        <f>HYPERLINK("http://dx.doi.org/10.1016/S0370-2693(03)00728-7","http://dx.doi.org/10.1016/S0370-2693(03)00728-7")</f>
        <v>http://dx.doi.org/10.1016/S0370-2693(03)00728-7</v>
      </c>
      <c r="BG703" s="1" t="s">
        <v>74</v>
      </c>
      <c r="BH703" s="1" t="s">
        <v>74</v>
      </c>
      <c r="BI703" s="1" t="s">
        <v>74</v>
      </c>
      <c r="BJ703" s="1" t="s">
        <v>74</v>
      </c>
      <c r="BK703" s="1" t="s">
        <v>74</v>
      </c>
      <c r="BL703" s="1" t="s">
        <v>74</v>
      </c>
      <c r="BM703" s="1" t="s">
        <v>74</v>
      </c>
      <c r="BN703" s="1" t="s">
        <v>74</v>
      </c>
      <c r="BO703" s="1" t="s">
        <v>74</v>
      </c>
      <c r="BP703" s="1" t="s">
        <v>74</v>
      </c>
      <c r="BQ703" s="1" t="s">
        <v>74</v>
      </c>
      <c r="BR703" s="1" t="s">
        <v>74</v>
      </c>
      <c r="BS703" s="1" t="s">
        <v>7164</v>
      </c>
      <c r="BT703" s="1" t="str">
        <f>HYPERLINK("https%3A%2F%2Fwww.webofscience.com%2Fwos%2Fwoscc%2Ffull-record%2FWOS:000184095300026","View Full Record in Web of Science")</f>
        <v>View Full Record in Web of Science</v>
      </c>
    </row>
    <row r="704" ht="12.75" customHeight="1">
      <c r="A704" s="1" t="s">
        <v>72</v>
      </c>
      <c r="B704" s="1" t="s">
        <v>7165</v>
      </c>
      <c r="C704" s="1" t="s">
        <v>74</v>
      </c>
      <c r="D704" s="1" t="s">
        <v>74</v>
      </c>
      <c r="E704" s="1" t="s">
        <v>74</v>
      </c>
      <c r="F704" s="1" t="s">
        <v>7165</v>
      </c>
      <c r="G704" s="1" t="s">
        <v>74</v>
      </c>
      <c r="H704" s="1" t="s">
        <v>74</v>
      </c>
      <c r="I704" s="1" t="s">
        <v>7166</v>
      </c>
      <c r="J704" s="1" t="s">
        <v>7167</v>
      </c>
      <c r="K704" s="1" t="s">
        <v>74</v>
      </c>
      <c r="L704" s="1" t="s">
        <v>74</v>
      </c>
      <c r="M704" s="1" t="s">
        <v>74</v>
      </c>
      <c r="N704" s="1" t="s">
        <v>74</v>
      </c>
      <c r="O704" s="1" t="s">
        <v>74</v>
      </c>
      <c r="P704" s="1" t="s">
        <v>74</v>
      </c>
      <c r="Q704" s="1" t="s">
        <v>74</v>
      </c>
      <c r="R704" s="1" t="s">
        <v>74</v>
      </c>
      <c r="S704" s="1" t="s">
        <v>74</v>
      </c>
      <c r="T704" s="1" t="s">
        <v>74</v>
      </c>
      <c r="U704" s="1" t="s">
        <v>74</v>
      </c>
      <c r="V704" s="1" t="s">
        <v>74</v>
      </c>
      <c r="W704" s="1" t="s">
        <v>74</v>
      </c>
      <c r="X704" s="1" t="s">
        <v>74</v>
      </c>
      <c r="Y704" s="1" t="s">
        <v>74</v>
      </c>
      <c r="Z704" s="1" t="s">
        <v>74</v>
      </c>
      <c r="AA704" s="1" t="s">
        <v>7168</v>
      </c>
      <c r="AB704" s="1" t="s">
        <v>74</v>
      </c>
      <c r="AC704" s="1" t="s">
        <v>74</v>
      </c>
      <c r="AD704" s="1" t="s">
        <v>74</v>
      </c>
      <c r="AE704" s="1" t="s">
        <v>74</v>
      </c>
      <c r="AF704" s="1" t="s">
        <v>74</v>
      </c>
      <c r="AG704" s="1" t="s">
        <v>74</v>
      </c>
      <c r="AH704" s="1" t="s">
        <v>74</v>
      </c>
      <c r="AI704" s="1" t="s">
        <v>74</v>
      </c>
      <c r="AJ704" s="1" t="s">
        <v>74</v>
      </c>
      <c r="AK704" s="1" t="s">
        <v>74</v>
      </c>
      <c r="AL704" s="1" t="s">
        <v>74</v>
      </c>
      <c r="AM704" s="1" t="s">
        <v>74</v>
      </c>
      <c r="AN704" s="1" t="s">
        <v>74</v>
      </c>
      <c r="AO704" s="1" t="s">
        <v>7169</v>
      </c>
      <c r="AP704" s="1" t="s">
        <v>74</v>
      </c>
      <c r="AQ704" s="1" t="s">
        <v>74</v>
      </c>
      <c r="AR704" s="1" t="s">
        <v>74</v>
      </c>
      <c r="AS704" s="1" t="s">
        <v>74</v>
      </c>
      <c r="AT704" s="1" t="s">
        <v>74</v>
      </c>
      <c r="AU704" s="1">
        <v>1998.0</v>
      </c>
      <c r="AV704" s="1">
        <v>9.0</v>
      </c>
      <c r="AW704" s="1" t="s">
        <v>74</v>
      </c>
      <c r="AX704" s="1" t="s">
        <v>74</v>
      </c>
      <c r="AY704" s="1">
        <v>2.0</v>
      </c>
      <c r="AZ704" s="1" t="s">
        <v>74</v>
      </c>
      <c r="BA704" s="1">
        <v>127.0</v>
      </c>
      <c r="BB704" s="1">
        <v>33.0</v>
      </c>
      <c r="BC704" s="1">
        <v>33.0</v>
      </c>
      <c r="BD704" s="1" t="s">
        <v>74</v>
      </c>
      <c r="BE704" s="1" t="s">
        <v>74</v>
      </c>
      <c r="BF704" s="1" t="s">
        <v>74</v>
      </c>
      <c r="BG704" s="1" t="s">
        <v>74</v>
      </c>
      <c r="BH704" s="1" t="s">
        <v>74</v>
      </c>
      <c r="BI704" s="1" t="s">
        <v>74</v>
      </c>
      <c r="BJ704" s="1" t="s">
        <v>74</v>
      </c>
      <c r="BK704" s="1" t="s">
        <v>74</v>
      </c>
      <c r="BL704" s="1" t="s">
        <v>74</v>
      </c>
      <c r="BM704" s="1" t="s">
        <v>74</v>
      </c>
      <c r="BN704" s="1" t="s">
        <v>74</v>
      </c>
      <c r="BO704" s="1" t="s">
        <v>74</v>
      </c>
      <c r="BP704" s="1" t="s">
        <v>74</v>
      </c>
      <c r="BQ704" s="1" t="s">
        <v>74</v>
      </c>
      <c r="BR704" s="1" t="s">
        <v>74</v>
      </c>
      <c r="BS704" s="1" t="s">
        <v>7170</v>
      </c>
      <c r="BT704" s="1" t="str">
        <f>HYPERLINK("https%3A%2F%2Fwww.webofscience.com%2Fwos%2Fwoscc%2Ffull-record%2FWOS:000074749600099","View Full Record in Web of Science")</f>
        <v>View Full Record in Web of Science</v>
      </c>
    </row>
    <row r="705" ht="12.75" customHeight="1">
      <c r="A705" s="1" t="s">
        <v>72</v>
      </c>
      <c r="B705" s="1" t="s">
        <v>7171</v>
      </c>
      <c r="C705" s="1" t="s">
        <v>74</v>
      </c>
      <c r="D705" s="1" t="s">
        <v>74</v>
      </c>
      <c r="E705" s="1" t="s">
        <v>74</v>
      </c>
      <c r="F705" s="1" t="s">
        <v>7171</v>
      </c>
      <c r="G705" s="1" t="s">
        <v>74</v>
      </c>
      <c r="H705" s="1" t="s">
        <v>74</v>
      </c>
      <c r="I705" s="1" t="s">
        <v>7172</v>
      </c>
      <c r="J705" s="1" t="s">
        <v>3267</v>
      </c>
      <c r="K705" s="1" t="s">
        <v>74</v>
      </c>
      <c r="L705" s="1" t="s">
        <v>74</v>
      </c>
      <c r="M705" s="1" t="s">
        <v>74</v>
      </c>
      <c r="N705" s="1" t="s">
        <v>74</v>
      </c>
      <c r="O705" s="1" t="s">
        <v>74</v>
      </c>
      <c r="P705" s="1" t="s">
        <v>74</v>
      </c>
      <c r="Q705" s="1" t="s">
        <v>74</v>
      </c>
      <c r="R705" s="1" t="s">
        <v>74</v>
      </c>
      <c r="S705" s="1" t="s">
        <v>74</v>
      </c>
      <c r="T705" s="1" t="s">
        <v>74</v>
      </c>
      <c r="U705" s="1" t="s">
        <v>74</v>
      </c>
      <c r="V705" s="1" t="s">
        <v>7173</v>
      </c>
      <c r="W705" s="1" t="s">
        <v>74</v>
      </c>
      <c r="X705" s="1" t="s">
        <v>74</v>
      </c>
      <c r="Y705" s="1" t="s">
        <v>74</v>
      </c>
      <c r="Z705" s="1" t="s">
        <v>74</v>
      </c>
      <c r="AA705" s="1" t="s">
        <v>7174</v>
      </c>
      <c r="AB705" s="1" t="s">
        <v>7175</v>
      </c>
      <c r="AC705" s="1" t="s">
        <v>74</v>
      </c>
      <c r="AD705" s="1" t="s">
        <v>74</v>
      </c>
      <c r="AE705" s="1" t="s">
        <v>74</v>
      </c>
      <c r="AF705" s="1" t="s">
        <v>74</v>
      </c>
      <c r="AG705" s="1" t="s">
        <v>74</v>
      </c>
      <c r="AH705" s="1" t="s">
        <v>74</v>
      </c>
      <c r="AI705" s="1" t="s">
        <v>74</v>
      </c>
      <c r="AJ705" s="1" t="s">
        <v>74</v>
      </c>
      <c r="AK705" s="1" t="s">
        <v>74</v>
      </c>
      <c r="AL705" s="1" t="s">
        <v>74</v>
      </c>
      <c r="AM705" s="1" t="s">
        <v>74</v>
      </c>
      <c r="AN705" s="1" t="s">
        <v>74</v>
      </c>
      <c r="AO705" s="1" t="s">
        <v>3270</v>
      </c>
      <c r="AP705" s="1" t="s">
        <v>3271</v>
      </c>
      <c r="AQ705" s="1" t="s">
        <v>74</v>
      </c>
      <c r="AR705" s="1" t="s">
        <v>74</v>
      </c>
      <c r="AS705" s="1" t="s">
        <v>74</v>
      </c>
      <c r="AT705" s="1" t="s">
        <v>537</v>
      </c>
      <c r="AU705" s="1">
        <v>1997.0</v>
      </c>
      <c r="AV705" s="1">
        <v>46.0</v>
      </c>
      <c r="AW705" s="1">
        <v>5.0</v>
      </c>
      <c r="AX705" s="1" t="s">
        <v>74</v>
      </c>
      <c r="AY705" s="1" t="s">
        <v>74</v>
      </c>
      <c r="AZ705" s="1" t="s">
        <v>74</v>
      </c>
      <c r="BA705" s="1" t="s">
        <v>74</v>
      </c>
      <c r="BB705" s="1">
        <v>845.0</v>
      </c>
      <c r="BC705" s="1">
        <v>853.0</v>
      </c>
      <c r="BD705" s="1" t="s">
        <v>74</v>
      </c>
      <c r="BE705" s="1" t="s">
        <v>7176</v>
      </c>
      <c r="BF705" s="2" t="str">
        <f>HYPERLINK("http://dx.doi.org/10.1016/S0031-9422(97)00354-3","http://dx.doi.org/10.1016/S0031-9422(97)00354-3")</f>
        <v>http://dx.doi.org/10.1016/S0031-9422(97)00354-3</v>
      </c>
      <c r="BG705" s="1" t="s">
        <v>74</v>
      </c>
      <c r="BH705" s="1" t="s">
        <v>74</v>
      </c>
      <c r="BI705" s="1" t="s">
        <v>74</v>
      </c>
      <c r="BJ705" s="1" t="s">
        <v>74</v>
      </c>
      <c r="BK705" s="1" t="s">
        <v>74</v>
      </c>
      <c r="BL705" s="1" t="s">
        <v>74</v>
      </c>
      <c r="BM705" s="1" t="s">
        <v>74</v>
      </c>
      <c r="BN705" s="1" t="s">
        <v>74</v>
      </c>
      <c r="BO705" s="1" t="s">
        <v>74</v>
      </c>
      <c r="BP705" s="1" t="s">
        <v>74</v>
      </c>
      <c r="BQ705" s="1" t="s">
        <v>74</v>
      </c>
      <c r="BR705" s="1" t="s">
        <v>74</v>
      </c>
      <c r="BS705" s="1" t="s">
        <v>7177</v>
      </c>
      <c r="BT705" s="1" t="str">
        <f>HYPERLINK("https%3A%2F%2Fwww.webofscience.com%2Fwos%2Fwoscc%2Ffull-record%2FWOS:A1997YF76300008","View Full Record in Web of Science")</f>
        <v>View Full Record in Web of Science</v>
      </c>
    </row>
    <row r="706" ht="12.75" customHeight="1">
      <c r="A706" s="1" t="s">
        <v>72</v>
      </c>
      <c r="B706" s="1" t="s">
        <v>7178</v>
      </c>
      <c r="C706" s="1" t="s">
        <v>74</v>
      </c>
      <c r="D706" s="1" t="s">
        <v>74</v>
      </c>
      <c r="E706" s="1" t="s">
        <v>74</v>
      </c>
      <c r="F706" s="1" t="s">
        <v>7178</v>
      </c>
      <c r="G706" s="1" t="s">
        <v>74</v>
      </c>
      <c r="H706" s="1" t="s">
        <v>74</v>
      </c>
      <c r="I706" s="1" t="s">
        <v>7179</v>
      </c>
      <c r="J706" s="1" t="s">
        <v>1966</v>
      </c>
      <c r="K706" s="1" t="s">
        <v>74</v>
      </c>
      <c r="L706" s="1" t="s">
        <v>74</v>
      </c>
      <c r="M706" s="1" t="s">
        <v>74</v>
      </c>
      <c r="N706" s="1" t="s">
        <v>74</v>
      </c>
      <c r="O706" s="1" t="s">
        <v>74</v>
      </c>
      <c r="P706" s="1" t="s">
        <v>74</v>
      </c>
      <c r="Q706" s="1" t="s">
        <v>74</v>
      </c>
      <c r="R706" s="1" t="s">
        <v>74</v>
      </c>
      <c r="S706" s="1" t="s">
        <v>74</v>
      </c>
      <c r="T706" s="1" t="s">
        <v>74</v>
      </c>
      <c r="U706" s="1" t="s">
        <v>74</v>
      </c>
      <c r="V706" s="1" t="s">
        <v>7180</v>
      </c>
      <c r="W706" s="1" t="s">
        <v>74</v>
      </c>
      <c r="X706" s="1" t="s">
        <v>74</v>
      </c>
      <c r="Y706" s="1" t="s">
        <v>74</v>
      </c>
      <c r="Z706" s="1" t="s">
        <v>74</v>
      </c>
      <c r="AA706" s="1" t="s">
        <v>7181</v>
      </c>
      <c r="AB706" s="1" t="s">
        <v>7182</v>
      </c>
      <c r="AC706" s="1" t="s">
        <v>74</v>
      </c>
      <c r="AD706" s="1" t="s">
        <v>74</v>
      </c>
      <c r="AE706" s="1" t="s">
        <v>74</v>
      </c>
      <c r="AF706" s="1" t="s">
        <v>74</v>
      </c>
      <c r="AG706" s="1" t="s">
        <v>74</v>
      </c>
      <c r="AH706" s="1" t="s">
        <v>74</v>
      </c>
      <c r="AI706" s="1" t="s">
        <v>74</v>
      </c>
      <c r="AJ706" s="1" t="s">
        <v>74</v>
      </c>
      <c r="AK706" s="1" t="s">
        <v>74</v>
      </c>
      <c r="AL706" s="1" t="s">
        <v>74</v>
      </c>
      <c r="AM706" s="1" t="s">
        <v>74</v>
      </c>
      <c r="AN706" s="1" t="s">
        <v>74</v>
      </c>
      <c r="AO706" s="1" t="s">
        <v>1970</v>
      </c>
      <c r="AP706" s="1" t="s">
        <v>1971</v>
      </c>
      <c r="AQ706" s="1" t="s">
        <v>74</v>
      </c>
      <c r="AR706" s="1" t="s">
        <v>74</v>
      </c>
      <c r="AS706" s="1" t="s">
        <v>74</v>
      </c>
      <c r="AT706" s="1" t="s">
        <v>1213</v>
      </c>
      <c r="AU706" s="1">
        <v>1997.0</v>
      </c>
      <c r="AV706" s="1">
        <v>55.0</v>
      </c>
      <c r="AW706" s="1">
        <v>3.0</v>
      </c>
      <c r="AX706" s="1" t="s">
        <v>74</v>
      </c>
      <c r="AY706" s="1" t="s">
        <v>74</v>
      </c>
      <c r="AZ706" s="1" t="s">
        <v>74</v>
      </c>
      <c r="BA706" s="1" t="s">
        <v>74</v>
      </c>
      <c r="BB706" s="1">
        <v>2413.0</v>
      </c>
      <c r="BC706" s="1">
        <v>2425.0</v>
      </c>
      <c r="BD706" s="1" t="s">
        <v>74</v>
      </c>
      <c r="BE706" s="1" t="s">
        <v>7183</v>
      </c>
      <c r="BF706" s="2" t="str">
        <f>HYPERLINK("http://dx.doi.org/10.1103/PhysRevA.55.2413","http://dx.doi.org/10.1103/PhysRevA.55.2413")</f>
        <v>http://dx.doi.org/10.1103/PhysRevA.55.2413</v>
      </c>
      <c r="BG706" s="1" t="s">
        <v>74</v>
      </c>
      <c r="BH706" s="1" t="s">
        <v>74</v>
      </c>
      <c r="BI706" s="1" t="s">
        <v>74</v>
      </c>
      <c r="BJ706" s="1" t="s">
        <v>74</v>
      </c>
      <c r="BK706" s="1" t="s">
        <v>74</v>
      </c>
      <c r="BL706" s="1" t="s">
        <v>74</v>
      </c>
      <c r="BM706" s="1" t="s">
        <v>74</v>
      </c>
      <c r="BN706" s="1" t="s">
        <v>74</v>
      </c>
      <c r="BO706" s="1" t="s">
        <v>74</v>
      </c>
      <c r="BP706" s="1" t="s">
        <v>74</v>
      </c>
      <c r="BQ706" s="1" t="s">
        <v>74</v>
      </c>
      <c r="BR706" s="1" t="s">
        <v>74</v>
      </c>
      <c r="BS706" s="1" t="s">
        <v>7184</v>
      </c>
      <c r="BT706" s="1" t="str">
        <f>HYPERLINK("https%3A%2F%2Fwww.webofscience.com%2Fwos%2Fwoscc%2Ffull-record%2FWOS:A1997WN17400106","View Full Record in Web of Science")</f>
        <v>View Full Record in Web of Science</v>
      </c>
    </row>
    <row r="707" ht="12.75" customHeight="1">
      <c r="A707" s="1" t="s">
        <v>72</v>
      </c>
      <c r="B707" s="1" t="s">
        <v>7185</v>
      </c>
      <c r="C707" s="1" t="s">
        <v>74</v>
      </c>
      <c r="D707" s="1" t="s">
        <v>74</v>
      </c>
      <c r="E707" s="1" t="s">
        <v>74</v>
      </c>
      <c r="F707" s="1" t="s">
        <v>7185</v>
      </c>
      <c r="G707" s="1" t="s">
        <v>74</v>
      </c>
      <c r="H707" s="1" t="s">
        <v>74</v>
      </c>
      <c r="I707" s="1" t="s">
        <v>7186</v>
      </c>
      <c r="J707" s="1" t="s">
        <v>7187</v>
      </c>
      <c r="K707" s="1" t="s">
        <v>74</v>
      </c>
      <c r="L707" s="1" t="s">
        <v>74</v>
      </c>
      <c r="M707" s="1" t="s">
        <v>74</v>
      </c>
      <c r="N707" s="1" t="s">
        <v>74</v>
      </c>
      <c r="O707" s="1" t="s">
        <v>74</v>
      </c>
      <c r="P707" s="1" t="s">
        <v>74</v>
      </c>
      <c r="Q707" s="1" t="s">
        <v>74</v>
      </c>
      <c r="R707" s="1" t="s">
        <v>74</v>
      </c>
      <c r="S707" s="1" t="s">
        <v>74</v>
      </c>
      <c r="T707" s="1" t="s">
        <v>74</v>
      </c>
      <c r="U707" s="1" t="s">
        <v>74</v>
      </c>
      <c r="V707" s="1" t="s">
        <v>7188</v>
      </c>
      <c r="W707" s="1" t="s">
        <v>74</v>
      </c>
      <c r="X707" s="1" t="s">
        <v>74</v>
      </c>
      <c r="Y707" s="1" t="s">
        <v>74</v>
      </c>
      <c r="Z707" s="1" t="s">
        <v>74</v>
      </c>
      <c r="AA707" s="1" t="s">
        <v>74</v>
      </c>
      <c r="AB707" s="1" t="s">
        <v>74</v>
      </c>
      <c r="AC707" s="1" t="s">
        <v>74</v>
      </c>
      <c r="AD707" s="1" t="s">
        <v>74</v>
      </c>
      <c r="AE707" s="1" t="s">
        <v>74</v>
      </c>
      <c r="AF707" s="1" t="s">
        <v>74</v>
      </c>
      <c r="AG707" s="1" t="s">
        <v>74</v>
      </c>
      <c r="AH707" s="1" t="s">
        <v>74</v>
      </c>
      <c r="AI707" s="1" t="s">
        <v>74</v>
      </c>
      <c r="AJ707" s="1" t="s">
        <v>74</v>
      </c>
      <c r="AK707" s="1" t="s">
        <v>74</v>
      </c>
      <c r="AL707" s="1" t="s">
        <v>74</v>
      </c>
      <c r="AM707" s="1" t="s">
        <v>74</v>
      </c>
      <c r="AN707" s="1" t="s">
        <v>74</v>
      </c>
      <c r="AO707" s="1" t="s">
        <v>7189</v>
      </c>
      <c r="AP707" s="1" t="s">
        <v>7190</v>
      </c>
      <c r="AQ707" s="1" t="s">
        <v>74</v>
      </c>
      <c r="AR707" s="1" t="s">
        <v>74</v>
      </c>
      <c r="AS707" s="1" t="s">
        <v>74</v>
      </c>
      <c r="AT707" s="1" t="s">
        <v>7191</v>
      </c>
      <c r="AU707" s="1">
        <v>1986.0</v>
      </c>
      <c r="AV707" s="1">
        <v>25.0</v>
      </c>
      <c r="AW707" s="1">
        <v>16.0</v>
      </c>
      <c r="AX707" s="1" t="s">
        <v>74</v>
      </c>
      <c r="AY707" s="1" t="s">
        <v>74</v>
      </c>
      <c r="AZ707" s="1" t="s">
        <v>74</v>
      </c>
      <c r="BA707" s="1" t="s">
        <v>74</v>
      </c>
      <c r="BB707" s="1">
        <v>4693.0</v>
      </c>
      <c r="BC707" s="1">
        <v>4698.0</v>
      </c>
      <c r="BD707" s="1" t="s">
        <v>74</v>
      </c>
      <c r="BE707" s="1" t="s">
        <v>7192</v>
      </c>
      <c r="BF707" s="2" t="str">
        <f>HYPERLINK("http://dx.doi.org/10.1021/bi00364a036","http://dx.doi.org/10.1021/bi00364a036")</f>
        <v>http://dx.doi.org/10.1021/bi00364a036</v>
      </c>
      <c r="BG707" s="1" t="s">
        <v>74</v>
      </c>
      <c r="BH707" s="1" t="s">
        <v>74</v>
      </c>
      <c r="BI707" s="1" t="s">
        <v>74</v>
      </c>
      <c r="BJ707" s="1" t="s">
        <v>74</v>
      </c>
      <c r="BK707" s="1" t="s">
        <v>74</v>
      </c>
      <c r="BL707" s="1" t="s">
        <v>74</v>
      </c>
      <c r="BM707" s="1" t="s">
        <v>74</v>
      </c>
      <c r="BN707" s="1">
        <v>3768305.0</v>
      </c>
      <c r="BO707" s="1" t="s">
        <v>74</v>
      </c>
      <c r="BP707" s="1" t="s">
        <v>74</v>
      </c>
      <c r="BQ707" s="1" t="s">
        <v>74</v>
      </c>
      <c r="BR707" s="1" t="s">
        <v>74</v>
      </c>
      <c r="BS707" s="1" t="s">
        <v>7193</v>
      </c>
      <c r="BT707" s="1" t="str">
        <f>HYPERLINK("https%3A%2F%2Fwww.webofscience.com%2Fwos%2Fwoscc%2Ffull-record%2FWOS:A1986D629000036","View Full Record in Web of Science")</f>
        <v>View Full Record in Web of Science</v>
      </c>
    </row>
    <row r="708" ht="12.75" customHeight="1">
      <c r="A708" s="1" t="s">
        <v>72</v>
      </c>
      <c r="B708" s="1" t="s">
        <v>7194</v>
      </c>
      <c r="C708" s="1" t="s">
        <v>74</v>
      </c>
      <c r="D708" s="1" t="s">
        <v>74</v>
      </c>
      <c r="E708" s="1" t="s">
        <v>74</v>
      </c>
      <c r="F708" s="1" t="s">
        <v>7195</v>
      </c>
      <c r="G708" s="1" t="s">
        <v>74</v>
      </c>
      <c r="H708" s="1" t="s">
        <v>74</v>
      </c>
      <c r="I708" s="1" t="s">
        <v>7196</v>
      </c>
      <c r="J708" s="1" t="s">
        <v>5831</v>
      </c>
      <c r="K708" s="1" t="s">
        <v>74</v>
      </c>
      <c r="L708" s="1" t="s">
        <v>74</v>
      </c>
      <c r="M708" s="1" t="s">
        <v>74</v>
      </c>
      <c r="N708" s="1" t="s">
        <v>74</v>
      </c>
      <c r="O708" s="1" t="s">
        <v>74</v>
      </c>
      <c r="P708" s="1" t="s">
        <v>74</v>
      </c>
      <c r="Q708" s="1" t="s">
        <v>74</v>
      </c>
      <c r="R708" s="1" t="s">
        <v>74</v>
      </c>
      <c r="S708" s="1" t="s">
        <v>74</v>
      </c>
      <c r="T708" s="1" t="s">
        <v>74</v>
      </c>
      <c r="U708" s="1" t="s">
        <v>74</v>
      </c>
      <c r="V708" s="1" t="s">
        <v>7197</v>
      </c>
      <c r="W708" s="1" t="s">
        <v>74</v>
      </c>
      <c r="X708" s="1" t="s">
        <v>74</v>
      </c>
      <c r="Y708" s="1" t="s">
        <v>74</v>
      </c>
      <c r="Z708" s="1" t="s">
        <v>74</v>
      </c>
      <c r="AA708" s="1" t="s">
        <v>7198</v>
      </c>
      <c r="AB708" s="1" t="s">
        <v>7199</v>
      </c>
      <c r="AC708" s="1" t="s">
        <v>74</v>
      </c>
      <c r="AD708" s="1" t="s">
        <v>74</v>
      </c>
      <c r="AE708" s="1" t="s">
        <v>74</v>
      </c>
      <c r="AF708" s="1" t="s">
        <v>74</v>
      </c>
      <c r="AG708" s="1" t="s">
        <v>74</v>
      </c>
      <c r="AH708" s="1" t="s">
        <v>74</v>
      </c>
      <c r="AI708" s="1" t="s">
        <v>74</v>
      </c>
      <c r="AJ708" s="1" t="s">
        <v>74</v>
      </c>
      <c r="AK708" s="1" t="s">
        <v>74</v>
      </c>
      <c r="AL708" s="1" t="s">
        <v>74</v>
      </c>
      <c r="AM708" s="1" t="s">
        <v>74</v>
      </c>
      <c r="AN708" s="1" t="s">
        <v>74</v>
      </c>
      <c r="AO708" s="1" t="s">
        <v>74</v>
      </c>
      <c r="AP708" s="1" t="s">
        <v>5835</v>
      </c>
      <c r="AQ708" s="1" t="s">
        <v>74</v>
      </c>
      <c r="AR708" s="1" t="s">
        <v>74</v>
      </c>
      <c r="AS708" s="1" t="s">
        <v>74</v>
      </c>
      <c r="AT708" s="1" t="s">
        <v>164</v>
      </c>
      <c r="AU708" s="1">
        <v>2024.0</v>
      </c>
      <c r="AV708" s="1">
        <v>17.0</v>
      </c>
      <c r="AW708" s="1">
        <v>13.0</v>
      </c>
      <c r="AX708" s="1" t="s">
        <v>74</v>
      </c>
      <c r="AY708" s="1" t="s">
        <v>74</v>
      </c>
      <c r="AZ708" s="1" t="s">
        <v>74</v>
      </c>
      <c r="BA708" s="1" t="s">
        <v>74</v>
      </c>
      <c r="BB708" s="1" t="s">
        <v>74</v>
      </c>
      <c r="BC708" s="1" t="s">
        <v>74</v>
      </c>
      <c r="BD708" s="1">
        <v>3321.0</v>
      </c>
      <c r="BE708" s="1" t="s">
        <v>7200</v>
      </c>
      <c r="BF708" s="2" t="str">
        <f>HYPERLINK("http://dx.doi.org/10.3390/ma17133321","http://dx.doi.org/10.3390/ma17133321")</f>
        <v>http://dx.doi.org/10.3390/ma17133321</v>
      </c>
      <c r="BG708" s="1" t="s">
        <v>74</v>
      </c>
      <c r="BH708" s="1" t="s">
        <v>74</v>
      </c>
      <c r="BI708" s="1" t="s">
        <v>74</v>
      </c>
      <c r="BJ708" s="1" t="s">
        <v>74</v>
      </c>
      <c r="BK708" s="1" t="s">
        <v>74</v>
      </c>
      <c r="BL708" s="1" t="s">
        <v>74</v>
      </c>
      <c r="BM708" s="1" t="s">
        <v>74</v>
      </c>
      <c r="BN708" s="1">
        <v>3.8998401E7</v>
      </c>
      <c r="BO708" s="1" t="s">
        <v>74</v>
      </c>
      <c r="BP708" s="1" t="s">
        <v>74</v>
      </c>
      <c r="BQ708" s="1" t="s">
        <v>74</v>
      </c>
      <c r="BR708" s="1" t="s">
        <v>74</v>
      </c>
      <c r="BS708" s="1" t="s">
        <v>7201</v>
      </c>
      <c r="BT708" s="1" t="str">
        <f>HYPERLINK("https%3A%2F%2Fwww.webofscience.com%2Fwos%2Fwoscc%2Ffull-record%2FWOS:001269216800001","View Full Record in Web of Science")</f>
        <v>View Full Record in Web of Science</v>
      </c>
    </row>
    <row r="709" ht="12.75" customHeight="1">
      <c r="A709" s="1" t="s">
        <v>72</v>
      </c>
      <c r="B709" s="1" t="s">
        <v>7202</v>
      </c>
      <c r="C709" s="1" t="s">
        <v>74</v>
      </c>
      <c r="D709" s="1" t="s">
        <v>74</v>
      </c>
      <c r="E709" s="1" t="s">
        <v>74</v>
      </c>
      <c r="F709" s="1" t="s">
        <v>7203</v>
      </c>
      <c r="G709" s="1" t="s">
        <v>74</v>
      </c>
      <c r="H709" s="1" t="s">
        <v>74</v>
      </c>
      <c r="I709" s="1" t="s">
        <v>7204</v>
      </c>
      <c r="J709" s="1" t="s">
        <v>7205</v>
      </c>
      <c r="K709" s="1" t="s">
        <v>74</v>
      </c>
      <c r="L709" s="1" t="s">
        <v>74</v>
      </c>
      <c r="M709" s="1" t="s">
        <v>74</v>
      </c>
      <c r="N709" s="1" t="s">
        <v>74</v>
      </c>
      <c r="O709" s="1" t="s">
        <v>74</v>
      </c>
      <c r="P709" s="1" t="s">
        <v>74</v>
      </c>
      <c r="Q709" s="1" t="s">
        <v>74</v>
      </c>
      <c r="R709" s="1" t="s">
        <v>74</v>
      </c>
      <c r="S709" s="1" t="s">
        <v>74</v>
      </c>
      <c r="T709" s="1" t="s">
        <v>74</v>
      </c>
      <c r="U709" s="1" t="s">
        <v>74</v>
      </c>
      <c r="V709" s="1" t="s">
        <v>7206</v>
      </c>
      <c r="W709" s="1" t="s">
        <v>74</v>
      </c>
      <c r="X709" s="1" t="s">
        <v>74</v>
      </c>
      <c r="Y709" s="1" t="s">
        <v>74</v>
      </c>
      <c r="Z709" s="1" t="s">
        <v>74</v>
      </c>
      <c r="AA709" s="1" t="s">
        <v>7207</v>
      </c>
      <c r="AB709" s="1" t="s">
        <v>7208</v>
      </c>
      <c r="AC709" s="1" t="s">
        <v>74</v>
      </c>
      <c r="AD709" s="1" t="s">
        <v>74</v>
      </c>
      <c r="AE709" s="1" t="s">
        <v>74</v>
      </c>
      <c r="AF709" s="1" t="s">
        <v>74</v>
      </c>
      <c r="AG709" s="1" t="s">
        <v>74</v>
      </c>
      <c r="AH709" s="1" t="s">
        <v>74</v>
      </c>
      <c r="AI709" s="1" t="s">
        <v>74</v>
      </c>
      <c r="AJ709" s="1" t="s">
        <v>74</v>
      </c>
      <c r="AK709" s="1" t="s">
        <v>74</v>
      </c>
      <c r="AL709" s="1" t="s">
        <v>74</v>
      </c>
      <c r="AM709" s="1" t="s">
        <v>74</v>
      </c>
      <c r="AN709" s="1" t="s">
        <v>74</v>
      </c>
      <c r="AO709" s="1" t="s">
        <v>7209</v>
      </c>
      <c r="AP709" s="1" t="s">
        <v>74</v>
      </c>
      <c r="AQ709" s="1" t="s">
        <v>74</v>
      </c>
      <c r="AR709" s="1" t="s">
        <v>74</v>
      </c>
      <c r="AS709" s="1" t="s">
        <v>74</v>
      </c>
      <c r="AT709" s="1" t="s">
        <v>74</v>
      </c>
      <c r="AU709" s="1">
        <v>2024.0</v>
      </c>
      <c r="AV709" s="1">
        <v>16.0</v>
      </c>
      <c r="AW709" s="1">
        <v>2.0</v>
      </c>
      <c r="AX709" s="1" t="s">
        <v>74</v>
      </c>
      <c r="AY709" s="1" t="s">
        <v>74</v>
      </c>
      <c r="AZ709" s="1" t="s">
        <v>74</v>
      </c>
      <c r="BA709" s="1" t="s">
        <v>74</v>
      </c>
      <c r="BB709" s="1">
        <v>72.0</v>
      </c>
      <c r="BC709" s="1">
        <v>88.0</v>
      </c>
      <c r="BD709" s="1" t="s">
        <v>74</v>
      </c>
      <c r="BE709" s="1" t="s">
        <v>7210</v>
      </c>
      <c r="BF709" s="2" t="str">
        <f>HYPERLINK("http://dx.doi.org/10.12807/ti.116202.2024.a06","http://dx.doi.org/10.12807/ti.116202.2024.a06")</f>
        <v>http://dx.doi.org/10.12807/ti.116202.2024.a06</v>
      </c>
      <c r="BG709" s="1" t="s">
        <v>74</v>
      </c>
      <c r="BH709" s="1" t="s">
        <v>74</v>
      </c>
      <c r="BI709" s="1" t="s">
        <v>74</v>
      </c>
      <c r="BJ709" s="1" t="s">
        <v>74</v>
      </c>
      <c r="BK709" s="1" t="s">
        <v>74</v>
      </c>
      <c r="BL709" s="1" t="s">
        <v>74</v>
      </c>
      <c r="BM709" s="1" t="s">
        <v>74</v>
      </c>
      <c r="BN709" s="1" t="s">
        <v>74</v>
      </c>
      <c r="BO709" s="1" t="s">
        <v>74</v>
      </c>
      <c r="BP709" s="1" t="s">
        <v>74</v>
      </c>
      <c r="BQ709" s="1" t="s">
        <v>74</v>
      </c>
      <c r="BR709" s="1" t="s">
        <v>74</v>
      </c>
      <c r="BS709" s="1" t="s">
        <v>7211</v>
      </c>
      <c r="BT709" s="1" t="str">
        <f>HYPERLINK("https%3A%2F%2Fwww.webofscience.com%2Fwos%2Fwoscc%2Ffull-record%2FWOS:001289290200006","View Full Record in Web of Science")</f>
        <v>View Full Record in Web of Science</v>
      </c>
    </row>
    <row r="710" ht="12.75" customHeight="1">
      <c r="A710" s="1" t="s">
        <v>72</v>
      </c>
      <c r="B710" s="1" t="s">
        <v>7212</v>
      </c>
      <c r="C710" s="1" t="s">
        <v>74</v>
      </c>
      <c r="D710" s="1" t="s">
        <v>74</v>
      </c>
      <c r="E710" s="1" t="s">
        <v>74</v>
      </c>
      <c r="F710" s="1" t="s">
        <v>7213</v>
      </c>
      <c r="G710" s="1" t="s">
        <v>74</v>
      </c>
      <c r="H710" s="1" t="s">
        <v>74</v>
      </c>
      <c r="I710" s="1" t="s">
        <v>7214</v>
      </c>
      <c r="J710" s="1" t="s">
        <v>7215</v>
      </c>
      <c r="K710" s="1" t="s">
        <v>74</v>
      </c>
      <c r="L710" s="1" t="s">
        <v>74</v>
      </c>
      <c r="M710" s="1" t="s">
        <v>74</v>
      </c>
      <c r="N710" s="1" t="s">
        <v>74</v>
      </c>
      <c r="O710" s="1" t="s">
        <v>74</v>
      </c>
      <c r="P710" s="1" t="s">
        <v>74</v>
      </c>
      <c r="Q710" s="1" t="s">
        <v>74</v>
      </c>
      <c r="R710" s="1" t="s">
        <v>74</v>
      </c>
      <c r="S710" s="1" t="s">
        <v>74</v>
      </c>
      <c r="T710" s="1" t="s">
        <v>74</v>
      </c>
      <c r="U710" s="1" t="s">
        <v>74</v>
      </c>
      <c r="V710" s="1" t="s">
        <v>7216</v>
      </c>
      <c r="W710" s="1" t="s">
        <v>74</v>
      </c>
      <c r="X710" s="1" t="s">
        <v>74</v>
      </c>
      <c r="Y710" s="1" t="s">
        <v>74</v>
      </c>
      <c r="Z710" s="1" t="s">
        <v>74</v>
      </c>
      <c r="AA710" s="1" t="s">
        <v>7217</v>
      </c>
      <c r="AB710" s="1" t="s">
        <v>7218</v>
      </c>
      <c r="AC710" s="1" t="s">
        <v>74</v>
      </c>
      <c r="AD710" s="1" t="s">
        <v>74</v>
      </c>
      <c r="AE710" s="1" t="s">
        <v>74</v>
      </c>
      <c r="AF710" s="1" t="s">
        <v>74</v>
      </c>
      <c r="AG710" s="1" t="s">
        <v>74</v>
      </c>
      <c r="AH710" s="1" t="s">
        <v>74</v>
      </c>
      <c r="AI710" s="1" t="s">
        <v>74</v>
      </c>
      <c r="AJ710" s="1" t="s">
        <v>74</v>
      </c>
      <c r="AK710" s="1" t="s">
        <v>74</v>
      </c>
      <c r="AL710" s="1" t="s">
        <v>74</v>
      </c>
      <c r="AM710" s="1" t="s">
        <v>74</v>
      </c>
      <c r="AN710" s="1" t="s">
        <v>74</v>
      </c>
      <c r="AO710" s="1" t="s">
        <v>7219</v>
      </c>
      <c r="AP710" s="1" t="s">
        <v>7220</v>
      </c>
      <c r="AQ710" s="1" t="s">
        <v>74</v>
      </c>
      <c r="AR710" s="1" t="s">
        <v>74</v>
      </c>
      <c r="AS710" s="1" t="s">
        <v>74</v>
      </c>
      <c r="AT710" s="1" t="s">
        <v>164</v>
      </c>
      <c r="AU710" s="1">
        <v>2022.0</v>
      </c>
      <c r="AV710" s="1">
        <v>34.0</v>
      </c>
      <c r="AW710" s="1">
        <v>7.0</v>
      </c>
      <c r="AX710" s="1" t="s">
        <v>74</v>
      </c>
      <c r="AY710" s="1" t="s">
        <v>74</v>
      </c>
      <c r="AZ710" s="1" t="s">
        <v>74</v>
      </c>
      <c r="BA710" s="1" t="s">
        <v>74</v>
      </c>
      <c r="BB710" s="1">
        <v>1163.0</v>
      </c>
      <c r="BC710" s="1">
        <v>1173.0</v>
      </c>
      <c r="BD710" s="1" t="s">
        <v>74</v>
      </c>
      <c r="BE710" s="1" t="s">
        <v>7221</v>
      </c>
      <c r="BF710" s="2" t="str">
        <f>HYPERLINK("http://dx.doi.org/10.1002/elan.202100476","http://dx.doi.org/10.1002/elan.202100476")</f>
        <v>http://dx.doi.org/10.1002/elan.202100476</v>
      </c>
      <c r="BG710" s="1" t="s">
        <v>74</v>
      </c>
      <c r="BH710" s="1" t="s">
        <v>297</v>
      </c>
      <c r="BI710" s="1" t="s">
        <v>74</v>
      </c>
      <c r="BJ710" s="1" t="s">
        <v>74</v>
      </c>
      <c r="BK710" s="1" t="s">
        <v>74</v>
      </c>
      <c r="BL710" s="1" t="s">
        <v>74</v>
      </c>
      <c r="BM710" s="1" t="s">
        <v>74</v>
      </c>
      <c r="BN710" s="1" t="s">
        <v>74</v>
      </c>
      <c r="BO710" s="1" t="s">
        <v>74</v>
      </c>
      <c r="BP710" s="1" t="s">
        <v>74</v>
      </c>
      <c r="BQ710" s="1" t="s">
        <v>74</v>
      </c>
      <c r="BR710" s="1" t="s">
        <v>74</v>
      </c>
      <c r="BS710" s="1" t="s">
        <v>7222</v>
      </c>
      <c r="BT710" s="1" t="str">
        <f>HYPERLINK("https%3A%2F%2Fwww.webofscience.com%2Fwos%2Fwoscc%2Ffull-record%2FWOS:000742061300001","View Full Record in Web of Science")</f>
        <v>View Full Record in Web of Science</v>
      </c>
    </row>
    <row r="711" ht="12.75" customHeight="1">
      <c r="A711" s="1" t="s">
        <v>72</v>
      </c>
      <c r="B711" s="1" t="s">
        <v>7223</v>
      </c>
      <c r="C711" s="1" t="s">
        <v>74</v>
      </c>
      <c r="D711" s="1" t="s">
        <v>74</v>
      </c>
      <c r="E711" s="1" t="s">
        <v>74</v>
      </c>
      <c r="F711" s="1" t="s">
        <v>7224</v>
      </c>
      <c r="G711" s="1" t="s">
        <v>74</v>
      </c>
      <c r="H711" s="1" t="s">
        <v>74</v>
      </c>
      <c r="I711" s="1" t="s">
        <v>7225</v>
      </c>
      <c r="J711" s="1" t="s">
        <v>2030</v>
      </c>
      <c r="K711" s="1" t="s">
        <v>74</v>
      </c>
      <c r="L711" s="1" t="s">
        <v>74</v>
      </c>
      <c r="M711" s="1" t="s">
        <v>74</v>
      </c>
      <c r="N711" s="1" t="s">
        <v>74</v>
      </c>
      <c r="O711" s="1" t="s">
        <v>74</v>
      </c>
      <c r="P711" s="1" t="s">
        <v>74</v>
      </c>
      <c r="Q711" s="1" t="s">
        <v>74</v>
      </c>
      <c r="R711" s="1" t="s">
        <v>74</v>
      </c>
      <c r="S711" s="1" t="s">
        <v>74</v>
      </c>
      <c r="T711" s="1" t="s">
        <v>74</v>
      </c>
      <c r="U711" s="1" t="s">
        <v>74</v>
      </c>
      <c r="V711" s="1" t="s">
        <v>7226</v>
      </c>
      <c r="W711" s="1" t="s">
        <v>74</v>
      </c>
      <c r="X711" s="1" t="s">
        <v>74</v>
      </c>
      <c r="Y711" s="1" t="s">
        <v>74</v>
      </c>
      <c r="Z711" s="1" t="s">
        <v>74</v>
      </c>
      <c r="AA711" s="1" t="s">
        <v>7227</v>
      </c>
      <c r="AB711" s="1" t="s">
        <v>7228</v>
      </c>
      <c r="AC711" s="1" t="s">
        <v>74</v>
      </c>
      <c r="AD711" s="1" t="s">
        <v>74</v>
      </c>
      <c r="AE711" s="1" t="s">
        <v>74</v>
      </c>
      <c r="AF711" s="1" t="s">
        <v>74</v>
      </c>
      <c r="AG711" s="1" t="s">
        <v>74</v>
      </c>
      <c r="AH711" s="1" t="s">
        <v>74</v>
      </c>
      <c r="AI711" s="1" t="s">
        <v>74</v>
      </c>
      <c r="AJ711" s="1" t="s">
        <v>74</v>
      </c>
      <c r="AK711" s="1" t="s">
        <v>74</v>
      </c>
      <c r="AL711" s="1" t="s">
        <v>74</v>
      </c>
      <c r="AM711" s="1" t="s">
        <v>74</v>
      </c>
      <c r="AN711" s="1" t="s">
        <v>74</v>
      </c>
      <c r="AO711" s="1" t="s">
        <v>74</v>
      </c>
      <c r="AP711" s="1" t="s">
        <v>2034</v>
      </c>
      <c r="AQ711" s="1" t="s">
        <v>74</v>
      </c>
      <c r="AR711" s="1" t="s">
        <v>74</v>
      </c>
      <c r="AS711" s="1" t="s">
        <v>74</v>
      </c>
      <c r="AT711" s="1" t="s">
        <v>1018</v>
      </c>
      <c r="AU711" s="1">
        <v>2021.0</v>
      </c>
      <c r="AV711" s="1">
        <v>13.0</v>
      </c>
      <c r="AW711" s="1">
        <v>16.0</v>
      </c>
      <c r="AX711" s="1" t="s">
        <v>74</v>
      </c>
      <c r="AY711" s="1" t="s">
        <v>74</v>
      </c>
      <c r="AZ711" s="1" t="s">
        <v>74</v>
      </c>
      <c r="BA711" s="1" t="s">
        <v>74</v>
      </c>
      <c r="BB711" s="1" t="s">
        <v>74</v>
      </c>
      <c r="BC711" s="1" t="s">
        <v>74</v>
      </c>
      <c r="BD711" s="1">
        <v>9306.0</v>
      </c>
      <c r="BE711" s="1" t="s">
        <v>7229</v>
      </c>
      <c r="BF711" s="2" t="str">
        <f>HYPERLINK("http://dx.doi.org/10.3390/su13169306","http://dx.doi.org/10.3390/su13169306")</f>
        <v>http://dx.doi.org/10.3390/su13169306</v>
      </c>
      <c r="BG711" s="1" t="s">
        <v>74</v>
      </c>
      <c r="BH711" s="1" t="s">
        <v>74</v>
      </c>
      <c r="BI711" s="1" t="s">
        <v>74</v>
      </c>
      <c r="BJ711" s="1" t="s">
        <v>74</v>
      </c>
      <c r="BK711" s="1" t="s">
        <v>74</v>
      </c>
      <c r="BL711" s="1" t="s">
        <v>74</v>
      </c>
      <c r="BM711" s="1" t="s">
        <v>74</v>
      </c>
      <c r="BN711" s="1" t="s">
        <v>74</v>
      </c>
      <c r="BO711" s="1" t="s">
        <v>74</v>
      </c>
      <c r="BP711" s="1" t="s">
        <v>74</v>
      </c>
      <c r="BQ711" s="1" t="s">
        <v>74</v>
      </c>
      <c r="BR711" s="1" t="s">
        <v>74</v>
      </c>
      <c r="BS711" s="1" t="s">
        <v>7230</v>
      </c>
      <c r="BT711" s="1" t="str">
        <f>HYPERLINK("https%3A%2F%2Fwww.webofscience.com%2Fwos%2Fwoscc%2Ffull-record%2FWOS:000690281500001","View Full Record in Web of Science")</f>
        <v>View Full Record in Web of Science</v>
      </c>
    </row>
    <row r="712" ht="12.75" customHeight="1">
      <c r="A712" s="1" t="s">
        <v>72</v>
      </c>
      <c r="B712" s="1" t="s">
        <v>7231</v>
      </c>
      <c r="C712" s="1" t="s">
        <v>74</v>
      </c>
      <c r="D712" s="1" t="s">
        <v>74</v>
      </c>
      <c r="E712" s="1" t="s">
        <v>74</v>
      </c>
      <c r="F712" s="1" t="s">
        <v>7232</v>
      </c>
      <c r="G712" s="1" t="s">
        <v>74</v>
      </c>
      <c r="H712" s="1" t="s">
        <v>74</v>
      </c>
      <c r="I712" s="1" t="s">
        <v>7233</v>
      </c>
      <c r="J712" s="1" t="s">
        <v>7234</v>
      </c>
      <c r="K712" s="1" t="s">
        <v>74</v>
      </c>
      <c r="L712" s="1" t="s">
        <v>74</v>
      </c>
      <c r="M712" s="1" t="s">
        <v>74</v>
      </c>
      <c r="N712" s="1" t="s">
        <v>74</v>
      </c>
      <c r="O712" s="1" t="s">
        <v>74</v>
      </c>
      <c r="P712" s="1" t="s">
        <v>74</v>
      </c>
      <c r="Q712" s="1" t="s">
        <v>74</v>
      </c>
      <c r="R712" s="1" t="s">
        <v>74</v>
      </c>
      <c r="S712" s="1" t="s">
        <v>74</v>
      </c>
      <c r="T712" s="1" t="s">
        <v>74</v>
      </c>
      <c r="U712" s="1" t="s">
        <v>74</v>
      </c>
      <c r="V712" s="1" t="s">
        <v>7235</v>
      </c>
      <c r="W712" s="1" t="s">
        <v>74</v>
      </c>
      <c r="X712" s="1" t="s">
        <v>74</v>
      </c>
      <c r="Y712" s="1" t="s">
        <v>74</v>
      </c>
      <c r="Z712" s="1" t="s">
        <v>74</v>
      </c>
      <c r="AA712" s="1" t="s">
        <v>7236</v>
      </c>
      <c r="AB712" s="1" t="s">
        <v>7237</v>
      </c>
      <c r="AC712" s="1" t="s">
        <v>74</v>
      </c>
      <c r="AD712" s="1" t="s">
        <v>74</v>
      </c>
      <c r="AE712" s="1" t="s">
        <v>74</v>
      </c>
      <c r="AF712" s="1" t="s">
        <v>74</v>
      </c>
      <c r="AG712" s="1" t="s">
        <v>74</v>
      </c>
      <c r="AH712" s="1" t="s">
        <v>74</v>
      </c>
      <c r="AI712" s="1" t="s">
        <v>74</v>
      </c>
      <c r="AJ712" s="1" t="s">
        <v>74</v>
      </c>
      <c r="AK712" s="1" t="s">
        <v>74</v>
      </c>
      <c r="AL712" s="1" t="s">
        <v>74</v>
      </c>
      <c r="AM712" s="1" t="s">
        <v>74</v>
      </c>
      <c r="AN712" s="1" t="s">
        <v>74</v>
      </c>
      <c r="AO712" s="1" t="s">
        <v>7238</v>
      </c>
      <c r="AP712" s="1" t="s">
        <v>7239</v>
      </c>
      <c r="AQ712" s="1" t="s">
        <v>74</v>
      </c>
      <c r="AR712" s="1" t="s">
        <v>74</v>
      </c>
      <c r="AS712" s="1" t="s">
        <v>74</v>
      </c>
      <c r="AT712" s="1" t="s">
        <v>422</v>
      </c>
      <c r="AU712" s="1">
        <v>2021.0</v>
      </c>
      <c r="AV712" s="1">
        <v>160.0</v>
      </c>
      <c r="AW712" s="1" t="s">
        <v>74</v>
      </c>
      <c r="AX712" s="1" t="s">
        <v>74</v>
      </c>
      <c r="AY712" s="1" t="s">
        <v>74</v>
      </c>
      <c r="AZ712" s="1" t="s">
        <v>74</v>
      </c>
      <c r="BA712" s="1" t="s">
        <v>74</v>
      </c>
      <c r="BB712" s="1" t="s">
        <v>74</v>
      </c>
      <c r="BC712" s="1" t="s">
        <v>74</v>
      </c>
      <c r="BD712" s="1">
        <v>104027.0</v>
      </c>
      <c r="BE712" s="1" t="s">
        <v>7240</v>
      </c>
      <c r="BF712" s="2" t="str">
        <f>HYPERLINK("http://dx.doi.org/10.1016/j.compedu.2020.104027","http://dx.doi.org/10.1016/j.compedu.2020.104027")</f>
        <v>http://dx.doi.org/10.1016/j.compedu.2020.104027</v>
      </c>
      <c r="BG712" s="1" t="s">
        <v>74</v>
      </c>
      <c r="BH712" s="1" t="s">
        <v>74</v>
      </c>
      <c r="BI712" s="1" t="s">
        <v>74</v>
      </c>
      <c r="BJ712" s="1" t="s">
        <v>74</v>
      </c>
      <c r="BK712" s="1" t="s">
        <v>74</v>
      </c>
      <c r="BL712" s="1" t="s">
        <v>74</v>
      </c>
      <c r="BM712" s="1" t="s">
        <v>74</v>
      </c>
      <c r="BN712" s="1" t="s">
        <v>74</v>
      </c>
      <c r="BO712" s="1" t="s">
        <v>74</v>
      </c>
      <c r="BP712" s="1" t="s">
        <v>74</v>
      </c>
      <c r="BQ712" s="1" t="s">
        <v>74</v>
      </c>
      <c r="BR712" s="1" t="s">
        <v>74</v>
      </c>
      <c r="BS712" s="1" t="s">
        <v>7241</v>
      </c>
      <c r="BT712" s="1" t="str">
        <f>HYPERLINK("https%3A%2F%2Fwww.webofscience.com%2Fwos%2Fwoscc%2Ffull-record%2FWOS:000595248200006","View Full Record in Web of Science")</f>
        <v>View Full Record in Web of Science</v>
      </c>
    </row>
    <row r="713" ht="12.75" customHeight="1">
      <c r="A713" s="1" t="s">
        <v>742</v>
      </c>
      <c r="B713" s="1" t="s">
        <v>7242</v>
      </c>
      <c r="C713" s="1" t="s">
        <v>74</v>
      </c>
      <c r="D713" s="1" t="s">
        <v>7242</v>
      </c>
      <c r="E713" s="1" t="s">
        <v>74</v>
      </c>
      <c r="F713" s="1" t="s">
        <v>7243</v>
      </c>
      <c r="G713" s="1" t="s">
        <v>74</v>
      </c>
      <c r="H713" s="1" t="s">
        <v>74</v>
      </c>
      <c r="I713" s="1" t="s">
        <v>7244</v>
      </c>
      <c r="J713" s="1" t="s">
        <v>7245</v>
      </c>
      <c r="K713" s="1" t="s">
        <v>74</v>
      </c>
      <c r="L713" s="1" t="s">
        <v>74</v>
      </c>
      <c r="M713" s="1" t="s">
        <v>74</v>
      </c>
      <c r="N713" s="1" t="s">
        <v>74</v>
      </c>
      <c r="O713" s="1" t="s">
        <v>74</v>
      </c>
      <c r="P713" s="1" t="s">
        <v>74</v>
      </c>
      <c r="Q713" s="1" t="s">
        <v>74</v>
      </c>
      <c r="R713" s="1" t="s">
        <v>74</v>
      </c>
      <c r="S713" s="1" t="s">
        <v>74</v>
      </c>
      <c r="T713" s="1" t="s">
        <v>74</v>
      </c>
      <c r="U713" s="1" t="s">
        <v>74</v>
      </c>
      <c r="V713" s="1" t="s">
        <v>7246</v>
      </c>
      <c r="W713" s="1" t="s">
        <v>74</v>
      </c>
      <c r="X713" s="1" t="s">
        <v>74</v>
      </c>
      <c r="Y713" s="1" t="s">
        <v>74</v>
      </c>
      <c r="Z713" s="1" t="s">
        <v>74</v>
      </c>
      <c r="AA713" s="1" t="s">
        <v>7247</v>
      </c>
      <c r="AB713" s="1" t="s">
        <v>74</v>
      </c>
      <c r="AC713" s="1" t="s">
        <v>74</v>
      </c>
      <c r="AD713" s="1" t="s">
        <v>74</v>
      </c>
      <c r="AE713" s="1" t="s">
        <v>74</v>
      </c>
      <c r="AF713" s="1" t="s">
        <v>74</v>
      </c>
      <c r="AG713" s="1" t="s">
        <v>74</v>
      </c>
      <c r="AH713" s="1" t="s">
        <v>74</v>
      </c>
      <c r="AI713" s="1" t="s">
        <v>74</v>
      </c>
      <c r="AJ713" s="1" t="s">
        <v>74</v>
      </c>
      <c r="AK713" s="1" t="s">
        <v>74</v>
      </c>
      <c r="AL713" s="1" t="s">
        <v>74</v>
      </c>
      <c r="AM713" s="1" t="s">
        <v>74</v>
      </c>
      <c r="AN713" s="1" t="s">
        <v>74</v>
      </c>
      <c r="AO713" s="1" t="s">
        <v>74</v>
      </c>
      <c r="AP713" s="1" t="s">
        <v>74</v>
      </c>
      <c r="AQ713" s="1" t="s">
        <v>7248</v>
      </c>
      <c r="AR713" s="1" t="s">
        <v>74</v>
      </c>
      <c r="AS713" s="1" t="s">
        <v>74</v>
      </c>
      <c r="AT713" s="1" t="s">
        <v>74</v>
      </c>
      <c r="AU713" s="1">
        <v>2021.0</v>
      </c>
      <c r="AV713" s="1" t="s">
        <v>74</v>
      </c>
      <c r="AW713" s="1" t="s">
        <v>74</v>
      </c>
      <c r="AX713" s="1" t="s">
        <v>74</v>
      </c>
      <c r="AY713" s="1" t="s">
        <v>74</v>
      </c>
      <c r="AZ713" s="1" t="s">
        <v>74</v>
      </c>
      <c r="BA713" s="1" t="s">
        <v>74</v>
      </c>
      <c r="BB713" s="1">
        <v>13.0</v>
      </c>
      <c r="BC713" s="1">
        <v>28.0</v>
      </c>
      <c r="BD713" s="1" t="s">
        <v>74</v>
      </c>
      <c r="BE713" s="1" t="s">
        <v>74</v>
      </c>
      <c r="BF713" s="1" t="s">
        <v>74</v>
      </c>
      <c r="BG713" s="1" t="s">
        <v>7249</v>
      </c>
      <c r="BH713" s="1" t="s">
        <v>74</v>
      </c>
      <c r="BI713" s="1" t="s">
        <v>74</v>
      </c>
      <c r="BJ713" s="1" t="s">
        <v>74</v>
      </c>
      <c r="BK713" s="1" t="s">
        <v>74</v>
      </c>
      <c r="BL713" s="1" t="s">
        <v>74</v>
      </c>
      <c r="BM713" s="1" t="s">
        <v>74</v>
      </c>
      <c r="BN713" s="1" t="s">
        <v>74</v>
      </c>
      <c r="BO713" s="1" t="s">
        <v>74</v>
      </c>
      <c r="BP713" s="1" t="s">
        <v>74</v>
      </c>
      <c r="BQ713" s="1" t="s">
        <v>74</v>
      </c>
      <c r="BR713" s="1" t="s">
        <v>74</v>
      </c>
      <c r="BS713" s="1" t="s">
        <v>7250</v>
      </c>
      <c r="BT713" s="1" t="str">
        <f>HYPERLINK("https%3A%2F%2Fwww.webofscience.com%2Fwos%2Fwoscc%2Ffull-record%2FWOS:000762613700002","View Full Record in Web of Science")</f>
        <v>View Full Record in Web of Science</v>
      </c>
    </row>
    <row r="714" ht="12.75" customHeight="1">
      <c r="A714" s="1" t="s">
        <v>72</v>
      </c>
      <c r="B714" s="1" t="s">
        <v>7251</v>
      </c>
      <c r="C714" s="1" t="s">
        <v>74</v>
      </c>
      <c r="D714" s="1" t="s">
        <v>74</v>
      </c>
      <c r="E714" s="1" t="s">
        <v>74</v>
      </c>
      <c r="F714" s="1" t="s">
        <v>7252</v>
      </c>
      <c r="G714" s="1" t="s">
        <v>74</v>
      </c>
      <c r="H714" s="1" t="s">
        <v>74</v>
      </c>
      <c r="I714" s="1" t="s">
        <v>7253</v>
      </c>
      <c r="J714" s="1" t="s">
        <v>7254</v>
      </c>
      <c r="K714" s="1" t="s">
        <v>74</v>
      </c>
      <c r="L714" s="1" t="s">
        <v>74</v>
      </c>
      <c r="M714" s="1" t="s">
        <v>74</v>
      </c>
      <c r="N714" s="1" t="s">
        <v>74</v>
      </c>
      <c r="O714" s="1" t="s">
        <v>74</v>
      </c>
      <c r="P714" s="1" t="s">
        <v>74</v>
      </c>
      <c r="Q714" s="1" t="s">
        <v>74</v>
      </c>
      <c r="R714" s="1" t="s">
        <v>74</v>
      </c>
      <c r="S714" s="1" t="s">
        <v>74</v>
      </c>
      <c r="T714" s="1" t="s">
        <v>74</v>
      </c>
      <c r="U714" s="1" t="s">
        <v>74</v>
      </c>
      <c r="V714" s="1" t="s">
        <v>7255</v>
      </c>
      <c r="W714" s="1" t="s">
        <v>74</v>
      </c>
      <c r="X714" s="1" t="s">
        <v>74</v>
      </c>
      <c r="Y714" s="1" t="s">
        <v>74</v>
      </c>
      <c r="Z714" s="1" t="s">
        <v>74</v>
      </c>
      <c r="AA714" s="1" t="s">
        <v>7256</v>
      </c>
      <c r="AB714" s="1" t="s">
        <v>7257</v>
      </c>
      <c r="AC714" s="1" t="s">
        <v>74</v>
      </c>
      <c r="AD714" s="1" t="s">
        <v>74</v>
      </c>
      <c r="AE714" s="1" t="s">
        <v>74</v>
      </c>
      <c r="AF714" s="1" t="s">
        <v>74</v>
      </c>
      <c r="AG714" s="1" t="s">
        <v>74</v>
      </c>
      <c r="AH714" s="1" t="s">
        <v>74</v>
      </c>
      <c r="AI714" s="1" t="s">
        <v>74</v>
      </c>
      <c r="AJ714" s="1" t="s">
        <v>74</v>
      </c>
      <c r="AK714" s="1" t="s">
        <v>74</v>
      </c>
      <c r="AL714" s="1" t="s">
        <v>74</v>
      </c>
      <c r="AM714" s="1" t="s">
        <v>74</v>
      </c>
      <c r="AN714" s="1" t="s">
        <v>74</v>
      </c>
      <c r="AO714" s="1" t="s">
        <v>7258</v>
      </c>
      <c r="AP714" s="1" t="s">
        <v>7259</v>
      </c>
      <c r="AQ714" s="1" t="s">
        <v>74</v>
      </c>
      <c r="AR714" s="1" t="s">
        <v>74</v>
      </c>
      <c r="AS714" s="1" t="s">
        <v>74</v>
      </c>
      <c r="AT714" s="1" t="s">
        <v>485</v>
      </c>
      <c r="AU714" s="1">
        <v>2021.0</v>
      </c>
      <c r="AV714" s="1">
        <v>28.0</v>
      </c>
      <c r="AW714" s="1">
        <v>19.0</v>
      </c>
      <c r="AX714" s="1" t="s">
        <v>74</v>
      </c>
      <c r="AY714" s="1" t="s">
        <v>74</v>
      </c>
      <c r="AZ714" s="1" t="s">
        <v>1416</v>
      </c>
      <c r="BA714" s="1" t="s">
        <v>74</v>
      </c>
      <c r="BB714" s="1">
        <v>23753.0</v>
      </c>
      <c r="BC714" s="1">
        <v>23766.0</v>
      </c>
      <c r="BD714" s="1" t="s">
        <v>74</v>
      </c>
      <c r="BE714" s="1" t="s">
        <v>7260</v>
      </c>
      <c r="BF714" s="2" t="str">
        <f>HYPERLINK("http://dx.doi.org/10.1007/s11356-020-11223-y","http://dx.doi.org/10.1007/s11356-020-11223-y")</f>
        <v>http://dx.doi.org/10.1007/s11356-020-11223-y</v>
      </c>
      <c r="BG714" s="1" t="s">
        <v>74</v>
      </c>
      <c r="BH714" s="1" t="s">
        <v>7261</v>
      </c>
      <c r="BI714" s="1" t="s">
        <v>74</v>
      </c>
      <c r="BJ714" s="1" t="s">
        <v>74</v>
      </c>
      <c r="BK714" s="1" t="s">
        <v>74</v>
      </c>
      <c r="BL714" s="1" t="s">
        <v>74</v>
      </c>
      <c r="BM714" s="1" t="s">
        <v>74</v>
      </c>
      <c r="BN714" s="1">
        <v>3.3099736E7</v>
      </c>
      <c r="BO714" s="1" t="s">
        <v>74</v>
      </c>
      <c r="BP714" s="1" t="s">
        <v>74</v>
      </c>
      <c r="BQ714" s="1" t="s">
        <v>74</v>
      </c>
      <c r="BR714" s="1" t="s">
        <v>74</v>
      </c>
      <c r="BS714" s="1" t="s">
        <v>7262</v>
      </c>
      <c r="BT714" s="1" t="str">
        <f>HYPERLINK("https%3A%2F%2Fwww.webofscience.com%2Fwos%2Fwoscc%2Ffull-record%2FWOS:000582312400004","View Full Record in Web of Science")</f>
        <v>View Full Record in Web of Science</v>
      </c>
    </row>
    <row r="715" ht="12.75" customHeight="1">
      <c r="A715" s="1" t="s">
        <v>72</v>
      </c>
      <c r="B715" s="1" t="s">
        <v>7263</v>
      </c>
      <c r="C715" s="1" t="s">
        <v>74</v>
      </c>
      <c r="D715" s="1" t="s">
        <v>74</v>
      </c>
      <c r="E715" s="1" t="s">
        <v>74</v>
      </c>
      <c r="F715" s="1" t="s">
        <v>7264</v>
      </c>
      <c r="G715" s="1" t="s">
        <v>74</v>
      </c>
      <c r="H715" s="1" t="s">
        <v>74</v>
      </c>
      <c r="I715" s="1" t="s">
        <v>7265</v>
      </c>
      <c r="J715" s="1" t="s">
        <v>7266</v>
      </c>
      <c r="K715" s="1" t="s">
        <v>74</v>
      </c>
      <c r="L715" s="1" t="s">
        <v>74</v>
      </c>
      <c r="M715" s="1" t="s">
        <v>74</v>
      </c>
      <c r="N715" s="1" t="s">
        <v>74</v>
      </c>
      <c r="O715" s="1" t="s">
        <v>74</v>
      </c>
      <c r="P715" s="1" t="s">
        <v>74</v>
      </c>
      <c r="Q715" s="1" t="s">
        <v>74</v>
      </c>
      <c r="R715" s="1" t="s">
        <v>74</v>
      </c>
      <c r="S715" s="1" t="s">
        <v>74</v>
      </c>
      <c r="T715" s="1" t="s">
        <v>74</v>
      </c>
      <c r="U715" s="1" t="s">
        <v>74</v>
      </c>
      <c r="V715" s="1" t="s">
        <v>7267</v>
      </c>
      <c r="W715" s="1" t="s">
        <v>74</v>
      </c>
      <c r="X715" s="1" t="s">
        <v>74</v>
      </c>
      <c r="Y715" s="1" t="s">
        <v>74</v>
      </c>
      <c r="Z715" s="1" t="s">
        <v>74</v>
      </c>
      <c r="AA715" s="1" t="s">
        <v>7268</v>
      </c>
      <c r="AB715" s="1" t="s">
        <v>7269</v>
      </c>
      <c r="AC715" s="1" t="s">
        <v>74</v>
      </c>
      <c r="AD715" s="1" t="s">
        <v>74</v>
      </c>
      <c r="AE715" s="1" t="s">
        <v>74</v>
      </c>
      <c r="AF715" s="1" t="s">
        <v>74</v>
      </c>
      <c r="AG715" s="1" t="s">
        <v>74</v>
      </c>
      <c r="AH715" s="1" t="s">
        <v>74</v>
      </c>
      <c r="AI715" s="1" t="s">
        <v>74</v>
      </c>
      <c r="AJ715" s="1" t="s">
        <v>74</v>
      </c>
      <c r="AK715" s="1" t="s">
        <v>74</v>
      </c>
      <c r="AL715" s="1" t="s">
        <v>74</v>
      </c>
      <c r="AM715" s="1" t="s">
        <v>74</v>
      </c>
      <c r="AN715" s="1" t="s">
        <v>74</v>
      </c>
      <c r="AO715" s="1" t="s">
        <v>74</v>
      </c>
      <c r="AP715" s="1" t="s">
        <v>7270</v>
      </c>
      <c r="AQ715" s="1" t="s">
        <v>74</v>
      </c>
      <c r="AR715" s="1" t="s">
        <v>74</v>
      </c>
      <c r="AS715" s="1" t="s">
        <v>74</v>
      </c>
      <c r="AT715" s="1" t="s">
        <v>212</v>
      </c>
      <c r="AU715" s="1">
        <v>2020.0</v>
      </c>
      <c r="AV715" s="1">
        <v>1.0</v>
      </c>
      <c r="AW715" s="1">
        <v>2.0</v>
      </c>
      <c r="AX715" s="1" t="s">
        <v>74</v>
      </c>
      <c r="AY715" s="1" t="s">
        <v>74</v>
      </c>
      <c r="AZ715" s="1" t="s">
        <v>74</v>
      </c>
      <c r="BA715" s="1" t="s">
        <v>74</v>
      </c>
      <c r="BB715" s="1" t="s">
        <v>74</v>
      </c>
      <c r="BC715" s="1" t="s">
        <v>74</v>
      </c>
      <c r="BD715" s="1">
        <v>20002.0</v>
      </c>
      <c r="BE715" s="1" t="s">
        <v>7271</v>
      </c>
      <c r="BF715" s="2" t="str">
        <f>HYPERLINK("http://dx.doi.org/10.1088/2632-959X/ab9f07","http://dx.doi.org/10.1088/2632-959X/ab9f07")</f>
        <v>http://dx.doi.org/10.1088/2632-959X/ab9f07</v>
      </c>
      <c r="BG715" s="1" t="s">
        <v>74</v>
      </c>
      <c r="BH715" s="1" t="s">
        <v>74</v>
      </c>
      <c r="BI715" s="1" t="s">
        <v>74</v>
      </c>
      <c r="BJ715" s="1" t="s">
        <v>74</v>
      </c>
      <c r="BK715" s="1" t="s">
        <v>74</v>
      </c>
      <c r="BL715" s="1" t="s">
        <v>74</v>
      </c>
      <c r="BM715" s="1" t="s">
        <v>74</v>
      </c>
      <c r="BN715" s="1" t="s">
        <v>74</v>
      </c>
      <c r="BO715" s="1" t="s">
        <v>74</v>
      </c>
      <c r="BP715" s="1" t="s">
        <v>74</v>
      </c>
      <c r="BQ715" s="1" t="s">
        <v>74</v>
      </c>
      <c r="BR715" s="1" t="s">
        <v>74</v>
      </c>
      <c r="BS715" s="1" t="s">
        <v>7272</v>
      </c>
      <c r="BT715" s="1" t="str">
        <f>HYPERLINK("https%3A%2F%2Fwww.webofscience.com%2Fwos%2Fwoscc%2Ffull-record%2FWOS:000657242200001","View Full Record in Web of Science")</f>
        <v>View Full Record in Web of Science</v>
      </c>
    </row>
    <row r="716" ht="12.75" customHeight="1">
      <c r="A716" s="1" t="s">
        <v>72</v>
      </c>
      <c r="B716" s="1" t="s">
        <v>7273</v>
      </c>
      <c r="C716" s="1" t="s">
        <v>74</v>
      </c>
      <c r="D716" s="1" t="s">
        <v>74</v>
      </c>
      <c r="E716" s="1" t="s">
        <v>74</v>
      </c>
      <c r="F716" s="1" t="s">
        <v>7274</v>
      </c>
      <c r="G716" s="1" t="s">
        <v>74</v>
      </c>
      <c r="H716" s="1" t="s">
        <v>74</v>
      </c>
      <c r="I716" s="1" t="s">
        <v>7275</v>
      </c>
      <c r="J716" s="1" t="s">
        <v>3815</v>
      </c>
      <c r="K716" s="1" t="s">
        <v>74</v>
      </c>
      <c r="L716" s="1" t="s">
        <v>74</v>
      </c>
      <c r="M716" s="1" t="s">
        <v>74</v>
      </c>
      <c r="N716" s="1" t="s">
        <v>74</v>
      </c>
      <c r="O716" s="1" t="s">
        <v>74</v>
      </c>
      <c r="P716" s="1" t="s">
        <v>74</v>
      </c>
      <c r="Q716" s="1" t="s">
        <v>74</v>
      </c>
      <c r="R716" s="1" t="s">
        <v>74</v>
      </c>
      <c r="S716" s="1" t="s">
        <v>74</v>
      </c>
      <c r="T716" s="1" t="s">
        <v>74</v>
      </c>
      <c r="U716" s="1" t="s">
        <v>74</v>
      </c>
      <c r="V716" s="1" t="s">
        <v>7276</v>
      </c>
      <c r="W716" s="1" t="s">
        <v>74</v>
      </c>
      <c r="X716" s="1" t="s">
        <v>74</v>
      </c>
      <c r="Y716" s="1" t="s">
        <v>74</v>
      </c>
      <c r="Z716" s="1" t="s">
        <v>74</v>
      </c>
      <c r="AA716" s="1" t="s">
        <v>7277</v>
      </c>
      <c r="AB716" s="1" t="s">
        <v>7278</v>
      </c>
      <c r="AC716" s="1" t="s">
        <v>74</v>
      </c>
      <c r="AD716" s="1" t="s">
        <v>74</v>
      </c>
      <c r="AE716" s="1" t="s">
        <v>74</v>
      </c>
      <c r="AF716" s="1" t="s">
        <v>74</v>
      </c>
      <c r="AG716" s="1" t="s">
        <v>74</v>
      </c>
      <c r="AH716" s="1" t="s">
        <v>74</v>
      </c>
      <c r="AI716" s="1" t="s">
        <v>74</v>
      </c>
      <c r="AJ716" s="1" t="s">
        <v>74</v>
      </c>
      <c r="AK716" s="1" t="s">
        <v>74</v>
      </c>
      <c r="AL716" s="1" t="s">
        <v>74</v>
      </c>
      <c r="AM716" s="1" t="s">
        <v>74</v>
      </c>
      <c r="AN716" s="1" t="s">
        <v>74</v>
      </c>
      <c r="AO716" s="1" t="s">
        <v>74</v>
      </c>
      <c r="AP716" s="1" t="s">
        <v>3819</v>
      </c>
      <c r="AQ716" s="1" t="s">
        <v>74</v>
      </c>
      <c r="AR716" s="1" t="s">
        <v>74</v>
      </c>
      <c r="AS716" s="1" t="s">
        <v>74</v>
      </c>
      <c r="AT716" s="1" t="s">
        <v>1018</v>
      </c>
      <c r="AU716" s="1">
        <v>2020.0</v>
      </c>
      <c r="AV716" s="1">
        <v>12.0</v>
      </c>
      <c r="AW716" s="1">
        <v>8.0</v>
      </c>
      <c r="AX716" s="1" t="s">
        <v>74</v>
      </c>
      <c r="AY716" s="1" t="s">
        <v>74</v>
      </c>
      <c r="AZ716" s="1" t="s">
        <v>74</v>
      </c>
      <c r="BA716" s="1" t="s">
        <v>74</v>
      </c>
      <c r="BB716" s="1" t="s">
        <v>74</v>
      </c>
      <c r="BC716" s="1" t="s">
        <v>74</v>
      </c>
      <c r="BD716" s="1">
        <v>2371.0</v>
      </c>
      <c r="BE716" s="1" t="s">
        <v>7279</v>
      </c>
      <c r="BF716" s="2" t="str">
        <f>HYPERLINK("http://dx.doi.org/10.3390/nu12082371","http://dx.doi.org/10.3390/nu12082371")</f>
        <v>http://dx.doi.org/10.3390/nu12082371</v>
      </c>
      <c r="BG716" s="1" t="s">
        <v>74</v>
      </c>
      <c r="BH716" s="1" t="s">
        <v>74</v>
      </c>
      <c r="BI716" s="1" t="s">
        <v>74</v>
      </c>
      <c r="BJ716" s="1" t="s">
        <v>74</v>
      </c>
      <c r="BK716" s="1" t="s">
        <v>74</v>
      </c>
      <c r="BL716" s="1" t="s">
        <v>74</v>
      </c>
      <c r="BM716" s="1" t="s">
        <v>74</v>
      </c>
      <c r="BN716" s="1">
        <v>3.278437E7</v>
      </c>
      <c r="BO716" s="1" t="s">
        <v>74</v>
      </c>
      <c r="BP716" s="1" t="s">
        <v>74</v>
      </c>
      <c r="BQ716" s="1" t="s">
        <v>74</v>
      </c>
      <c r="BR716" s="1" t="s">
        <v>74</v>
      </c>
      <c r="BS716" s="1" t="s">
        <v>7280</v>
      </c>
      <c r="BT716" s="1" t="str">
        <f>HYPERLINK("https%3A%2F%2Fwww.webofscience.com%2Fwos%2Fwoscc%2Ffull-record%2FWOS:000577892400001","View Full Record in Web of Science")</f>
        <v>View Full Record in Web of Science</v>
      </c>
    </row>
    <row r="717" ht="12.75" customHeight="1">
      <c r="A717" s="1" t="s">
        <v>72</v>
      </c>
      <c r="B717" s="1" t="s">
        <v>7281</v>
      </c>
      <c r="C717" s="1" t="s">
        <v>74</v>
      </c>
      <c r="D717" s="1" t="s">
        <v>74</v>
      </c>
      <c r="E717" s="1" t="s">
        <v>74</v>
      </c>
      <c r="F717" s="1" t="s">
        <v>7282</v>
      </c>
      <c r="G717" s="1" t="s">
        <v>74</v>
      </c>
      <c r="H717" s="1" t="s">
        <v>74</v>
      </c>
      <c r="I717" s="1" t="s">
        <v>7283</v>
      </c>
      <c r="J717" s="1" t="s">
        <v>229</v>
      </c>
      <c r="K717" s="1" t="s">
        <v>74</v>
      </c>
      <c r="L717" s="1" t="s">
        <v>74</v>
      </c>
      <c r="M717" s="1" t="s">
        <v>74</v>
      </c>
      <c r="N717" s="1" t="s">
        <v>74</v>
      </c>
      <c r="O717" s="1" t="s">
        <v>74</v>
      </c>
      <c r="P717" s="1" t="s">
        <v>74</v>
      </c>
      <c r="Q717" s="1" t="s">
        <v>74</v>
      </c>
      <c r="R717" s="1" t="s">
        <v>74</v>
      </c>
      <c r="S717" s="1" t="s">
        <v>74</v>
      </c>
      <c r="T717" s="1" t="s">
        <v>74</v>
      </c>
      <c r="U717" s="1" t="s">
        <v>74</v>
      </c>
      <c r="V717" s="1" t="s">
        <v>7284</v>
      </c>
      <c r="W717" s="1" t="s">
        <v>74</v>
      </c>
      <c r="X717" s="1" t="s">
        <v>74</v>
      </c>
      <c r="Y717" s="1" t="s">
        <v>74</v>
      </c>
      <c r="Z717" s="1" t="s">
        <v>74</v>
      </c>
      <c r="AA717" s="1" t="s">
        <v>74</v>
      </c>
      <c r="AB717" s="1" t="s">
        <v>74</v>
      </c>
      <c r="AC717" s="1" t="s">
        <v>74</v>
      </c>
      <c r="AD717" s="1" t="s">
        <v>74</v>
      </c>
      <c r="AE717" s="1" t="s">
        <v>74</v>
      </c>
      <c r="AF717" s="1" t="s">
        <v>74</v>
      </c>
      <c r="AG717" s="1" t="s">
        <v>74</v>
      </c>
      <c r="AH717" s="1" t="s">
        <v>74</v>
      </c>
      <c r="AI717" s="1" t="s">
        <v>74</v>
      </c>
      <c r="AJ717" s="1" t="s">
        <v>74</v>
      </c>
      <c r="AK717" s="1" t="s">
        <v>74</v>
      </c>
      <c r="AL717" s="1" t="s">
        <v>74</v>
      </c>
      <c r="AM717" s="1" t="s">
        <v>74</v>
      </c>
      <c r="AN717" s="1" t="s">
        <v>74</v>
      </c>
      <c r="AO717" s="1" t="s">
        <v>233</v>
      </c>
      <c r="AP717" s="1" t="s">
        <v>234</v>
      </c>
      <c r="AQ717" s="1" t="s">
        <v>74</v>
      </c>
      <c r="AR717" s="1" t="s">
        <v>74</v>
      </c>
      <c r="AS717" s="1" t="s">
        <v>74</v>
      </c>
      <c r="AT717" s="1" t="s">
        <v>939</v>
      </c>
      <c r="AU717" s="1">
        <v>2020.0</v>
      </c>
      <c r="AV717" s="1">
        <v>38.0</v>
      </c>
      <c r="AW717" s="1">
        <v>3.0</v>
      </c>
      <c r="AX717" s="1" t="s">
        <v>74</v>
      </c>
      <c r="AY717" s="1" t="s">
        <v>74</v>
      </c>
      <c r="AZ717" s="1" t="s">
        <v>74</v>
      </c>
      <c r="BA717" s="1" t="s">
        <v>74</v>
      </c>
      <c r="BB717" s="1">
        <v>545.0</v>
      </c>
      <c r="BC717" s="1">
        <v>551.0</v>
      </c>
      <c r="BD717" s="1" t="s">
        <v>74</v>
      </c>
      <c r="BE717" s="1" t="s">
        <v>74</v>
      </c>
      <c r="BF717" s="1" t="s">
        <v>74</v>
      </c>
      <c r="BG717" s="1" t="s">
        <v>74</v>
      </c>
      <c r="BH717" s="1" t="s">
        <v>74</v>
      </c>
      <c r="BI717" s="1" t="s">
        <v>74</v>
      </c>
      <c r="BJ717" s="1" t="s">
        <v>74</v>
      </c>
      <c r="BK717" s="1" t="s">
        <v>74</v>
      </c>
      <c r="BL717" s="1" t="s">
        <v>74</v>
      </c>
      <c r="BM717" s="1" t="s">
        <v>74</v>
      </c>
      <c r="BN717" s="1" t="s">
        <v>74</v>
      </c>
      <c r="BO717" s="1" t="s">
        <v>74</v>
      </c>
      <c r="BP717" s="1" t="s">
        <v>74</v>
      </c>
      <c r="BQ717" s="1" t="s">
        <v>74</v>
      </c>
      <c r="BR717" s="1" t="s">
        <v>74</v>
      </c>
      <c r="BS717" s="1" t="s">
        <v>7285</v>
      </c>
      <c r="BT717" s="1" t="str">
        <f>HYPERLINK("https%3A%2F%2Fwww.webofscience.com%2Fwos%2Fwoscc%2Ffull-record%2FWOS:000525755300004","View Full Record in Web of Science")</f>
        <v>View Full Record in Web of Science</v>
      </c>
    </row>
    <row r="718" ht="12.75" customHeight="1">
      <c r="A718" s="1" t="s">
        <v>72</v>
      </c>
      <c r="B718" s="1" t="s">
        <v>7286</v>
      </c>
      <c r="C718" s="1" t="s">
        <v>74</v>
      </c>
      <c r="D718" s="1" t="s">
        <v>74</v>
      </c>
      <c r="E718" s="1" t="s">
        <v>74</v>
      </c>
      <c r="F718" s="1" t="s">
        <v>7287</v>
      </c>
      <c r="G718" s="1" t="s">
        <v>74</v>
      </c>
      <c r="H718" s="1" t="s">
        <v>74</v>
      </c>
      <c r="I718" s="1" t="s">
        <v>7288</v>
      </c>
      <c r="J718" s="1" t="s">
        <v>7289</v>
      </c>
      <c r="K718" s="1" t="s">
        <v>74</v>
      </c>
      <c r="L718" s="1" t="s">
        <v>74</v>
      </c>
      <c r="M718" s="1" t="s">
        <v>74</v>
      </c>
      <c r="N718" s="1" t="s">
        <v>74</v>
      </c>
      <c r="O718" s="1" t="s">
        <v>74</v>
      </c>
      <c r="P718" s="1" t="s">
        <v>74</v>
      </c>
      <c r="Q718" s="1" t="s">
        <v>74</v>
      </c>
      <c r="R718" s="1" t="s">
        <v>74</v>
      </c>
      <c r="S718" s="1" t="s">
        <v>74</v>
      </c>
      <c r="T718" s="1" t="s">
        <v>74</v>
      </c>
      <c r="U718" s="1" t="s">
        <v>74</v>
      </c>
      <c r="V718" s="1" t="s">
        <v>7290</v>
      </c>
      <c r="W718" s="1" t="s">
        <v>74</v>
      </c>
      <c r="X718" s="1" t="s">
        <v>74</v>
      </c>
      <c r="Y718" s="1" t="s">
        <v>74</v>
      </c>
      <c r="Z718" s="1" t="s">
        <v>74</v>
      </c>
      <c r="AA718" s="1" t="s">
        <v>7291</v>
      </c>
      <c r="AB718" s="1" t="s">
        <v>7292</v>
      </c>
      <c r="AC718" s="1" t="s">
        <v>74</v>
      </c>
      <c r="AD718" s="1" t="s">
        <v>74</v>
      </c>
      <c r="AE718" s="1" t="s">
        <v>74</v>
      </c>
      <c r="AF718" s="1" t="s">
        <v>74</v>
      </c>
      <c r="AG718" s="1" t="s">
        <v>74</v>
      </c>
      <c r="AH718" s="1" t="s">
        <v>74</v>
      </c>
      <c r="AI718" s="1" t="s">
        <v>74</v>
      </c>
      <c r="AJ718" s="1" t="s">
        <v>74</v>
      </c>
      <c r="AK718" s="1" t="s">
        <v>74</v>
      </c>
      <c r="AL718" s="1" t="s">
        <v>74</v>
      </c>
      <c r="AM718" s="1" t="s">
        <v>74</v>
      </c>
      <c r="AN718" s="1" t="s">
        <v>74</v>
      </c>
      <c r="AO718" s="1" t="s">
        <v>7293</v>
      </c>
      <c r="AP718" s="1" t="s">
        <v>74</v>
      </c>
      <c r="AQ718" s="1" t="s">
        <v>74</v>
      </c>
      <c r="AR718" s="1" t="s">
        <v>74</v>
      </c>
      <c r="AS718" s="1" t="s">
        <v>74</v>
      </c>
      <c r="AT718" s="1" t="s">
        <v>7294</v>
      </c>
      <c r="AU718" s="1">
        <v>2019.0</v>
      </c>
      <c r="AV718" s="1">
        <v>4.0</v>
      </c>
      <c r="AW718" s="1">
        <v>19.0</v>
      </c>
      <c r="AX718" s="1" t="s">
        <v>74</v>
      </c>
      <c r="AY718" s="1" t="s">
        <v>74</v>
      </c>
      <c r="AZ718" s="1" t="s">
        <v>74</v>
      </c>
      <c r="BA718" s="1" t="s">
        <v>74</v>
      </c>
      <c r="BB718" s="1">
        <v>5619.0</v>
      </c>
      <c r="BC718" s="1">
        <v>5627.0</v>
      </c>
      <c r="BD718" s="1" t="s">
        <v>74</v>
      </c>
      <c r="BE718" s="1" t="s">
        <v>7295</v>
      </c>
      <c r="BF718" s="2" t="str">
        <f>HYPERLINK("http://dx.doi.org/10.1002/slct.201901014","http://dx.doi.org/10.1002/slct.201901014")</f>
        <v>http://dx.doi.org/10.1002/slct.201901014</v>
      </c>
      <c r="BG718" s="1" t="s">
        <v>74</v>
      </c>
      <c r="BH718" s="1" t="s">
        <v>74</v>
      </c>
      <c r="BI718" s="1" t="s">
        <v>74</v>
      </c>
      <c r="BJ718" s="1" t="s">
        <v>74</v>
      </c>
      <c r="BK718" s="1" t="s">
        <v>74</v>
      </c>
      <c r="BL718" s="1" t="s">
        <v>74</v>
      </c>
      <c r="BM718" s="1" t="s">
        <v>74</v>
      </c>
      <c r="BN718" s="1" t="s">
        <v>74</v>
      </c>
      <c r="BO718" s="1" t="s">
        <v>74</v>
      </c>
      <c r="BP718" s="1" t="s">
        <v>74</v>
      </c>
      <c r="BQ718" s="1" t="s">
        <v>74</v>
      </c>
      <c r="BR718" s="1" t="s">
        <v>74</v>
      </c>
      <c r="BS718" s="1" t="s">
        <v>7296</v>
      </c>
      <c r="BT718" s="1" t="str">
        <f>HYPERLINK("https%3A%2F%2Fwww.webofscience.com%2Fwos%2Fwoscc%2Ffull-record%2FWOS:000468976000032","View Full Record in Web of Science")</f>
        <v>View Full Record in Web of Science</v>
      </c>
    </row>
    <row r="719" ht="12.75" customHeight="1">
      <c r="A719" s="1" t="s">
        <v>72</v>
      </c>
      <c r="B719" s="1" t="s">
        <v>7297</v>
      </c>
      <c r="C719" s="1" t="s">
        <v>74</v>
      </c>
      <c r="D719" s="1" t="s">
        <v>74</v>
      </c>
      <c r="E719" s="1" t="s">
        <v>74</v>
      </c>
      <c r="F719" s="1" t="s">
        <v>7298</v>
      </c>
      <c r="G719" s="1" t="s">
        <v>74</v>
      </c>
      <c r="H719" s="1" t="s">
        <v>74</v>
      </c>
      <c r="I719" s="1" t="s">
        <v>7299</v>
      </c>
      <c r="J719" s="1" t="s">
        <v>7300</v>
      </c>
      <c r="K719" s="1" t="s">
        <v>74</v>
      </c>
      <c r="L719" s="1" t="s">
        <v>74</v>
      </c>
      <c r="M719" s="1" t="s">
        <v>74</v>
      </c>
      <c r="N719" s="1" t="s">
        <v>74</v>
      </c>
      <c r="O719" s="1" t="s">
        <v>74</v>
      </c>
      <c r="P719" s="1" t="s">
        <v>74</v>
      </c>
      <c r="Q719" s="1" t="s">
        <v>74</v>
      </c>
      <c r="R719" s="1" t="s">
        <v>74</v>
      </c>
      <c r="S719" s="1" t="s">
        <v>74</v>
      </c>
      <c r="T719" s="1" t="s">
        <v>74</v>
      </c>
      <c r="U719" s="1" t="s">
        <v>74</v>
      </c>
      <c r="V719" s="1" t="s">
        <v>7301</v>
      </c>
      <c r="W719" s="1" t="s">
        <v>74</v>
      </c>
      <c r="X719" s="1" t="s">
        <v>74</v>
      </c>
      <c r="Y719" s="1" t="s">
        <v>74</v>
      </c>
      <c r="Z719" s="1" t="s">
        <v>74</v>
      </c>
      <c r="AA719" s="1" t="s">
        <v>7302</v>
      </c>
      <c r="AB719" s="1" t="s">
        <v>7303</v>
      </c>
      <c r="AC719" s="1" t="s">
        <v>74</v>
      </c>
      <c r="AD719" s="1" t="s">
        <v>74</v>
      </c>
      <c r="AE719" s="1" t="s">
        <v>74</v>
      </c>
      <c r="AF719" s="1" t="s">
        <v>74</v>
      </c>
      <c r="AG719" s="1" t="s">
        <v>74</v>
      </c>
      <c r="AH719" s="1" t="s">
        <v>74</v>
      </c>
      <c r="AI719" s="1" t="s">
        <v>74</v>
      </c>
      <c r="AJ719" s="1" t="s">
        <v>74</v>
      </c>
      <c r="AK719" s="1" t="s">
        <v>74</v>
      </c>
      <c r="AL719" s="1" t="s">
        <v>74</v>
      </c>
      <c r="AM719" s="1" t="s">
        <v>74</v>
      </c>
      <c r="AN719" s="1" t="s">
        <v>74</v>
      </c>
      <c r="AO719" s="1" t="s">
        <v>7304</v>
      </c>
      <c r="AP719" s="1" t="s">
        <v>7305</v>
      </c>
      <c r="AQ719" s="1" t="s">
        <v>74</v>
      </c>
      <c r="AR719" s="1" t="s">
        <v>74</v>
      </c>
      <c r="AS719" s="1" t="s">
        <v>74</v>
      </c>
      <c r="AT719" s="1" t="s">
        <v>441</v>
      </c>
      <c r="AU719" s="1">
        <v>2019.0</v>
      </c>
      <c r="AV719" s="1">
        <v>204.0</v>
      </c>
      <c r="AW719" s="1" t="s">
        <v>74</v>
      </c>
      <c r="AX719" s="1" t="s">
        <v>74</v>
      </c>
      <c r="AY719" s="1" t="s">
        <v>74</v>
      </c>
      <c r="AZ719" s="1" t="s">
        <v>74</v>
      </c>
      <c r="BA719" s="1" t="s">
        <v>74</v>
      </c>
      <c r="BB719" s="1">
        <v>170.0</v>
      </c>
      <c r="BC719" s="1">
        <v>181.0</v>
      </c>
      <c r="BD719" s="1" t="s">
        <v>74</v>
      </c>
      <c r="BE719" s="1" t="s">
        <v>7306</v>
      </c>
      <c r="BF719" s="2" t="str">
        <f>HYPERLINK("http://dx.doi.org/10.1016/j.carbpol.2018.10.010","http://dx.doi.org/10.1016/j.carbpol.2018.10.010")</f>
        <v>http://dx.doi.org/10.1016/j.carbpol.2018.10.010</v>
      </c>
      <c r="BG719" s="1" t="s">
        <v>74</v>
      </c>
      <c r="BH719" s="1" t="s">
        <v>74</v>
      </c>
      <c r="BI719" s="1" t="s">
        <v>74</v>
      </c>
      <c r="BJ719" s="1" t="s">
        <v>74</v>
      </c>
      <c r="BK719" s="1" t="s">
        <v>74</v>
      </c>
      <c r="BL719" s="1" t="s">
        <v>74</v>
      </c>
      <c r="BM719" s="1" t="s">
        <v>74</v>
      </c>
      <c r="BN719" s="1">
        <v>3.0366529E7</v>
      </c>
      <c r="BO719" s="1" t="s">
        <v>74</v>
      </c>
      <c r="BP719" s="1" t="s">
        <v>74</v>
      </c>
      <c r="BQ719" s="1" t="s">
        <v>74</v>
      </c>
      <c r="BR719" s="1" t="s">
        <v>74</v>
      </c>
      <c r="BS719" s="1" t="s">
        <v>7307</v>
      </c>
      <c r="BT719" s="1" t="str">
        <f>HYPERLINK("https%3A%2F%2Fwww.webofscience.com%2Fwos%2Fwoscc%2Ffull-record%2FWOS:000448147100020","View Full Record in Web of Science")</f>
        <v>View Full Record in Web of Science</v>
      </c>
    </row>
    <row r="720" ht="12.75" customHeight="1">
      <c r="A720" s="1" t="s">
        <v>72</v>
      </c>
      <c r="B720" s="1" t="s">
        <v>7308</v>
      </c>
      <c r="C720" s="1" t="s">
        <v>74</v>
      </c>
      <c r="D720" s="1" t="s">
        <v>74</v>
      </c>
      <c r="E720" s="1" t="s">
        <v>74</v>
      </c>
      <c r="F720" s="1" t="s">
        <v>7309</v>
      </c>
      <c r="G720" s="1" t="s">
        <v>74</v>
      </c>
      <c r="H720" s="1" t="s">
        <v>74</v>
      </c>
      <c r="I720" s="1" t="s">
        <v>7310</v>
      </c>
      <c r="J720" s="1" t="s">
        <v>7311</v>
      </c>
      <c r="K720" s="1" t="s">
        <v>74</v>
      </c>
      <c r="L720" s="1" t="s">
        <v>74</v>
      </c>
      <c r="M720" s="1" t="s">
        <v>74</v>
      </c>
      <c r="N720" s="1" t="s">
        <v>74</v>
      </c>
      <c r="O720" s="1" t="s">
        <v>74</v>
      </c>
      <c r="P720" s="1" t="s">
        <v>74</v>
      </c>
      <c r="Q720" s="1" t="s">
        <v>74</v>
      </c>
      <c r="R720" s="1" t="s">
        <v>74</v>
      </c>
      <c r="S720" s="1" t="s">
        <v>74</v>
      </c>
      <c r="T720" s="1" t="s">
        <v>74</v>
      </c>
      <c r="U720" s="1" t="s">
        <v>74</v>
      </c>
      <c r="V720" s="1" t="s">
        <v>7312</v>
      </c>
      <c r="W720" s="1" t="s">
        <v>74</v>
      </c>
      <c r="X720" s="1" t="s">
        <v>74</v>
      </c>
      <c r="Y720" s="1" t="s">
        <v>74</v>
      </c>
      <c r="Z720" s="1" t="s">
        <v>74</v>
      </c>
      <c r="AA720" s="1" t="s">
        <v>7313</v>
      </c>
      <c r="AB720" s="1" t="s">
        <v>7314</v>
      </c>
      <c r="AC720" s="1" t="s">
        <v>74</v>
      </c>
      <c r="AD720" s="1" t="s">
        <v>74</v>
      </c>
      <c r="AE720" s="1" t="s">
        <v>74</v>
      </c>
      <c r="AF720" s="1" t="s">
        <v>74</v>
      </c>
      <c r="AG720" s="1" t="s">
        <v>74</v>
      </c>
      <c r="AH720" s="1" t="s">
        <v>74</v>
      </c>
      <c r="AI720" s="1" t="s">
        <v>74</v>
      </c>
      <c r="AJ720" s="1" t="s">
        <v>74</v>
      </c>
      <c r="AK720" s="1" t="s">
        <v>74</v>
      </c>
      <c r="AL720" s="1" t="s">
        <v>74</v>
      </c>
      <c r="AM720" s="1" t="s">
        <v>74</v>
      </c>
      <c r="AN720" s="1" t="s">
        <v>74</v>
      </c>
      <c r="AO720" s="1" t="s">
        <v>7315</v>
      </c>
      <c r="AP720" s="1" t="s">
        <v>7316</v>
      </c>
      <c r="AQ720" s="1" t="s">
        <v>74</v>
      </c>
      <c r="AR720" s="1" t="s">
        <v>74</v>
      </c>
      <c r="AS720" s="1" t="s">
        <v>74</v>
      </c>
      <c r="AT720" s="1" t="s">
        <v>74</v>
      </c>
      <c r="AU720" s="1">
        <v>2019.0</v>
      </c>
      <c r="AV720" s="1">
        <v>16.0</v>
      </c>
      <c r="AW720" s="1">
        <v>3.0</v>
      </c>
      <c r="AX720" s="1" t="s">
        <v>74</v>
      </c>
      <c r="AY720" s="1" t="s">
        <v>74</v>
      </c>
      <c r="AZ720" s="1" t="s">
        <v>74</v>
      </c>
      <c r="BA720" s="1" t="s">
        <v>74</v>
      </c>
      <c r="BB720" s="1">
        <v>543.0</v>
      </c>
      <c r="BC720" s="1">
        <v>572.0</v>
      </c>
      <c r="BD720" s="1" t="s">
        <v>74</v>
      </c>
      <c r="BE720" s="1" t="s">
        <v>7317</v>
      </c>
      <c r="BF720" s="2" t="str">
        <f>HYPERLINK("http://dx.doi.org/10.1075/sic.00050.fer","http://dx.doi.org/10.1075/sic.00050.fer")</f>
        <v>http://dx.doi.org/10.1075/sic.00050.fer</v>
      </c>
      <c r="BG720" s="1" t="s">
        <v>74</v>
      </c>
      <c r="BH720" s="1" t="s">
        <v>74</v>
      </c>
      <c r="BI720" s="1" t="s">
        <v>74</v>
      </c>
      <c r="BJ720" s="1" t="s">
        <v>74</v>
      </c>
      <c r="BK720" s="1" t="s">
        <v>74</v>
      </c>
      <c r="BL720" s="1" t="s">
        <v>74</v>
      </c>
      <c r="BM720" s="1" t="s">
        <v>74</v>
      </c>
      <c r="BN720" s="1" t="s">
        <v>74</v>
      </c>
      <c r="BO720" s="1" t="s">
        <v>74</v>
      </c>
      <c r="BP720" s="1" t="s">
        <v>74</v>
      </c>
      <c r="BQ720" s="1" t="s">
        <v>74</v>
      </c>
      <c r="BR720" s="1" t="s">
        <v>74</v>
      </c>
      <c r="BS720" s="1" t="s">
        <v>7318</v>
      </c>
      <c r="BT720" s="1" t="str">
        <f>HYPERLINK("https%3A%2F%2Fwww.webofscience.com%2Fwos%2Fwoscc%2Ffull-record%2FWOS:000508458900010","View Full Record in Web of Science")</f>
        <v>View Full Record in Web of Science</v>
      </c>
    </row>
    <row r="721" ht="12.75" customHeight="1">
      <c r="A721" s="1" t="s">
        <v>72</v>
      </c>
      <c r="B721" s="1" t="s">
        <v>7319</v>
      </c>
      <c r="C721" s="1" t="s">
        <v>74</v>
      </c>
      <c r="D721" s="1" t="s">
        <v>74</v>
      </c>
      <c r="E721" s="1" t="s">
        <v>74</v>
      </c>
      <c r="F721" s="1" t="s">
        <v>7320</v>
      </c>
      <c r="G721" s="1" t="s">
        <v>74</v>
      </c>
      <c r="H721" s="1" t="s">
        <v>74</v>
      </c>
      <c r="I721" s="1" t="s">
        <v>7321</v>
      </c>
      <c r="J721" s="1" t="s">
        <v>7234</v>
      </c>
      <c r="K721" s="1" t="s">
        <v>74</v>
      </c>
      <c r="L721" s="1" t="s">
        <v>74</v>
      </c>
      <c r="M721" s="1" t="s">
        <v>74</v>
      </c>
      <c r="N721" s="1" t="s">
        <v>74</v>
      </c>
      <c r="O721" s="1" t="s">
        <v>74</v>
      </c>
      <c r="P721" s="1" t="s">
        <v>74</v>
      </c>
      <c r="Q721" s="1" t="s">
        <v>74</v>
      </c>
      <c r="R721" s="1" t="s">
        <v>74</v>
      </c>
      <c r="S721" s="1" t="s">
        <v>74</v>
      </c>
      <c r="T721" s="1" t="s">
        <v>74</v>
      </c>
      <c r="U721" s="1" t="s">
        <v>74</v>
      </c>
      <c r="V721" s="1" t="s">
        <v>7322</v>
      </c>
      <c r="W721" s="1" t="s">
        <v>74</v>
      </c>
      <c r="X721" s="1" t="s">
        <v>74</v>
      </c>
      <c r="Y721" s="1" t="s">
        <v>74</v>
      </c>
      <c r="Z721" s="1" t="s">
        <v>74</v>
      </c>
      <c r="AA721" s="1" t="s">
        <v>6977</v>
      </c>
      <c r="AB721" s="1" t="s">
        <v>7323</v>
      </c>
      <c r="AC721" s="1" t="s">
        <v>74</v>
      </c>
      <c r="AD721" s="1" t="s">
        <v>74</v>
      </c>
      <c r="AE721" s="1" t="s">
        <v>74</v>
      </c>
      <c r="AF721" s="1" t="s">
        <v>74</v>
      </c>
      <c r="AG721" s="1" t="s">
        <v>74</v>
      </c>
      <c r="AH721" s="1" t="s">
        <v>74</v>
      </c>
      <c r="AI721" s="1" t="s">
        <v>74</v>
      </c>
      <c r="AJ721" s="1" t="s">
        <v>74</v>
      </c>
      <c r="AK721" s="1" t="s">
        <v>74</v>
      </c>
      <c r="AL721" s="1" t="s">
        <v>74</v>
      </c>
      <c r="AM721" s="1" t="s">
        <v>74</v>
      </c>
      <c r="AN721" s="1" t="s">
        <v>74</v>
      </c>
      <c r="AO721" s="1" t="s">
        <v>7238</v>
      </c>
      <c r="AP721" s="1" t="s">
        <v>7239</v>
      </c>
      <c r="AQ721" s="1" t="s">
        <v>74</v>
      </c>
      <c r="AR721" s="1" t="s">
        <v>74</v>
      </c>
      <c r="AS721" s="1" t="s">
        <v>74</v>
      </c>
      <c r="AT721" s="1" t="s">
        <v>201</v>
      </c>
      <c r="AU721" s="1">
        <v>2018.0</v>
      </c>
      <c r="AV721" s="1">
        <v>125.0</v>
      </c>
      <c r="AW721" s="1" t="s">
        <v>74</v>
      </c>
      <c r="AX721" s="1" t="s">
        <v>74</v>
      </c>
      <c r="AY721" s="1" t="s">
        <v>74</v>
      </c>
      <c r="AZ721" s="1" t="s">
        <v>74</v>
      </c>
      <c r="BA721" s="1" t="s">
        <v>74</v>
      </c>
      <c r="BB721" s="1">
        <v>376.0</v>
      </c>
      <c r="BC721" s="1">
        <v>388.0</v>
      </c>
      <c r="BD721" s="1" t="s">
        <v>74</v>
      </c>
      <c r="BE721" s="1" t="s">
        <v>7324</v>
      </c>
      <c r="BF721" s="2" t="str">
        <f>HYPERLINK("http://dx.doi.org/10.1016/j.compedu.2018.06.024","http://dx.doi.org/10.1016/j.compedu.2018.06.024")</f>
        <v>http://dx.doi.org/10.1016/j.compedu.2018.06.024</v>
      </c>
      <c r="BG721" s="1" t="s">
        <v>74</v>
      </c>
      <c r="BH721" s="1" t="s">
        <v>74</v>
      </c>
      <c r="BI721" s="1" t="s">
        <v>74</v>
      </c>
      <c r="BJ721" s="1" t="s">
        <v>74</v>
      </c>
      <c r="BK721" s="1" t="s">
        <v>74</v>
      </c>
      <c r="BL721" s="1" t="s">
        <v>74</v>
      </c>
      <c r="BM721" s="1" t="s">
        <v>74</v>
      </c>
      <c r="BN721" s="1" t="s">
        <v>74</v>
      </c>
      <c r="BO721" s="1" t="s">
        <v>74</v>
      </c>
      <c r="BP721" s="1" t="s">
        <v>74</v>
      </c>
      <c r="BQ721" s="1" t="s">
        <v>74</v>
      </c>
      <c r="BR721" s="1" t="s">
        <v>74</v>
      </c>
      <c r="BS721" s="1" t="s">
        <v>7325</v>
      </c>
      <c r="BT721" s="1" t="str">
        <f>HYPERLINK("https%3A%2F%2Fwww.webofscience.com%2Fwos%2Fwoscc%2Ffull-record%2FWOS:000441494100028","View Full Record in Web of Science")</f>
        <v>View Full Record in Web of Science</v>
      </c>
    </row>
    <row r="722" ht="12.75" customHeight="1">
      <c r="A722" s="1" t="s">
        <v>72</v>
      </c>
      <c r="B722" s="1" t="s">
        <v>7326</v>
      </c>
      <c r="C722" s="1" t="s">
        <v>74</v>
      </c>
      <c r="D722" s="1" t="s">
        <v>74</v>
      </c>
      <c r="E722" s="1" t="s">
        <v>74</v>
      </c>
      <c r="F722" s="1" t="s">
        <v>7327</v>
      </c>
      <c r="G722" s="1" t="s">
        <v>74</v>
      </c>
      <c r="H722" s="1" t="s">
        <v>74</v>
      </c>
      <c r="I722" s="1" t="s">
        <v>7328</v>
      </c>
      <c r="J722" s="1" t="s">
        <v>7329</v>
      </c>
      <c r="K722" s="1" t="s">
        <v>74</v>
      </c>
      <c r="L722" s="1" t="s">
        <v>74</v>
      </c>
      <c r="M722" s="1" t="s">
        <v>74</v>
      </c>
      <c r="N722" s="1" t="s">
        <v>74</v>
      </c>
      <c r="O722" s="1" t="s">
        <v>74</v>
      </c>
      <c r="P722" s="1" t="s">
        <v>74</v>
      </c>
      <c r="Q722" s="1" t="s">
        <v>74</v>
      </c>
      <c r="R722" s="1" t="s">
        <v>74</v>
      </c>
      <c r="S722" s="1" t="s">
        <v>74</v>
      </c>
      <c r="T722" s="1" t="s">
        <v>74</v>
      </c>
      <c r="U722" s="1" t="s">
        <v>74</v>
      </c>
      <c r="V722" s="1" t="s">
        <v>7330</v>
      </c>
      <c r="W722" s="1" t="s">
        <v>74</v>
      </c>
      <c r="X722" s="1" t="s">
        <v>74</v>
      </c>
      <c r="Y722" s="1" t="s">
        <v>74</v>
      </c>
      <c r="Z722" s="1" t="s">
        <v>74</v>
      </c>
      <c r="AA722" s="1" t="s">
        <v>7331</v>
      </c>
      <c r="AB722" s="1" t="s">
        <v>7332</v>
      </c>
      <c r="AC722" s="1" t="s">
        <v>74</v>
      </c>
      <c r="AD722" s="1" t="s">
        <v>74</v>
      </c>
      <c r="AE722" s="1" t="s">
        <v>74</v>
      </c>
      <c r="AF722" s="1" t="s">
        <v>74</v>
      </c>
      <c r="AG722" s="1" t="s">
        <v>74</v>
      </c>
      <c r="AH722" s="1" t="s">
        <v>74</v>
      </c>
      <c r="AI722" s="1" t="s">
        <v>74</v>
      </c>
      <c r="AJ722" s="1" t="s">
        <v>74</v>
      </c>
      <c r="AK722" s="1" t="s">
        <v>74</v>
      </c>
      <c r="AL722" s="1" t="s">
        <v>74</v>
      </c>
      <c r="AM722" s="1" t="s">
        <v>74</v>
      </c>
      <c r="AN722" s="1" t="s">
        <v>74</v>
      </c>
      <c r="AO722" s="1" t="s">
        <v>7333</v>
      </c>
      <c r="AP722" s="1" t="s">
        <v>7334</v>
      </c>
      <c r="AQ722" s="1" t="s">
        <v>74</v>
      </c>
      <c r="AR722" s="1" t="s">
        <v>74</v>
      </c>
      <c r="AS722" s="1" t="s">
        <v>74</v>
      </c>
      <c r="AT722" s="1" t="s">
        <v>7335</v>
      </c>
      <c r="AU722" s="1">
        <v>2018.0</v>
      </c>
      <c r="AV722" s="1">
        <v>39.0</v>
      </c>
      <c r="AW722" s="1">
        <v>11.0</v>
      </c>
      <c r="AX722" s="1" t="s">
        <v>74</v>
      </c>
      <c r="AY722" s="1" t="s">
        <v>74</v>
      </c>
      <c r="AZ722" s="1" t="s">
        <v>74</v>
      </c>
      <c r="BA722" s="1" t="s">
        <v>74</v>
      </c>
      <c r="BB722" s="1">
        <v>685.0</v>
      </c>
      <c r="BC722" s="1">
        <v>698.0</v>
      </c>
      <c r="BD722" s="1" t="s">
        <v>74</v>
      </c>
      <c r="BE722" s="1" t="s">
        <v>7336</v>
      </c>
      <c r="BF722" s="2" t="str">
        <f>HYPERLINK("http://dx.doi.org/10.1002/jcc.25136","http://dx.doi.org/10.1002/jcc.25136")</f>
        <v>http://dx.doi.org/10.1002/jcc.25136</v>
      </c>
      <c r="BG722" s="1" t="s">
        <v>74</v>
      </c>
      <c r="BH722" s="1" t="s">
        <v>74</v>
      </c>
      <c r="BI722" s="1" t="s">
        <v>74</v>
      </c>
      <c r="BJ722" s="1" t="s">
        <v>74</v>
      </c>
      <c r="BK722" s="1" t="s">
        <v>74</v>
      </c>
      <c r="BL722" s="1" t="s">
        <v>74</v>
      </c>
      <c r="BM722" s="1" t="s">
        <v>74</v>
      </c>
      <c r="BN722" s="1">
        <v>2.9282748E7</v>
      </c>
      <c r="BO722" s="1" t="s">
        <v>74</v>
      </c>
      <c r="BP722" s="1" t="s">
        <v>74</v>
      </c>
      <c r="BQ722" s="1" t="s">
        <v>74</v>
      </c>
      <c r="BR722" s="1" t="s">
        <v>74</v>
      </c>
      <c r="BS722" s="1" t="s">
        <v>7337</v>
      </c>
      <c r="BT722" s="1" t="str">
        <f>HYPERLINK("https%3A%2F%2Fwww.webofscience.com%2Fwos%2Fwoscc%2Ffull-record%2FWOS:000426509300006","View Full Record in Web of Science")</f>
        <v>View Full Record in Web of Science</v>
      </c>
    </row>
    <row r="723" ht="12.75" customHeight="1">
      <c r="A723" s="1" t="s">
        <v>72</v>
      </c>
      <c r="B723" s="1" t="s">
        <v>7338</v>
      </c>
      <c r="C723" s="1" t="s">
        <v>74</v>
      </c>
      <c r="D723" s="1" t="s">
        <v>74</v>
      </c>
      <c r="E723" s="1" t="s">
        <v>74</v>
      </c>
      <c r="F723" s="1" t="s">
        <v>7339</v>
      </c>
      <c r="G723" s="1" t="s">
        <v>74</v>
      </c>
      <c r="H723" s="1" t="s">
        <v>74</v>
      </c>
      <c r="I723" s="1" t="s">
        <v>7340</v>
      </c>
      <c r="J723" s="1" t="s">
        <v>799</v>
      </c>
      <c r="K723" s="1" t="s">
        <v>74</v>
      </c>
      <c r="L723" s="1" t="s">
        <v>74</v>
      </c>
      <c r="M723" s="1" t="s">
        <v>74</v>
      </c>
      <c r="N723" s="1" t="s">
        <v>74</v>
      </c>
      <c r="O723" s="1" t="s">
        <v>74</v>
      </c>
      <c r="P723" s="1" t="s">
        <v>74</v>
      </c>
      <c r="Q723" s="1" t="s">
        <v>74</v>
      </c>
      <c r="R723" s="1" t="s">
        <v>74</v>
      </c>
      <c r="S723" s="1" t="s">
        <v>74</v>
      </c>
      <c r="T723" s="1" t="s">
        <v>74</v>
      </c>
      <c r="U723" s="1" t="s">
        <v>74</v>
      </c>
      <c r="V723" s="1" t="s">
        <v>7341</v>
      </c>
      <c r="W723" s="1" t="s">
        <v>74</v>
      </c>
      <c r="X723" s="1" t="s">
        <v>74</v>
      </c>
      <c r="Y723" s="1" t="s">
        <v>74</v>
      </c>
      <c r="Z723" s="1" t="s">
        <v>74</v>
      </c>
      <c r="AA723" s="1" t="s">
        <v>7342</v>
      </c>
      <c r="AB723" s="1" t="s">
        <v>7343</v>
      </c>
      <c r="AC723" s="1" t="s">
        <v>74</v>
      </c>
      <c r="AD723" s="1" t="s">
        <v>74</v>
      </c>
      <c r="AE723" s="1" t="s">
        <v>74</v>
      </c>
      <c r="AF723" s="1" t="s">
        <v>74</v>
      </c>
      <c r="AG723" s="1" t="s">
        <v>74</v>
      </c>
      <c r="AH723" s="1" t="s">
        <v>74</v>
      </c>
      <c r="AI723" s="1" t="s">
        <v>74</v>
      </c>
      <c r="AJ723" s="1" t="s">
        <v>74</v>
      </c>
      <c r="AK723" s="1" t="s">
        <v>74</v>
      </c>
      <c r="AL723" s="1" t="s">
        <v>74</v>
      </c>
      <c r="AM723" s="1" t="s">
        <v>74</v>
      </c>
      <c r="AN723" s="1" t="s">
        <v>74</v>
      </c>
      <c r="AO723" s="1" t="s">
        <v>803</v>
      </c>
      <c r="AP723" s="1" t="s">
        <v>804</v>
      </c>
      <c r="AQ723" s="1" t="s">
        <v>74</v>
      </c>
      <c r="AR723" s="1" t="s">
        <v>74</v>
      </c>
      <c r="AS723" s="1" t="s">
        <v>74</v>
      </c>
      <c r="AT723" s="1" t="s">
        <v>496</v>
      </c>
      <c r="AU723" s="1">
        <v>2018.0</v>
      </c>
      <c r="AV723" s="1">
        <v>35.0</v>
      </c>
      <c r="AW723" s="1">
        <v>2.0</v>
      </c>
      <c r="AX723" s="1" t="s">
        <v>74</v>
      </c>
      <c r="AY723" s="1" t="s">
        <v>74</v>
      </c>
      <c r="AZ723" s="1" t="s">
        <v>74</v>
      </c>
      <c r="BA723" s="1" t="s">
        <v>74</v>
      </c>
      <c r="BB723" s="1">
        <v>368.0</v>
      </c>
      <c r="BC723" s="1">
        <v>374.0</v>
      </c>
      <c r="BD723" s="1" t="s">
        <v>74</v>
      </c>
      <c r="BE723" s="1" t="s">
        <v>7344</v>
      </c>
      <c r="BF723" s="2" t="str">
        <f>HYPERLINK("http://dx.doi.org/10.20960/nh.1259","http://dx.doi.org/10.20960/nh.1259")</f>
        <v>http://dx.doi.org/10.20960/nh.1259</v>
      </c>
      <c r="BG723" s="1" t="s">
        <v>74</v>
      </c>
      <c r="BH723" s="1" t="s">
        <v>74</v>
      </c>
      <c r="BI723" s="1" t="s">
        <v>74</v>
      </c>
      <c r="BJ723" s="1" t="s">
        <v>74</v>
      </c>
      <c r="BK723" s="1" t="s">
        <v>74</v>
      </c>
      <c r="BL723" s="1" t="s">
        <v>74</v>
      </c>
      <c r="BM723" s="1" t="s">
        <v>74</v>
      </c>
      <c r="BN723" s="1">
        <v>2.9756971E7</v>
      </c>
      <c r="BO723" s="1" t="s">
        <v>74</v>
      </c>
      <c r="BP723" s="1" t="s">
        <v>74</v>
      </c>
      <c r="BQ723" s="1" t="s">
        <v>74</v>
      </c>
      <c r="BR723" s="1" t="s">
        <v>74</v>
      </c>
      <c r="BS723" s="1" t="s">
        <v>7345</v>
      </c>
      <c r="BT723" s="1" t="str">
        <f>HYPERLINK("https%3A%2F%2Fwww.webofscience.com%2Fwos%2Fwoscc%2Ffull-record%2FWOS:000430906500018","View Full Record in Web of Science")</f>
        <v>View Full Record in Web of Science</v>
      </c>
    </row>
    <row r="724" ht="12.75" customHeight="1">
      <c r="A724" s="1" t="s">
        <v>72</v>
      </c>
      <c r="B724" s="1" t="s">
        <v>7346</v>
      </c>
      <c r="C724" s="1" t="s">
        <v>74</v>
      </c>
      <c r="D724" s="1" t="s">
        <v>74</v>
      </c>
      <c r="E724" s="1" t="s">
        <v>74</v>
      </c>
      <c r="F724" s="1" t="s">
        <v>7347</v>
      </c>
      <c r="G724" s="1" t="s">
        <v>74</v>
      </c>
      <c r="H724" s="1" t="s">
        <v>74</v>
      </c>
      <c r="I724" s="1" t="s">
        <v>7348</v>
      </c>
      <c r="J724" s="1" t="s">
        <v>4894</v>
      </c>
      <c r="K724" s="1" t="s">
        <v>74</v>
      </c>
      <c r="L724" s="1" t="s">
        <v>74</v>
      </c>
      <c r="M724" s="1" t="s">
        <v>74</v>
      </c>
      <c r="N724" s="1" t="s">
        <v>74</v>
      </c>
      <c r="O724" s="1" t="s">
        <v>74</v>
      </c>
      <c r="P724" s="1" t="s">
        <v>74</v>
      </c>
      <c r="Q724" s="1" t="s">
        <v>74</v>
      </c>
      <c r="R724" s="1" t="s">
        <v>74</v>
      </c>
      <c r="S724" s="1" t="s">
        <v>74</v>
      </c>
      <c r="T724" s="1" t="s">
        <v>74</v>
      </c>
      <c r="U724" s="1" t="s">
        <v>74</v>
      </c>
      <c r="V724" s="1" t="s">
        <v>7349</v>
      </c>
      <c r="W724" s="1" t="s">
        <v>74</v>
      </c>
      <c r="X724" s="1" t="s">
        <v>74</v>
      </c>
      <c r="Y724" s="1" t="s">
        <v>74</v>
      </c>
      <c r="Z724" s="1" t="s">
        <v>74</v>
      </c>
      <c r="AA724" s="1" t="s">
        <v>7350</v>
      </c>
      <c r="AB724" s="1" t="s">
        <v>7351</v>
      </c>
      <c r="AC724" s="1" t="s">
        <v>74</v>
      </c>
      <c r="AD724" s="1" t="s">
        <v>74</v>
      </c>
      <c r="AE724" s="1" t="s">
        <v>74</v>
      </c>
      <c r="AF724" s="1" t="s">
        <v>74</v>
      </c>
      <c r="AG724" s="1" t="s">
        <v>74</v>
      </c>
      <c r="AH724" s="1" t="s">
        <v>74</v>
      </c>
      <c r="AI724" s="1" t="s">
        <v>74</v>
      </c>
      <c r="AJ724" s="1" t="s">
        <v>74</v>
      </c>
      <c r="AK724" s="1" t="s">
        <v>74</v>
      </c>
      <c r="AL724" s="1" t="s">
        <v>74</v>
      </c>
      <c r="AM724" s="1" t="s">
        <v>74</v>
      </c>
      <c r="AN724" s="1" t="s">
        <v>74</v>
      </c>
      <c r="AO724" s="1" t="s">
        <v>4898</v>
      </c>
      <c r="AP724" s="1" t="s">
        <v>74</v>
      </c>
      <c r="AQ724" s="1" t="s">
        <v>74</v>
      </c>
      <c r="AR724" s="1" t="s">
        <v>74</v>
      </c>
      <c r="AS724" s="1" t="s">
        <v>74</v>
      </c>
      <c r="AT724" s="1" t="s">
        <v>939</v>
      </c>
      <c r="AU724" s="1">
        <v>2016.0</v>
      </c>
      <c r="AV724" s="1">
        <v>48.0</v>
      </c>
      <c r="AW724" s="1">
        <v>1.0</v>
      </c>
      <c r="AX724" s="1" t="s">
        <v>74</v>
      </c>
      <c r="AY724" s="1" t="s">
        <v>74</v>
      </c>
      <c r="AZ724" s="1" t="s">
        <v>74</v>
      </c>
      <c r="BA724" s="1" t="s">
        <v>74</v>
      </c>
      <c r="BB724" s="1">
        <v>95.0</v>
      </c>
      <c r="BC724" s="1">
        <v>102.0</v>
      </c>
      <c r="BD724" s="1" t="s">
        <v>74</v>
      </c>
      <c r="BE724" s="1" t="s">
        <v>74</v>
      </c>
      <c r="BF724" s="1" t="s">
        <v>74</v>
      </c>
      <c r="BG724" s="1" t="s">
        <v>74</v>
      </c>
      <c r="BH724" s="1" t="s">
        <v>74</v>
      </c>
      <c r="BI724" s="1" t="s">
        <v>74</v>
      </c>
      <c r="BJ724" s="1" t="s">
        <v>74</v>
      </c>
      <c r="BK724" s="1" t="s">
        <v>74</v>
      </c>
      <c r="BL724" s="1" t="s">
        <v>74</v>
      </c>
      <c r="BM724" s="1" t="s">
        <v>74</v>
      </c>
      <c r="BN724" s="1" t="s">
        <v>74</v>
      </c>
      <c r="BO724" s="1" t="s">
        <v>74</v>
      </c>
      <c r="BP724" s="1" t="s">
        <v>74</v>
      </c>
      <c r="BQ724" s="1" t="s">
        <v>74</v>
      </c>
      <c r="BR724" s="1" t="s">
        <v>74</v>
      </c>
      <c r="BS724" s="1" t="s">
        <v>7352</v>
      </c>
      <c r="BT724" s="1" t="str">
        <f>HYPERLINK("https%3A%2F%2Fwww.webofscience.com%2Fwos%2Fwoscc%2Ffull-record%2FWOS:000379917300010","View Full Record in Web of Science")</f>
        <v>View Full Record in Web of Science</v>
      </c>
    </row>
    <row r="725" ht="12.75" customHeight="1">
      <c r="A725" s="1" t="s">
        <v>72</v>
      </c>
      <c r="B725" s="1" t="s">
        <v>7353</v>
      </c>
      <c r="C725" s="1" t="s">
        <v>74</v>
      </c>
      <c r="D725" s="1" t="s">
        <v>74</v>
      </c>
      <c r="E725" s="1" t="s">
        <v>74</v>
      </c>
      <c r="F725" s="1" t="s">
        <v>7354</v>
      </c>
      <c r="G725" s="1" t="s">
        <v>74</v>
      </c>
      <c r="H725" s="1" t="s">
        <v>74</v>
      </c>
      <c r="I725" s="1" t="s">
        <v>7355</v>
      </c>
      <c r="J725" s="1" t="s">
        <v>229</v>
      </c>
      <c r="K725" s="1" t="s">
        <v>74</v>
      </c>
      <c r="L725" s="1" t="s">
        <v>74</v>
      </c>
      <c r="M725" s="1" t="s">
        <v>74</v>
      </c>
      <c r="N725" s="1" t="s">
        <v>74</v>
      </c>
      <c r="O725" s="1" t="s">
        <v>74</v>
      </c>
      <c r="P725" s="1" t="s">
        <v>74</v>
      </c>
      <c r="Q725" s="1" t="s">
        <v>74</v>
      </c>
      <c r="R725" s="1" t="s">
        <v>74</v>
      </c>
      <c r="S725" s="1" t="s">
        <v>74</v>
      </c>
      <c r="T725" s="1" t="s">
        <v>74</v>
      </c>
      <c r="U725" s="1" t="s">
        <v>74</v>
      </c>
      <c r="V725" s="1" t="s">
        <v>7356</v>
      </c>
      <c r="W725" s="1" t="s">
        <v>74</v>
      </c>
      <c r="X725" s="1" t="s">
        <v>74</v>
      </c>
      <c r="Y725" s="1" t="s">
        <v>74</v>
      </c>
      <c r="Z725" s="1" t="s">
        <v>74</v>
      </c>
      <c r="AA725" s="1" t="s">
        <v>7357</v>
      </c>
      <c r="AB725" s="1" t="s">
        <v>2975</v>
      </c>
      <c r="AC725" s="1" t="s">
        <v>74</v>
      </c>
      <c r="AD725" s="1" t="s">
        <v>74</v>
      </c>
      <c r="AE725" s="1" t="s">
        <v>74</v>
      </c>
      <c r="AF725" s="1" t="s">
        <v>74</v>
      </c>
      <c r="AG725" s="1" t="s">
        <v>74</v>
      </c>
      <c r="AH725" s="1" t="s">
        <v>74</v>
      </c>
      <c r="AI725" s="1" t="s">
        <v>74</v>
      </c>
      <c r="AJ725" s="1" t="s">
        <v>74</v>
      </c>
      <c r="AK725" s="1" t="s">
        <v>74</v>
      </c>
      <c r="AL725" s="1" t="s">
        <v>74</v>
      </c>
      <c r="AM725" s="1" t="s">
        <v>74</v>
      </c>
      <c r="AN725" s="1" t="s">
        <v>74</v>
      </c>
      <c r="AO725" s="1" t="s">
        <v>233</v>
      </c>
      <c r="AP725" s="1" t="s">
        <v>234</v>
      </c>
      <c r="AQ725" s="1" t="s">
        <v>74</v>
      </c>
      <c r="AR725" s="1" t="s">
        <v>74</v>
      </c>
      <c r="AS725" s="1" t="s">
        <v>74</v>
      </c>
      <c r="AT725" s="1" t="s">
        <v>307</v>
      </c>
      <c r="AU725" s="1">
        <v>2014.0</v>
      </c>
      <c r="AV725" s="1">
        <v>32.0</v>
      </c>
      <c r="AW725" s="1">
        <v>4.0</v>
      </c>
      <c r="AX725" s="1" t="s">
        <v>74</v>
      </c>
      <c r="AY725" s="1" t="s">
        <v>74</v>
      </c>
      <c r="AZ725" s="1" t="s">
        <v>74</v>
      </c>
      <c r="BA725" s="1" t="s">
        <v>74</v>
      </c>
      <c r="BB725" s="1">
        <v>1222.0</v>
      </c>
      <c r="BC725" s="1">
        <v>1227.0</v>
      </c>
      <c r="BD725" s="1" t="s">
        <v>74</v>
      </c>
      <c r="BE725" s="1" t="s">
        <v>7358</v>
      </c>
      <c r="BF725" s="2" t="str">
        <f>HYPERLINK("http://dx.doi.org/10.4067/S0717-95022014000400016","http://dx.doi.org/10.4067/S0717-95022014000400016")</f>
        <v>http://dx.doi.org/10.4067/S0717-95022014000400016</v>
      </c>
      <c r="BG725" s="1" t="s">
        <v>74</v>
      </c>
      <c r="BH725" s="1" t="s">
        <v>74</v>
      </c>
      <c r="BI725" s="1" t="s">
        <v>74</v>
      </c>
      <c r="BJ725" s="1" t="s">
        <v>74</v>
      </c>
      <c r="BK725" s="1" t="s">
        <v>74</v>
      </c>
      <c r="BL725" s="1" t="s">
        <v>74</v>
      </c>
      <c r="BM725" s="1" t="s">
        <v>74</v>
      </c>
      <c r="BN725" s="1" t="s">
        <v>74</v>
      </c>
      <c r="BO725" s="1" t="s">
        <v>74</v>
      </c>
      <c r="BP725" s="1" t="s">
        <v>74</v>
      </c>
      <c r="BQ725" s="1" t="s">
        <v>74</v>
      </c>
      <c r="BR725" s="1" t="s">
        <v>74</v>
      </c>
      <c r="BS725" s="1" t="s">
        <v>7359</v>
      </c>
      <c r="BT725" s="1" t="str">
        <f>HYPERLINK("https%3A%2F%2Fwww.webofscience.com%2Fwos%2Fwoscc%2Ffull-record%2FWOS:000348581400016","View Full Record in Web of Science")</f>
        <v>View Full Record in Web of Science</v>
      </c>
    </row>
    <row r="726" ht="12.75" customHeight="1">
      <c r="A726" s="1" t="s">
        <v>72</v>
      </c>
      <c r="B726" s="1" t="s">
        <v>7360</v>
      </c>
      <c r="C726" s="1" t="s">
        <v>74</v>
      </c>
      <c r="D726" s="1" t="s">
        <v>74</v>
      </c>
      <c r="E726" s="1" t="s">
        <v>74</v>
      </c>
      <c r="F726" s="1" t="s">
        <v>7361</v>
      </c>
      <c r="G726" s="1" t="s">
        <v>74</v>
      </c>
      <c r="H726" s="1" t="s">
        <v>74</v>
      </c>
      <c r="I726" s="1" t="s">
        <v>7362</v>
      </c>
      <c r="J726" s="1" t="s">
        <v>3662</v>
      </c>
      <c r="K726" s="1" t="s">
        <v>74</v>
      </c>
      <c r="L726" s="1" t="s">
        <v>74</v>
      </c>
      <c r="M726" s="1" t="s">
        <v>74</v>
      </c>
      <c r="N726" s="1" t="s">
        <v>74</v>
      </c>
      <c r="O726" s="1" t="s">
        <v>74</v>
      </c>
      <c r="P726" s="1" t="s">
        <v>74</v>
      </c>
      <c r="Q726" s="1" t="s">
        <v>74</v>
      </c>
      <c r="R726" s="1" t="s">
        <v>74</v>
      </c>
      <c r="S726" s="1" t="s">
        <v>74</v>
      </c>
      <c r="T726" s="1" t="s">
        <v>74</v>
      </c>
      <c r="U726" s="1" t="s">
        <v>74</v>
      </c>
      <c r="V726" s="1" t="s">
        <v>7363</v>
      </c>
      <c r="W726" s="1" t="s">
        <v>74</v>
      </c>
      <c r="X726" s="1" t="s">
        <v>74</v>
      </c>
      <c r="Y726" s="1" t="s">
        <v>74</v>
      </c>
      <c r="Z726" s="1" t="s">
        <v>74</v>
      </c>
      <c r="AA726" s="1" t="s">
        <v>7364</v>
      </c>
      <c r="AB726" s="1" t="s">
        <v>7365</v>
      </c>
      <c r="AC726" s="1" t="s">
        <v>74</v>
      </c>
      <c r="AD726" s="1" t="s">
        <v>74</v>
      </c>
      <c r="AE726" s="1" t="s">
        <v>74</v>
      </c>
      <c r="AF726" s="1" t="s">
        <v>74</v>
      </c>
      <c r="AG726" s="1" t="s">
        <v>74</v>
      </c>
      <c r="AH726" s="1" t="s">
        <v>74</v>
      </c>
      <c r="AI726" s="1" t="s">
        <v>74</v>
      </c>
      <c r="AJ726" s="1" t="s">
        <v>74</v>
      </c>
      <c r="AK726" s="1" t="s">
        <v>74</v>
      </c>
      <c r="AL726" s="1" t="s">
        <v>74</v>
      </c>
      <c r="AM726" s="1" t="s">
        <v>74</v>
      </c>
      <c r="AN726" s="1" t="s">
        <v>74</v>
      </c>
      <c r="AO726" s="1" t="s">
        <v>3666</v>
      </c>
      <c r="AP726" s="1" t="s">
        <v>74</v>
      </c>
      <c r="AQ726" s="1" t="s">
        <v>74</v>
      </c>
      <c r="AR726" s="1" t="s">
        <v>74</v>
      </c>
      <c r="AS726" s="1" t="s">
        <v>74</v>
      </c>
      <c r="AT726" s="1" t="s">
        <v>74</v>
      </c>
      <c r="AU726" s="1">
        <v>2014.0</v>
      </c>
      <c r="AV726" s="1">
        <v>14.0</v>
      </c>
      <c r="AW726" s="1">
        <v>4.0</v>
      </c>
      <c r="AX726" s="1" t="s">
        <v>74</v>
      </c>
      <c r="AY726" s="1" t="s">
        <v>74</v>
      </c>
      <c r="AZ726" s="1" t="s">
        <v>74</v>
      </c>
      <c r="BA726" s="1" t="s">
        <v>74</v>
      </c>
      <c r="BB726" s="1">
        <v>1005.0</v>
      </c>
      <c r="BC726" s="1">
        <v>1020.0</v>
      </c>
      <c r="BD726" s="1" t="s">
        <v>74</v>
      </c>
      <c r="BE726" s="1" t="s">
        <v>74</v>
      </c>
      <c r="BF726" s="1" t="s">
        <v>74</v>
      </c>
      <c r="BG726" s="1" t="s">
        <v>74</v>
      </c>
      <c r="BH726" s="1" t="s">
        <v>74</v>
      </c>
      <c r="BI726" s="1" t="s">
        <v>74</v>
      </c>
      <c r="BJ726" s="1" t="s">
        <v>74</v>
      </c>
      <c r="BK726" s="1" t="s">
        <v>74</v>
      </c>
      <c r="BL726" s="1" t="s">
        <v>74</v>
      </c>
      <c r="BM726" s="1" t="s">
        <v>74</v>
      </c>
      <c r="BN726" s="1" t="s">
        <v>74</v>
      </c>
      <c r="BO726" s="1" t="s">
        <v>74</v>
      </c>
      <c r="BP726" s="1" t="s">
        <v>74</v>
      </c>
      <c r="BQ726" s="1" t="s">
        <v>74</v>
      </c>
      <c r="BR726" s="1" t="s">
        <v>74</v>
      </c>
      <c r="BS726" s="1" t="s">
        <v>7366</v>
      </c>
      <c r="BT726" s="1" t="str">
        <f>HYPERLINK("https%3A%2F%2Fwww.webofscience.com%2Fwos%2Fwoscc%2Ffull-record%2FWOS:000353141700018","View Full Record in Web of Science")</f>
        <v>View Full Record in Web of Science</v>
      </c>
    </row>
    <row r="727" ht="12.75" customHeight="1">
      <c r="A727" s="1" t="s">
        <v>72</v>
      </c>
      <c r="B727" s="1" t="s">
        <v>7367</v>
      </c>
      <c r="C727" s="1" t="s">
        <v>74</v>
      </c>
      <c r="D727" s="1" t="s">
        <v>74</v>
      </c>
      <c r="E727" s="1" t="s">
        <v>74</v>
      </c>
      <c r="F727" s="1" t="s">
        <v>7368</v>
      </c>
      <c r="G727" s="1" t="s">
        <v>74</v>
      </c>
      <c r="H727" s="1" t="s">
        <v>74</v>
      </c>
      <c r="I727" s="1" t="s">
        <v>7369</v>
      </c>
      <c r="J727" s="1" t="s">
        <v>616</v>
      </c>
      <c r="K727" s="1" t="s">
        <v>74</v>
      </c>
      <c r="L727" s="1" t="s">
        <v>74</v>
      </c>
      <c r="M727" s="1" t="s">
        <v>74</v>
      </c>
      <c r="N727" s="1" t="s">
        <v>74</v>
      </c>
      <c r="O727" s="1" t="s">
        <v>74</v>
      </c>
      <c r="P727" s="1" t="s">
        <v>74</v>
      </c>
      <c r="Q727" s="1" t="s">
        <v>74</v>
      </c>
      <c r="R727" s="1" t="s">
        <v>74</v>
      </c>
      <c r="S727" s="1" t="s">
        <v>74</v>
      </c>
      <c r="T727" s="1" t="s">
        <v>74</v>
      </c>
      <c r="U727" s="1" t="s">
        <v>74</v>
      </c>
      <c r="V727" s="1" t="s">
        <v>7370</v>
      </c>
      <c r="W727" s="1" t="s">
        <v>74</v>
      </c>
      <c r="X727" s="1" t="s">
        <v>74</v>
      </c>
      <c r="Y727" s="1" t="s">
        <v>74</v>
      </c>
      <c r="Z727" s="1" t="s">
        <v>74</v>
      </c>
      <c r="AA727" s="1" t="s">
        <v>7371</v>
      </c>
      <c r="AB727" s="1" t="s">
        <v>7372</v>
      </c>
      <c r="AC727" s="1" t="s">
        <v>74</v>
      </c>
      <c r="AD727" s="1" t="s">
        <v>74</v>
      </c>
      <c r="AE727" s="1" t="s">
        <v>74</v>
      </c>
      <c r="AF727" s="1" t="s">
        <v>74</v>
      </c>
      <c r="AG727" s="1" t="s">
        <v>74</v>
      </c>
      <c r="AH727" s="1" t="s">
        <v>74</v>
      </c>
      <c r="AI727" s="1" t="s">
        <v>74</v>
      </c>
      <c r="AJ727" s="1" t="s">
        <v>74</v>
      </c>
      <c r="AK727" s="1" t="s">
        <v>74</v>
      </c>
      <c r="AL727" s="1" t="s">
        <v>74</v>
      </c>
      <c r="AM727" s="1" t="s">
        <v>74</v>
      </c>
      <c r="AN727" s="1" t="s">
        <v>74</v>
      </c>
      <c r="AO727" s="1" t="s">
        <v>620</v>
      </c>
      <c r="AP727" s="1" t="s">
        <v>74</v>
      </c>
      <c r="AQ727" s="1" t="s">
        <v>74</v>
      </c>
      <c r="AR727" s="1" t="s">
        <v>74</v>
      </c>
      <c r="AS727" s="1" t="s">
        <v>74</v>
      </c>
      <c r="AT727" s="1" t="s">
        <v>74</v>
      </c>
      <c r="AU727" s="1">
        <v>2012.0</v>
      </c>
      <c r="AV727" s="1">
        <v>65.0</v>
      </c>
      <c r="AW727" s="1">
        <v>21.0</v>
      </c>
      <c r="AX727" s="1" t="s">
        <v>74</v>
      </c>
      <c r="AY727" s="1" t="s">
        <v>74</v>
      </c>
      <c r="AZ727" s="1" t="s">
        <v>74</v>
      </c>
      <c r="BA727" s="1" t="s">
        <v>74</v>
      </c>
      <c r="BB727" s="1">
        <v>3752.0</v>
      </c>
      <c r="BC727" s="1">
        <v>3765.0</v>
      </c>
      <c r="BD727" s="1" t="s">
        <v>74</v>
      </c>
      <c r="BE727" s="1" t="s">
        <v>7373</v>
      </c>
      <c r="BF727" s="2" t="str">
        <f>HYPERLINK("http://dx.doi.org/10.1080/00958972.2012.724531","http://dx.doi.org/10.1080/00958972.2012.724531")</f>
        <v>http://dx.doi.org/10.1080/00958972.2012.724531</v>
      </c>
      <c r="BG727" s="1" t="s">
        <v>74</v>
      </c>
      <c r="BH727" s="1" t="s">
        <v>74</v>
      </c>
      <c r="BI727" s="1" t="s">
        <v>74</v>
      </c>
      <c r="BJ727" s="1" t="s">
        <v>74</v>
      </c>
      <c r="BK727" s="1" t="s">
        <v>74</v>
      </c>
      <c r="BL727" s="1" t="s">
        <v>74</v>
      </c>
      <c r="BM727" s="1" t="s">
        <v>74</v>
      </c>
      <c r="BN727" s="1" t="s">
        <v>74</v>
      </c>
      <c r="BO727" s="1" t="s">
        <v>74</v>
      </c>
      <c r="BP727" s="1" t="s">
        <v>74</v>
      </c>
      <c r="BQ727" s="1" t="s">
        <v>74</v>
      </c>
      <c r="BR727" s="1" t="s">
        <v>74</v>
      </c>
      <c r="BS727" s="1" t="s">
        <v>7374</v>
      </c>
      <c r="BT727" s="1" t="str">
        <f>HYPERLINK("https%3A%2F%2Fwww.webofscience.com%2Fwos%2Fwoscc%2Ffull-record%2FWOS:000309128800006","View Full Record in Web of Science")</f>
        <v>View Full Record in Web of Science</v>
      </c>
    </row>
    <row r="728" ht="12.75" customHeight="1">
      <c r="A728" s="1" t="s">
        <v>86</v>
      </c>
      <c r="B728" s="1" t="s">
        <v>7375</v>
      </c>
      <c r="C728" s="1" t="s">
        <v>74</v>
      </c>
      <c r="D728" s="1" t="s">
        <v>74</v>
      </c>
      <c r="E728" s="1" t="s">
        <v>248</v>
      </c>
      <c r="F728" s="1" t="s">
        <v>7376</v>
      </c>
      <c r="G728" s="1" t="s">
        <v>74</v>
      </c>
      <c r="H728" s="1" t="s">
        <v>74</v>
      </c>
      <c r="I728" s="1" t="s">
        <v>7377</v>
      </c>
      <c r="J728" s="1" t="s">
        <v>7378</v>
      </c>
      <c r="K728" s="1" t="s">
        <v>7379</v>
      </c>
      <c r="L728" s="1" t="s">
        <v>74</v>
      </c>
      <c r="M728" s="1" t="s">
        <v>74</v>
      </c>
      <c r="N728" s="1" t="s">
        <v>74</v>
      </c>
      <c r="O728" s="1" t="s">
        <v>7380</v>
      </c>
      <c r="P728" s="1" t="s">
        <v>7381</v>
      </c>
      <c r="Q728" s="1" t="s">
        <v>7382</v>
      </c>
      <c r="R728" s="1" t="s">
        <v>7383</v>
      </c>
      <c r="S728" s="1" t="s">
        <v>74</v>
      </c>
      <c r="T728" s="1" t="s">
        <v>74</v>
      </c>
      <c r="U728" s="1" t="s">
        <v>74</v>
      </c>
      <c r="V728" s="1" t="s">
        <v>7384</v>
      </c>
      <c r="W728" s="1" t="s">
        <v>74</v>
      </c>
      <c r="X728" s="1" t="s">
        <v>74</v>
      </c>
      <c r="Y728" s="1" t="s">
        <v>74</v>
      </c>
      <c r="Z728" s="1" t="s">
        <v>74</v>
      </c>
      <c r="AA728" s="1" t="s">
        <v>5499</v>
      </c>
      <c r="AB728" s="1" t="s">
        <v>74</v>
      </c>
      <c r="AC728" s="1" t="s">
        <v>74</v>
      </c>
      <c r="AD728" s="1" t="s">
        <v>74</v>
      </c>
      <c r="AE728" s="1" t="s">
        <v>74</v>
      </c>
      <c r="AF728" s="1" t="s">
        <v>74</v>
      </c>
      <c r="AG728" s="1" t="s">
        <v>74</v>
      </c>
      <c r="AH728" s="1" t="s">
        <v>74</v>
      </c>
      <c r="AI728" s="1" t="s">
        <v>74</v>
      </c>
      <c r="AJ728" s="1" t="s">
        <v>74</v>
      </c>
      <c r="AK728" s="1" t="s">
        <v>74</v>
      </c>
      <c r="AL728" s="1" t="s">
        <v>74</v>
      </c>
      <c r="AM728" s="1" t="s">
        <v>74</v>
      </c>
      <c r="AN728" s="1" t="s">
        <v>74</v>
      </c>
      <c r="AO728" s="1" t="s">
        <v>7385</v>
      </c>
      <c r="AP728" s="1" t="s">
        <v>74</v>
      </c>
      <c r="AQ728" s="1" t="s">
        <v>7386</v>
      </c>
      <c r="AR728" s="1" t="s">
        <v>74</v>
      </c>
      <c r="AS728" s="1" t="s">
        <v>74</v>
      </c>
      <c r="AT728" s="1" t="s">
        <v>74</v>
      </c>
      <c r="AU728" s="1">
        <v>2011.0</v>
      </c>
      <c r="AV728" s="1" t="s">
        <v>74</v>
      </c>
      <c r="AW728" s="1" t="s">
        <v>74</v>
      </c>
      <c r="AX728" s="1" t="s">
        <v>74</v>
      </c>
      <c r="AY728" s="1" t="s">
        <v>74</v>
      </c>
      <c r="AZ728" s="1" t="s">
        <v>74</v>
      </c>
      <c r="BA728" s="1" t="s">
        <v>74</v>
      </c>
      <c r="BB728" s="1">
        <v>4407.0</v>
      </c>
      <c r="BC728" s="1">
        <v>4410.0</v>
      </c>
      <c r="BD728" s="1" t="s">
        <v>74</v>
      </c>
      <c r="BE728" s="1" t="s">
        <v>74</v>
      </c>
      <c r="BF728" s="1" t="s">
        <v>74</v>
      </c>
      <c r="BG728" s="1" t="s">
        <v>74</v>
      </c>
      <c r="BH728" s="1" t="s">
        <v>74</v>
      </c>
      <c r="BI728" s="1" t="s">
        <v>74</v>
      </c>
      <c r="BJ728" s="1" t="s">
        <v>74</v>
      </c>
      <c r="BK728" s="1" t="s">
        <v>74</v>
      </c>
      <c r="BL728" s="1" t="s">
        <v>74</v>
      </c>
      <c r="BM728" s="1" t="s">
        <v>74</v>
      </c>
      <c r="BN728" s="1" t="s">
        <v>74</v>
      </c>
      <c r="BO728" s="1" t="s">
        <v>74</v>
      </c>
      <c r="BP728" s="1" t="s">
        <v>74</v>
      </c>
      <c r="BQ728" s="1" t="s">
        <v>74</v>
      </c>
      <c r="BR728" s="1" t="s">
        <v>74</v>
      </c>
      <c r="BS728" s="1" t="s">
        <v>7387</v>
      </c>
      <c r="BT728" s="1" t="str">
        <f>HYPERLINK("https%3A%2F%2Fwww.webofscience.com%2Fwos%2Fwoscc%2Ffull-record%2FWOS:000304755604137","View Full Record in Web of Science")</f>
        <v>View Full Record in Web of Science</v>
      </c>
    </row>
    <row r="729" ht="12.75" customHeight="1">
      <c r="A729" s="1" t="s">
        <v>72</v>
      </c>
      <c r="B729" s="1" t="s">
        <v>7388</v>
      </c>
      <c r="C729" s="1" t="s">
        <v>74</v>
      </c>
      <c r="D729" s="1" t="s">
        <v>74</v>
      </c>
      <c r="E729" s="1" t="s">
        <v>74</v>
      </c>
      <c r="F729" s="1" t="s">
        <v>7389</v>
      </c>
      <c r="G729" s="1" t="s">
        <v>74</v>
      </c>
      <c r="H729" s="1" t="s">
        <v>74</v>
      </c>
      <c r="I729" s="1" t="s">
        <v>7390</v>
      </c>
      <c r="J729" s="1" t="s">
        <v>1300</v>
      </c>
      <c r="K729" s="1" t="s">
        <v>74</v>
      </c>
      <c r="L729" s="1" t="s">
        <v>74</v>
      </c>
      <c r="M729" s="1" t="s">
        <v>74</v>
      </c>
      <c r="N729" s="1" t="s">
        <v>74</v>
      </c>
      <c r="O729" s="1" t="s">
        <v>74</v>
      </c>
      <c r="P729" s="1" t="s">
        <v>74</v>
      </c>
      <c r="Q729" s="1" t="s">
        <v>74</v>
      </c>
      <c r="R729" s="1" t="s">
        <v>74</v>
      </c>
      <c r="S729" s="1" t="s">
        <v>74</v>
      </c>
      <c r="T729" s="1" t="s">
        <v>74</v>
      </c>
      <c r="U729" s="1" t="s">
        <v>74</v>
      </c>
      <c r="V729" s="1" t="s">
        <v>7391</v>
      </c>
      <c r="W729" s="1" t="s">
        <v>74</v>
      </c>
      <c r="X729" s="1" t="s">
        <v>74</v>
      </c>
      <c r="Y729" s="1" t="s">
        <v>74</v>
      </c>
      <c r="Z729" s="1" t="s">
        <v>74</v>
      </c>
      <c r="AA729" s="1" t="s">
        <v>7392</v>
      </c>
      <c r="AB729" s="1" t="s">
        <v>7393</v>
      </c>
      <c r="AC729" s="1" t="s">
        <v>74</v>
      </c>
      <c r="AD729" s="1" t="s">
        <v>74</v>
      </c>
      <c r="AE729" s="1" t="s">
        <v>74</v>
      </c>
      <c r="AF729" s="1" t="s">
        <v>74</v>
      </c>
      <c r="AG729" s="1" t="s">
        <v>74</v>
      </c>
      <c r="AH729" s="1" t="s">
        <v>74</v>
      </c>
      <c r="AI729" s="1" t="s">
        <v>74</v>
      </c>
      <c r="AJ729" s="1" t="s">
        <v>74</v>
      </c>
      <c r="AK729" s="1" t="s">
        <v>74</v>
      </c>
      <c r="AL729" s="1" t="s">
        <v>74</v>
      </c>
      <c r="AM729" s="1" t="s">
        <v>74</v>
      </c>
      <c r="AN729" s="1" t="s">
        <v>74</v>
      </c>
      <c r="AO729" s="1" t="s">
        <v>1304</v>
      </c>
      <c r="AP729" s="1" t="s">
        <v>74</v>
      </c>
      <c r="AQ729" s="1" t="s">
        <v>74</v>
      </c>
      <c r="AR729" s="1" t="s">
        <v>74</v>
      </c>
      <c r="AS729" s="1" t="s">
        <v>74</v>
      </c>
      <c r="AT729" s="1" t="s">
        <v>7394</v>
      </c>
      <c r="AU729" s="1">
        <v>2010.0</v>
      </c>
      <c r="AV729" s="1">
        <v>104.0</v>
      </c>
      <c r="AW729" s="1">
        <v>18.0</v>
      </c>
      <c r="AX729" s="1" t="s">
        <v>74</v>
      </c>
      <c r="AY729" s="1" t="s">
        <v>74</v>
      </c>
      <c r="AZ729" s="1" t="s">
        <v>74</v>
      </c>
      <c r="BA729" s="1" t="s">
        <v>74</v>
      </c>
      <c r="BB729" s="1" t="s">
        <v>74</v>
      </c>
      <c r="BC729" s="1" t="s">
        <v>74</v>
      </c>
      <c r="BD729" s="1">
        <v>187801.0</v>
      </c>
      <c r="BE729" s="1" t="s">
        <v>7395</v>
      </c>
      <c r="BF729" s="2" t="str">
        <f>HYPERLINK("http://dx.doi.org/10.1103/PhysRevLett.104.187801","http://dx.doi.org/10.1103/PhysRevLett.104.187801")</f>
        <v>http://dx.doi.org/10.1103/PhysRevLett.104.187801</v>
      </c>
      <c r="BG729" s="1" t="s">
        <v>74</v>
      </c>
      <c r="BH729" s="1" t="s">
        <v>74</v>
      </c>
      <c r="BI729" s="1" t="s">
        <v>74</v>
      </c>
      <c r="BJ729" s="1" t="s">
        <v>74</v>
      </c>
      <c r="BK729" s="1" t="s">
        <v>74</v>
      </c>
      <c r="BL729" s="1" t="s">
        <v>74</v>
      </c>
      <c r="BM729" s="1" t="s">
        <v>74</v>
      </c>
      <c r="BN729" s="1">
        <v>2.048221E7</v>
      </c>
      <c r="BO729" s="1" t="s">
        <v>74</v>
      </c>
      <c r="BP729" s="1" t="s">
        <v>74</v>
      </c>
      <c r="BQ729" s="1" t="s">
        <v>74</v>
      </c>
      <c r="BR729" s="1" t="s">
        <v>74</v>
      </c>
      <c r="BS729" s="1" t="s">
        <v>7396</v>
      </c>
      <c r="BT729" s="1" t="str">
        <f>HYPERLINK("https%3A%2F%2Fwww.webofscience.com%2Fwos%2Fwoscc%2Ffull-record%2FWOS:000277417500055","View Full Record in Web of Science")</f>
        <v>View Full Record in Web of Science</v>
      </c>
    </row>
    <row r="730" ht="12.75" customHeight="1">
      <c r="A730" s="1" t="s">
        <v>72</v>
      </c>
      <c r="B730" s="1" t="s">
        <v>7397</v>
      </c>
      <c r="C730" s="1" t="s">
        <v>74</v>
      </c>
      <c r="D730" s="1" t="s">
        <v>74</v>
      </c>
      <c r="E730" s="1" t="s">
        <v>74</v>
      </c>
      <c r="F730" s="1" t="s">
        <v>7398</v>
      </c>
      <c r="G730" s="1" t="s">
        <v>74</v>
      </c>
      <c r="H730" s="1" t="s">
        <v>74</v>
      </c>
      <c r="I730" s="1" t="s">
        <v>7399</v>
      </c>
      <c r="J730" s="1" t="s">
        <v>7400</v>
      </c>
      <c r="K730" s="1" t="s">
        <v>74</v>
      </c>
      <c r="L730" s="1" t="s">
        <v>74</v>
      </c>
      <c r="M730" s="1" t="s">
        <v>74</v>
      </c>
      <c r="N730" s="1" t="s">
        <v>74</v>
      </c>
      <c r="O730" s="1" t="s">
        <v>7401</v>
      </c>
      <c r="P730" s="1" t="s">
        <v>7402</v>
      </c>
      <c r="Q730" s="1" t="s">
        <v>7403</v>
      </c>
      <c r="R730" s="1" t="s">
        <v>7404</v>
      </c>
      <c r="S730" s="1" t="s">
        <v>74</v>
      </c>
      <c r="T730" s="1" t="s">
        <v>74</v>
      </c>
      <c r="U730" s="1" t="s">
        <v>74</v>
      </c>
      <c r="V730" s="1" t="s">
        <v>74</v>
      </c>
      <c r="W730" s="1" t="s">
        <v>74</v>
      </c>
      <c r="X730" s="1" t="s">
        <v>74</v>
      </c>
      <c r="Y730" s="1" t="s">
        <v>74</v>
      </c>
      <c r="Z730" s="1" t="s">
        <v>74</v>
      </c>
      <c r="AA730" s="1" t="s">
        <v>7405</v>
      </c>
      <c r="AB730" s="1" t="s">
        <v>74</v>
      </c>
      <c r="AC730" s="1" t="s">
        <v>74</v>
      </c>
      <c r="AD730" s="1" t="s">
        <v>74</v>
      </c>
      <c r="AE730" s="1" t="s">
        <v>74</v>
      </c>
      <c r="AF730" s="1" t="s">
        <v>74</v>
      </c>
      <c r="AG730" s="1" t="s">
        <v>74</v>
      </c>
      <c r="AH730" s="1" t="s">
        <v>74</v>
      </c>
      <c r="AI730" s="1" t="s">
        <v>74</v>
      </c>
      <c r="AJ730" s="1" t="s">
        <v>74</v>
      </c>
      <c r="AK730" s="1" t="s">
        <v>74</v>
      </c>
      <c r="AL730" s="1" t="s">
        <v>74</v>
      </c>
      <c r="AM730" s="1" t="s">
        <v>74</v>
      </c>
      <c r="AN730" s="1" t="s">
        <v>74</v>
      </c>
      <c r="AO730" s="1" t="s">
        <v>7406</v>
      </c>
      <c r="AP730" s="1" t="s">
        <v>74</v>
      </c>
      <c r="AQ730" s="1" t="s">
        <v>74</v>
      </c>
      <c r="AR730" s="1" t="s">
        <v>74</v>
      </c>
      <c r="AS730" s="1" t="s">
        <v>74</v>
      </c>
      <c r="AT730" s="1" t="s">
        <v>318</v>
      </c>
      <c r="AU730" s="1">
        <v>2009.0</v>
      </c>
      <c r="AV730" s="1">
        <v>49.0</v>
      </c>
      <c r="AW730" s="1" t="s">
        <v>74</v>
      </c>
      <c r="AX730" s="1" t="s">
        <v>74</v>
      </c>
      <c r="AY730" s="1" t="s">
        <v>74</v>
      </c>
      <c r="AZ730" s="1" t="s">
        <v>74</v>
      </c>
      <c r="BA730" s="1" t="s">
        <v>74</v>
      </c>
      <c r="BB730" s="1" t="s">
        <v>7407</v>
      </c>
      <c r="BC730" s="1" t="s">
        <v>7407</v>
      </c>
      <c r="BD730" s="1" t="s">
        <v>74</v>
      </c>
      <c r="BE730" s="1" t="s">
        <v>74</v>
      </c>
      <c r="BF730" s="1" t="s">
        <v>74</v>
      </c>
      <c r="BG730" s="1" t="s">
        <v>74</v>
      </c>
      <c r="BH730" s="1" t="s">
        <v>74</v>
      </c>
      <c r="BI730" s="1" t="s">
        <v>74</v>
      </c>
      <c r="BJ730" s="1" t="s">
        <v>74</v>
      </c>
      <c r="BK730" s="1" t="s">
        <v>74</v>
      </c>
      <c r="BL730" s="1" t="s">
        <v>74</v>
      </c>
      <c r="BM730" s="1" t="s">
        <v>74</v>
      </c>
      <c r="BN730" s="1" t="s">
        <v>74</v>
      </c>
      <c r="BO730" s="1" t="s">
        <v>74</v>
      </c>
      <c r="BP730" s="1" t="s">
        <v>74</v>
      </c>
      <c r="BQ730" s="1" t="s">
        <v>74</v>
      </c>
      <c r="BR730" s="1" t="s">
        <v>74</v>
      </c>
      <c r="BS730" s="1" t="s">
        <v>7408</v>
      </c>
      <c r="BT730" s="1" t="str">
        <f>HYPERLINK("https%3A%2F%2Fwww.webofscience.com%2Fwos%2Fwoscc%2Ffull-record%2FWOS:000268808800764","View Full Record in Web of Science")</f>
        <v>View Full Record in Web of Science</v>
      </c>
    </row>
    <row r="731" ht="12.75" customHeight="1">
      <c r="A731" s="1" t="s">
        <v>72</v>
      </c>
      <c r="B731" s="1" t="s">
        <v>7409</v>
      </c>
      <c r="C731" s="1" t="s">
        <v>74</v>
      </c>
      <c r="D731" s="1" t="s">
        <v>74</v>
      </c>
      <c r="E731" s="1" t="s">
        <v>74</v>
      </c>
      <c r="F731" s="1" t="s">
        <v>7410</v>
      </c>
      <c r="G731" s="1" t="s">
        <v>74</v>
      </c>
      <c r="H731" s="1" t="s">
        <v>74</v>
      </c>
      <c r="I731" s="1" t="s">
        <v>7411</v>
      </c>
      <c r="J731" s="1" t="s">
        <v>616</v>
      </c>
      <c r="K731" s="1" t="s">
        <v>74</v>
      </c>
      <c r="L731" s="1" t="s">
        <v>74</v>
      </c>
      <c r="M731" s="1" t="s">
        <v>74</v>
      </c>
      <c r="N731" s="1" t="s">
        <v>74</v>
      </c>
      <c r="O731" s="1" t="s">
        <v>74</v>
      </c>
      <c r="P731" s="1" t="s">
        <v>74</v>
      </c>
      <c r="Q731" s="1" t="s">
        <v>74</v>
      </c>
      <c r="R731" s="1" t="s">
        <v>74</v>
      </c>
      <c r="S731" s="1" t="s">
        <v>74</v>
      </c>
      <c r="T731" s="1" t="s">
        <v>74</v>
      </c>
      <c r="U731" s="1" t="s">
        <v>74</v>
      </c>
      <c r="V731" s="1" t="s">
        <v>7412</v>
      </c>
      <c r="W731" s="1" t="s">
        <v>74</v>
      </c>
      <c r="X731" s="1" t="s">
        <v>74</v>
      </c>
      <c r="Y731" s="1" t="s">
        <v>74</v>
      </c>
      <c r="Z731" s="1" t="s">
        <v>74</v>
      </c>
      <c r="AA731" s="1" t="s">
        <v>7413</v>
      </c>
      <c r="AB731" s="1" t="s">
        <v>7414</v>
      </c>
      <c r="AC731" s="1" t="s">
        <v>74</v>
      </c>
      <c r="AD731" s="1" t="s">
        <v>74</v>
      </c>
      <c r="AE731" s="1" t="s">
        <v>74</v>
      </c>
      <c r="AF731" s="1" t="s">
        <v>74</v>
      </c>
      <c r="AG731" s="1" t="s">
        <v>74</v>
      </c>
      <c r="AH731" s="1" t="s">
        <v>74</v>
      </c>
      <c r="AI731" s="1" t="s">
        <v>74</v>
      </c>
      <c r="AJ731" s="1" t="s">
        <v>74</v>
      </c>
      <c r="AK731" s="1" t="s">
        <v>74</v>
      </c>
      <c r="AL731" s="1" t="s">
        <v>74</v>
      </c>
      <c r="AM731" s="1" t="s">
        <v>74</v>
      </c>
      <c r="AN731" s="1" t="s">
        <v>74</v>
      </c>
      <c r="AO731" s="1" t="s">
        <v>620</v>
      </c>
      <c r="AP731" s="1" t="s">
        <v>621</v>
      </c>
      <c r="AQ731" s="1" t="s">
        <v>74</v>
      </c>
      <c r="AR731" s="1" t="s">
        <v>74</v>
      </c>
      <c r="AS731" s="1" t="s">
        <v>74</v>
      </c>
      <c r="AT731" s="1" t="s">
        <v>74</v>
      </c>
      <c r="AU731" s="1">
        <v>2009.0</v>
      </c>
      <c r="AV731" s="1">
        <v>62.0</v>
      </c>
      <c r="AW731" s="1">
        <v>1.0</v>
      </c>
      <c r="AX731" s="1" t="s">
        <v>74</v>
      </c>
      <c r="AY731" s="1" t="s">
        <v>74</v>
      </c>
      <c r="AZ731" s="1" t="s">
        <v>74</v>
      </c>
      <c r="BA731" s="1" t="s">
        <v>74</v>
      </c>
      <c r="BB731" s="1">
        <v>130.0</v>
      </c>
      <c r="BC731" s="1">
        <v>140.0</v>
      </c>
      <c r="BD731" s="1" t="s">
        <v>7415</v>
      </c>
      <c r="BE731" s="1" t="s">
        <v>7416</v>
      </c>
      <c r="BF731" s="2" t="str">
        <f>HYPERLINK("http://dx.doi.org/10.1080/00958970802474839","http://dx.doi.org/10.1080/00958970802474839")</f>
        <v>http://dx.doi.org/10.1080/00958970802474839</v>
      </c>
      <c r="BG731" s="1" t="s">
        <v>74</v>
      </c>
      <c r="BH731" s="1" t="s">
        <v>74</v>
      </c>
      <c r="BI731" s="1" t="s">
        <v>74</v>
      </c>
      <c r="BJ731" s="1" t="s">
        <v>74</v>
      </c>
      <c r="BK731" s="1" t="s">
        <v>74</v>
      </c>
      <c r="BL731" s="1" t="s">
        <v>74</v>
      </c>
      <c r="BM731" s="1" t="s">
        <v>74</v>
      </c>
      <c r="BN731" s="1" t="s">
        <v>74</v>
      </c>
      <c r="BO731" s="1" t="s">
        <v>74</v>
      </c>
      <c r="BP731" s="1" t="s">
        <v>74</v>
      </c>
      <c r="BQ731" s="1" t="s">
        <v>74</v>
      </c>
      <c r="BR731" s="1" t="s">
        <v>74</v>
      </c>
      <c r="BS731" s="1" t="s">
        <v>7417</v>
      </c>
      <c r="BT731" s="1" t="str">
        <f>HYPERLINK("https%3A%2F%2Fwww.webofscience.com%2Fwos%2Fwoscc%2Ffull-record%2FWOS:000260926100014","View Full Record in Web of Science")</f>
        <v>View Full Record in Web of Science</v>
      </c>
    </row>
    <row r="732" ht="12.75" customHeight="1">
      <c r="A732" s="1" t="s">
        <v>72</v>
      </c>
      <c r="B732" s="1" t="s">
        <v>7418</v>
      </c>
      <c r="C732" s="1" t="s">
        <v>74</v>
      </c>
      <c r="D732" s="1" t="s">
        <v>74</v>
      </c>
      <c r="E732" s="1" t="s">
        <v>74</v>
      </c>
      <c r="F732" s="1" t="s">
        <v>7419</v>
      </c>
      <c r="G732" s="1" t="s">
        <v>74</v>
      </c>
      <c r="H732" s="1" t="s">
        <v>74</v>
      </c>
      <c r="I732" s="1" t="s">
        <v>7420</v>
      </c>
      <c r="J732" s="1" t="s">
        <v>2488</v>
      </c>
      <c r="K732" s="1" t="s">
        <v>74</v>
      </c>
      <c r="L732" s="1" t="s">
        <v>74</v>
      </c>
      <c r="M732" s="1" t="s">
        <v>74</v>
      </c>
      <c r="N732" s="1" t="s">
        <v>74</v>
      </c>
      <c r="O732" s="1" t="s">
        <v>74</v>
      </c>
      <c r="P732" s="1" t="s">
        <v>74</v>
      </c>
      <c r="Q732" s="1" t="s">
        <v>74</v>
      </c>
      <c r="R732" s="1" t="s">
        <v>74</v>
      </c>
      <c r="S732" s="1" t="s">
        <v>74</v>
      </c>
      <c r="T732" s="1" t="s">
        <v>74</v>
      </c>
      <c r="U732" s="1" t="s">
        <v>74</v>
      </c>
      <c r="V732" s="1" t="s">
        <v>7421</v>
      </c>
      <c r="W732" s="1" t="s">
        <v>74</v>
      </c>
      <c r="X732" s="1" t="s">
        <v>74</v>
      </c>
      <c r="Y732" s="1" t="s">
        <v>74</v>
      </c>
      <c r="Z732" s="1" t="s">
        <v>74</v>
      </c>
      <c r="AA732" s="1" t="s">
        <v>7422</v>
      </c>
      <c r="AB732" s="1" t="s">
        <v>7423</v>
      </c>
      <c r="AC732" s="1" t="s">
        <v>74</v>
      </c>
      <c r="AD732" s="1" t="s">
        <v>74</v>
      </c>
      <c r="AE732" s="1" t="s">
        <v>74</v>
      </c>
      <c r="AF732" s="1" t="s">
        <v>74</v>
      </c>
      <c r="AG732" s="1" t="s">
        <v>74</v>
      </c>
      <c r="AH732" s="1" t="s">
        <v>74</v>
      </c>
      <c r="AI732" s="1" t="s">
        <v>74</v>
      </c>
      <c r="AJ732" s="1" t="s">
        <v>74</v>
      </c>
      <c r="AK732" s="1" t="s">
        <v>74</v>
      </c>
      <c r="AL732" s="1" t="s">
        <v>74</v>
      </c>
      <c r="AM732" s="1" t="s">
        <v>74</v>
      </c>
      <c r="AN732" s="1" t="s">
        <v>74</v>
      </c>
      <c r="AO732" s="1" t="s">
        <v>2492</v>
      </c>
      <c r="AP732" s="1" t="s">
        <v>2493</v>
      </c>
      <c r="AQ732" s="1" t="s">
        <v>74</v>
      </c>
      <c r="AR732" s="1" t="s">
        <v>74</v>
      </c>
      <c r="AS732" s="1" t="s">
        <v>74</v>
      </c>
      <c r="AT732" s="1" t="s">
        <v>422</v>
      </c>
      <c r="AU732" s="1">
        <v>2009.0</v>
      </c>
      <c r="AV732" s="1">
        <v>24.0</v>
      </c>
      <c r="AW732" s="1">
        <v>1.0</v>
      </c>
      <c r="AX732" s="1" t="s">
        <v>74</v>
      </c>
      <c r="AY732" s="1" t="s">
        <v>74</v>
      </c>
      <c r="AZ732" s="1" t="s">
        <v>74</v>
      </c>
      <c r="BA732" s="1" t="s">
        <v>74</v>
      </c>
      <c r="BB732" s="1">
        <v>25.0</v>
      </c>
      <c r="BC732" s="1">
        <v>38.0</v>
      </c>
      <c r="BD732" s="1" t="s">
        <v>74</v>
      </c>
      <c r="BE732" s="1" t="s">
        <v>7424</v>
      </c>
      <c r="BF732" s="2" t="str">
        <f>HYPERLINK("http://dx.doi.org/10.1007/s10980-008-9275-y","http://dx.doi.org/10.1007/s10980-008-9275-y")</f>
        <v>http://dx.doi.org/10.1007/s10980-008-9275-y</v>
      </c>
      <c r="BG732" s="1" t="s">
        <v>74</v>
      </c>
      <c r="BH732" s="1" t="s">
        <v>74</v>
      </c>
      <c r="BI732" s="1" t="s">
        <v>74</v>
      </c>
      <c r="BJ732" s="1" t="s">
        <v>74</v>
      </c>
      <c r="BK732" s="1" t="s">
        <v>74</v>
      </c>
      <c r="BL732" s="1" t="s">
        <v>74</v>
      </c>
      <c r="BM732" s="1" t="s">
        <v>74</v>
      </c>
      <c r="BN732" s="1" t="s">
        <v>74</v>
      </c>
      <c r="BO732" s="1" t="s">
        <v>74</v>
      </c>
      <c r="BP732" s="1" t="s">
        <v>74</v>
      </c>
      <c r="BQ732" s="1" t="s">
        <v>74</v>
      </c>
      <c r="BR732" s="1" t="s">
        <v>74</v>
      </c>
      <c r="BS732" s="1" t="s">
        <v>7425</v>
      </c>
      <c r="BT732" s="1" t="str">
        <f>HYPERLINK("https%3A%2F%2Fwww.webofscience.com%2Fwos%2Fwoscc%2Ffull-record%2FWOS:000262506000003","View Full Record in Web of Science")</f>
        <v>View Full Record in Web of Science</v>
      </c>
    </row>
    <row r="733" ht="12.75" customHeight="1">
      <c r="A733" s="1" t="s">
        <v>72</v>
      </c>
      <c r="B733" s="1" t="s">
        <v>7426</v>
      </c>
      <c r="C733" s="1" t="s">
        <v>74</v>
      </c>
      <c r="D733" s="1" t="s">
        <v>74</v>
      </c>
      <c r="E733" s="1" t="s">
        <v>74</v>
      </c>
      <c r="F733" s="1" t="s">
        <v>7427</v>
      </c>
      <c r="G733" s="1" t="s">
        <v>74</v>
      </c>
      <c r="H733" s="1" t="s">
        <v>74</v>
      </c>
      <c r="I733" s="1" t="s">
        <v>7428</v>
      </c>
      <c r="J733" s="1" t="s">
        <v>2466</v>
      </c>
      <c r="K733" s="1" t="s">
        <v>74</v>
      </c>
      <c r="L733" s="1" t="s">
        <v>74</v>
      </c>
      <c r="M733" s="1" t="s">
        <v>74</v>
      </c>
      <c r="N733" s="1" t="s">
        <v>74</v>
      </c>
      <c r="O733" s="1" t="s">
        <v>74</v>
      </c>
      <c r="P733" s="1" t="s">
        <v>74</v>
      </c>
      <c r="Q733" s="1" t="s">
        <v>74</v>
      </c>
      <c r="R733" s="1" t="s">
        <v>74</v>
      </c>
      <c r="S733" s="1" t="s">
        <v>74</v>
      </c>
      <c r="T733" s="1" t="s">
        <v>74</v>
      </c>
      <c r="U733" s="1" t="s">
        <v>74</v>
      </c>
      <c r="V733" s="1" t="s">
        <v>7429</v>
      </c>
      <c r="W733" s="1" t="s">
        <v>74</v>
      </c>
      <c r="X733" s="1" t="s">
        <v>74</v>
      </c>
      <c r="Y733" s="1" t="s">
        <v>74</v>
      </c>
      <c r="Z733" s="1" t="s">
        <v>74</v>
      </c>
      <c r="AA733" s="1" t="s">
        <v>74</v>
      </c>
      <c r="AB733" s="1" t="s">
        <v>74</v>
      </c>
      <c r="AC733" s="1" t="s">
        <v>74</v>
      </c>
      <c r="AD733" s="1" t="s">
        <v>74</v>
      </c>
      <c r="AE733" s="1" t="s">
        <v>74</v>
      </c>
      <c r="AF733" s="1" t="s">
        <v>74</v>
      </c>
      <c r="AG733" s="1" t="s">
        <v>74</v>
      </c>
      <c r="AH733" s="1" t="s">
        <v>74</v>
      </c>
      <c r="AI733" s="1" t="s">
        <v>74</v>
      </c>
      <c r="AJ733" s="1" t="s">
        <v>74</v>
      </c>
      <c r="AK733" s="1" t="s">
        <v>74</v>
      </c>
      <c r="AL733" s="1" t="s">
        <v>74</v>
      </c>
      <c r="AM733" s="1" t="s">
        <v>74</v>
      </c>
      <c r="AN733" s="1" t="s">
        <v>74</v>
      </c>
      <c r="AO733" s="1" t="s">
        <v>2470</v>
      </c>
      <c r="AP733" s="1" t="s">
        <v>74</v>
      </c>
      <c r="AQ733" s="1" t="s">
        <v>74</v>
      </c>
      <c r="AR733" s="1" t="s">
        <v>74</v>
      </c>
      <c r="AS733" s="1" t="s">
        <v>74</v>
      </c>
      <c r="AT733" s="1" t="s">
        <v>939</v>
      </c>
      <c r="AU733" s="1">
        <v>2007.0</v>
      </c>
      <c r="AV733" s="1">
        <v>26.0</v>
      </c>
      <c r="AW733" s="1">
        <v>4.0</v>
      </c>
      <c r="AX733" s="1" t="s">
        <v>74</v>
      </c>
      <c r="AY733" s="1" t="s">
        <v>74</v>
      </c>
      <c r="AZ733" s="1" t="s">
        <v>74</v>
      </c>
      <c r="BA733" s="1" t="s">
        <v>74</v>
      </c>
      <c r="BB733" s="1">
        <v>265.0</v>
      </c>
      <c r="BC733" s="1">
        <v>269.0</v>
      </c>
      <c r="BD733" s="1" t="s">
        <v>74</v>
      </c>
      <c r="BE733" s="1" t="s">
        <v>7430</v>
      </c>
      <c r="BF733" s="2" t="str">
        <f>HYPERLINK("http://dx.doi.org/10.1007/s10930-006-9068-6","http://dx.doi.org/10.1007/s10930-006-9068-6")</f>
        <v>http://dx.doi.org/10.1007/s10930-006-9068-6</v>
      </c>
      <c r="BG733" s="1" t="s">
        <v>74</v>
      </c>
      <c r="BH733" s="1" t="s">
        <v>74</v>
      </c>
      <c r="BI733" s="1" t="s">
        <v>74</v>
      </c>
      <c r="BJ733" s="1" t="s">
        <v>74</v>
      </c>
      <c r="BK733" s="1" t="s">
        <v>74</v>
      </c>
      <c r="BL733" s="1" t="s">
        <v>74</v>
      </c>
      <c r="BM733" s="1" t="s">
        <v>74</v>
      </c>
      <c r="BN733" s="1">
        <v>1.7216567E7</v>
      </c>
      <c r="BO733" s="1" t="s">
        <v>74</v>
      </c>
      <c r="BP733" s="1" t="s">
        <v>74</v>
      </c>
      <c r="BQ733" s="1" t="s">
        <v>74</v>
      </c>
      <c r="BR733" s="1" t="s">
        <v>74</v>
      </c>
      <c r="BS733" s="1" t="s">
        <v>7431</v>
      </c>
      <c r="BT733" s="1" t="str">
        <f>HYPERLINK("https%3A%2F%2Fwww.webofscience.com%2Fwos%2Fwoscc%2Ffull-record%2FWOS:000247280800007","View Full Record in Web of Science")</f>
        <v>View Full Record in Web of Science</v>
      </c>
    </row>
    <row r="734" ht="12.75" customHeight="1">
      <c r="A734" s="1" t="s">
        <v>72</v>
      </c>
      <c r="B734" s="1" t="s">
        <v>7432</v>
      </c>
      <c r="C734" s="1" t="s">
        <v>74</v>
      </c>
      <c r="D734" s="1" t="s">
        <v>74</v>
      </c>
      <c r="E734" s="1" t="s">
        <v>74</v>
      </c>
      <c r="F734" s="1" t="s">
        <v>7432</v>
      </c>
      <c r="G734" s="1" t="s">
        <v>74</v>
      </c>
      <c r="H734" s="1" t="s">
        <v>74</v>
      </c>
      <c r="I734" s="1" t="s">
        <v>7433</v>
      </c>
      <c r="J734" s="1" t="s">
        <v>7434</v>
      </c>
      <c r="K734" s="1" t="s">
        <v>74</v>
      </c>
      <c r="L734" s="1" t="s">
        <v>74</v>
      </c>
      <c r="M734" s="1" t="s">
        <v>74</v>
      </c>
      <c r="N734" s="1" t="s">
        <v>74</v>
      </c>
      <c r="O734" s="1" t="s">
        <v>74</v>
      </c>
      <c r="P734" s="1" t="s">
        <v>74</v>
      </c>
      <c r="Q734" s="1" t="s">
        <v>74</v>
      </c>
      <c r="R734" s="1" t="s">
        <v>74</v>
      </c>
      <c r="S734" s="1" t="s">
        <v>74</v>
      </c>
      <c r="T734" s="1" t="s">
        <v>74</v>
      </c>
      <c r="U734" s="1" t="s">
        <v>74</v>
      </c>
      <c r="V734" s="1" t="s">
        <v>7435</v>
      </c>
      <c r="W734" s="1" t="s">
        <v>74</v>
      </c>
      <c r="X734" s="1" t="s">
        <v>74</v>
      </c>
      <c r="Y734" s="1" t="s">
        <v>74</v>
      </c>
      <c r="Z734" s="1" t="s">
        <v>74</v>
      </c>
      <c r="AA734" s="1" t="s">
        <v>7436</v>
      </c>
      <c r="AB734" s="1" t="s">
        <v>7437</v>
      </c>
      <c r="AC734" s="1" t="s">
        <v>74</v>
      </c>
      <c r="AD734" s="1" t="s">
        <v>74</v>
      </c>
      <c r="AE734" s="1" t="s">
        <v>74</v>
      </c>
      <c r="AF734" s="1" t="s">
        <v>74</v>
      </c>
      <c r="AG734" s="1" t="s">
        <v>74</v>
      </c>
      <c r="AH734" s="1" t="s">
        <v>74</v>
      </c>
      <c r="AI734" s="1" t="s">
        <v>74</v>
      </c>
      <c r="AJ734" s="1" t="s">
        <v>74</v>
      </c>
      <c r="AK734" s="1" t="s">
        <v>74</v>
      </c>
      <c r="AL734" s="1" t="s">
        <v>74</v>
      </c>
      <c r="AM734" s="1" t="s">
        <v>74</v>
      </c>
      <c r="AN734" s="1" t="s">
        <v>74</v>
      </c>
      <c r="AO734" s="1" t="s">
        <v>7438</v>
      </c>
      <c r="AP734" s="1" t="s">
        <v>7439</v>
      </c>
      <c r="AQ734" s="1" t="s">
        <v>74</v>
      </c>
      <c r="AR734" s="1" t="s">
        <v>74</v>
      </c>
      <c r="AS734" s="1" t="s">
        <v>74</v>
      </c>
      <c r="AT734" s="1" t="s">
        <v>6073</v>
      </c>
      <c r="AU734" s="1">
        <v>2003.0</v>
      </c>
      <c r="AV734" s="1">
        <v>278.0</v>
      </c>
      <c r="AW734" s="1">
        <v>38.0</v>
      </c>
      <c r="AX734" s="1" t="s">
        <v>74</v>
      </c>
      <c r="AY734" s="1" t="s">
        <v>74</v>
      </c>
      <c r="AZ734" s="1" t="s">
        <v>74</v>
      </c>
      <c r="BA734" s="1" t="s">
        <v>74</v>
      </c>
      <c r="BB734" s="1">
        <v>36777.0</v>
      </c>
      <c r="BC734" s="1">
        <v>36785.0</v>
      </c>
      <c r="BD734" s="1" t="s">
        <v>74</v>
      </c>
      <c r="BE734" s="1" t="s">
        <v>7440</v>
      </c>
      <c r="BF734" s="2" t="str">
        <f>HYPERLINK("http://dx.doi.org/10.1074/jbc.M305177200","http://dx.doi.org/10.1074/jbc.M305177200")</f>
        <v>http://dx.doi.org/10.1074/jbc.M305177200</v>
      </c>
      <c r="BG734" s="1" t="s">
        <v>74</v>
      </c>
      <c r="BH734" s="1" t="s">
        <v>74</v>
      </c>
      <c r="BI734" s="1" t="s">
        <v>74</v>
      </c>
      <c r="BJ734" s="1" t="s">
        <v>74</v>
      </c>
      <c r="BK734" s="1" t="s">
        <v>74</v>
      </c>
      <c r="BL734" s="1" t="s">
        <v>74</v>
      </c>
      <c r="BM734" s="1" t="s">
        <v>74</v>
      </c>
      <c r="BN734" s="1">
        <v>1.2819199E7</v>
      </c>
      <c r="BO734" s="1" t="s">
        <v>74</v>
      </c>
      <c r="BP734" s="1" t="s">
        <v>74</v>
      </c>
      <c r="BQ734" s="1" t="s">
        <v>74</v>
      </c>
      <c r="BR734" s="1" t="s">
        <v>74</v>
      </c>
      <c r="BS734" s="1" t="s">
        <v>7441</v>
      </c>
      <c r="BT734" s="1" t="str">
        <f>HYPERLINK("https%3A%2F%2Fwww.webofscience.com%2Fwos%2Fwoscc%2Ffull-record%2FWOS:000185318300110","View Full Record in Web of Science")</f>
        <v>View Full Record in Web of Science</v>
      </c>
    </row>
    <row r="735" ht="12.75" customHeight="1">
      <c r="A735" s="1" t="s">
        <v>72</v>
      </c>
      <c r="B735" s="1" t="s">
        <v>7442</v>
      </c>
      <c r="C735" s="1" t="s">
        <v>74</v>
      </c>
      <c r="D735" s="1" t="s">
        <v>74</v>
      </c>
      <c r="E735" s="1" t="s">
        <v>74</v>
      </c>
      <c r="F735" s="1" t="s">
        <v>7442</v>
      </c>
      <c r="G735" s="1" t="s">
        <v>74</v>
      </c>
      <c r="H735" s="1" t="s">
        <v>74</v>
      </c>
      <c r="I735" s="1" t="s">
        <v>7443</v>
      </c>
      <c r="J735" s="1" t="s">
        <v>7444</v>
      </c>
      <c r="K735" s="1" t="s">
        <v>74</v>
      </c>
      <c r="L735" s="1" t="s">
        <v>74</v>
      </c>
      <c r="M735" s="1" t="s">
        <v>74</v>
      </c>
      <c r="N735" s="1" t="s">
        <v>74</v>
      </c>
      <c r="O735" s="1" t="s">
        <v>74</v>
      </c>
      <c r="P735" s="1" t="s">
        <v>74</v>
      </c>
      <c r="Q735" s="1" t="s">
        <v>74</v>
      </c>
      <c r="R735" s="1" t="s">
        <v>74</v>
      </c>
      <c r="S735" s="1" t="s">
        <v>74</v>
      </c>
      <c r="T735" s="1" t="s">
        <v>74</v>
      </c>
      <c r="U735" s="1" t="s">
        <v>74</v>
      </c>
      <c r="V735" s="1" t="s">
        <v>7445</v>
      </c>
      <c r="W735" s="1" t="s">
        <v>74</v>
      </c>
      <c r="X735" s="1" t="s">
        <v>74</v>
      </c>
      <c r="Y735" s="1" t="s">
        <v>74</v>
      </c>
      <c r="Z735" s="1" t="s">
        <v>74</v>
      </c>
      <c r="AA735" s="1" t="s">
        <v>74</v>
      </c>
      <c r="AB735" s="1" t="s">
        <v>74</v>
      </c>
      <c r="AC735" s="1" t="s">
        <v>74</v>
      </c>
      <c r="AD735" s="1" t="s">
        <v>74</v>
      </c>
      <c r="AE735" s="1" t="s">
        <v>74</v>
      </c>
      <c r="AF735" s="1" t="s">
        <v>74</v>
      </c>
      <c r="AG735" s="1" t="s">
        <v>74</v>
      </c>
      <c r="AH735" s="1" t="s">
        <v>74</v>
      </c>
      <c r="AI735" s="1" t="s">
        <v>74</v>
      </c>
      <c r="AJ735" s="1" t="s">
        <v>74</v>
      </c>
      <c r="AK735" s="1" t="s">
        <v>74</v>
      </c>
      <c r="AL735" s="1" t="s">
        <v>74</v>
      </c>
      <c r="AM735" s="1" t="s">
        <v>74</v>
      </c>
      <c r="AN735" s="1" t="s">
        <v>74</v>
      </c>
      <c r="AO735" s="1" t="s">
        <v>7446</v>
      </c>
      <c r="AP735" s="1" t="s">
        <v>7447</v>
      </c>
      <c r="AQ735" s="1" t="s">
        <v>74</v>
      </c>
      <c r="AR735" s="1" t="s">
        <v>74</v>
      </c>
      <c r="AS735" s="1" t="s">
        <v>74</v>
      </c>
      <c r="AT735" s="1" t="s">
        <v>7448</v>
      </c>
      <c r="AU735" s="1">
        <v>2000.0</v>
      </c>
      <c r="AV735" s="1">
        <v>9.0</v>
      </c>
      <c r="AW735" s="1">
        <v>4.0</v>
      </c>
      <c r="AX735" s="1" t="s">
        <v>74</v>
      </c>
      <c r="AY735" s="1" t="s">
        <v>74</v>
      </c>
      <c r="AZ735" s="1" t="s">
        <v>74</v>
      </c>
      <c r="BA735" s="1" t="s">
        <v>74</v>
      </c>
      <c r="BB735" s="1">
        <v>615.0</v>
      </c>
      <c r="BC735" s="1">
        <v>642.0</v>
      </c>
      <c r="BD735" s="1" t="s">
        <v>74</v>
      </c>
      <c r="BE735" s="1" t="s">
        <v>74</v>
      </c>
      <c r="BF735" s="1" t="s">
        <v>74</v>
      </c>
      <c r="BG735" s="1" t="s">
        <v>74</v>
      </c>
      <c r="BH735" s="1" t="s">
        <v>74</v>
      </c>
      <c r="BI735" s="1" t="s">
        <v>74</v>
      </c>
      <c r="BJ735" s="1" t="s">
        <v>74</v>
      </c>
      <c r="BK735" s="1" t="s">
        <v>74</v>
      </c>
      <c r="BL735" s="1" t="s">
        <v>74</v>
      </c>
      <c r="BM735" s="1" t="s">
        <v>74</v>
      </c>
      <c r="BN735" s="1" t="s">
        <v>74</v>
      </c>
      <c r="BO735" s="1" t="s">
        <v>74</v>
      </c>
      <c r="BP735" s="1" t="s">
        <v>74</v>
      </c>
      <c r="BQ735" s="1" t="s">
        <v>74</v>
      </c>
      <c r="BR735" s="1" t="s">
        <v>74</v>
      </c>
      <c r="BS735" s="1" t="s">
        <v>7449</v>
      </c>
      <c r="BT735" s="1" t="str">
        <f>HYPERLINK("https%3A%2F%2Fwww.webofscience.com%2Fwos%2Fwoscc%2Ffull-record%2FWOS:000165565600006","View Full Record in Web of Science")</f>
        <v>View Full Record in Web of Science</v>
      </c>
    </row>
    <row r="736" ht="12.75" customHeight="1">
      <c r="A736" s="1" t="s">
        <v>72</v>
      </c>
      <c r="B736" s="1" t="s">
        <v>7450</v>
      </c>
      <c r="C736" s="1" t="s">
        <v>74</v>
      </c>
      <c r="D736" s="1" t="s">
        <v>74</v>
      </c>
      <c r="E736" s="1" t="s">
        <v>74</v>
      </c>
      <c r="F736" s="1" t="s">
        <v>7450</v>
      </c>
      <c r="G736" s="1" t="s">
        <v>74</v>
      </c>
      <c r="H736" s="1" t="s">
        <v>74</v>
      </c>
      <c r="I736" s="1" t="s">
        <v>7451</v>
      </c>
      <c r="J736" s="1" t="s">
        <v>7452</v>
      </c>
      <c r="K736" s="1" t="s">
        <v>74</v>
      </c>
      <c r="L736" s="1" t="s">
        <v>74</v>
      </c>
      <c r="M736" s="1" t="s">
        <v>74</v>
      </c>
      <c r="N736" s="1" t="s">
        <v>74</v>
      </c>
      <c r="O736" s="1" t="s">
        <v>74</v>
      </c>
      <c r="P736" s="1" t="s">
        <v>74</v>
      </c>
      <c r="Q736" s="1" t="s">
        <v>74</v>
      </c>
      <c r="R736" s="1" t="s">
        <v>74</v>
      </c>
      <c r="S736" s="1" t="s">
        <v>74</v>
      </c>
      <c r="T736" s="1" t="s">
        <v>74</v>
      </c>
      <c r="U736" s="1" t="s">
        <v>74</v>
      </c>
      <c r="V736" s="1" t="s">
        <v>7453</v>
      </c>
      <c r="W736" s="1" t="s">
        <v>74</v>
      </c>
      <c r="X736" s="1" t="s">
        <v>74</v>
      </c>
      <c r="Y736" s="1" t="s">
        <v>74</v>
      </c>
      <c r="Z736" s="1" t="s">
        <v>74</v>
      </c>
      <c r="AA736" s="1" t="s">
        <v>74</v>
      </c>
      <c r="AB736" s="1" t="s">
        <v>74</v>
      </c>
      <c r="AC736" s="1" t="s">
        <v>74</v>
      </c>
      <c r="AD736" s="1" t="s">
        <v>74</v>
      </c>
      <c r="AE736" s="1" t="s">
        <v>74</v>
      </c>
      <c r="AF736" s="1" t="s">
        <v>74</v>
      </c>
      <c r="AG736" s="1" t="s">
        <v>74</v>
      </c>
      <c r="AH736" s="1" t="s">
        <v>74</v>
      </c>
      <c r="AI736" s="1" t="s">
        <v>74</v>
      </c>
      <c r="AJ736" s="1" t="s">
        <v>74</v>
      </c>
      <c r="AK736" s="1" t="s">
        <v>74</v>
      </c>
      <c r="AL736" s="1" t="s">
        <v>74</v>
      </c>
      <c r="AM736" s="1" t="s">
        <v>74</v>
      </c>
      <c r="AN736" s="1" t="s">
        <v>74</v>
      </c>
      <c r="AO736" s="1" t="s">
        <v>7454</v>
      </c>
      <c r="AP736" s="1" t="s">
        <v>7455</v>
      </c>
      <c r="AQ736" s="1" t="s">
        <v>74</v>
      </c>
      <c r="AR736" s="1" t="s">
        <v>74</v>
      </c>
      <c r="AS736" s="1" t="s">
        <v>74</v>
      </c>
      <c r="AT736" s="1" t="s">
        <v>7456</v>
      </c>
      <c r="AU736" s="1">
        <v>1999.0</v>
      </c>
      <c r="AV736" s="1">
        <v>20.0</v>
      </c>
      <c r="AW736" s="1">
        <v>6.0</v>
      </c>
      <c r="AX736" s="1" t="s">
        <v>74</v>
      </c>
      <c r="AY736" s="1" t="s">
        <v>74</v>
      </c>
      <c r="AZ736" s="1" t="s">
        <v>74</v>
      </c>
      <c r="BA736" s="1" t="s">
        <v>74</v>
      </c>
      <c r="BB736" s="1">
        <v>713.0</v>
      </c>
      <c r="BC736" s="1">
        <v>717.0</v>
      </c>
      <c r="BD736" s="1" t="s">
        <v>74</v>
      </c>
      <c r="BE736" s="1" t="s">
        <v>74</v>
      </c>
      <c r="BF736" s="1" t="s">
        <v>74</v>
      </c>
      <c r="BG736" s="1" t="s">
        <v>74</v>
      </c>
      <c r="BH736" s="1" t="s">
        <v>74</v>
      </c>
      <c r="BI736" s="1" t="s">
        <v>74</v>
      </c>
      <c r="BJ736" s="1" t="s">
        <v>74</v>
      </c>
      <c r="BK736" s="1" t="s">
        <v>74</v>
      </c>
      <c r="BL736" s="1" t="s">
        <v>74</v>
      </c>
      <c r="BM736" s="1" t="s">
        <v>74</v>
      </c>
      <c r="BN736" s="1">
        <v>1.0591609E7</v>
      </c>
      <c r="BO736" s="1" t="s">
        <v>74</v>
      </c>
      <c r="BP736" s="1" t="s">
        <v>74</v>
      </c>
      <c r="BQ736" s="1" t="s">
        <v>74</v>
      </c>
      <c r="BR736" s="1" t="s">
        <v>74</v>
      </c>
      <c r="BS736" s="1" t="s">
        <v>7457</v>
      </c>
      <c r="BT736" s="1" t="str">
        <f>HYPERLINK("https%3A%2F%2Fwww.webofscience.com%2Fwos%2Fwoscc%2Ffull-record%2FWOS:000083877500006","View Full Record in Web of Science")</f>
        <v>View Full Record in Web of Science</v>
      </c>
    </row>
    <row r="737" ht="12.75" customHeight="1">
      <c r="A737" s="1" t="s">
        <v>72</v>
      </c>
      <c r="B737" s="1" t="s">
        <v>7458</v>
      </c>
      <c r="C737" s="1" t="s">
        <v>74</v>
      </c>
      <c r="D737" s="1" t="s">
        <v>74</v>
      </c>
      <c r="E737" s="1" t="s">
        <v>74</v>
      </c>
      <c r="F737" s="1" t="s">
        <v>7459</v>
      </c>
      <c r="G737" s="1" t="s">
        <v>74</v>
      </c>
      <c r="H737" s="1" t="s">
        <v>74</v>
      </c>
      <c r="I737" s="1" t="s">
        <v>7460</v>
      </c>
      <c r="J737" s="1" t="s">
        <v>7461</v>
      </c>
      <c r="K737" s="1" t="s">
        <v>74</v>
      </c>
      <c r="L737" s="1" t="s">
        <v>74</v>
      </c>
      <c r="M737" s="1" t="s">
        <v>74</v>
      </c>
      <c r="N737" s="1" t="s">
        <v>74</v>
      </c>
      <c r="O737" s="1" t="s">
        <v>74</v>
      </c>
      <c r="P737" s="1" t="s">
        <v>74</v>
      </c>
      <c r="Q737" s="1" t="s">
        <v>74</v>
      </c>
      <c r="R737" s="1" t="s">
        <v>74</v>
      </c>
      <c r="S737" s="1" t="s">
        <v>74</v>
      </c>
      <c r="T737" s="1" t="s">
        <v>74</v>
      </c>
      <c r="U737" s="1" t="s">
        <v>74</v>
      </c>
      <c r="V737" s="1" t="s">
        <v>7462</v>
      </c>
      <c r="W737" s="1" t="s">
        <v>74</v>
      </c>
      <c r="X737" s="1" t="s">
        <v>74</v>
      </c>
      <c r="Y737" s="1" t="s">
        <v>74</v>
      </c>
      <c r="Z737" s="1" t="s">
        <v>74</v>
      </c>
      <c r="AA737" s="1" t="s">
        <v>74</v>
      </c>
      <c r="AB737" s="1" t="s">
        <v>74</v>
      </c>
      <c r="AC737" s="1" t="s">
        <v>74</v>
      </c>
      <c r="AD737" s="1" t="s">
        <v>74</v>
      </c>
      <c r="AE737" s="1" t="s">
        <v>74</v>
      </c>
      <c r="AF737" s="1" t="s">
        <v>74</v>
      </c>
      <c r="AG737" s="1" t="s">
        <v>74</v>
      </c>
      <c r="AH737" s="1" t="s">
        <v>74</v>
      </c>
      <c r="AI737" s="1" t="s">
        <v>74</v>
      </c>
      <c r="AJ737" s="1" t="s">
        <v>74</v>
      </c>
      <c r="AK737" s="1" t="s">
        <v>74</v>
      </c>
      <c r="AL737" s="1" t="s">
        <v>74</v>
      </c>
      <c r="AM737" s="1" t="s">
        <v>74</v>
      </c>
      <c r="AN737" s="1" t="s">
        <v>74</v>
      </c>
      <c r="AO737" s="1" t="s">
        <v>7463</v>
      </c>
      <c r="AP737" s="1" t="s">
        <v>7464</v>
      </c>
      <c r="AQ737" s="1" t="s">
        <v>74</v>
      </c>
      <c r="AR737" s="1" t="s">
        <v>74</v>
      </c>
      <c r="AS737" s="1" t="s">
        <v>74</v>
      </c>
      <c r="AT737" s="1" t="s">
        <v>74</v>
      </c>
      <c r="AU737" s="1">
        <v>2025.0</v>
      </c>
      <c r="AV737" s="1">
        <v>13.0</v>
      </c>
      <c r="AW737" s="1">
        <v>1.0</v>
      </c>
      <c r="AX737" s="1" t="s">
        <v>74</v>
      </c>
      <c r="AY737" s="1" t="s">
        <v>74</v>
      </c>
      <c r="AZ737" s="1" t="s">
        <v>74</v>
      </c>
      <c r="BA737" s="1" t="s">
        <v>74</v>
      </c>
      <c r="BB737" s="1">
        <v>8.0</v>
      </c>
      <c r="BC737" s="1">
        <v>34.0</v>
      </c>
      <c r="BD737" s="1" t="s">
        <v>74</v>
      </c>
      <c r="BE737" s="1" t="s">
        <v>7465</v>
      </c>
      <c r="BF737" s="2" t="str">
        <f>HYPERLINK("http://dx.doi.org/10.25749/sis.36570","http://dx.doi.org/10.25749/sis.36570")</f>
        <v>http://dx.doi.org/10.25749/sis.36570</v>
      </c>
      <c r="BG737" s="1" t="s">
        <v>74</v>
      </c>
      <c r="BH737" s="1" t="s">
        <v>74</v>
      </c>
      <c r="BI737" s="1" t="s">
        <v>74</v>
      </c>
      <c r="BJ737" s="1" t="s">
        <v>74</v>
      </c>
      <c r="BK737" s="1" t="s">
        <v>74</v>
      </c>
      <c r="BL737" s="1" t="s">
        <v>74</v>
      </c>
      <c r="BM737" s="1" t="s">
        <v>74</v>
      </c>
      <c r="BN737" s="1" t="s">
        <v>74</v>
      </c>
      <c r="BO737" s="1" t="s">
        <v>74</v>
      </c>
      <c r="BP737" s="1" t="s">
        <v>74</v>
      </c>
      <c r="BQ737" s="1" t="s">
        <v>74</v>
      </c>
      <c r="BR737" s="1" t="s">
        <v>74</v>
      </c>
      <c r="BS737" s="1" t="s">
        <v>7466</v>
      </c>
      <c r="BT737" s="1" t="str">
        <f>HYPERLINK("https%3A%2F%2Fwww.webofscience.com%2Fwos%2Fwoscc%2Ffull-record%2FWOS:001462663300002","View Full Record in Web of Science")</f>
        <v>View Full Record in Web of Science</v>
      </c>
    </row>
    <row r="738" ht="12.75" customHeight="1">
      <c r="A738" s="1" t="s">
        <v>72</v>
      </c>
      <c r="B738" s="1" t="s">
        <v>7467</v>
      </c>
      <c r="C738" s="1" t="s">
        <v>74</v>
      </c>
      <c r="D738" s="1" t="s">
        <v>74</v>
      </c>
      <c r="E738" s="1" t="s">
        <v>74</v>
      </c>
      <c r="F738" s="1" t="s">
        <v>7468</v>
      </c>
      <c r="G738" s="1" t="s">
        <v>74</v>
      </c>
      <c r="H738" s="1" t="s">
        <v>74</v>
      </c>
      <c r="I738" s="1" t="s">
        <v>7469</v>
      </c>
      <c r="J738" s="1" t="s">
        <v>7470</v>
      </c>
      <c r="K738" s="1" t="s">
        <v>74</v>
      </c>
      <c r="L738" s="1" t="s">
        <v>74</v>
      </c>
      <c r="M738" s="1" t="s">
        <v>74</v>
      </c>
      <c r="N738" s="1" t="s">
        <v>74</v>
      </c>
      <c r="O738" s="1" t="s">
        <v>74</v>
      </c>
      <c r="P738" s="1" t="s">
        <v>74</v>
      </c>
      <c r="Q738" s="1" t="s">
        <v>74</v>
      </c>
      <c r="R738" s="1" t="s">
        <v>74</v>
      </c>
      <c r="S738" s="1" t="s">
        <v>74</v>
      </c>
      <c r="T738" s="1" t="s">
        <v>74</v>
      </c>
      <c r="U738" s="1" t="s">
        <v>74</v>
      </c>
      <c r="V738" s="1" t="s">
        <v>7471</v>
      </c>
      <c r="W738" s="1" t="s">
        <v>74</v>
      </c>
      <c r="X738" s="1" t="s">
        <v>74</v>
      </c>
      <c r="Y738" s="1" t="s">
        <v>74</v>
      </c>
      <c r="Z738" s="1" t="s">
        <v>74</v>
      </c>
      <c r="AA738" s="1" t="s">
        <v>7472</v>
      </c>
      <c r="AB738" s="1" t="s">
        <v>74</v>
      </c>
      <c r="AC738" s="1" t="s">
        <v>74</v>
      </c>
      <c r="AD738" s="1" t="s">
        <v>74</v>
      </c>
      <c r="AE738" s="1" t="s">
        <v>74</v>
      </c>
      <c r="AF738" s="1" t="s">
        <v>74</v>
      </c>
      <c r="AG738" s="1" t="s">
        <v>74</v>
      </c>
      <c r="AH738" s="1" t="s">
        <v>74</v>
      </c>
      <c r="AI738" s="1" t="s">
        <v>74</v>
      </c>
      <c r="AJ738" s="1" t="s">
        <v>74</v>
      </c>
      <c r="AK738" s="1" t="s">
        <v>74</v>
      </c>
      <c r="AL738" s="1" t="s">
        <v>74</v>
      </c>
      <c r="AM738" s="1" t="s">
        <v>74</v>
      </c>
      <c r="AN738" s="1" t="s">
        <v>74</v>
      </c>
      <c r="AO738" s="1" t="s">
        <v>7473</v>
      </c>
      <c r="AP738" s="1" t="s">
        <v>74</v>
      </c>
      <c r="AQ738" s="1" t="s">
        <v>74</v>
      </c>
      <c r="AR738" s="1" t="s">
        <v>74</v>
      </c>
      <c r="AS738" s="1" t="s">
        <v>74</v>
      </c>
      <c r="AT738" s="1" t="s">
        <v>307</v>
      </c>
      <c r="AU738" s="1">
        <v>2024.0</v>
      </c>
      <c r="AV738" s="1">
        <v>41.0</v>
      </c>
      <c r="AW738" s="1" t="s">
        <v>74</v>
      </c>
      <c r="AX738" s="1" t="s">
        <v>74</v>
      </c>
      <c r="AY738" s="1" t="s">
        <v>74</v>
      </c>
      <c r="AZ738" s="1" t="s">
        <v>74</v>
      </c>
      <c r="BA738" s="1" t="s">
        <v>74</v>
      </c>
      <c r="BB738" s="1" t="s">
        <v>74</v>
      </c>
      <c r="BC738" s="1" t="s">
        <v>74</v>
      </c>
      <c r="BD738" s="1" t="s">
        <v>7474</v>
      </c>
      <c r="BE738" s="1" t="s">
        <v>7475</v>
      </c>
      <c r="BF738" s="2" t="str">
        <f>HYPERLINK("http://dx.doi.org/10.1016/j.fooweb.2024.e00378","http://dx.doi.org/10.1016/j.fooweb.2024.e00378")</f>
        <v>http://dx.doi.org/10.1016/j.fooweb.2024.e00378</v>
      </c>
      <c r="BG738" s="1" t="s">
        <v>74</v>
      </c>
      <c r="BH738" s="1" t="s">
        <v>3846</v>
      </c>
      <c r="BI738" s="1" t="s">
        <v>74</v>
      </c>
      <c r="BJ738" s="1" t="s">
        <v>74</v>
      </c>
      <c r="BK738" s="1" t="s">
        <v>74</v>
      </c>
      <c r="BL738" s="1" t="s">
        <v>74</v>
      </c>
      <c r="BM738" s="1" t="s">
        <v>74</v>
      </c>
      <c r="BN738" s="1" t="s">
        <v>74</v>
      </c>
      <c r="BO738" s="1" t="s">
        <v>74</v>
      </c>
      <c r="BP738" s="1" t="s">
        <v>74</v>
      </c>
      <c r="BQ738" s="1" t="s">
        <v>74</v>
      </c>
      <c r="BR738" s="1" t="s">
        <v>74</v>
      </c>
      <c r="BS738" s="1" t="s">
        <v>7476</v>
      </c>
      <c r="BT738" s="1" t="str">
        <f>HYPERLINK("https%3A%2F%2Fwww.webofscience.com%2Fwos%2Fwoscc%2Ffull-record%2FWOS:001357546300001","View Full Record in Web of Science")</f>
        <v>View Full Record in Web of Science</v>
      </c>
    </row>
    <row r="739" ht="12.75" customHeight="1">
      <c r="A739" s="1" t="s">
        <v>72</v>
      </c>
      <c r="B739" s="1" t="s">
        <v>7477</v>
      </c>
      <c r="C739" s="1" t="s">
        <v>74</v>
      </c>
      <c r="D739" s="1" t="s">
        <v>74</v>
      </c>
      <c r="E739" s="1" t="s">
        <v>74</v>
      </c>
      <c r="F739" s="1" t="s">
        <v>7478</v>
      </c>
      <c r="G739" s="1" t="s">
        <v>74</v>
      </c>
      <c r="H739" s="1" t="s">
        <v>74</v>
      </c>
      <c r="I739" s="1" t="s">
        <v>7479</v>
      </c>
      <c r="J739" s="1" t="s">
        <v>7480</v>
      </c>
      <c r="K739" s="1" t="s">
        <v>74</v>
      </c>
      <c r="L739" s="1" t="s">
        <v>74</v>
      </c>
      <c r="M739" s="1" t="s">
        <v>74</v>
      </c>
      <c r="N739" s="1" t="s">
        <v>74</v>
      </c>
      <c r="O739" s="1" t="s">
        <v>74</v>
      </c>
      <c r="P739" s="1" t="s">
        <v>74</v>
      </c>
      <c r="Q739" s="1" t="s">
        <v>74</v>
      </c>
      <c r="R739" s="1" t="s">
        <v>74</v>
      </c>
      <c r="S739" s="1" t="s">
        <v>74</v>
      </c>
      <c r="T739" s="1" t="s">
        <v>74</v>
      </c>
      <c r="U739" s="1" t="s">
        <v>74</v>
      </c>
      <c r="V739" s="1" t="s">
        <v>7481</v>
      </c>
      <c r="W739" s="1" t="s">
        <v>74</v>
      </c>
      <c r="X739" s="1" t="s">
        <v>74</v>
      </c>
      <c r="Y739" s="1" t="s">
        <v>74</v>
      </c>
      <c r="Z739" s="1" t="s">
        <v>74</v>
      </c>
      <c r="AA739" s="1" t="s">
        <v>7482</v>
      </c>
      <c r="AB739" s="1" t="s">
        <v>7483</v>
      </c>
      <c r="AC739" s="1" t="s">
        <v>74</v>
      </c>
      <c r="AD739" s="1" t="s">
        <v>74</v>
      </c>
      <c r="AE739" s="1" t="s">
        <v>74</v>
      </c>
      <c r="AF739" s="1" t="s">
        <v>74</v>
      </c>
      <c r="AG739" s="1" t="s">
        <v>74</v>
      </c>
      <c r="AH739" s="1" t="s">
        <v>74</v>
      </c>
      <c r="AI739" s="1" t="s">
        <v>74</v>
      </c>
      <c r="AJ739" s="1" t="s">
        <v>74</v>
      </c>
      <c r="AK739" s="1" t="s">
        <v>74</v>
      </c>
      <c r="AL739" s="1" t="s">
        <v>74</v>
      </c>
      <c r="AM739" s="1" t="s">
        <v>74</v>
      </c>
      <c r="AN739" s="1" t="s">
        <v>74</v>
      </c>
      <c r="AO739" s="1" t="s">
        <v>7484</v>
      </c>
      <c r="AP739" s="1" t="s">
        <v>7485</v>
      </c>
      <c r="AQ739" s="1" t="s">
        <v>74</v>
      </c>
      <c r="AR739" s="1" t="s">
        <v>74</v>
      </c>
      <c r="AS739" s="1" t="s">
        <v>74</v>
      </c>
      <c r="AT739" s="1" t="s">
        <v>537</v>
      </c>
      <c r="AU739" s="1">
        <v>2024.0</v>
      </c>
      <c r="AV739" s="1">
        <v>88.0</v>
      </c>
      <c r="AW739" s="1" t="s">
        <v>74</v>
      </c>
      <c r="AX739" s="1" t="s">
        <v>74</v>
      </c>
      <c r="AY739" s="1" t="s">
        <v>74</v>
      </c>
      <c r="AZ739" s="1" t="s">
        <v>74</v>
      </c>
      <c r="BA739" s="1" t="s">
        <v>74</v>
      </c>
      <c r="BB739" s="1" t="s">
        <v>74</v>
      </c>
      <c r="BC739" s="1" t="s">
        <v>74</v>
      </c>
      <c r="BD739" s="1">
        <v>102058.0</v>
      </c>
      <c r="BE739" s="1" t="s">
        <v>7486</v>
      </c>
      <c r="BF739" s="2" t="str">
        <f>HYPERLINK("http://dx.doi.org/10.1016/j.lmot.2024.102058","http://dx.doi.org/10.1016/j.lmot.2024.102058")</f>
        <v>http://dx.doi.org/10.1016/j.lmot.2024.102058</v>
      </c>
      <c r="BG739" s="1" t="s">
        <v>74</v>
      </c>
      <c r="BH739" s="1" t="s">
        <v>7487</v>
      </c>
      <c r="BI739" s="1" t="s">
        <v>74</v>
      </c>
      <c r="BJ739" s="1" t="s">
        <v>74</v>
      </c>
      <c r="BK739" s="1" t="s">
        <v>74</v>
      </c>
      <c r="BL739" s="1" t="s">
        <v>74</v>
      </c>
      <c r="BM739" s="1" t="s">
        <v>74</v>
      </c>
      <c r="BN739" s="1" t="s">
        <v>74</v>
      </c>
      <c r="BO739" s="1" t="s">
        <v>74</v>
      </c>
      <c r="BP739" s="1" t="s">
        <v>74</v>
      </c>
      <c r="BQ739" s="1" t="s">
        <v>74</v>
      </c>
      <c r="BR739" s="1" t="s">
        <v>74</v>
      </c>
      <c r="BS739" s="1" t="s">
        <v>7488</v>
      </c>
      <c r="BT739" s="1" t="str">
        <f>HYPERLINK("https%3A%2F%2Fwww.webofscience.com%2Fwos%2Fwoscc%2Ffull-record%2FWOS:001336104900001","View Full Record in Web of Science")</f>
        <v>View Full Record in Web of Science</v>
      </c>
    </row>
    <row r="740" ht="12.75" customHeight="1">
      <c r="A740" s="1" t="s">
        <v>72</v>
      </c>
      <c r="B740" s="1" t="s">
        <v>7489</v>
      </c>
      <c r="C740" s="1" t="s">
        <v>74</v>
      </c>
      <c r="D740" s="1" t="s">
        <v>74</v>
      </c>
      <c r="E740" s="1" t="s">
        <v>74</v>
      </c>
      <c r="F740" s="1" t="s">
        <v>7490</v>
      </c>
      <c r="G740" s="1" t="s">
        <v>74</v>
      </c>
      <c r="H740" s="1" t="s">
        <v>74</v>
      </c>
      <c r="I740" s="1" t="s">
        <v>7491</v>
      </c>
      <c r="J740" s="1" t="s">
        <v>7492</v>
      </c>
      <c r="K740" s="1" t="s">
        <v>74</v>
      </c>
      <c r="L740" s="1" t="s">
        <v>74</v>
      </c>
      <c r="M740" s="1" t="s">
        <v>74</v>
      </c>
      <c r="N740" s="1" t="s">
        <v>74</v>
      </c>
      <c r="O740" s="1" t="s">
        <v>74</v>
      </c>
      <c r="P740" s="1" t="s">
        <v>74</v>
      </c>
      <c r="Q740" s="1" t="s">
        <v>74</v>
      </c>
      <c r="R740" s="1" t="s">
        <v>74</v>
      </c>
      <c r="S740" s="1" t="s">
        <v>74</v>
      </c>
      <c r="T740" s="1" t="s">
        <v>74</v>
      </c>
      <c r="U740" s="1" t="s">
        <v>74</v>
      </c>
      <c r="V740" s="1" t="s">
        <v>7493</v>
      </c>
      <c r="W740" s="1" t="s">
        <v>74</v>
      </c>
      <c r="X740" s="1" t="s">
        <v>74</v>
      </c>
      <c r="Y740" s="1" t="s">
        <v>74</v>
      </c>
      <c r="Z740" s="1" t="s">
        <v>74</v>
      </c>
      <c r="AA740" s="1" t="s">
        <v>7494</v>
      </c>
      <c r="AB740" s="1" t="s">
        <v>7495</v>
      </c>
      <c r="AC740" s="1" t="s">
        <v>74</v>
      </c>
      <c r="AD740" s="1" t="s">
        <v>74</v>
      </c>
      <c r="AE740" s="1" t="s">
        <v>74</v>
      </c>
      <c r="AF740" s="1" t="s">
        <v>74</v>
      </c>
      <c r="AG740" s="1" t="s">
        <v>74</v>
      </c>
      <c r="AH740" s="1" t="s">
        <v>74</v>
      </c>
      <c r="AI740" s="1" t="s">
        <v>74</v>
      </c>
      <c r="AJ740" s="1" t="s">
        <v>74</v>
      </c>
      <c r="AK740" s="1" t="s">
        <v>74</v>
      </c>
      <c r="AL740" s="1" t="s">
        <v>74</v>
      </c>
      <c r="AM740" s="1" t="s">
        <v>74</v>
      </c>
      <c r="AN740" s="1" t="s">
        <v>74</v>
      </c>
      <c r="AO740" s="1" t="s">
        <v>7496</v>
      </c>
      <c r="AP740" s="1" t="s">
        <v>7497</v>
      </c>
      <c r="AQ740" s="1" t="s">
        <v>74</v>
      </c>
      <c r="AR740" s="1" t="s">
        <v>74</v>
      </c>
      <c r="AS740" s="1" t="s">
        <v>74</v>
      </c>
      <c r="AT740" s="1" t="s">
        <v>441</v>
      </c>
      <c r="AU740" s="1">
        <v>2025.0</v>
      </c>
      <c r="AV740" s="1">
        <v>48.0</v>
      </c>
      <c r="AW740" s="1">
        <v>1.0</v>
      </c>
      <c r="AX740" s="1" t="s">
        <v>74</v>
      </c>
      <c r="AY740" s="1" t="s">
        <v>74</v>
      </c>
      <c r="AZ740" s="1" t="s">
        <v>74</v>
      </c>
      <c r="BA740" s="1" t="s">
        <v>74</v>
      </c>
      <c r="BB740" s="1">
        <v>1216.0</v>
      </c>
      <c r="BC740" s="1">
        <v>1225.0</v>
      </c>
      <c r="BD740" s="1" t="s">
        <v>74</v>
      </c>
      <c r="BE740" s="1" t="s">
        <v>7498</v>
      </c>
      <c r="BF740" s="2" t="str">
        <f>HYPERLINK("http://dx.doi.org/10.1002/mma.10379","http://dx.doi.org/10.1002/mma.10379")</f>
        <v>http://dx.doi.org/10.1002/mma.10379</v>
      </c>
      <c r="BG740" s="1" t="s">
        <v>74</v>
      </c>
      <c r="BH740" s="1" t="s">
        <v>6874</v>
      </c>
      <c r="BI740" s="1" t="s">
        <v>74</v>
      </c>
      <c r="BJ740" s="1" t="s">
        <v>74</v>
      </c>
      <c r="BK740" s="1" t="s">
        <v>74</v>
      </c>
      <c r="BL740" s="1" t="s">
        <v>74</v>
      </c>
      <c r="BM740" s="1" t="s">
        <v>74</v>
      </c>
      <c r="BN740" s="1" t="s">
        <v>74</v>
      </c>
      <c r="BO740" s="1" t="s">
        <v>74</v>
      </c>
      <c r="BP740" s="1" t="s">
        <v>74</v>
      </c>
      <c r="BQ740" s="1" t="s">
        <v>74</v>
      </c>
      <c r="BR740" s="1" t="s">
        <v>74</v>
      </c>
      <c r="BS740" s="1" t="s">
        <v>7499</v>
      </c>
      <c r="BT740" s="1" t="str">
        <f>HYPERLINK("https%3A%2F%2Fwww.webofscience.com%2Fwos%2Fwoscc%2Ffull-record%2FWOS:001281777700001","View Full Record in Web of Science")</f>
        <v>View Full Record in Web of Science</v>
      </c>
    </row>
    <row r="741" ht="12.75" customHeight="1">
      <c r="A741" s="1" t="s">
        <v>72</v>
      </c>
      <c r="B741" s="1" t="s">
        <v>7500</v>
      </c>
      <c r="C741" s="1" t="s">
        <v>74</v>
      </c>
      <c r="D741" s="1" t="s">
        <v>74</v>
      </c>
      <c r="E741" s="1" t="s">
        <v>74</v>
      </c>
      <c r="F741" s="1" t="s">
        <v>7501</v>
      </c>
      <c r="G741" s="1" t="s">
        <v>74</v>
      </c>
      <c r="H741" s="1" t="s">
        <v>74</v>
      </c>
      <c r="I741" s="1" t="s">
        <v>7502</v>
      </c>
      <c r="J741" s="1" t="s">
        <v>7503</v>
      </c>
      <c r="K741" s="1" t="s">
        <v>74</v>
      </c>
      <c r="L741" s="1" t="s">
        <v>74</v>
      </c>
      <c r="M741" s="1" t="s">
        <v>74</v>
      </c>
      <c r="N741" s="1" t="s">
        <v>74</v>
      </c>
      <c r="O741" s="1" t="s">
        <v>74</v>
      </c>
      <c r="P741" s="1" t="s">
        <v>74</v>
      </c>
      <c r="Q741" s="1" t="s">
        <v>74</v>
      </c>
      <c r="R741" s="1" t="s">
        <v>74</v>
      </c>
      <c r="S741" s="1" t="s">
        <v>74</v>
      </c>
      <c r="T741" s="1" t="s">
        <v>74</v>
      </c>
      <c r="U741" s="1" t="s">
        <v>74</v>
      </c>
      <c r="V741" s="1" t="s">
        <v>7504</v>
      </c>
      <c r="W741" s="1" t="s">
        <v>74</v>
      </c>
      <c r="X741" s="1" t="s">
        <v>74</v>
      </c>
      <c r="Y741" s="1" t="s">
        <v>74</v>
      </c>
      <c r="Z741" s="1" t="s">
        <v>74</v>
      </c>
      <c r="AA741" s="1" t="s">
        <v>7505</v>
      </c>
      <c r="AB741" s="1" t="s">
        <v>7506</v>
      </c>
      <c r="AC741" s="1" t="s">
        <v>74</v>
      </c>
      <c r="AD741" s="1" t="s">
        <v>74</v>
      </c>
      <c r="AE741" s="1" t="s">
        <v>74</v>
      </c>
      <c r="AF741" s="1" t="s">
        <v>74</v>
      </c>
      <c r="AG741" s="1" t="s">
        <v>74</v>
      </c>
      <c r="AH741" s="1" t="s">
        <v>74</v>
      </c>
      <c r="AI741" s="1" t="s">
        <v>74</v>
      </c>
      <c r="AJ741" s="1" t="s">
        <v>74</v>
      </c>
      <c r="AK741" s="1" t="s">
        <v>74</v>
      </c>
      <c r="AL741" s="1" t="s">
        <v>74</v>
      </c>
      <c r="AM741" s="1" t="s">
        <v>74</v>
      </c>
      <c r="AN741" s="1" t="s">
        <v>74</v>
      </c>
      <c r="AO741" s="1" t="s">
        <v>7507</v>
      </c>
      <c r="AP741" s="1" t="s">
        <v>7508</v>
      </c>
      <c r="AQ741" s="1" t="s">
        <v>74</v>
      </c>
      <c r="AR741" s="1" t="s">
        <v>74</v>
      </c>
      <c r="AS741" s="1" t="s">
        <v>74</v>
      </c>
      <c r="AT741" s="1" t="s">
        <v>74</v>
      </c>
      <c r="AU741" s="1">
        <v>2023.0</v>
      </c>
      <c r="AV741" s="1">
        <v>19.0</v>
      </c>
      <c r="AW741" s="1" t="s">
        <v>74</v>
      </c>
      <c r="AX741" s="1" t="s">
        <v>74</v>
      </c>
      <c r="AY741" s="1" t="s">
        <v>74</v>
      </c>
      <c r="AZ741" s="1" t="s">
        <v>74</v>
      </c>
      <c r="BA741" s="1" t="s">
        <v>74</v>
      </c>
      <c r="BB741" s="1" t="s">
        <v>74</v>
      </c>
      <c r="BC741" s="1" t="s">
        <v>74</v>
      </c>
      <c r="BD741" s="1" t="s">
        <v>7509</v>
      </c>
      <c r="BE741" s="1" t="s">
        <v>7510</v>
      </c>
      <c r="BF741" s="2" t="str">
        <f>HYPERLINK("http://dx.doi.org/10.18294/sc.2023.4305","http://dx.doi.org/10.18294/sc.2023.4305")</f>
        <v>http://dx.doi.org/10.18294/sc.2023.4305</v>
      </c>
      <c r="BG741" s="1" t="s">
        <v>74</v>
      </c>
      <c r="BH741" s="1" t="s">
        <v>74</v>
      </c>
      <c r="BI741" s="1" t="s">
        <v>74</v>
      </c>
      <c r="BJ741" s="1" t="s">
        <v>74</v>
      </c>
      <c r="BK741" s="1" t="s">
        <v>74</v>
      </c>
      <c r="BL741" s="1" t="s">
        <v>74</v>
      </c>
      <c r="BM741" s="1" t="s">
        <v>74</v>
      </c>
      <c r="BN741" s="1">
        <v>3.7311143E7</v>
      </c>
      <c r="BO741" s="1" t="s">
        <v>74</v>
      </c>
      <c r="BP741" s="1" t="s">
        <v>74</v>
      </c>
      <c r="BQ741" s="1" t="s">
        <v>74</v>
      </c>
      <c r="BR741" s="1" t="s">
        <v>74</v>
      </c>
      <c r="BS741" s="1" t="s">
        <v>7511</v>
      </c>
      <c r="BT741" s="1" t="str">
        <f>HYPERLINK("https%3A%2F%2Fwww.webofscience.com%2Fwos%2Fwoscc%2Ffull-record%2FWOS:001008848900001","View Full Record in Web of Science")</f>
        <v>View Full Record in Web of Science</v>
      </c>
    </row>
    <row r="742" ht="12.75" customHeight="1">
      <c r="A742" s="1" t="s">
        <v>72</v>
      </c>
      <c r="B742" s="1" t="s">
        <v>7512</v>
      </c>
      <c r="C742" s="1" t="s">
        <v>74</v>
      </c>
      <c r="D742" s="1" t="s">
        <v>74</v>
      </c>
      <c r="E742" s="1" t="s">
        <v>74</v>
      </c>
      <c r="F742" s="1" t="s">
        <v>7513</v>
      </c>
      <c r="G742" s="1" t="s">
        <v>74</v>
      </c>
      <c r="H742" s="1" t="s">
        <v>74</v>
      </c>
      <c r="I742" s="1" t="s">
        <v>7514</v>
      </c>
      <c r="J742" s="1" t="s">
        <v>1353</v>
      </c>
      <c r="K742" s="1" t="s">
        <v>74</v>
      </c>
      <c r="L742" s="1" t="s">
        <v>74</v>
      </c>
      <c r="M742" s="1" t="s">
        <v>74</v>
      </c>
      <c r="N742" s="1" t="s">
        <v>74</v>
      </c>
      <c r="O742" s="1" t="s">
        <v>74</v>
      </c>
      <c r="P742" s="1" t="s">
        <v>74</v>
      </c>
      <c r="Q742" s="1" t="s">
        <v>74</v>
      </c>
      <c r="R742" s="1" t="s">
        <v>74</v>
      </c>
      <c r="S742" s="1" t="s">
        <v>74</v>
      </c>
      <c r="T742" s="1" t="s">
        <v>74</v>
      </c>
      <c r="U742" s="1" t="s">
        <v>74</v>
      </c>
      <c r="V742" s="1" t="s">
        <v>7515</v>
      </c>
      <c r="W742" s="1" t="s">
        <v>74</v>
      </c>
      <c r="X742" s="1" t="s">
        <v>74</v>
      </c>
      <c r="Y742" s="1" t="s">
        <v>74</v>
      </c>
      <c r="Z742" s="1" t="s">
        <v>74</v>
      </c>
      <c r="AA742" s="1" t="s">
        <v>7516</v>
      </c>
      <c r="AB742" s="1" t="s">
        <v>7517</v>
      </c>
      <c r="AC742" s="1" t="s">
        <v>74</v>
      </c>
      <c r="AD742" s="1" t="s">
        <v>74</v>
      </c>
      <c r="AE742" s="1" t="s">
        <v>74</v>
      </c>
      <c r="AF742" s="1" t="s">
        <v>74</v>
      </c>
      <c r="AG742" s="1" t="s">
        <v>74</v>
      </c>
      <c r="AH742" s="1" t="s">
        <v>74</v>
      </c>
      <c r="AI742" s="1" t="s">
        <v>74</v>
      </c>
      <c r="AJ742" s="1" t="s">
        <v>74</v>
      </c>
      <c r="AK742" s="1" t="s">
        <v>74</v>
      </c>
      <c r="AL742" s="1" t="s">
        <v>74</v>
      </c>
      <c r="AM742" s="1" t="s">
        <v>74</v>
      </c>
      <c r="AN742" s="1" t="s">
        <v>74</v>
      </c>
      <c r="AO742" s="1" t="s">
        <v>1357</v>
      </c>
      <c r="AP742" s="1" t="s">
        <v>1358</v>
      </c>
      <c r="AQ742" s="1" t="s">
        <v>74</v>
      </c>
      <c r="AR742" s="1" t="s">
        <v>74</v>
      </c>
      <c r="AS742" s="1" t="s">
        <v>74</v>
      </c>
      <c r="AT742" s="1" t="s">
        <v>201</v>
      </c>
      <c r="AU742" s="1">
        <v>2022.0</v>
      </c>
      <c r="AV742" s="1">
        <v>23.0</v>
      </c>
      <c r="AW742" s="1">
        <v>20.0</v>
      </c>
      <c r="AX742" s="1" t="s">
        <v>74</v>
      </c>
      <c r="AY742" s="1" t="s">
        <v>74</v>
      </c>
      <c r="AZ742" s="1" t="s">
        <v>74</v>
      </c>
      <c r="BA742" s="1" t="s">
        <v>74</v>
      </c>
      <c r="BB742" s="1" t="s">
        <v>74</v>
      </c>
      <c r="BC742" s="1" t="s">
        <v>74</v>
      </c>
      <c r="BD742" s="1">
        <v>12544.0</v>
      </c>
      <c r="BE742" s="1" t="s">
        <v>7518</v>
      </c>
      <c r="BF742" s="2" t="str">
        <f>HYPERLINK("http://dx.doi.org/10.3390/ijms232012544","http://dx.doi.org/10.3390/ijms232012544")</f>
        <v>http://dx.doi.org/10.3390/ijms232012544</v>
      </c>
      <c r="BG742" s="1" t="s">
        <v>74</v>
      </c>
      <c r="BH742" s="1" t="s">
        <v>74</v>
      </c>
      <c r="BI742" s="1" t="s">
        <v>74</v>
      </c>
      <c r="BJ742" s="1" t="s">
        <v>74</v>
      </c>
      <c r="BK742" s="1" t="s">
        <v>74</v>
      </c>
      <c r="BL742" s="1" t="s">
        <v>74</v>
      </c>
      <c r="BM742" s="1" t="s">
        <v>74</v>
      </c>
      <c r="BN742" s="1">
        <v>3.6293414E7</v>
      </c>
      <c r="BO742" s="1" t="s">
        <v>74</v>
      </c>
      <c r="BP742" s="1" t="s">
        <v>74</v>
      </c>
      <c r="BQ742" s="1" t="s">
        <v>74</v>
      </c>
      <c r="BR742" s="1" t="s">
        <v>74</v>
      </c>
      <c r="BS742" s="1" t="s">
        <v>7519</v>
      </c>
      <c r="BT742" s="1" t="str">
        <f>HYPERLINK("https%3A%2F%2Fwww.webofscience.com%2Fwos%2Fwoscc%2Ffull-record%2FWOS:000873040800001","View Full Record in Web of Science")</f>
        <v>View Full Record in Web of Science</v>
      </c>
    </row>
    <row r="743" ht="12.75" customHeight="1">
      <c r="A743" s="1" t="s">
        <v>72</v>
      </c>
      <c r="B743" s="1" t="s">
        <v>7520</v>
      </c>
      <c r="C743" s="1" t="s">
        <v>74</v>
      </c>
      <c r="D743" s="1" t="s">
        <v>74</v>
      </c>
      <c r="E743" s="1" t="s">
        <v>74</v>
      </c>
      <c r="F743" s="1" t="s">
        <v>7521</v>
      </c>
      <c r="G743" s="1" t="s">
        <v>74</v>
      </c>
      <c r="H743" s="1" t="s">
        <v>74</v>
      </c>
      <c r="I743" s="1" t="s">
        <v>7522</v>
      </c>
      <c r="J743" s="1" t="s">
        <v>7523</v>
      </c>
      <c r="K743" s="1" t="s">
        <v>74</v>
      </c>
      <c r="L743" s="1" t="s">
        <v>74</v>
      </c>
      <c r="M743" s="1" t="s">
        <v>74</v>
      </c>
      <c r="N743" s="1" t="s">
        <v>74</v>
      </c>
      <c r="O743" s="1" t="s">
        <v>74</v>
      </c>
      <c r="P743" s="1" t="s">
        <v>74</v>
      </c>
      <c r="Q743" s="1" t="s">
        <v>74</v>
      </c>
      <c r="R743" s="1" t="s">
        <v>74</v>
      </c>
      <c r="S743" s="1" t="s">
        <v>74</v>
      </c>
      <c r="T743" s="1" t="s">
        <v>74</v>
      </c>
      <c r="U743" s="1" t="s">
        <v>74</v>
      </c>
      <c r="V743" s="1" t="s">
        <v>7524</v>
      </c>
      <c r="W743" s="1" t="s">
        <v>74</v>
      </c>
      <c r="X743" s="1" t="s">
        <v>74</v>
      </c>
      <c r="Y743" s="1" t="s">
        <v>74</v>
      </c>
      <c r="Z743" s="1" t="s">
        <v>74</v>
      </c>
      <c r="AA743" s="1" t="s">
        <v>7525</v>
      </c>
      <c r="AB743" s="1" t="s">
        <v>7526</v>
      </c>
      <c r="AC743" s="1" t="s">
        <v>74</v>
      </c>
      <c r="AD743" s="1" t="s">
        <v>74</v>
      </c>
      <c r="AE743" s="1" t="s">
        <v>74</v>
      </c>
      <c r="AF743" s="1" t="s">
        <v>74</v>
      </c>
      <c r="AG743" s="1" t="s">
        <v>74</v>
      </c>
      <c r="AH743" s="1" t="s">
        <v>74</v>
      </c>
      <c r="AI743" s="1" t="s">
        <v>74</v>
      </c>
      <c r="AJ743" s="1" t="s">
        <v>74</v>
      </c>
      <c r="AK743" s="1" t="s">
        <v>74</v>
      </c>
      <c r="AL743" s="1" t="s">
        <v>74</v>
      </c>
      <c r="AM743" s="1" t="s">
        <v>74</v>
      </c>
      <c r="AN743" s="1" t="s">
        <v>74</v>
      </c>
      <c r="AO743" s="1" t="s">
        <v>7527</v>
      </c>
      <c r="AP743" s="1" t="s">
        <v>7528</v>
      </c>
      <c r="AQ743" s="1" t="s">
        <v>74</v>
      </c>
      <c r="AR743" s="1" t="s">
        <v>74</v>
      </c>
      <c r="AS743" s="1" t="s">
        <v>74</v>
      </c>
      <c r="AT743" s="1" t="s">
        <v>348</v>
      </c>
      <c r="AU743" s="1">
        <v>2024.0</v>
      </c>
      <c r="AV743" s="1">
        <v>30.0</v>
      </c>
      <c r="AW743" s="1">
        <v>5.0</v>
      </c>
      <c r="AX743" s="1" t="s">
        <v>74</v>
      </c>
      <c r="AY743" s="1" t="s">
        <v>74</v>
      </c>
      <c r="AZ743" s="1" t="s">
        <v>74</v>
      </c>
      <c r="BA743" s="1" t="s">
        <v>74</v>
      </c>
      <c r="BB743" s="1">
        <v>1304.0</v>
      </c>
      <c r="BC743" s="1">
        <v>1323.0</v>
      </c>
      <c r="BD743" s="1" t="s">
        <v>74</v>
      </c>
      <c r="BE743" s="1" t="s">
        <v>7529</v>
      </c>
      <c r="BF743" s="2" t="str">
        <f>HYPERLINK("http://dx.doi.org/10.1017/jmo.2022.45","http://dx.doi.org/10.1017/jmo.2022.45")</f>
        <v>http://dx.doi.org/10.1017/jmo.2022.45</v>
      </c>
      <c r="BG743" s="1" t="s">
        <v>74</v>
      </c>
      <c r="BH743" s="1" t="s">
        <v>5909</v>
      </c>
      <c r="BI743" s="1" t="s">
        <v>74</v>
      </c>
      <c r="BJ743" s="1" t="s">
        <v>74</v>
      </c>
      <c r="BK743" s="1" t="s">
        <v>74</v>
      </c>
      <c r="BL743" s="1" t="s">
        <v>74</v>
      </c>
      <c r="BM743" s="1" t="s">
        <v>74</v>
      </c>
      <c r="BN743" s="1" t="s">
        <v>74</v>
      </c>
      <c r="BO743" s="1" t="s">
        <v>74</v>
      </c>
      <c r="BP743" s="1" t="s">
        <v>74</v>
      </c>
      <c r="BQ743" s="1" t="s">
        <v>74</v>
      </c>
      <c r="BR743" s="1" t="s">
        <v>74</v>
      </c>
      <c r="BS743" s="1" t="s">
        <v>7530</v>
      </c>
      <c r="BT743" s="1" t="str">
        <f>HYPERLINK("https%3A%2F%2Fwww.webofscience.com%2Fwos%2Fwoscc%2Ffull-record%2FWOS:000807363000001","View Full Record in Web of Science")</f>
        <v>View Full Record in Web of Science</v>
      </c>
    </row>
    <row r="744" ht="12.75" customHeight="1">
      <c r="A744" s="1" t="s">
        <v>72</v>
      </c>
      <c r="B744" s="1" t="s">
        <v>7531</v>
      </c>
      <c r="C744" s="1" t="s">
        <v>74</v>
      </c>
      <c r="D744" s="1" t="s">
        <v>74</v>
      </c>
      <c r="E744" s="1" t="s">
        <v>74</v>
      </c>
      <c r="F744" s="1" t="s">
        <v>7532</v>
      </c>
      <c r="G744" s="1" t="s">
        <v>74</v>
      </c>
      <c r="H744" s="1" t="s">
        <v>74</v>
      </c>
      <c r="I744" s="1" t="s">
        <v>7533</v>
      </c>
      <c r="J744" s="1" t="s">
        <v>7534</v>
      </c>
      <c r="K744" s="1" t="s">
        <v>74</v>
      </c>
      <c r="L744" s="1" t="s">
        <v>74</v>
      </c>
      <c r="M744" s="1" t="s">
        <v>74</v>
      </c>
      <c r="N744" s="1" t="s">
        <v>74</v>
      </c>
      <c r="O744" s="1" t="s">
        <v>74</v>
      </c>
      <c r="P744" s="1" t="s">
        <v>74</v>
      </c>
      <c r="Q744" s="1" t="s">
        <v>74</v>
      </c>
      <c r="R744" s="1" t="s">
        <v>74</v>
      </c>
      <c r="S744" s="1" t="s">
        <v>74</v>
      </c>
      <c r="T744" s="1" t="s">
        <v>74</v>
      </c>
      <c r="U744" s="1" t="s">
        <v>74</v>
      </c>
      <c r="V744" s="1" t="s">
        <v>7535</v>
      </c>
      <c r="W744" s="1" t="s">
        <v>74</v>
      </c>
      <c r="X744" s="1" t="s">
        <v>74</v>
      </c>
      <c r="Y744" s="1" t="s">
        <v>74</v>
      </c>
      <c r="Z744" s="1" t="s">
        <v>74</v>
      </c>
      <c r="AA744" s="1" t="s">
        <v>7536</v>
      </c>
      <c r="AB744" s="1" t="s">
        <v>7537</v>
      </c>
      <c r="AC744" s="1" t="s">
        <v>74</v>
      </c>
      <c r="AD744" s="1" t="s">
        <v>74</v>
      </c>
      <c r="AE744" s="1" t="s">
        <v>74</v>
      </c>
      <c r="AF744" s="1" t="s">
        <v>74</v>
      </c>
      <c r="AG744" s="1" t="s">
        <v>74</v>
      </c>
      <c r="AH744" s="1" t="s">
        <v>74</v>
      </c>
      <c r="AI744" s="1" t="s">
        <v>74</v>
      </c>
      <c r="AJ744" s="1" t="s">
        <v>74</v>
      </c>
      <c r="AK744" s="1" t="s">
        <v>74</v>
      </c>
      <c r="AL744" s="1" t="s">
        <v>74</v>
      </c>
      <c r="AM744" s="1" t="s">
        <v>74</v>
      </c>
      <c r="AN744" s="1" t="s">
        <v>74</v>
      </c>
      <c r="AO744" s="1" t="s">
        <v>7538</v>
      </c>
      <c r="AP744" s="1" t="s">
        <v>7539</v>
      </c>
      <c r="AQ744" s="1" t="s">
        <v>74</v>
      </c>
      <c r="AR744" s="1" t="s">
        <v>74</v>
      </c>
      <c r="AS744" s="1" t="s">
        <v>74</v>
      </c>
      <c r="AT744" s="1" t="s">
        <v>7540</v>
      </c>
      <c r="AU744" s="1">
        <v>2021.0</v>
      </c>
      <c r="AV744" s="1">
        <v>172.0</v>
      </c>
      <c r="AW744" s="1">
        <v>3.0</v>
      </c>
      <c r="AX744" s="1" t="s">
        <v>74</v>
      </c>
      <c r="AY744" s="1" t="s">
        <v>74</v>
      </c>
      <c r="AZ744" s="1" t="s">
        <v>74</v>
      </c>
      <c r="BA744" s="1" t="s">
        <v>74</v>
      </c>
      <c r="BB744" s="1" t="s">
        <v>74</v>
      </c>
      <c r="BC744" s="1" t="s">
        <v>74</v>
      </c>
      <c r="BD744" s="1">
        <v>103833.0</v>
      </c>
      <c r="BE744" s="1" t="s">
        <v>7541</v>
      </c>
      <c r="BF744" s="2" t="str">
        <f>HYPERLINK("http://dx.doi.org/10.1016/j.resmic.2021.103833","http://dx.doi.org/10.1016/j.resmic.2021.103833")</f>
        <v>http://dx.doi.org/10.1016/j.resmic.2021.103833</v>
      </c>
      <c r="BG744" s="1" t="s">
        <v>74</v>
      </c>
      <c r="BH744" s="1" t="s">
        <v>7542</v>
      </c>
      <c r="BI744" s="1" t="s">
        <v>74</v>
      </c>
      <c r="BJ744" s="1" t="s">
        <v>74</v>
      </c>
      <c r="BK744" s="1" t="s">
        <v>74</v>
      </c>
      <c r="BL744" s="1" t="s">
        <v>74</v>
      </c>
      <c r="BM744" s="1" t="s">
        <v>74</v>
      </c>
      <c r="BN744" s="1">
        <v>3.3901608E7</v>
      </c>
      <c r="BO744" s="1" t="s">
        <v>74</v>
      </c>
      <c r="BP744" s="1" t="s">
        <v>74</v>
      </c>
      <c r="BQ744" s="1" t="s">
        <v>74</v>
      </c>
      <c r="BR744" s="1" t="s">
        <v>74</v>
      </c>
      <c r="BS744" s="1" t="s">
        <v>7543</v>
      </c>
      <c r="BT744" s="1" t="str">
        <f>HYPERLINK("https%3A%2F%2Fwww.webofscience.com%2Fwos%2Fwoscc%2Ffull-record%2FWOS:000661425600004","View Full Record in Web of Science")</f>
        <v>View Full Record in Web of Science</v>
      </c>
    </row>
    <row r="745" ht="12.75" customHeight="1">
      <c r="A745" s="1" t="s">
        <v>72</v>
      </c>
      <c r="B745" s="1" t="s">
        <v>7544</v>
      </c>
      <c r="C745" s="1" t="s">
        <v>74</v>
      </c>
      <c r="D745" s="1" t="s">
        <v>74</v>
      </c>
      <c r="E745" s="1" t="s">
        <v>74</v>
      </c>
      <c r="F745" s="1" t="s">
        <v>7545</v>
      </c>
      <c r="G745" s="1" t="s">
        <v>74</v>
      </c>
      <c r="H745" s="1" t="s">
        <v>74</v>
      </c>
      <c r="I745" s="1" t="s">
        <v>7546</v>
      </c>
      <c r="J745" s="1" t="s">
        <v>7547</v>
      </c>
      <c r="K745" s="1" t="s">
        <v>74</v>
      </c>
      <c r="L745" s="1" t="s">
        <v>74</v>
      </c>
      <c r="M745" s="1" t="s">
        <v>74</v>
      </c>
      <c r="N745" s="1" t="s">
        <v>74</v>
      </c>
      <c r="O745" s="1" t="s">
        <v>74</v>
      </c>
      <c r="P745" s="1" t="s">
        <v>74</v>
      </c>
      <c r="Q745" s="1" t="s">
        <v>74</v>
      </c>
      <c r="R745" s="1" t="s">
        <v>74</v>
      </c>
      <c r="S745" s="1" t="s">
        <v>74</v>
      </c>
      <c r="T745" s="1" t="s">
        <v>74</v>
      </c>
      <c r="U745" s="1" t="s">
        <v>74</v>
      </c>
      <c r="V745" s="1" t="s">
        <v>7548</v>
      </c>
      <c r="W745" s="1" t="s">
        <v>74</v>
      </c>
      <c r="X745" s="1" t="s">
        <v>74</v>
      </c>
      <c r="Y745" s="1" t="s">
        <v>74</v>
      </c>
      <c r="Z745" s="1" t="s">
        <v>74</v>
      </c>
      <c r="AA745" s="1" t="s">
        <v>4503</v>
      </c>
      <c r="AB745" s="1" t="s">
        <v>7549</v>
      </c>
      <c r="AC745" s="1" t="s">
        <v>74</v>
      </c>
      <c r="AD745" s="1" t="s">
        <v>74</v>
      </c>
      <c r="AE745" s="1" t="s">
        <v>74</v>
      </c>
      <c r="AF745" s="1" t="s">
        <v>74</v>
      </c>
      <c r="AG745" s="1" t="s">
        <v>74</v>
      </c>
      <c r="AH745" s="1" t="s">
        <v>74</v>
      </c>
      <c r="AI745" s="1" t="s">
        <v>74</v>
      </c>
      <c r="AJ745" s="1" t="s">
        <v>74</v>
      </c>
      <c r="AK745" s="1" t="s">
        <v>74</v>
      </c>
      <c r="AL745" s="1" t="s">
        <v>74</v>
      </c>
      <c r="AM745" s="1" t="s">
        <v>74</v>
      </c>
      <c r="AN745" s="1" t="s">
        <v>74</v>
      </c>
      <c r="AO745" s="1" t="s">
        <v>7550</v>
      </c>
      <c r="AP745" s="1" t="s">
        <v>74</v>
      </c>
      <c r="AQ745" s="1" t="s">
        <v>74</v>
      </c>
      <c r="AR745" s="1" t="s">
        <v>74</v>
      </c>
      <c r="AS745" s="1" t="s">
        <v>74</v>
      </c>
      <c r="AT745" s="1" t="s">
        <v>235</v>
      </c>
      <c r="AU745" s="1">
        <v>2021.0</v>
      </c>
      <c r="AV745" s="1">
        <v>11.0</v>
      </c>
      <c r="AW745" s="1">
        <v>2.0</v>
      </c>
      <c r="AX745" s="1" t="s">
        <v>74</v>
      </c>
      <c r="AY745" s="1" t="s">
        <v>74</v>
      </c>
      <c r="AZ745" s="1" t="s">
        <v>74</v>
      </c>
      <c r="BA745" s="1" t="s">
        <v>74</v>
      </c>
      <c r="BB745" s="1" t="s">
        <v>74</v>
      </c>
      <c r="BC745" s="1" t="s">
        <v>74</v>
      </c>
      <c r="BD745" s="1">
        <v>2.158244021102316E16</v>
      </c>
      <c r="BE745" s="1" t="s">
        <v>7551</v>
      </c>
      <c r="BF745" s="2" t="str">
        <f>HYPERLINK("http://dx.doi.org/10.1177/21582440211023161","http://dx.doi.org/10.1177/21582440211023161")</f>
        <v>http://dx.doi.org/10.1177/21582440211023161</v>
      </c>
      <c r="BG745" s="1" t="s">
        <v>74</v>
      </c>
      <c r="BH745" s="1" t="s">
        <v>74</v>
      </c>
      <c r="BI745" s="1" t="s">
        <v>74</v>
      </c>
      <c r="BJ745" s="1" t="s">
        <v>74</v>
      </c>
      <c r="BK745" s="1" t="s">
        <v>74</v>
      </c>
      <c r="BL745" s="1" t="s">
        <v>74</v>
      </c>
      <c r="BM745" s="1" t="s">
        <v>74</v>
      </c>
      <c r="BN745" s="1" t="s">
        <v>74</v>
      </c>
      <c r="BO745" s="1" t="s">
        <v>74</v>
      </c>
      <c r="BP745" s="1" t="s">
        <v>74</v>
      </c>
      <c r="BQ745" s="1" t="s">
        <v>74</v>
      </c>
      <c r="BR745" s="1" t="s">
        <v>74</v>
      </c>
      <c r="BS745" s="1" t="s">
        <v>7552</v>
      </c>
      <c r="BT745" s="1" t="str">
        <f>HYPERLINK("https%3A%2F%2Fwww.webofscience.com%2Fwos%2Fwoscc%2Ffull-record%2FWOS:000755720200001","View Full Record in Web of Science")</f>
        <v>View Full Record in Web of Science</v>
      </c>
    </row>
    <row r="746" ht="12.75" customHeight="1">
      <c r="A746" s="1" t="s">
        <v>72</v>
      </c>
      <c r="B746" s="1" t="s">
        <v>7553</v>
      </c>
      <c r="C746" s="1" t="s">
        <v>74</v>
      </c>
      <c r="D746" s="1" t="s">
        <v>74</v>
      </c>
      <c r="E746" s="1" t="s">
        <v>74</v>
      </c>
      <c r="F746" s="1" t="s">
        <v>7554</v>
      </c>
      <c r="G746" s="1" t="s">
        <v>74</v>
      </c>
      <c r="H746" s="1" t="s">
        <v>74</v>
      </c>
      <c r="I746" s="1" t="s">
        <v>7555</v>
      </c>
      <c r="J746" s="1" t="s">
        <v>6329</v>
      </c>
      <c r="K746" s="1" t="s">
        <v>74</v>
      </c>
      <c r="L746" s="1" t="s">
        <v>74</v>
      </c>
      <c r="M746" s="1" t="s">
        <v>74</v>
      </c>
      <c r="N746" s="1" t="s">
        <v>74</v>
      </c>
      <c r="O746" s="1" t="s">
        <v>74</v>
      </c>
      <c r="P746" s="1" t="s">
        <v>74</v>
      </c>
      <c r="Q746" s="1" t="s">
        <v>74</v>
      </c>
      <c r="R746" s="1" t="s">
        <v>74</v>
      </c>
      <c r="S746" s="1" t="s">
        <v>74</v>
      </c>
      <c r="T746" s="1" t="s">
        <v>74</v>
      </c>
      <c r="U746" s="1" t="s">
        <v>74</v>
      </c>
      <c r="V746" s="1" t="s">
        <v>7556</v>
      </c>
      <c r="W746" s="1" t="s">
        <v>74</v>
      </c>
      <c r="X746" s="1" t="s">
        <v>74</v>
      </c>
      <c r="Y746" s="1" t="s">
        <v>74</v>
      </c>
      <c r="Z746" s="1" t="s">
        <v>74</v>
      </c>
      <c r="AA746" s="1" t="s">
        <v>7557</v>
      </c>
      <c r="AB746" s="1" t="s">
        <v>7558</v>
      </c>
      <c r="AC746" s="1" t="s">
        <v>74</v>
      </c>
      <c r="AD746" s="1" t="s">
        <v>74</v>
      </c>
      <c r="AE746" s="1" t="s">
        <v>74</v>
      </c>
      <c r="AF746" s="1" t="s">
        <v>74</v>
      </c>
      <c r="AG746" s="1" t="s">
        <v>74</v>
      </c>
      <c r="AH746" s="1" t="s">
        <v>74</v>
      </c>
      <c r="AI746" s="1" t="s">
        <v>74</v>
      </c>
      <c r="AJ746" s="1" t="s">
        <v>74</v>
      </c>
      <c r="AK746" s="1" t="s">
        <v>74</v>
      </c>
      <c r="AL746" s="1" t="s">
        <v>74</v>
      </c>
      <c r="AM746" s="1" t="s">
        <v>74</v>
      </c>
      <c r="AN746" s="1" t="s">
        <v>74</v>
      </c>
      <c r="AO746" s="1" t="s">
        <v>6331</v>
      </c>
      <c r="AP746" s="1" t="s">
        <v>74</v>
      </c>
      <c r="AQ746" s="1" t="s">
        <v>74</v>
      </c>
      <c r="AR746" s="1" t="s">
        <v>74</v>
      </c>
      <c r="AS746" s="1" t="s">
        <v>74</v>
      </c>
      <c r="AT746" s="1" t="s">
        <v>939</v>
      </c>
      <c r="AU746" s="1">
        <v>2021.0</v>
      </c>
      <c r="AV746" s="1">
        <v>27.0</v>
      </c>
      <c r="AW746" s="1" t="s">
        <v>74</v>
      </c>
      <c r="AX746" s="1" t="s">
        <v>74</v>
      </c>
      <c r="AY746" s="1" t="s">
        <v>74</v>
      </c>
      <c r="AZ746" s="1" t="s">
        <v>74</v>
      </c>
      <c r="BA746" s="1" t="s">
        <v>74</v>
      </c>
      <c r="BB746" s="1" t="s">
        <v>74</v>
      </c>
      <c r="BC746" s="1" t="s">
        <v>74</v>
      </c>
      <c r="BD746" s="1">
        <v>100683.0</v>
      </c>
      <c r="BE746" s="1" t="s">
        <v>7559</v>
      </c>
      <c r="BF746" s="2" t="str">
        <f>HYPERLINK("http://dx.doi.org/10.1016/j.coelec.2020.100683","http://dx.doi.org/10.1016/j.coelec.2020.100683")</f>
        <v>http://dx.doi.org/10.1016/j.coelec.2020.100683</v>
      </c>
      <c r="BG746" s="1" t="s">
        <v>74</v>
      </c>
      <c r="BH746" s="1" t="s">
        <v>2461</v>
      </c>
      <c r="BI746" s="1" t="s">
        <v>74</v>
      </c>
      <c r="BJ746" s="1" t="s">
        <v>74</v>
      </c>
      <c r="BK746" s="1" t="s">
        <v>74</v>
      </c>
      <c r="BL746" s="1" t="s">
        <v>74</v>
      </c>
      <c r="BM746" s="1" t="s">
        <v>74</v>
      </c>
      <c r="BN746" s="1" t="s">
        <v>74</v>
      </c>
      <c r="BO746" s="1" t="s">
        <v>74</v>
      </c>
      <c r="BP746" s="1" t="s">
        <v>74</v>
      </c>
      <c r="BQ746" s="1" t="s">
        <v>74</v>
      </c>
      <c r="BR746" s="1" t="s">
        <v>74</v>
      </c>
      <c r="BS746" s="1" t="s">
        <v>7560</v>
      </c>
      <c r="BT746" s="1" t="str">
        <f>HYPERLINK("https%3A%2F%2Fwww.webofscience.com%2Fwos%2Fwoscc%2Ffull-record%2FWOS:000662265900014","View Full Record in Web of Science")</f>
        <v>View Full Record in Web of Science</v>
      </c>
    </row>
    <row r="747" ht="12.75" customHeight="1">
      <c r="A747" s="1" t="s">
        <v>72</v>
      </c>
      <c r="B747" s="1" t="s">
        <v>7561</v>
      </c>
      <c r="C747" s="1" t="s">
        <v>74</v>
      </c>
      <c r="D747" s="1" t="s">
        <v>74</v>
      </c>
      <c r="E747" s="1" t="s">
        <v>74</v>
      </c>
      <c r="F747" s="1" t="s">
        <v>7562</v>
      </c>
      <c r="G747" s="1" t="s">
        <v>74</v>
      </c>
      <c r="H747" s="1" t="s">
        <v>74</v>
      </c>
      <c r="I747" s="1" t="s">
        <v>7563</v>
      </c>
      <c r="J747" s="1" t="s">
        <v>7564</v>
      </c>
      <c r="K747" s="1" t="s">
        <v>74</v>
      </c>
      <c r="L747" s="1" t="s">
        <v>74</v>
      </c>
      <c r="M747" s="1" t="s">
        <v>74</v>
      </c>
      <c r="N747" s="1" t="s">
        <v>74</v>
      </c>
      <c r="O747" s="1" t="s">
        <v>74</v>
      </c>
      <c r="P747" s="1" t="s">
        <v>74</v>
      </c>
      <c r="Q747" s="1" t="s">
        <v>74</v>
      </c>
      <c r="R747" s="1" t="s">
        <v>74</v>
      </c>
      <c r="S747" s="1" t="s">
        <v>74</v>
      </c>
      <c r="T747" s="1" t="s">
        <v>74</v>
      </c>
      <c r="U747" s="1" t="s">
        <v>74</v>
      </c>
      <c r="V747" s="1" t="s">
        <v>7565</v>
      </c>
      <c r="W747" s="1" t="s">
        <v>74</v>
      </c>
      <c r="X747" s="1" t="s">
        <v>74</v>
      </c>
      <c r="Y747" s="1" t="s">
        <v>74</v>
      </c>
      <c r="Z747" s="1" t="s">
        <v>74</v>
      </c>
      <c r="AA747" s="1" t="s">
        <v>7566</v>
      </c>
      <c r="AB747" s="1" t="s">
        <v>7567</v>
      </c>
      <c r="AC747" s="1" t="s">
        <v>74</v>
      </c>
      <c r="AD747" s="1" t="s">
        <v>74</v>
      </c>
      <c r="AE747" s="1" t="s">
        <v>74</v>
      </c>
      <c r="AF747" s="1" t="s">
        <v>74</v>
      </c>
      <c r="AG747" s="1" t="s">
        <v>74</v>
      </c>
      <c r="AH747" s="1" t="s">
        <v>74</v>
      </c>
      <c r="AI747" s="1" t="s">
        <v>74</v>
      </c>
      <c r="AJ747" s="1" t="s">
        <v>74</v>
      </c>
      <c r="AK747" s="1" t="s">
        <v>74</v>
      </c>
      <c r="AL747" s="1" t="s">
        <v>74</v>
      </c>
      <c r="AM747" s="1" t="s">
        <v>74</v>
      </c>
      <c r="AN747" s="1" t="s">
        <v>74</v>
      </c>
      <c r="AO747" s="1" t="s">
        <v>7568</v>
      </c>
      <c r="AP747" s="1" t="s">
        <v>7569</v>
      </c>
      <c r="AQ747" s="1" t="s">
        <v>74</v>
      </c>
      <c r="AR747" s="1" t="s">
        <v>74</v>
      </c>
      <c r="AS747" s="1" t="s">
        <v>74</v>
      </c>
      <c r="AT747" s="1" t="s">
        <v>939</v>
      </c>
      <c r="AU747" s="1">
        <v>2021.0</v>
      </c>
      <c r="AV747" s="1">
        <v>22.0</v>
      </c>
      <c r="AW747" s="1">
        <v>2.0</v>
      </c>
      <c r="AX747" s="1" t="s">
        <v>74</v>
      </c>
      <c r="AY747" s="1" t="s">
        <v>74</v>
      </c>
      <c r="AZ747" s="1" t="s">
        <v>74</v>
      </c>
      <c r="BA747" s="1" t="s">
        <v>74</v>
      </c>
      <c r="BB747" s="1">
        <v>367.0</v>
      </c>
      <c r="BC747" s="1">
        <v>388.0</v>
      </c>
      <c r="BD747" s="1" t="s">
        <v>74</v>
      </c>
      <c r="BE747" s="1" t="s">
        <v>7570</v>
      </c>
      <c r="BF747" s="2" t="str">
        <f>HYPERLINK("http://dx.doi.org/10.1007/s11154-020-09622-0","http://dx.doi.org/10.1007/s11154-020-09622-0")</f>
        <v>http://dx.doi.org/10.1007/s11154-020-09622-0</v>
      </c>
      <c r="BG747" s="1" t="s">
        <v>74</v>
      </c>
      <c r="BH747" s="1" t="s">
        <v>625</v>
      </c>
      <c r="BI747" s="1" t="s">
        <v>74</v>
      </c>
      <c r="BJ747" s="1" t="s">
        <v>74</v>
      </c>
      <c r="BK747" s="1" t="s">
        <v>74</v>
      </c>
      <c r="BL747" s="1" t="s">
        <v>74</v>
      </c>
      <c r="BM747" s="1" t="s">
        <v>74</v>
      </c>
      <c r="BN747" s="1">
        <v>3.3387285E7</v>
      </c>
      <c r="BO747" s="1" t="s">
        <v>74</v>
      </c>
      <c r="BP747" s="1" t="s">
        <v>74</v>
      </c>
      <c r="BQ747" s="1" t="s">
        <v>74</v>
      </c>
      <c r="BR747" s="1" t="s">
        <v>74</v>
      </c>
      <c r="BS747" s="1" t="s">
        <v>7571</v>
      </c>
      <c r="BT747" s="1" t="str">
        <f>HYPERLINK("https%3A%2F%2Fwww.webofscience.com%2Fwos%2Fwoscc%2Ffull-record%2FWOS:000604228800001","View Full Record in Web of Science")</f>
        <v>View Full Record in Web of Science</v>
      </c>
    </row>
    <row r="748" ht="12.75" customHeight="1">
      <c r="A748" s="1" t="s">
        <v>72</v>
      </c>
      <c r="B748" s="1" t="s">
        <v>7572</v>
      </c>
      <c r="C748" s="1" t="s">
        <v>74</v>
      </c>
      <c r="D748" s="1" t="s">
        <v>74</v>
      </c>
      <c r="E748" s="1" t="s">
        <v>74</v>
      </c>
      <c r="F748" s="1" t="s">
        <v>7573</v>
      </c>
      <c r="G748" s="1" t="s">
        <v>74</v>
      </c>
      <c r="H748" s="1" t="s">
        <v>74</v>
      </c>
      <c r="I748" s="1" t="s">
        <v>7574</v>
      </c>
      <c r="J748" s="1" t="s">
        <v>1533</v>
      </c>
      <c r="K748" s="1" t="s">
        <v>74</v>
      </c>
      <c r="L748" s="1" t="s">
        <v>74</v>
      </c>
      <c r="M748" s="1" t="s">
        <v>74</v>
      </c>
      <c r="N748" s="1" t="s">
        <v>74</v>
      </c>
      <c r="O748" s="1" t="s">
        <v>74</v>
      </c>
      <c r="P748" s="1" t="s">
        <v>74</v>
      </c>
      <c r="Q748" s="1" t="s">
        <v>74</v>
      </c>
      <c r="R748" s="1" t="s">
        <v>74</v>
      </c>
      <c r="S748" s="1" t="s">
        <v>74</v>
      </c>
      <c r="T748" s="1" t="s">
        <v>74</v>
      </c>
      <c r="U748" s="1" t="s">
        <v>74</v>
      </c>
      <c r="V748" s="1" t="s">
        <v>7575</v>
      </c>
      <c r="W748" s="1" t="s">
        <v>74</v>
      </c>
      <c r="X748" s="1" t="s">
        <v>74</v>
      </c>
      <c r="Y748" s="1" t="s">
        <v>74</v>
      </c>
      <c r="Z748" s="1" t="s">
        <v>74</v>
      </c>
      <c r="AA748" s="1" t="s">
        <v>7576</v>
      </c>
      <c r="AB748" s="1" t="s">
        <v>7577</v>
      </c>
      <c r="AC748" s="1" t="s">
        <v>74</v>
      </c>
      <c r="AD748" s="1" t="s">
        <v>74</v>
      </c>
      <c r="AE748" s="1" t="s">
        <v>74</v>
      </c>
      <c r="AF748" s="1" t="s">
        <v>74</v>
      </c>
      <c r="AG748" s="1" t="s">
        <v>74</v>
      </c>
      <c r="AH748" s="1" t="s">
        <v>74</v>
      </c>
      <c r="AI748" s="1" t="s">
        <v>74</v>
      </c>
      <c r="AJ748" s="1" t="s">
        <v>74</v>
      </c>
      <c r="AK748" s="1" t="s">
        <v>74</v>
      </c>
      <c r="AL748" s="1" t="s">
        <v>74</v>
      </c>
      <c r="AM748" s="1" t="s">
        <v>74</v>
      </c>
      <c r="AN748" s="1" t="s">
        <v>74</v>
      </c>
      <c r="AO748" s="1" t="s">
        <v>74</v>
      </c>
      <c r="AP748" s="1" t="s">
        <v>1537</v>
      </c>
      <c r="AQ748" s="1" t="s">
        <v>74</v>
      </c>
      <c r="AR748" s="1" t="s">
        <v>74</v>
      </c>
      <c r="AS748" s="1" t="s">
        <v>74</v>
      </c>
      <c r="AT748" s="1" t="s">
        <v>201</v>
      </c>
      <c r="AU748" s="1">
        <v>2020.0</v>
      </c>
      <c r="AV748" s="1">
        <v>10.0</v>
      </c>
      <c r="AW748" s="1">
        <v>19.0</v>
      </c>
      <c r="AX748" s="1" t="s">
        <v>74</v>
      </c>
      <c r="AY748" s="1" t="s">
        <v>74</v>
      </c>
      <c r="AZ748" s="1" t="s">
        <v>74</v>
      </c>
      <c r="BA748" s="1" t="s">
        <v>74</v>
      </c>
      <c r="BB748" s="1" t="s">
        <v>74</v>
      </c>
      <c r="BC748" s="1" t="s">
        <v>74</v>
      </c>
      <c r="BD748" s="1">
        <v>6648.0</v>
      </c>
      <c r="BE748" s="1" t="s">
        <v>7578</v>
      </c>
      <c r="BF748" s="2" t="str">
        <f>HYPERLINK("http://dx.doi.org/10.3390/app10196648","http://dx.doi.org/10.3390/app10196648")</f>
        <v>http://dx.doi.org/10.3390/app10196648</v>
      </c>
      <c r="BG748" s="1" t="s">
        <v>74</v>
      </c>
      <c r="BH748" s="1" t="s">
        <v>74</v>
      </c>
      <c r="BI748" s="1" t="s">
        <v>74</v>
      </c>
      <c r="BJ748" s="1" t="s">
        <v>74</v>
      </c>
      <c r="BK748" s="1" t="s">
        <v>74</v>
      </c>
      <c r="BL748" s="1" t="s">
        <v>74</v>
      </c>
      <c r="BM748" s="1" t="s">
        <v>74</v>
      </c>
      <c r="BN748" s="1" t="s">
        <v>74</v>
      </c>
      <c r="BO748" s="1" t="s">
        <v>74</v>
      </c>
      <c r="BP748" s="1" t="s">
        <v>74</v>
      </c>
      <c r="BQ748" s="1" t="s">
        <v>74</v>
      </c>
      <c r="BR748" s="1" t="s">
        <v>74</v>
      </c>
      <c r="BS748" s="1" t="s">
        <v>7579</v>
      </c>
      <c r="BT748" s="1" t="str">
        <f>HYPERLINK("https%3A%2F%2Fwww.webofscience.com%2Fwos%2Fwoscc%2Ffull-record%2FWOS:000587176700001","View Full Record in Web of Science")</f>
        <v>View Full Record in Web of Science</v>
      </c>
    </row>
    <row r="749" ht="12.75" customHeight="1">
      <c r="A749" s="1" t="s">
        <v>86</v>
      </c>
      <c r="B749" s="1" t="s">
        <v>7580</v>
      </c>
      <c r="C749" s="1" t="s">
        <v>74</v>
      </c>
      <c r="D749" s="1" t="s">
        <v>74</v>
      </c>
      <c r="E749" s="1" t="s">
        <v>248</v>
      </c>
      <c r="F749" s="1" t="s">
        <v>7581</v>
      </c>
      <c r="G749" s="1" t="s">
        <v>74</v>
      </c>
      <c r="H749" s="1" t="s">
        <v>74</v>
      </c>
      <c r="I749" s="1" t="s">
        <v>7582</v>
      </c>
      <c r="J749" s="1" t="s">
        <v>7583</v>
      </c>
      <c r="K749" s="1" t="s">
        <v>4146</v>
      </c>
      <c r="L749" s="1" t="s">
        <v>74</v>
      </c>
      <c r="M749" s="1" t="s">
        <v>74</v>
      </c>
      <c r="N749" s="1" t="s">
        <v>74</v>
      </c>
      <c r="O749" s="1" t="s">
        <v>7584</v>
      </c>
      <c r="P749" s="1" t="s">
        <v>7585</v>
      </c>
      <c r="Q749" s="1" t="s">
        <v>1067</v>
      </c>
      <c r="R749" s="1" t="s">
        <v>74</v>
      </c>
      <c r="S749" s="1" t="s">
        <v>74</v>
      </c>
      <c r="T749" s="1" t="s">
        <v>74</v>
      </c>
      <c r="U749" s="1" t="s">
        <v>74</v>
      </c>
      <c r="V749" s="1" t="s">
        <v>7586</v>
      </c>
      <c r="W749" s="1" t="s">
        <v>74</v>
      </c>
      <c r="X749" s="1" t="s">
        <v>74</v>
      </c>
      <c r="Y749" s="1" t="s">
        <v>74</v>
      </c>
      <c r="Z749" s="1" t="s">
        <v>74</v>
      </c>
      <c r="AA749" s="1" t="s">
        <v>7587</v>
      </c>
      <c r="AB749" s="1" t="s">
        <v>7588</v>
      </c>
      <c r="AC749" s="1" t="s">
        <v>74</v>
      </c>
      <c r="AD749" s="1" t="s">
        <v>74</v>
      </c>
      <c r="AE749" s="1" t="s">
        <v>74</v>
      </c>
      <c r="AF749" s="1" t="s">
        <v>74</v>
      </c>
      <c r="AG749" s="1" t="s">
        <v>74</v>
      </c>
      <c r="AH749" s="1" t="s">
        <v>74</v>
      </c>
      <c r="AI749" s="1" t="s">
        <v>74</v>
      </c>
      <c r="AJ749" s="1" t="s">
        <v>74</v>
      </c>
      <c r="AK749" s="1" t="s">
        <v>74</v>
      </c>
      <c r="AL749" s="1" t="s">
        <v>74</v>
      </c>
      <c r="AM749" s="1" t="s">
        <v>74</v>
      </c>
      <c r="AN749" s="1" t="s">
        <v>74</v>
      </c>
      <c r="AO749" s="1" t="s">
        <v>4154</v>
      </c>
      <c r="AP749" s="1" t="s">
        <v>74</v>
      </c>
      <c r="AQ749" s="1" t="s">
        <v>7589</v>
      </c>
      <c r="AR749" s="1" t="s">
        <v>74</v>
      </c>
      <c r="AS749" s="1" t="s">
        <v>74</v>
      </c>
      <c r="AT749" s="1" t="s">
        <v>74</v>
      </c>
      <c r="AU749" s="1">
        <v>2020.0</v>
      </c>
      <c r="AV749" s="1" t="s">
        <v>74</v>
      </c>
      <c r="AW749" s="1" t="s">
        <v>74</v>
      </c>
      <c r="AX749" s="1" t="s">
        <v>74</v>
      </c>
      <c r="AY749" s="1" t="s">
        <v>74</v>
      </c>
      <c r="AZ749" s="1" t="s">
        <v>74</v>
      </c>
      <c r="BA749" s="1" t="s">
        <v>74</v>
      </c>
      <c r="BB749" s="1" t="s">
        <v>74</v>
      </c>
      <c r="BC749" s="1" t="s">
        <v>74</v>
      </c>
      <c r="BD749" s="1" t="s">
        <v>74</v>
      </c>
      <c r="BE749" s="1" t="s">
        <v>7590</v>
      </c>
      <c r="BF749" s="2" t="str">
        <f>HYPERLINK("http://dx.doi.org/10.23919/epe20ecceeurope43536.2020.9215751","http://dx.doi.org/10.23919/epe20ecceeurope43536.2020.9215751")</f>
        <v>http://dx.doi.org/10.23919/epe20ecceeurope43536.2020.9215751</v>
      </c>
      <c r="BG749" s="1" t="s">
        <v>74</v>
      </c>
      <c r="BH749" s="1" t="s">
        <v>74</v>
      </c>
      <c r="BI749" s="1" t="s">
        <v>74</v>
      </c>
      <c r="BJ749" s="1" t="s">
        <v>74</v>
      </c>
      <c r="BK749" s="1" t="s">
        <v>74</v>
      </c>
      <c r="BL749" s="1" t="s">
        <v>74</v>
      </c>
      <c r="BM749" s="1" t="s">
        <v>74</v>
      </c>
      <c r="BN749" s="1" t="s">
        <v>74</v>
      </c>
      <c r="BO749" s="1" t="s">
        <v>74</v>
      </c>
      <c r="BP749" s="1" t="s">
        <v>74</v>
      </c>
      <c r="BQ749" s="1" t="s">
        <v>74</v>
      </c>
      <c r="BR749" s="1" t="s">
        <v>74</v>
      </c>
      <c r="BS749" s="1" t="s">
        <v>7591</v>
      </c>
      <c r="BT749" s="1" t="str">
        <f>HYPERLINK("https%3A%2F%2Fwww.webofscience.com%2Fwos%2Fwoscc%2Ffull-record%2FWOS:000629036800165","View Full Record in Web of Science")</f>
        <v>View Full Record in Web of Science</v>
      </c>
    </row>
    <row r="750" ht="12.75" customHeight="1">
      <c r="A750" s="1" t="s">
        <v>72</v>
      </c>
      <c r="B750" s="1" t="s">
        <v>7592</v>
      </c>
      <c r="C750" s="1" t="s">
        <v>74</v>
      </c>
      <c r="D750" s="1" t="s">
        <v>74</v>
      </c>
      <c r="E750" s="1" t="s">
        <v>74</v>
      </c>
      <c r="F750" s="1" t="s">
        <v>7593</v>
      </c>
      <c r="G750" s="1" t="s">
        <v>74</v>
      </c>
      <c r="H750" s="1" t="s">
        <v>74</v>
      </c>
      <c r="I750" s="1" t="s">
        <v>7594</v>
      </c>
      <c r="J750" s="1" t="s">
        <v>7595</v>
      </c>
      <c r="K750" s="1" t="s">
        <v>74</v>
      </c>
      <c r="L750" s="1" t="s">
        <v>74</v>
      </c>
      <c r="M750" s="1" t="s">
        <v>74</v>
      </c>
      <c r="N750" s="1" t="s">
        <v>74</v>
      </c>
      <c r="O750" s="1" t="s">
        <v>74</v>
      </c>
      <c r="P750" s="1" t="s">
        <v>74</v>
      </c>
      <c r="Q750" s="1" t="s">
        <v>74</v>
      </c>
      <c r="R750" s="1" t="s">
        <v>74</v>
      </c>
      <c r="S750" s="1" t="s">
        <v>74</v>
      </c>
      <c r="T750" s="1" t="s">
        <v>74</v>
      </c>
      <c r="U750" s="1" t="s">
        <v>74</v>
      </c>
      <c r="V750" s="1" t="s">
        <v>7596</v>
      </c>
      <c r="W750" s="1" t="s">
        <v>74</v>
      </c>
      <c r="X750" s="1" t="s">
        <v>74</v>
      </c>
      <c r="Y750" s="1" t="s">
        <v>74</v>
      </c>
      <c r="Z750" s="1" t="s">
        <v>74</v>
      </c>
      <c r="AA750" s="1" t="s">
        <v>7597</v>
      </c>
      <c r="AB750" s="1" t="s">
        <v>7598</v>
      </c>
      <c r="AC750" s="1" t="s">
        <v>74</v>
      </c>
      <c r="AD750" s="1" t="s">
        <v>74</v>
      </c>
      <c r="AE750" s="1" t="s">
        <v>74</v>
      </c>
      <c r="AF750" s="1" t="s">
        <v>74</v>
      </c>
      <c r="AG750" s="1" t="s">
        <v>74</v>
      </c>
      <c r="AH750" s="1" t="s">
        <v>74</v>
      </c>
      <c r="AI750" s="1" t="s">
        <v>74</v>
      </c>
      <c r="AJ750" s="1" t="s">
        <v>74</v>
      </c>
      <c r="AK750" s="1" t="s">
        <v>74</v>
      </c>
      <c r="AL750" s="1" t="s">
        <v>74</v>
      </c>
      <c r="AM750" s="1" t="s">
        <v>74</v>
      </c>
      <c r="AN750" s="1" t="s">
        <v>74</v>
      </c>
      <c r="AO750" s="1" t="s">
        <v>7599</v>
      </c>
      <c r="AP750" s="1" t="s">
        <v>7600</v>
      </c>
      <c r="AQ750" s="1" t="s">
        <v>74</v>
      </c>
      <c r="AR750" s="1" t="s">
        <v>74</v>
      </c>
      <c r="AS750" s="1" t="s">
        <v>74</v>
      </c>
      <c r="AT750" s="1" t="s">
        <v>422</v>
      </c>
      <c r="AU750" s="1">
        <v>2020.0</v>
      </c>
      <c r="AV750" s="1">
        <v>95.0</v>
      </c>
      <c r="AW750" s="1">
        <v>1.0</v>
      </c>
      <c r="AX750" s="1" t="s">
        <v>74</v>
      </c>
      <c r="AY750" s="1" t="s">
        <v>74</v>
      </c>
      <c r="AZ750" s="1" t="s">
        <v>74</v>
      </c>
      <c r="BA750" s="1" t="s">
        <v>74</v>
      </c>
      <c r="BB750" s="1">
        <v>173.0</v>
      </c>
      <c r="BC750" s="1">
        <v>182.0</v>
      </c>
      <c r="BD750" s="1" t="s">
        <v>74</v>
      </c>
      <c r="BE750" s="1" t="s">
        <v>7601</v>
      </c>
      <c r="BF750" s="2" t="str">
        <f>HYPERLINK("http://dx.doi.org/10.1002/jctb.6219","http://dx.doi.org/10.1002/jctb.6219")</f>
        <v>http://dx.doi.org/10.1002/jctb.6219</v>
      </c>
      <c r="BG750" s="1" t="s">
        <v>74</v>
      </c>
      <c r="BH750" s="1" t="s">
        <v>4040</v>
      </c>
      <c r="BI750" s="1" t="s">
        <v>74</v>
      </c>
      <c r="BJ750" s="1" t="s">
        <v>74</v>
      </c>
      <c r="BK750" s="1" t="s">
        <v>74</v>
      </c>
      <c r="BL750" s="1" t="s">
        <v>74</v>
      </c>
      <c r="BM750" s="1" t="s">
        <v>74</v>
      </c>
      <c r="BN750" s="1" t="s">
        <v>74</v>
      </c>
      <c r="BO750" s="1" t="s">
        <v>74</v>
      </c>
      <c r="BP750" s="1" t="s">
        <v>74</v>
      </c>
      <c r="BQ750" s="1" t="s">
        <v>74</v>
      </c>
      <c r="BR750" s="1" t="s">
        <v>74</v>
      </c>
      <c r="BS750" s="1" t="s">
        <v>7602</v>
      </c>
      <c r="BT750" s="1" t="str">
        <f>HYPERLINK("https%3A%2F%2Fwww.webofscience.com%2Fwos%2Fwoscc%2Ffull-record%2FWOS:000493848800001","View Full Record in Web of Science")</f>
        <v>View Full Record in Web of Science</v>
      </c>
    </row>
    <row r="751" ht="12.75" customHeight="1">
      <c r="A751" s="1" t="s">
        <v>72</v>
      </c>
      <c r="B751" s="1" t="s">
        <v>7603</v>
      </c>
      <c r="C751" s="1" t="s">
        <v>74</v>
      </c>
      <c r="D751" s="1" t="s">
        <v>74</v>
      </c>
      <c r="E751" s="1" t="s">
        <v>74</v>
      </c>
      <c r="F751" s="1" t="s">
        <v>7604</v>
      </c>
      <c r="G751" s="1" t="s">
        <v>74</v>
      </c>
      <c r="H751" s="1" t="s">
        <v>74</v>
      </c>
      <c r="I751" s="1" t="s">
        <v>7605</v>
      </c>
      <c r="J751" s="1" t="s">
        <v>3218</v>
      </c>
      <c r="K751" s="1" t="s">
        <v>74</v>
      </c>
      <c r="L751" s="1" t="s">
        <v>74</v>
      </c>
      <c r="M751" s="1" t="s">
        <v>74</v>
      </c>
      <c r="N751" s="1" t="s">
        <v>74</v>
      </c>
      <c r="O751" s="1" t="s">
        <v>74</v>
      </c>
      <c r="P751" s="1" t="s">
        <v>74</v>
      </c>
      <c r="Q751" s="1" t="s">
        <v>74</v>
      </c>
      <c r="R751" s="1" t="s">
        <v>74</v>
      </c>
      <c r="S751" s="1" t="s">
        <v>74</v>
      </c>
      <c r="T751" s="1" t="s">
        <v>74</v>
      </c>
      <c r="U751" s="1" t="s">
        <v>74</v>
      </c>
      <c r="V751" s="1" t="s">
        <v>7606</v>
      </c>
      <c r="W751" s="1" t="s">
        <v>74</v>
      </c>
      <c r="X751" s="1" t="s">
        <v>74</v>
      </c>
      <c r="Y751" s="1" t="s">
        <v>74</v>
      </c>
      <c r="Z751" s="1" t="s">
        <v>74</v>
      </c>
      <c r="AA751" s="1" t="s">
        <v>1389</v>
      </c>
      <c r="AB751" s="1" t="s">
        <v>74</v>
      </c>
      <c r="AC751" s="1" t="s">
        <v>74</v>
      </c>
      <c r="AD751" s="1" t="s">
        <v>74</v>
      </c>
      <c r="AE751" s="1" t="s">
        <v>74</v>
      </c>
      <c r="AF751" s="1" t="s">
        <v>74</v>
      </c>
      <c r="AG751" s="1" t="s">
        <v>74</v>
      </c>
      <c r="AH751" s="1" t="s">
        <v>74</v>
      </c>
      <c r="AI751" s="1" t="s">
        <v>74</v>
      </c>
      <c r="AJ751" s="1" t="s">
        <v>74</v>
      </c>
      <c r="AK751" s="1" t="s">
        <v>74</v>
      </c>
      <c r="AL751" s="1" t="s">
        <v>74</v>
      </c>
      <c r="AM751" s="1" t="s">
        <v>74</v>
      </c>
      <c r="AN751" s="1" t="s">
        <v>74</v>
      </c>
      <c r="AO751" s="1" t="s">
        <v>3222</v>
      </c>
      <c r="AP751" s="1" t="s">
        <v>3223</v>
      </c>
      <c r="AQ751" s="1" t="s">
        <v>74</v>
      </c>
      <c r="AR751" s="1" t="s">
        <v>74</v>
      </c>
      <c r="AS751" s="1" t="s">
        <v>74</v>
      </c>
      <c r="AT751" s="1" t="s">
        <v>553</v>
      </c>
      <c r="AU751" s="1">
        <v>2019.0</v>
      </c>
      <c r="AV751" s="1">
        <v>99.0</v>
      </c>
      <c r="AW751" s="1">
        <v>4.0</v>
      </c>
      <c r="AX751" s="1" t="s">
        <v>74</v>
      </c>
      <c r="AY751" s="1" t="s">
        <v>74</v>
      </c>
      <c r="AZ751" s="1" t="s">
        <v>74</v>
      </c>
      <c r="BA751" s="1" t="s">
        <v>74</v>
      </c>
      <c r="BB751" s="1" t="s">
        <v>74</v>
      </c>
      <c r="BC751" s="1" t="s">
        <v>74</v>
      </c>
      <c r="BD751" s="1">
        <v>41107.0</v>
      </c>
      <c r="BE751" s="1" t="s">
        <v>7607</v>
      </c>
      <c r="BF751" s="2" t="str">
        <f>HYPERLINK("http://dx.doi.org/10.1103/PhysRevB.99.041107","http://dx.doi.org/10.1103/PhysRevB.99.041107")</f>
        <v>http://dx.doi.org/10.1103/PhysRevB.99.041107</v>
      </c>
      <c r="BG751" s="1" t="s">
        <v>74</v>
      </c>
      <c r="BH751" s="1" t="s">
        <v>74</v>
      </c>
      <c r="BI751" s="1" t="s">
        <v>74</v>
      </c>
      <c r="BJ751" s="1" t="s">
        <v>74</v>
      </c>
      <c r="BK751" s="1" t="s">
        <v>74</v>
      </c>
      <c r="BL751" s="1" t="s">
        <v>74</v>
      </c>
      <c r="BM751" s="1" t="s">
        <v>74</v>
      </c>
      <c r="BN751" s="1" t="s">
        <v>74</v>
      </c>
      <c r="BO751" s="1" t="s">
        <v>74</v>
      </c>
      <c r="BP751" s="1" t="s">
        <v>74</v>
      </c>
      <c r="BQ751" s="1" t="s">
        <v>74</v>
      </c>
      <c r="BR751" s="1" t="s">
        <v>74</v>
      </c>
      <c r="BS751" s="1" t="s">
        <v>7608</v>
      </c>
      <c r="BT751" s="1" t="str">
        <f>HYPERLINK("https%3A%2F%2Fwww.webofscience.com%2Fwos%2Fwoscc%2Ffull-record%2FWOS:000455825600001","View Full Record in Web of Science")</f>
        <v>View Full Record in Web of Science</v>
      </c>
    </row>
    <row r="752" ht="12.75" customHeight="1">
      <c r="A752" s="1" t="s">
        <v>1313</v>
      </c>
      <c r="B752" s="1" t="s">
        <v>7609</v>
      </c>
      <c r="C752" s="1" t="s">
        <v>74</v>
      </c>
      <c r="D752" s="1" t="s">
        <v>7610</v>
      </c>
      <c r="E752" s="1" t="s">
        <v>74</v>
      </c>
      <c r="F752" s="1" t="s">
        <v>7611</v>
      </c>
      <c r="G752" s="1" t="s">
        <v>74</v>
      </c>
      <c r="H752" s="1" t="s">
        <v>74</v>
      </c>
      <c r="I752" s="1" t="s">
        <v>7612</v>
      </c>
      <c r="J752" s="1" t="s">
        <v>7613</v>
      </c>
      <c r="K752" s="1" t="s">
        <v>7614</v>
      </c>
      <c r="L752" s="1" t="s">
        <v>74</v>
      </c>
      <c r="M752" s="1" t="s">
        <v>74</v>
      </c>
      <c r="N752" s="1" t="s">
        <v>74</v>
      </c>
      <c r="O752" s="1" t="s">
        <v>74</v>
      </c>
      <c r="P752" s="1" t="s">
        <v>74</v>
      </c>
      <c r="Q752" s="1" t="s">
        <v>74</v>
      </c>
      <c r="R752" s="1" t="s">
        <v>74</v>
      </c>
      <c r="S752" s="1" t="s">
        <v>74</v>
      </c>
      <c r="T752" s="1" t="s">
        <v>74</v>
      </c>
      <c r="U752" s="1" t="s">
        <v>74</v>
      </c>
      <c r="V752" s="1" t="s">
        <v>74</v>
      </c>
      <c r="W752" s="1" t="s">
        <v>74</v>
      </c>
      <c r="X752" s="1" t="s">
        <v>74</v>
      </c>
      <c r="Y752" s="1" t="s">
        <v>74</v>
      </c>
      <c r="Z752" s="1" t="s">
        <v>74</v>
      </c>
      <c r="AA752" s="1" t="s">
        <v>7615</v>
      </c>
      <c r="AB752" s="1" t="s">
        <v>7616</v>
      </c>
      <c r="AC752" s="1" t="s">
        <v>74</v>
      </c>
      <c r="AD752" s="1" t="s">
        <v>74</v>
      </c>
      <c r="AE752" s="1" t="s">
        <v>74</v>
      </c>
      <c r="AF752" s="1" t="s">
        <v>74</v>
      </c>
      <c r="AG752" s="1" t="s">
        <v>74</v>
      </c>
      <c r="AH752" s="1" t="s">
        <v>74</v>
      </c>
      <c r="AI752" s="1" t="s">
        <v>74</v>
      </c>
      <c r="AJ752" s="1" t="s">
        <v>74</v>
      </c>
      <c r="AK752" s="1" t="s">
        <v>74</v>
      </c>
      <c r="AL752" s="1" t="s">
        <v>74</v>
      </c>
      <c r="AM752" s="1" t="s">
        <v>74</v>
      </c>
      <c r="AN752" s="1" t="s">
        <v>74</v>
      </c>
      <c r="AO752" s="1" t="s">
        <v>7617</v>
      </c>
      <c r="AP752" s="1" t="s">
        <v>74</v>
      </c>
      <c r="AQ752" s="1" t="s">
        <v>7618</v>
      </c>
      <c r="AR752" s="1" t="s">
        <v>74</v>
      </c>
      <c r="AS752" s="1" t="s">
        <v>74</v>
      </c>
      <c r="AT752" s="1" t="s">
        <v>74</v>
      </c>
      <c r="AU752" s="1">
        <v>2019.0</v>
      </c>
      <c r="AV752" s="1">
        <v>85.0</v>
      </c>
      <c r="AW752" s="1" t="s">
        <v>74</v>
      </c>
      <c r="AX752" s="1" t="s">
        <v>74</v>
      </c>
      <c r="AY752" s="1" t="s">
        <v>74</v>
      </c>
      <c r="AZ752" s="1" t="s">
        <v>74</v>
      </c>
      <c r="BA752" s="1" t="s">
        <v>74</v>
      </c>
      <c r="BB752" s="1">
        <v>247.0</v>
      </c>
      <c r="BC752" s="1">
        <v>265.0</v>
      </c>
      <c r="BD752" s="1" t="s">
        <v>74</v>
      </c>
      <c r="BE752" s="1" t="s">
        <v>7619</v>
      </c>
      <c r="BF752" s="2" t="str">
        <f>HYPERLINK("http://dx.doi.org/10.1016/bs.coac.2019.04.002","http://dx.doi.org/10.1016/bs.coac.2019.04.002")</f>
        <v>http://dx.doi.org/10.1016/bs.coac.2019.04.002</v>
      </c>
      <c r="BG752" s="1" t="s">
        <v>74</v>
      </c>
      <c r="BH752" s="1" t="s">
        <v>74</v>
      </c>
      <c r="BI752" s="1" t="s">
        <v>74</v>
      </c>
      <c r="BJ752" s="1" t="s">
        <v>74</v>
      </c>
      <c r="BK752" s="1" t="s">
        <v>74</v>
      </c>
      <c r="BL752" s="1" t="s">
        <v>74</v>
      </c>
      <c r="BM752" s="1" t="s">
        <v>74</v>
      </c>
      <c r="BN752" s="1" t="s">
        <v>74</v>
      </c>
      <c r="BO752" s="1" t="s">
        <v>74</v>
      </c>
      <c r="BP752" s="1" t="s">
        <v>74</v>
      </c>
      <c r="BQ752" s="1" t="s">
        <v>74</v>
      </c>
      <c r="BR752" s="1" t="s">
        <v>74</v>
      </c>
      <c r="BS752" s="1" t="s">
        <v>7620</v>
      </c>
      <c r="BT752" s="1" t="str">
        <f>HYPERLINK("https%3A%2F%2Fwww.webofscience.com%2Fwos%2Fwoscc%2Ffull-record%2FWOS:000560392000010","View Full Record in Web of Science")</f>
        <v>View Full Record in Web of Science</v>
      </c>
    </row>
    <row r="753" ht="12.75" customHeight="1">
      <c r="A753" s="1" t="s">
        <v>86</v>
      </c>
      <c r="B753" s="1" t="s">
        <v>7621</v>
      </c>
      <c r="C753" s="1" t="s">
        <v>74</v>
      </c>
      <c r="D753" s="1" t="s">
        <v>7622</v>
      </c>
      <c r="E753" s="1" t="s">
        <v>74</v>
      </c>
      <c r="F753" s="1" t="s">
        <v>7623</v>
      </c>
      <c r="G753" s="1" t="s">
        <v>74</v>
      </c>
      <c r="H753" s="1" t="s">
        <v>74</v>
      </c>
      <c r="I753" s="1" t="s">
        <v>7624</v>
      </c>
      <c r="J753" s="1" t="s">
        <v>7625</v>
      </c>
      <c r="K753" s="1" t="s">
        <v>74</v>
      </c>
      <c r="L753" s="1" t="s">
        <v>74</v>
      </c>
      <c r="M753" s="1" t="s">
        <v>74</v>
      </c>
      <c r="N753" s="1" t="s">
        <v>74</v>
      </c>
      <c r="O753" s="1" t="s">
        <v>7626</v>
      </c>
      <c r="P753" s="1" t="s">
        <v>7627</v>
      </c>
      <c r="Q753" s="1" t="s">
        <v>7628</v>
      </c>
      <c r="R753" s="1" t="s">
        <v>7629</v>
      </c>
      <c r="S753" s="1" t="s">
        <v>74</v>
      </c>
      <c r="T753" s="1" t="s">
        <v>74</v>
      </c>
      <c r="U753" s="1" t="s">
        <v>74</v>
      </c>
      <c r="V753" s="1" t="s">
        <v>7630</v>
      </c>
      <c r="W753" s="1" t="s">
        <v>74</v>
      </c>
      <c r="X753" s="1" t="s">
        <v>74</v>
      </c>
      <c r="Y753" s="1" t="s">
        <v>74</v>
      </c>
      <c r="Z753" s="1" t="s">
        <v>74</v>
      </c>
      <c r="AA753" s="1" t="s">
        <v>7631</v>
      </c>
      <c r="AB753" s="1" t="s">
        <v>7632</v>
      </c>
      <c r="AC753" s="1" t="s">
        <v>74</v>
      </c>
      <c r="AD753" s="1" t="s">
        <v>74</v>
      </c>
      <c r="AE753" s="1" t="s">
        <v>74</v>
      </c>
      <c r="AF753" s="1" t="s">
        <v>74</v>
      </c>
      <c r="AG753" s="1" t="s">
        <v>74</v>
      </c>
      <c r="AH753" s="1" t="s">
        <v>74</v>
      </c>
      <c r="AI753" s="1" t="s">
        <v>74</v>
      </c>
      <c r="AJ753" s="1" t="s">
        <v>74</v>
      </c>
      <c r="AK753" s="1" t="s">
        <v>74</v>
      </c>
      <c r="AL753" s="1" t="s">
        <v>74</v>
      </c>
      <c r="AM753" s="1" t="s">
        <v>74</v>
      </c>
      <c r="AN753" s="1" t="s">
        <v>74</v>
      </c>
      <c r="AO753" s="1" t="s">
        <v>74</v>
      </c>
      <c r="AP753" s="1" t="s">
        <v>74</v>
      </c>
      <c r="AQ753" s="1" t="s">
        <v>7633</v>
      </c>
      <c r="AR753" s="1" t="s">
        <v>74</v>
      </c>
      <c r="AS753" s="1" t="s">
        <v>74</v>
      </c>
      <c r="AT753" s="1" t="s">
        <v>74</v>
      </c>
      <c r="AU753" s="1">
        <v>2019.0</v>
      </c>
      <c r="AV753" s="1" t="s">
        <v>74</v>
      </c>
      <c r="AW753" s="1" t="s">
        <v>74</v>
      </c>
      <c r="AX753" s="1" t="s">
        <v>74</v>
      </c>
      <c r="AY753" s="1" t="s">
        <v>74</v>
      </c>
      <c r="AZ753" s="1" t="s">
        <v>74</v>
      </c>
      <c r="BA753" s="1" t="s">
        <v>74</v>
      </c>
      <c r="BB753" s="1" t="s">
        <v>74</v>
      </c>
      <c r="BC753" s="1" t="s">
        <v>74</v>
      </c>
      <c r="BD753" s="1" t="s">
        <v>74</v>
      </c>
      <c r="BE753" s="1" t="s">
        <v>74</v>
      </c>
      <c r="BF753" s="1" t="s">
        <v>74</v>
      </c>
      <c r="BG753" s="1" t="s">
        <v>74</v>
      </c>
      <c r="BH753" s="1" t="s">
        <v>74</v>
      </c>
      <c r="BI753" s="1" t="s">
        <v>74</v>
      </c>
      <c r="BJ753" s="1" t="s">
        <v>74</v>
      </c>
      <c r="BK753" s="1" t="s">
        <v>74</v>
      </c>
      <c r="BL753" s="1" t="s">
        <v>74</v>
      </c>
      <c r="BM753" s="1" t="s">
        <v>74</v>
      </c>
      <c r="BN753" s="1" t="s">
        <v>74</v>
      </c>
      <c r="BO753" s="1" t="s">
        <v>74</v>
      </c>
      <c r="BP753" s="1" t="s">
        <v>74</v>
      </c>
      <c r="BQ753" s="1" t="s">
        <v>74</v>
      </c>
      <c r="BR753" s="1" t="s">
        <v>74</v>
      </c>
      <c r="BS753" s="1" t="s">
        <v>7634</v>
      </c>
      <c r="BT753" s="1" t="str">
        <f>HYPERLINK("https%3A%2F%2Fwww.webofscience.com%2Fwos%2Fwoscc%2Ffull-record%2FWOS:000613248200011","View Full Record in Web of Science")</f>
        <v>View Full Record in Web of Science</v>
      </c>
    </row>
    <row r="754" ht="12.75" customHeight="1">
      <c r="A754" s="1" t="s">
        <v>72</v>
      </c>
      <c r="B754" s="1" t="s">
        <v>7635</v>
      </c>
      <c r="C754" s="1" t="s">
        <v>74</v>
      </c>
      <c r="D754" s="1" t="s">
        <v>74</v>
      </c>
      <c r="E754" s="1" t="s">
        <v>74</v>
      </c>
      <c r="F754" s="1" t="s">
        <v>7636</v>
      </c>
      <c r="G754" s="1" t="s">
        <v>74</v>
      </c>
      <c r="H754" s="1" t="s">
        <v>74</v>
      </c>
      <c r="I754" s="1" t="s">
        <v>7637</v>
      </c>
      <c r="J754" s="1" t="s">
        <v>5922</v>
      </c>
      <c r="K754" s="1" t="s">
        <v>74</v>
      </c>
      <c r="L754" s="1" t="s">
        <v>74</v>
      </c>
      <c r="M754" s="1" t="s">
        <v>74</v>
      </c>
      <c r="N754" s="1" t="s">
        <v>74</v>
      </c>
      <c r="O754" s="1" t="s">
        <v>74</v>
      </c>
      <c r="P754" s="1" t="s">
        <v>74</v>
      </c>
      <c r="Q754" s="1" t="s">
        <v>74</v>
      </c>
      <c r="R754" s="1" t="s">
        <v>74</v>
      </c>
      <c r="S754" s="1" t="s">
        <v>74</v>
      </c>
      <c r="T754" s="1" t="s">
        <v>74</v>
      </c>
      <c r="U754" s="1" t="s">
        <v>74</v>
      </c>
      <c r="V754" s="1" t="s">
        <v>7638</v>
      </c>
      <c r="W754" s="1" t="s">
        <v>74</v>
      </c>
      <c r="X754" s="1" t="s">
        <v>74</v>
      </c>
      <c r="Y754" s="1" t="s">
        <v>74</v>
      </c>
      <c r="Z754" s="1" t="s">
        <v>74</v>
      </c>
      <c r="AA754" s="1" t="s">
        <v>7639</v>
      </c>
      <c r="AB754" s="1" t="s">
        <v>7640</v>
      </c>
      <c r="AC754" s="1" t="s">
        <v>74</v>
      </c>
      <c r="AD754" s="1" t="s">
        <v>74</v>
      </c>
      <c r="AE754" s="1" t="s">
        <v>74</v>
      </c>
      <c r="AF754" s="1" t="s">
        <v>74</v>
      </c>
      <c r="AG754" s="1" t="s">
        <v>74</v>
      </c>
      <c r="AH754" s="1" t="s">
        <v>74</v>
      </c>
      <c r="AI754" s="1" t="s">
        <v>74</v>
      </c>
      <c r="AJ754" s="1" t="s">
        <v>74</v>
      </c>
      <c r="AK754" s="1" t="s">
        <v>74</v>
      </c>
      <c r="AL754" s="1" t="s">
        <v>74</v>
      </c>
      <c r="AM754" s="1" t="s">
        <v>74</v>
      </c>
      <c r="AN754" s="1" t="s">
        <v>74</v>
      </c>
      <c r="AO754" s="1" t="s">
        <v>5926</v>
      </c>
      <c r="AP754" s="1" t="s">
        <v>5927</v>
      </c>
      <c r="AQ754" s="1" t="s">
        <v>74</v>
      </c>
      <c r="AR754" s="1" t="s">
        <v>74</v>
      </c>
      <c r="AS754" s="1" t="s">
        <v>74</v>
      </c>
      <c r="AT754" s="1" t="s">
        <v>318</v>
      </c>
      <c r="AU754" s="1">
        <v>2018.0</v>
      </c>
      <c r="AV754" s="1">
        <v>101.0</v>
      </c>
      <c r="AW754" s="1" t="s">
        <v>74</v>
      </c>
      <c r="AX754" s="1" t="s">
        <v>74</v>
      </c>
      <c r="AY754" s="1" t="s">
        <v>74</v>
      </c>
      <c r="AZ754" s="1" t="s">
        <v>74</v>
      </c>
      <c r="BA754" s="1" t="s">
        <v>74</v>
      </c>
      <c r="BB754" s="1">
        <v>1.0</v>
      </c>
      <c r="BC754" s="1">
        <v>8.0</v>
      </c>
      <c r="BD754" s="1" t="s">
        <v>74</v>
      </c>
      <c r="BE754" s="1" t="s">
        <v>7641</v>
      </c>
      <c r="BF754" s="2" t="str">
        <f>HYPERLINK("http://dx.doi.org/10.1016/j.vph.2017.11.004","http://dx.doi.org/10.1016/j.vph.2017.11.004")</f>
        <v>http://dx.doi.org/10.1016/j.vph.2017.11.004</v>
      </c>
      <c r="BG754" s="1" t="s">
        <v>74</v>
      </c>
      <c r="BH754" s="1" t="s">
        <v>74</v>
      </c>
      <c r="BI754" s="1" t="s">
        <v>74</v>
      </c>
      <c r="BJ754" s="1" t="s">
        <v>74</v>
      </c>
      <c r="BK754" s="1" t="s">
        <v>74</v>
      </c>
      <c r="BL754" s="1" t="s">
        <v>74</v>
      </c>
      <c r="BM754" s="1" t="s">
        <v>74</v>
      </c>
      <c r="BN754" s="1">
        <v>2.9174014E7</v>
      </c>
      <c r="BO754" s="1" t="s">
        <v>74</v>
      </c>
      <c r="BP754" s="1" t="s">
        <v>74</v>
      </c>
      <c r="BQ754" s="1" t="s">
        <v>74</v>
      </c>
      <c r="BR754" s="1" t="s">
        <v>74</v>
      </c>
      <c r="BS754" s="1" t="s">
        <v>7642</v>
      </c>
      <c r="BT754" s="1" t="str">
        <f>HYPERLINK("https%3A%2F%2Fwww.webofscience.com%2Fwos%2Fwoscc%2Ffull-record%2FWOS:000424858500001","View Full Record in Web of Science")</f>
        <v>View Full Record in Web of Science</v>
      </c>
    </row>
    <row r="755" ht="12.75" customHeight="1">
      <c r="A755" s="1" t="s">
        <v>72</v>
      </c>
      <c r="B755" s="1" t="s">
        <v>7643</v>
      </c>
      <c r="C755" s="1" t="s">
        <v>74</v>
      </c>
      <c r="D755" s="1" t="s">
        <v>74</v>
      </c>
      <c r="E755" s="1" t="s">
        <v>74</v>
      </c>
      <c r="F755" s="1" t="s">
        <v>7644</v>
      </c>
      <c r="G755" s="1" t="s">
        <v>74</v>
      </c>
      <c r="H755" s="1" t="s">
        <v>74</v>
      </c>
      <c r="I755" s="1" t="s">
        <v>7645</v>
      </c>
      <c r="J755" s="1" t="s">
        <v>7646</v>
      </c>
      <c r="K755" s="1" t="s">
        <v>74</v>
      </c>
      <c r="L755" s="1" t="s">
        <v>74</v>
      </c>
      <c r="M755" s="1" t="s">
        <v>74</v>
      </c>
      <c r="N755" s="1" t="s">
        <v>74</v>
      </c>
      <c r="O755" s="1" t="s">
        <v>74</v>
      </c>
      <c r="P755" s="1" t="s">
        <v>74</v>
      </c>
      <c r="Q755" s="1" t="s">
        <v>74</v>
      </c>
      <c r="R755" s="1" t="s">
        <v>74</v>
      </c>
      <c r="S755" s="1" t="s">
        <v>74</v>
      </c>
      <c r="T755" s="1" t="s">
        <v>74</v>
      </c>
      <c r="U755" s="1" t="s">
        <v>74</v>
      </c>
      <c r="V755" s="1" t="s">
        <v>7647</v>
      </c>
      <c r="W755" s="1" t="s">
        <v>74</v>
      </c>
      <c r="X755" s="1" t="s">
        <v>74</v>
      </c>
      <c r="Y755" s="1" t="s">
        <v>74</v>
      </c>
      <c r="Z755" s="1" t="s">
        <v>74</v>
      </c>
      <c r="AA755" s="1" t="s">
        <v>7648</v>
      </c>
      <c r="AB755" s="1" t="s">
        <v>7649</v>
      </c>
      <c r="AC755" s="1" t="s">
        <v>74</v>
      </c>
      <c r="AD755" s="1" t="s">
        <v>74</v>
      </c>
      <c r="AE755" s="1" t="s">
        <v>74</v>
      </c>
      <c r="AF755" s="1" t="s">
        <v>74</v>
      </c>
      <c r="AG755" s="1" t="s">
        <v>74</v>
      </c>
      <c r="AH755" s="1" t="s">
        <v>74</v>
      </c>
      <c r="AI755" s="1" t="s">
        <v>74</v>
      </c>
      <c r="AJ755" s="1" t="s">
        <v>74</v>
      </c>
      <c r="AK755" s="1" t="s">
        <v>74</v>
      </c>
      <c r="AL755" s="1" t="s">
        <v>74</v>
      </c>
      <c r="AM755" s="1" t="s">
        <v>74</v>
      </c>
      <c r="AN755" s="1" t="s">
        <v>74</v>
      </c>
      <c r="AO755" s="1" t="s">
        <v>7650</v>
      </c>
      <c r="AP755" s="1" t="s">
        <v>7651</v>
      </c>
      <c r="AQ755" s="1" t="s">
        <v>74</v>
      </c>
      <c r="AR755" s="1" t="s">
        <v>74</v>
      </c>
      <c r="AS755" s="1" t="s">
        <v>74</v>
      </c>
      <c r="AT755" s="1" t="s">
        <v>318</v>
      </c>
      <c r="AU755" s="1">
        <v>2017.0</v>
      </c>
      <c r="AV755" s="1">
        <v>63.0</v>
      </c>
      <c r="AW755" s="1" t="s">
        <v>74</v>
      </c>
      <c r="AX755" s="1" t="s">
        <v>74</v>
      </c>
      <c r="AY755" s="1" t="s">
        <v>74</v>
      </c>
      <c r="AZ755" s="1" t="s">
        <v>74</v>
      </c>
      <c r="BA755" s="1" t="s">
        <v>74</v>
      </c>
      <c r="BB755" s="1">
        <v>113.0</v>
      </c>
      <c r="BC755" s="1">
        <v>123.0</v>
      </c>
      <c r="BD755" s="1" t="s">
        <v>74</v>
      </c>
      <c r="BE755" s="1" t="s">
        <v>7652</v>
      </c>
      <c r="BF755" s="2" t="str">
        <f>HYPERLINK("http://dx.doi.org/10.5004/dwt.2017.20169","http://dx.doi.org/10.5004/dwt.2017.20169")</f>
        <v>http://dx.doi.org/10.5004/dwt.2017.20169</v>
      </c>
      <c r="BG755" s="1" t="s">
        <v>74</v>
      </c>
      <c r="BH755" s="1" t="s">
        <v>74</v>
      </c>
      <c r="BI755" s="1" t="s">
        <v>74</v>
      </c>
      <c r="BJ755" s="1" t="s">
        <v>74</v>
      </c>
      <c r="BK755" s="1" t="s">
        <v>74</v>
      </c>
      <c r="BL755" s="1" t="s">
        <v>74</v>
      </c>
      <c r="BM755" s="1" t="s">
        <v>74</v>
      </c>
      <c r="BN755" s="1" t="s">
        <v>74</v>
      </c>
      <c r="BO755" s="1" t="s">
        <v>74</v>
      </c>
      <c r="BP755" s="1" t="s">
        <v>74</v>
      </c>
      <c r="BQ755" s="1" t="s">
        <v>74</v>
      </c>
      <c r="BR755" s="1" t="s">
        <v>74</v>
      </c>
      <c r="BS755" s="1" t="s">
        <v>7653</v>
      </c>
      <c r="BT755" s="1" t="str">
        <f>HYPERLINK("https%3A%2F%2Fwww.webofscience.com%2Fwos%2Fwoscc%2Ffull-record%2FWOS:000403567200014","View Full Record in Web of Science")</f>
        <v>View Full Record in Web of Science</v>
      </c>
    </row>
    <row r="756" ht="12.75" customHeight="1">
      <c r="A756" s="1" t="s">
        <v>72</v>
      </c>
      <c r="B756" s="1" t="s">
        <v>7654</v>
      </c>
      <c r="C756" s="1" t="s">
        <v>74</v>
      </c>
      <c r="D756" s="1" t="s">
        <v>74</v>
      </c>
      <c r="E756" s="1" t="s">
        <v>74</v>
      </c>
      <c r="F756" s="1" t="s">
        <v>7655</v>
      </c>
      <c r="G756" s="1" t="s">
        <v>74</v>
      </c>
      <c r="H756" s="1" t="s">
        <v>74</v>
      </c>
      <c r="I756" s="1" t="s">
        <v>7656</v>
      </c>
      <c r="J756" s="1" t="s">
        <v>1596</v>
      </c>
      <c r="K756" s="1" t="s">
        <v>74</v>
      </c>
      <c r="L756" s="1" t="s">
        <v>74</v>
      </c>
      <c r="M756" s="1" t="s">
        <v>74</v>
      </c>
      <c r="N756" s="1" t="s">
        <v>74</v>
      </c>
      <c r="O756" s="1" t="s">
        <v>74</v>
      </c>
      <c r="P756" s="1" t="s">
        <v>74</v>
      </c>
      <c r="Q756" s="1" t="s">
        <v>74</v>
      </c>
      <c r="R756" s="1" t="s">
        <v>74</v>
      </c>
      <c r="S756" s="1" t="s">
        <v>74</v>
      </c>
      <c r="T756" s="1" t="s">
        <v>74</v>
      </c>
      <c r="U756" s="1" t="s">
        <v>74</v>
      </c>
      <c r="V756" s="1" t="s">
        <v>7657</v>
      </c>
      <c r="W756" s="1" t="s">
        <v>74</v>
      </c>
      <c r="X756" s="1" t="s">
        <v>74</v>
      </c>
      <c r="Y756" s="1" t="s">
        <v>74</v>
      </c>
      <c r="Z756" s="1" t="s">
        <v>74</v>
      </c>
      <c r="AA756" s="1" t="s">
        <v>7658</v>
      </c>
      <c r="AB756" s="1" t="s">
        <v>7659</v>
      </c>
      <c r="AC756" s="1" t="s">
        <v>74</v>
      </c>
      <c r="AD756" s="1" t="s">
        <v>74</v>
      </c>
      <c r="AE756" s="1" t="s">
        <v>74</v>
      </c>
      <c r="AF756" s="1" t="s">
        <v>74</v>
      </c>
      <c r="AG756" s="1" t="s">
        <v>74</v>
      </c>
      <c r="AH756" s="1" t="s">
        <v>74</v>
      </c>
      <c r="AI756" s="1" t="s">
        <v>74</v>
      </c>
      <c r="AJ756" s="1" t="s">
        <v>74</v>
      </c>
      <c r="AK756" s="1" t="s">
        <v>74</v>
      </c>
      <c r="AL756" s="1" t="s">
        <v>74</v>
      </c>
      <c r="AM756" s="1" t="s">
        <v>74</v>
      </c>
      <c r="AN756" s="1" t="s">
        <v>74</v>
      </c>
      <c r="AO756" s="1" t="s">
        <v>1600</v>
      </c>
      <c r="AP756" s="1" t="s">
        <v>74</v>
      </c>
      <c r="AQ756" s="1" t="s">
        <v>74</v>
      </c>
      <c r="AR756" s="1" t="s">
        <v>74</v>
      </c>
      <c r="AS756" s="1" t="s">
        <v>74</v>
      </c>
      <c r="AT756" s="1" t="s">
        <v>74</v>
      </c>
      <c r="AU756" s="1">
        <v>2017.0</v>
      </c>
      <c r="AV756" s="1">
        <v>62.0</v>
      </c>
      <c r="AW756" s="1">
        <v>3.0</v>
      </c>
      <c r="AX756" s="1" t="s">
        <v>74</v>
      </c>
      <c r="AY756" s="1" t="s">
        <v>74</v>
      </c>
      <c r="AZ756" s="1" t="s">
        <v>74</v>
      </c>
      <c r="BA756" s="1" t="s">
        <v>74</v>
      </c>
      <c r="BB756" s="1">
        <v>3634.0</v>
      </c>
      <c r="BC756" s="1">
        <v>3636.0</v>
      </c>
      <c r="BD756" s="1" t="s">
        <v>74</v>
      </c>
      <c r="BE756" s="1" t="s">
        <v>7660</v>
      </c>
      <c r="BF756" s="2" t="str">
        <f>HYPERLINK("http://dx.doi.org/10.4067/s0717-97072017000303634","http://dx.doi.org/10.4067/s0717-97072017000303634")</f>
        <v>http://dx.doi.org/10.4067/s0717-97072017000303634</v>
      </c>
      <c r="BG756" s="1" t="s">
        <v>74</v>
      </c>
      <c r="BH756" s="1" t="s">
        <v>74</v>
      </c>
      <c r="BI756" s="1" t="s">
        <v>74</v>
      </c>
      <c r="BJ756" s="1" t="s">
        <v>74</v>
      </c>
      <c r="BK756" s="1" t="s">
        <v>74</v>
      </c>
      <c r="BL756" s="1" t="s">
        <v>74</v>
      </c>
      <c r="BM756" s="1" t="s">
        <v>74</v>
      </c>
      <c r="BN756" s="1" t="s">
        <v>74</v>
      </c>
      <c r="BO756" s="1" t="s">
        <v>74</v>
      </c>
      <c r="BP756" s="1" t="s">
        <v>74</v>
      </c>
      <c r="BQ756" s="1" t="s">
        <v>74</v>
      </c>
      <c r="BR756" s="1" t="s">
        <v>74</v>
      </c>
      <c r="BS756" s="1" t="s">
        <v>7661</v>
      </c>
      <c r="BT756" s="1" t="str">
        <f>HYPERLINK("https%3A%2F%2Fwww.webofscience.com%2Fwos%2Fwoscc%2Ffull-record%2FWOS:000417443500017","View Full Record in Web of Science")</f>
        <v>View Full Record in Web of Science</v>
      </c>
    </row>
    <row r="757" ht="12.75" customHeight="1">
      <c r="A757" s="1" t="s">
        <v>72</v>
      </c>
      <c r="B757" s="1" t="s">
        <v>7662</v>
      </c>
      <c r="C757" s="1" t="s">
        <v>74</v>
      </c>
      <c r="D757" s="1" t="s">
        <v>74</v>
      </c>
      <c r="E757" s="1" t="s">
        <v>74</v>
      </c>
      <c r="F757" s="1" t="s">
        <v>7663</v>
      </c>
      <c r="G757" s="1" t="s">
        <v>74</v>
      </c>
      <c r="H757" s="1" t="s">
        <v>74</v>
      </c>
      <c r="I757" s="1" t="s">
        <v>7664</v>
      </c>
      <c r="J757" s="1" t="s">
        <v>1775</v>
      </c>
      <c r="K757" s="1" t="s">
        <v>74</v>
      </c>
      <c r="L757" s="1" t="s">
        <v>74</v>
      </c>
      <c r="M757" s="1" t="s">
        <v>74</v>
      </c>
      <c r="N757" s="1" t="s">
        <v>74</v>
      </c>
      <c r="O757" s="1" t="s">
        <v>74</v>
      </c>
      <c r="P757" s="1" t="s">
        <v>74</v>
      </c>
      <c r="Q757" s="1" t="s">
        <v>74</v>
      </c>
      <c r="R757" s="1" t="s">
        <v>74</v>
      </c>
      <c r="S757" s="1" t="s">
        <v>74</v>
      </c>
      <c r="T757" s="1" t="s">
        <v>74</v>
      </c>
      <c r="U757" s="1" t="s">
        <v>74</v>
      </c>
      <c r="V757" s="1" t="s">
        <v>7665</v>
      </c>
      <c r="W757" s="1" t="s">
        <v>74</v>
      </c>
      <c r="X757" s="1" t="s">
        <v>74</v>
      </c>
      <c r="Y757" s="1" t="s">
        <v>74</v>
      </c>
      <c r="Z757" s="1" t="s">
        <v>74</v>
      </c>
      <c r="AA757" s="1" t="s">
        <v>7666</v>
      </c>
      <c r="AB757" s="1" t="s">
        <v>7667</v>
      </c>
      <c r="AC757" s="1" t="s">
        <v>74</v>
      </c>
      <c r="AD757" s="1" t="s">
        <v>74</v>
      </c>
      <c r="AE757" s="1" t="s">
        <v>74</v>
      </c>
      <c r="AF757" s="1" t="s">
        <v>74</v>
      </c>
      <c r="AG757" s="1" t="s">
        <v>74</v>
      </c>
      <c r="AH757" s="1" t="s">
        <v>74</v>
      </c>
      <c r="AI757" s="1" t="s">
        <v>74</v>
      </c>
      <c r="AJ757" s="1" t="s">
        <v>74</v>
      </c>
      <c r="AK757" s="1" t="s">
        <v>74</v>
      </c>
      <c r="AL757" s="1" t="s">
        <v>74</v>
      </c>
      <c r="AM757" s="1" t="s">
        <v>74</v>
      </c>
      <c r="AN757" s="1" t="s">
        <v>74</v>
      </c>
      <c r="AO757" s="1" t="s">
        <v>74</v>
      </c>
      <c r="AP757" s="1" t="s">
        <v>1779</v>
      </c>
      <c r="AQ757" s="1" t="s">
        <v>74</v>
      </c>
      <c r="AR757" s="1" t="s">
        <v>74</v>
      </c>
      <c r="AS757" s="1" t="s">
        <v>74</v>
      </c>
      <c r="AT757" s="1" t="s">
        <v>7668</v>
      </c>
      <c r="AU757" s="1">
        <v>2016.0</v>
      </c>
      <c r="AV757" s="1">
        <v>7.0</v>
      </c>
      <c r="AW757" s="1" t="s">
        <v>74</v>
      </c>
      <c r="AX757" s="1" t="s">
        <v>74</v>
      </c>
      <c r="AY757" s="1" t="s">
        <v>74</v>
      </c>
      <c r="AZ757" s="1" t="s">
        <v>74</v>
      </c>
      <c r="BA757" s="1" t="s">
        <v>74</v>
      </c>
      <c r="BB757" s="1" t="s">
        <v>74</v>
      </c>
      <c r="BC757" s="1" t="s">
        <v>74</v>
      </c>
      <c r="BD757" s="1">
        <v>1160.0</v>
      </c>
      <c r="BE757" s="1" t="s">
        <v>7669</v>
      </c>
      <c r="BF757" s="2" t="str">
        <f>HYPERLINK("http://dx.doi.org/10.3389/fmicb.2016.01160","http://dx.doi.org/10.3389/fmicb.2016.01160")</f>
        <v>http://dx.doi.org/10.3389/fmicb.2016.01160</v>
      </c>
      <c r="BG757" s="1" t="s">
        <v>74</v>
      </c>
      <c r="BH757" s="1" t="s">
        <v>74</v>
      </c>
      <c r="BI757" s="1" t="s">
        <v>74</v>
      </c>
      <c r="BJ757" s="1" t="s">
        <v>74</v>
      </c>
      <c r="BK757" s="1" t="s">
        <v>74</v>
      </c>
      <c r="BL757" s="1" t="s">
        <v>74</v>
      </c>
      <c r="BM757" s="1" t="s">
        <v>74</v>
      </c>
      <c r="BN757" s="1">
        <v>2.7507969E7</v>
      </c>
      <c r="BO757" s="1" t="s">
        <v>74</v>
      </c>
      <c r="BP757" s="1" t="s">
        <v>74</v>
      </c>
      <c r="BQ757" s="1" t="s">
        <v>74</v>
      </c>
      <c r="BR757" s="1" t="s">
        <v>74</v>
      </c>
      <c r="BS757" s="1" t="s">
        <v>7670</v>
      </c>
      <c r="BT757" s="1" t="str">
        <f>HYPERLINK("https%3A%2F%2Fwww.webofscience.com%2Fwos%2Fwoscc%2Ffull-record%2FWOS:000380349700001","View Full Record in Web of Science")</f>
        <v>View Full Record in Web of Science</v>
      </c>
    </row>
    <row r="758" ht="12.75" customHeight="1">
      <c r="A758" s="1" t="s">
        <v>72</v>
      </c>
      <c r="B758" s="1" t="s">
        <v>7671</v>
      </c>
      <c r="C758" s="1" t="s">
        <v>74</v>
      </c>
      <c r="D758" s="1" t="s">
        <v>74</v>
      </c>
      <c r="E758" s="1" t="s">
        <v>74</v>
      </c>
      <c r="F758" s="1" t="s">
        <v>7672</v>
      </c>
      <c r="G758" s="1" t="s">
        <v>74</v>
      </c>
      <c r="H758" s="1" t="s">
        <v>74</v>
      </c>
      <c r="I758" s="1" t="s">
        <v>7673</v>
      </c>
      <c r="J758" s="1" t="s">
        <v>7674</v>
      </c>
      <c r="K758" s="1" t="s">
        <v>74</v>
      </c>
      <c r="L758" s="1" t="s">
        <v>74</v>
      </c>
      <c r="M758" s="1" t="s">
        <v>74</v>
      </c>
      <c r="N758" s="1" t="s">
        <v>74</v>
      </c>
      <c r="O758" s="1" t="s">
        <v>74</v>
      </c>
      <c r="P758" s="1" t="s">
        <v>74</v>
      </c>
      <c r="Q758" s="1" t="s">
        <v>74</v>
      </c>
      <c r="R758" s="1" t="s">
        <v>74</v>
      </c>
      <c r="S758" s="1" t="s">
        <v>74</v>
      </c>
      <c r="T758" s="1" t="s">
        <v>74</v>
      </c>
      <c r="U758" s="1" t="s">
        <v>74</v>
      </c>
      <c r="V758" s="1" t="s">
        <v>7675</v>
      </c>
      <c r="W758" s="1" t="s">
        <v>74</v>
      </c>
      <c r="X758" s="1" t="s">
        <v>74</v>
      </c>
      <c r="Y758" s="1" t="s">
        <v>74</v>
      </c>
      <c r="Z758" s="1" t="s">
        <v>74</v>
      </c>
      <c r="AA758" s="1" t="s">
        <v>7676</v>
      </c>
      <c r="AB758" s="1" t="s">
        <v>7677</v>
      </c>
      <c r="AC758" s="1" t="s">
        <v>74</v>
      </c>
      <c r="AD758" s="1" t="s">
        <v>74</v>
      </c>
      <c r="AE758" s="1" t="s">
        <v>74</v>
      </c>
      <c r="AF758" s="1" t="s">
        <v>74</v>
      </c>
      <c r="AG758" s="1" t="s">
        <v>74</v>
      </c>
      <c r="AH758" s="1" t="s">
        <v>74</v>
      </c>
      <c r="AI758" s="1" t="s">
        <v>74</v>
      </c>
      <c r="AJ758" s="1" t="s">
        <v>74</v>
      </c>
      <c r="AK758" s="1" t="s">
        <v>74</v>
      </c>
      <c r="AL758" s="1" t="s">
        <v>74</v>
      </c>
      <c r="AM758" s="1" t="s">
        <v>74</v>
      </c>
      <c r="AN758" s="1" t="s">
        <v>74</v>
      </c>
      <c r="AO758" s="1" t="s">
        <v>7678</v>
      </c>
      <c r="AP758" s="1" t="s">
        <v>74</v>
      </c>
      <c r="AQ758" s="1" t="s">
        <v>74</v>
      </c>
      <c r="AR758" s="1" t="s">
        <v>74</v>
      </c>
      <c r="AS758" s="1" t="s">
        <v>74</v>
      </c>
      <c r="AT758" s="1" t="s">
        <v>201</v>
      </c>
      <c r="AU758" s="1">
        <v>2015.0</v>
      </c>
      <c r="AV758" s="1">
        <v>5.0</v>
      </c>
      <c r="AW758" s="1">
        <v>10.0</v>
      </c>
      <c r="AX758" s="1" t="s">
        <v>74</v>
      </c>
      <c r="AY758" s="1" t="s">
        <v>74</v>
      </c>
      <c r="AZ758" s="1" t="s">
        <v>74</v>
      </c>
      <c r="BA758" s="1" t="s">
        <v>74</v>
      </c>
      <c r="BB758" s="1" t="s">
        <v>74</v>
      </c>
      <c r="BC758" s="1" t="s">
        <v>74</v>
      </c>
      <c r="BD758" s="1">
        <v>150070.0</v>
      </c>
      <c r="BE758" s="1" t="s">
        <v>7679</v>
      </c>
      <c r="BF758" s="2" t="str">
        <f>HYPERLINK("http://dx.doi.org/10.1098/rsob.150070","http://dx.doi.org/10.1098/rsob.150070")</f>
        <v>http://dx.doi.org/10.1098/rsob.150070</v>
      </c>
      <c r="BG758" s="1" t="s">
        <v>74</v>
      </c>
      <c r="BH758" s="1" t="s">
        <v>74</v>
      </c>
      <c r="BI758" s="1" t="s">
        <v>74</v>
      </c>
      <c r="BJ758" s="1" t="s">
        <v>74</v>
      </c>
      <c r="BK758" s="1" t="s">
        <v>74</v>
      </c>
      <c r="BL758" s="1" t="s">
        <v>74</v>
      </c>
      <c r="BM758" s="1" t="s">
        <v>74</v>
      </c>
      <c r="BN758" s="1">
        <v>2.6468132E7</v>
      </c>
      <c r="BO758" s="1" t="s">
        <v>74</v>
      </c>
      <c r="BP758" s="1" t="s">
        <v>74</v>
      </c>
      <c r="BQ758" s="1" t="s">
        <v>74</v>
      </c>
      <c r="BR758" s="1" t="s">
        <v>74</v>
      </c>
      <c r="BS758" s="1" t="s">
        <v>7680</v>
      </c>
      <c r="BT758" s="1" t="str">
        <f>HYPERLINK("https%3A%2F%2Fwww.webofscience.com%2Fwos%2Fwoscc%2Ffull-record%2FWOS:000365030400002","View Full Record in Web of Science")</f>
        <v>View Full Record in Web of Science</v>
      </c>
    </row>
    <row r="759" ht="12.75" customHeight="1">
      <c r="A759" s="1" t="s">
        <v>72</v>
      </c>
      <c r="B759" s="1" t="s">
        <v>7681</v>
      </c>
      <c r="C759" s="1" t="s">
        <v>74</v>
      </c>
      <c r="D759" s="1" t="s">
        <v>74</v>
      </c>
      <c r="E759" s="1" t="s">
        <v>74</v>
      </c>
      <c r="F759" s="1" t="s">
        <v>7682</v>
      </c>
      <c r="G759" s="1" t="s">
        <v>74</v>
      </c>
      <c r="H759" s="1" t="s">
        <v>74</v>
      </c>
      <c r="I759" s="1" t="s">
        <v>7683</v>
      </c>
      <c r="J759" s="1" t="s">
        <v>7684</v>
      </c>
      <c r="K759" s="1" t="s">
        <v>74</v>
      </c>
      <c r="L759" s="1" t="s">
        <v>74</v>
      </c>
      <c r="M759" s="1" t="s">
        <v>74</v>
      </c>
      <c r="N759" s="1" t="s">
        <v>74</v>
      </c>
      <c r="O759" s="1" t="s">
        <v>74</v>
      </c>
      <c r="P759" s="1" t="s">
        <v>74</v>
      </c>
      <c r="Q759" s="1" t="s">
        <v>74</v>
      </c>
      <c r="R759" s="1" t="s">
        <v>74</v>
      </c>
      <c r="S759" s="1" t="s">
        <v>74</v>
      </c>
      <c r="T759" s="1" t="s">
        <v>74</v>
      </c>
      <c r="U759" s="1" t="s">
        <v>74</v>
      </c>
      <c r="V759" s="1" t="s">
        <v>7685</v>
      </c>
      <c r="W759" s="1" t="s">
        <v>74</v>
      </c>
      <c r="X759" s="1" t="s">
        <v>74</v>
      </c>
      <c r="Y759" s="1" t="s">
        <v>74</v>
      </c>
      <c r="Z759" s="1" t="s">
        <v>74</v>
      </c>
      <c r="AA759" s="1" t="s">
        <v>7686</v>
      </c>
      <c r="AB759" s="1" t="s">
        <v>7687</v>
      </c>
      <c r="AC759" s="1" t="s">
        <v>74</v>
      </c>
      <c r="AD759" s="1" t="s">
        <v>74</v>
      </c>
      <c r="AE759" s="1" t="s">
        <v>74</v>
      </c>
      <c r="AF759" s="1" t="s">
        <v>74</v>
      </c>
      <c r="AG759" s="1" t="s">
        <v>74</v>
      </c>
      <c r="AH759" s="1" t="s">
        <v>74</v>
      </c>
      <c r="AI759" s="1" t="s">
        <v>74</v>
      </c>
      <c r="AJ759" s="1" t="s">
        <v>74</v>
      </c>
      <c r="AK759" s="1" t="s">
        <v>74</v>
      </c>
      <c r="AL759" s="1" t="s">
        <v>74</v>
      </c>
      <c r="AM759" s="1" t="s">
        <v>74</v>
      </c>
      <c r="AN759" s="1" t="s">
        <v>74</v>
      </c>
      <c r="AO759" s="1" t="s">
        <v>7688</v>
      </c>
      <c r="AP759" s="1" t="s">
        <v>7689</v>
      </c>
      <c r="AQ759" s="1" t="s">
        <v>74</v>
      </c>
      <c r="AR759" s="1" t="s">
        <v>74</v>
      </c>
      <c r="AS759" s="1" t="s">
        <v>74</v>
      </c>
      <c r="AT759" s="1" t="s">
        <v>485</v>
      </c>
      <c r="AU759" s="1">
        <v>2014.0</v>
      </c>
      <c r="AV759" s="1">
        <v>39.0</v>
      </c>
      <c r="AW759" s="1">
        <v>3.0</v>
      </c>
      <c r="AX759" s="1" t="s">
        <v>74</v>
      </c>
      <c r="AY759" s="1" t="s">
        <v>74</v>
      </c>
      <c r="AZ759" s="1" t="s">
        <v>74</v>
      </c>
      <c r="BA759" s="1" t="s">
        <v>74</v>
      </c>
      <c r="BB759" s="1">
        <v>304.0</v>
      </c>
      <c r="BC759" s="1">
        <v>312.0</v>
      </c>
      <c r="BD759" s="1" t="s">
        <v>74</v>
      </c>
      <c r="BE759" s="1" t="s">
        <v>7690</v>
      </c>
      <c r="BF759" s="2" t="str">
        <f>HYPERLINK("http://dx.doi.org/10.1111/aec.12079","http://dx.doi.org/10.1111/aec.12079")</f>
        <v>http://dx.doi.org/10.1111/aec.12079</v>
      </c>
      <c r="BG759" s="1" t="s">
        <v>74</v>
      </c>
      <c r="BH759" s="1" t="s">
        <v>74</v>
      </c>
      <c r="BI759" s="1" t="s">
        <v>74</v>
      </c>
      <c r="BJ759" s="1" t="s">
        <v>74</v>
      </c>
      <c r="BK759" s="1" t="s">
        <v>74</v>
      </c>
      <c r="BL759" s="1" t="s">
        <v>74</v>
      </c>
      <c r="BM759" s="1" t="s">
        <v>74</v>
      </c>
      <c r="BN759" s="1" t="s">
        <v>74</v>
      </c>
      <c r="BO759" s="1" t="s">
        <v>74</v>
      </c>
      <c r="BP759" s="1" t="s">
        <v>74</v>
      </c>
      <c r="BQ759" s="1" t="s">
        <v>74</v>
      </c>
      <c r="BR759" s="1" t="s">
        <v>74</v>
      </c>
      <c r="BS759" s="1" t="s">
        <v>7691</v>
      </c>
      <c r="BT759" s="1" t="str">
        <f>HYPERLINK("https%3A%2F%2Fwww.webofscience.com%2Fwos%2Fwoscc%2Ffull-record%2FWOS:000334019500005","View Full Record in Web of Science")</f>
        <v>View Full Record in Web of Science</v>
      </c>
    </row>
    <row r="760" ht="12.75" customHeight="1">
      <c r="A760" s="1" t="s">
        <v>742</v>
      </c>
      <c r="B760" s="1" t="s">
        <v>7692</v>
      </c>
      <c r="C760" s="1" t="s">
        <v>74</v>
      </c>
      <c r="D760" s="1" t="s">
        <v>7693</v>
      </c>
      <c r="E760" s="1" t="s">
        <v>74</v>
      </c>
      <c r="F760" s="1" t="s">
        <v>7694</v>
      </c>
      <c r="G760" s="1" t="s">
        <v>74</v>
      </c>
      <c r="H760" s="1" t="s">
        <v>74</v>
      </c>
      <c r="I760" s="1" t="s">
        <v>7695</v>
      </c>
      <c r="J760" s="1" t="s">
        <v>7696</v>
      </c>
      <c r="K760" s="1" t="s">
        <v>7697</v>
      </c>
      <c r="L760" s="1" t="s">
        <v>74</v>
      </c>
      <c r="M760" s="1" t="s">
        <v>74</v>
      </c>
      <c r="N760" s="1" t="s">
        <v>74</v>
      </c>
      <c r="O760" s="1" t="s">
        <v>74</v>
      </c>
      <c r="P760" s="1" t="s">
        <v>74</v>
      </c>
      <c r="Q760" s="1" t="s">
        <v>74</v>
      </c>
      <c r="R760" s="1" t="s">
        <v>74</v>
      </c>
      <c r="S760" s="1" t="s">
        <v>74</v>
      </c>
      <c r="T760" s="1" t="s">
        <v>74</v>
      </c>
      <c r="U760" s="1" t="s">
        <v>74</v>
      </c>
      <c r="V760" s="1" t="s">
        <v>7698</v>
      </c>
      <c r="W760" s="1" t="s">
        <v>74</v>
      </c>
      <c r="X760" s="1" t="s">
        <v>74</v>
      </c>
      <c r="Y760" s="1" t="s">
        <v>74</v>
      </c>
      <c r="Z760" s="1" t="s">
        <v>74</v>
      </c>
      <c r="AA760" s="1" t="s">
        <v>7699</v>
      </c>
      <c r="AB760" s="1" t="s">
        <v>7700</v>
      </c>
      <c r="AC760" s="1" t="s">
        <v>74</v>
      </c>
      <c r="AD760" s="1" t="s">
        <v>74</v>
      </c>
      <c r="AE760" s="1" t="s">
        <v>74</v>
      </c>
      <c r="AF760" s="1" t="s">
        <v>74</v>
      </c>
      <c r="AG760" s="1" t="s">
        <v>74</v>
      </c>
      <c r="AH760" s="1" t="s">
        <v>74</v>
      </c>
      <c r="AI760" s="1" t="s">
        <v>74</v>
      </c>
      <c r="AJ760" s="1" t="s">
        <v>74</v>
      </c>
      <c r="AK760" s="1" t="s">
        <v>74</v>
      </c>
      <c r="AL760" s="1" t="s">
        <v>74</v>
      </c>
      <c r="AM760" s="1" t="s">
        <v>74</v>
      </c>
      <c r="AN760" s="1" t="s">
        <v>74</v>
      </c>
      <c r="AO760" s="1" t="s">
        <v>74</v>
      </c>
      <c r="AP760" s="1" t="s">
        <v>74</v>
      </c>
      <c r="AQ760" s="1" t="s">
        <v>7701</v>
      </c>
      <c r="AR760" s="1" t="s">
        <v>74</v>
      </c>
      <c r="AS760" s="1" t="s">
        <v>74</v>
      </c>
      <c r="AT760" s="1" t="s">
        <v>74</v>
      </c>
      <c r="AU760" s="1">
        <v>2014.0</v>
      </c>
      <c r="AV760" s="1">
        <v>16.0</v>
      </c>
      <c r="AW760" s="1" t="s">
        <v>74</v>
      </c>
      <c r="AX760" s="1" t="s">
        <v>74</v>
      </c>
      <c r="AY760" s="1" t="s">
        <v>74</v>
      </c>
      <c r="AZ760" s="1" t="s">
        <v>74</v>
      </c>
      <c r="BA760" s="1" t="s">
        <v>74</v>
      </c>
      <c r="BB760" s="1">
        <v>185.0</v>
      </c>
      <c r="BC760" s="1">
        <v>215.0</v>
      </c>
      <c r="BD760" s="1" t="s">
        <v>74</v>
      </c>
      <c r="BE760" s="1" t="s">
        <v>7702</v>
      </c>
      <c r="BF760" s="2" t="str">
        <f>HYPERLINK("http://dx.doi.org/10.1007/978-94-017-8848-9_7","http://dx.doi.org/10.1007/978-94-017-8848-9_7")</f>
        <v>http://dx.doi.org/10.1007/978-94-017-8848-9_7</v>
      </c>
      <c r="BG760" s="1" t="s">
        <v>7703</v>
      </c>
      <c r="BH760" s="1" t="s">
        <v>74</v>
      </c>
      <c r="BI760" s="1" t="s">
        <v>74</v>
      </c>
      <c r="BJ760" s="1" t="s">
        <v>74</v>
      </c>
      <c r="BK760" s="1" t="s">
        <v>74</v>
      </c>
      <c r="BL760" s="1" t="s">
        <v>74</v>
      </c>
      <c r="BM760" s="1" t="s">
        <v>74</v>
      </c>
      <c r="BN760" s="1" t="s">
        <v>74</v>
      </c>
      <c r="BO760" s="1" t="s">
        <v>74</v>
      </c>
      <c r="BP760" s="1" t="s">
        <v>74</v>
      </c>
      <c r="BQ760" s="1" t="s">
        <v>74</v>
      </c>
      <c r="BR760" s="1" t="s">
        <v>74</v>
      </c>
      <c r="BS760" s="1" t="s">
        <v>7704</v>
      </c>
      <c r="BT760" s="1" t="str">
        <f>HYPERLINK("https%3A%2F%2Fwww.webofscience.com%2Fwos%2Fwoscc%2Ffull-record%2FWOS:000343085200007","View Full Record in Web of Science")</f>
        <v>View Full Record in Web of Science</v>
      </c>
    </row>
    <row r="761" ht="12.75" customHeight="1">
      <c r="A761" s="1" t="s">
        <v>72</v>
      </c>
      <c r="B761" s="1" t="s">
        <v>7705</v>
      </c>
      <c r="C761" s="1" t="s">
        <v>74</v>
      </c>
      <c r="D761" s="1" t="s">
        <v>74</v>
      </c>
      <c r="E761" s="1" t="s">
        <v>74</v>
      </c>
      <c r="F761" s="1" t="s">
        <v>7706</v>
      </c>
      <c r="G761" s="1" t="s">
        <v>74</v>
      </c>
      <c r="H761" s="1" t="s">
        <v>74</v>
      </c>
      <c r="I761" s="1" t="s">
        <v>7707</v>
      </c>
      <c r="J761" s="1" t="s">
        <v>7708</v>
      </c>
      <c r="K761" s="1" t="s">
        <v>74</v>
      </c>
      <c r="L761" s="1" t="s">
        <v>74</v>
      </c>
      <c r="M761" s="1" t="s">
        <v>74</v>
      </c>
      <c r="N761" s="1" t="s">
        <v>74</v>
      </c>
      <c r="O761" s="1" t="s">
        <v>74</v>
      </c>
      <c r="P761" s="1" t="s">
        <v>74</v>
      </c>
      <c r="Q761" s="1" t="s">
        <v>74</v>
      </c>
      <c r="R761" s="1" t="s">
        <v>74</v>
      </c>
      <c r="S761" s="1" t="s">
        <v>74</v>
      </c>
      <c r="T761" s="1" t="s">
        <v>74</v>
      </c>
      <c r="U761" s="1" t="s">
        <v>74</v>
      </c>
      <c r="V761" s="1" t="s">
        <v>7709</v>
      </c>
      <c r="W761" s="1" t="s">
        <v>74</v>
      </c>
      <c r="X761" s="1" t="s">
        <v>74</v>
      </c>
      <c r="Y761" s="1" t="s">
        <v>74</v>
      </c>
      <c r="Z761" s="1" t="s">
        <v>74</v>
      </c>
      <c r="AA761" s="1" t="s">
        <v>5450</v>
      </c>
      <c r="AB761" s="1" t="s">
        <v>7710</v>
      </c>
      <c r="AC761" s="1" t="s">
        <v>74</v>
      </c>
      <c r="AD761" s="1" t="s">
        <v>74</v>
      </c>
      <c r="AE761" s="1" t="s">
        <v>74</v>
      </c>
      <c r="AF761" s="1" t="s">
        <v>74</v>
      </c>
      <c r="AG761" s="1" t="s">
        <v>74</v>
      </c>
      <c r="AH761" s="1" t="s">
        <v>74</v>
      </c>
      <c r="AI761" s="1" t="s">
        <v>74</v>
      </c>
      <c r="AJ761" s="1" t="s">
        <v>74</v>
      </c>
      <c r="AK761" s="1" t="s">
        <v>74</v>
      </c>
      <c r="AL761" s="1" t="s">
        <v>74</v>
      </c>
      <c r="AM761" s="1" t="s">
        <v>74</v>
      </c>
      <c r="AN761" s="1" t="s">
        <v>74</v>
      </c>
      <c r="AO761" s="1" t="s">
        <v>7711</v>
      </c>
      <c r="AP761" s="1" t="s">
        <v>74</v>
      </c>
      <c r="AQ761" s="1" t="s">
        <v>74</v>
      </c>
      <c r="AR761" s="1" t="s">
        <v>74</v>
      </c>
      <c r="AS761" s="1" t="s">
        <v>74</v>
      </c>
      <c r="AT761" s="1" t="s">
        <v>348</v>
      </c>
      <c r="AU761" s="1">
        <v>2013.0</v>
      </c>
      <c r="AV761" s="1">
        <v>370.0</v>
      </c>
      <c r="AW761" s="1" t="s">
        <v>527</v>
      </c>
      <c r="AX761" s="1" t="s">
        <v>74</v>
      </c>
      <c r="AY761" s="1" t="s">
        <v>74</v>
      </c>
      <c r="AZ761" s="1" t="s">
        <v>74</v>
      </c>
      <c r="BA761" s="1" t="s">
        <v>74</v>
      </c>
      <c r="BB761" s="1">
        <v>471.0</v>
      </c>
      <c r="BC761" s="1">
        <v>483.0</v>
      </c>
      <c r="BD761" s="1" t="s">
        <v>74</v>
      </c>
      <c r="BE761" s="1" t="s">
        <v>7712</v>
      </c>
      <c r="BF761" s="2" t="str">
        <f>HYPERLINK("http://dx.doi.org/10.1007/s11104-013-1628-x","http://dx.doi.org/10.1007/s11104-013-1628-x")</f>
        <v>http://dx.doi.org/10.1007/s11104-013-1628-x</v>
      </c>
      <c r="BG761" s="1" t="s">
        <v>74</v>
      </c>
      <c r="BH761" s="1" t="s">
        <v>74</v>
      </c>
      <c r="BI761" s="1" t="s">
        <v>74</v>
      </c>
      <c r="BJ761" s="1" t="s">
        <v>74</v>
      </c>
      <c r="BK761" s="1" t="s">
        <v>74</v>
      </c>
      <c r="BL761" s="1" t="s">
        <v>74</v>
      </c>
      <c r="BM761" s="1" t="s">
        <v>74</v>
      </c>
      <c r="BN761" s="1" t="s">
        <v>74</v>
      </c>
      <c r="BO761" s="1" t="s">
        <v>74</v>
      </c>
      <c r="BP761" s="1" t="s">
        <v>74</v>
      </c>
      <c r="BQ761" s="1" t="s">
        <v>74</v>
      </c>
      <c r="BR761" s="1" t="s">
        <v>74</v>
      </c>
      <c r="BS761" s="1" t="s">
        <v>7713</v>
      </c>
      <c r="BT761" s="1" t="str">
        <f>HYPERLINK("https%3A%2F%2Fwww.webofscience.com%2Fwos%2Fwoscc%2Ffull-record%2FWOS:000323253500035","View Full Record in Web of Science")</f>
        <v>View Full Record in Web of Science</v>
      </c>
    </row>
    <row r="762" ht="12.75" customHeight="1">
      <c r="A762" s="1" t="s">
        <v>86</v>
      </c>
      <c r="B762" s="1" t="s">
        <v>7714</v>
      </c>
      <c r="C762" s="1" t="s">
        <v>74</v>
      </c>
      <c r="D762" s="1" t="s">
        <v>7715</v>
      </c>
      <c r="E762" s="1" t="s">
        <v>74</v>
      </c>
      <c r="F762" s="1" t="s">
        <v>7716</v>
      </c>
      <c r="G762" s="1" t="s">
        <v>74</v>
      </c>
      <c r="H762" s="1" t="s">
        <v>74</v>
      </c>
      <c r="I762" s="1" t="s">
        <v>7717</v>
      </c>
      <c r="J762" s="1" t="s">
        <v>7718</v>
      </c>
      <c r="K762" s="1" t="s">
        <v>7719</v>
      </c>
      <c r="L762" s="1" t="s">
        <v>74</v>
      </c>
      <c r="M762" s="1" t="s">
        <v>74</v>
      </c>
      <c r="N762" s="1" t="s">
        <v>74</v>
      </c>
      <c r="O762" s="1" t="s">
        <v>7720</v>
      </c>
      <c r="P762" s="1" t="s">
        <v>7721</v>
      </c>
      <c r="Q762" s="1" t="s">
        <v>7722</v>
      </c>
      <c r="R762" s="1" t="s">
        <v>7723</v>
      </c>
      <c r="S762" s="1" t="s">
        <v>74</v>
      </c>
      <c r="T762" s="1" t="s">
        <v>74</v>
      </c>
      <c r="U762" s="1" t="s">
        <v>74</v>
      </c>
      <c r="V762" s="1" t="s">
        <v>7724</v>
      </c>
      <c r="W762" s="1" t="s">
        <v>74</v>
      </c>
      <c r="X762" s="1" t="s">
        <v>74</v>
      </c>
      <c r="Y762" s="1" t="s">
        <v>74</v>
      </c>
      <c r="Z762" s="1" t="s">
        <v>74</v>
      </c>
      <c r="AA762" s="1" t="s">
        <v>1070</v>
      </c>
      <c r="AB762" s="1" t="s">
        <v>7725</v>
      </c>
      <c r="AC762" s="1" t="s">
        <v>74</v>
      </c>
      <c r="AD762" s="1" t="s">
        <v>74</v>
      </c>
      <c r="AE762" s="1" t="s">
        <v>74</v>
      </c>
      <c r="AF762" s="1" t="s">
        <v>74</v>
      </c>
      <c r="AG762" s="1" t="s">
        <v>74</v>
      </c>
      <c r="AH762" s="1" t="s">
        <v>74</v>
      </c>
      <c r="AI762" s="1" t="s">
        <v>74</v>
      </c>
      <c r="AJ762" s="1" t="s">
        <v>74</v>
      </c>
      <c r="AK762" s="1" t="s">
        <v>74</v>
      </c>
      <c r="AL762" s="1" t="s">
        <v>74</v>
      </c>
      <c r="AM762" s="1" t="s">
        <v>74</v>
      </c>
      <c r="AN762" s="1" t="s">
        <v>74</v>
      </c>
      <c r="AO762" s="1" t="s">
        <v>1072</v>
      </c>
      <c r="AP762" s="1" t="s">
        <v>74</v>
      </c>
      <c r="AQ762" s="1" t="s">
        <v>7726</v>
      </c>
      <c r="AR762" s="1" t="s">
        <v>74</v>
      </c>
      <c r="AS762" s="1" t="s">
        <v>74</v>
      </c>
      <c r="AT762" s="1" t="s">
        <v>74</v>
      </c>
      <c r="AU762" s="1">
        <v>2013.0</v>
      </c>
      <c r="AV762" s="1" t="s">
        <v>74</v>
      </c>
      <c r="AW762" s="1" t="s">
        <v>74</v>
      </c>
      <c r="AX762" s="1" t="s">
        <v>74</v>
      </c>
      <c r="AY762" s="1" t="s">
        <v>74</v>
      </c>
      <c r="AZ762" s="1" t="s">
        <v>74</v>
      </c>
      <c r="BA762" s="1" t="s">
        <v>74</v>
      </c>
      <c r="BB762" s="1">
        <v>140.0</v>
      </c>
      <c r="BC762" s="1">
        <v>147.0</v>
      </c>
      <c r="BD762" s="1" t="s">
        <v>74</v>
      </c>
      <c r="BE762" s="1" t="s">
        <v>7727</v>
      </c>
      <c r="BF762" s="2" t="str">
        <f>HYPERLINK("http://dx.doi.org/10.1109/PDP.2013.28","http://dx.doi.org/10.1109/PDP.2013.28")</f>
        <v>http://dx.doi.org/10.1109/PDP.2013.28</v>
      </c>
      <c r="BG762" s="1" t="s">
        <v>74</v>
      </c>
      <c r="BH762" s="1" t="s">
        <v>74</v>
      </c>
      <c r="BI762" s="1" t="s">
        <v>74</v>
      </c>
      <c r="BJ762" s="1" t="s">
        <v>74</v>
      </c>
      <c r="BK762" s="1" t="s">
        <v>74</v>
      </c>
      <c r="BL762" s="1" t="s">
        <v>74</v>
      </c>
      <c r="BM762" s="1" t="s">
        <v>74</v>
      </c>
      <c r="BN762" s="1" t="s">
        <v>74</v>
      </c>
      <c r="BO762" s="1" t="s">
        <v>74</v>
      </c>
      <c r="BP762" s="1" t="s">
        <v>74</v>
      </c>
      <c r="BQ762" s="1" t="s">
        <v>74</v>
      </c>
      <c r="BR762" s="1" t="s">
        <v>74</v>
      </c>
      <c r="BS762" s="1" t="s">
        <v>7728</v>
      </c>
      <c r="BT762" s="1" t="str">
        <f>HYPERLINK("https%3A%2F%2Fwww.webofscience.com%2Fwos%2Fwoscc%2Ffull-record%2FWOS:000321123000020","View Full Record in Web of Science")</f>
        <v>View Full Record in Web of Science</v>
      </c>
    </row>
    <row r="763" ht="12.75" customHeight="1">
      <c r="A763" s="1" t="s">
        <v>72</v>
      </c>
      <c r="B763" s="1" t="s">
        <v>7729</v>
      </c>
      <c r="C763" s="1" t="s">
        <v>74</v>
      </c>
      <c r="D763" s="1" t="s">
        <v>74</v>
      </c>
      <c r="E763" s="1" t="s">
        <v>74</v>
      </c>
      <c r="F763" s="1" t="s">
        <v>7730</v>
      </c>
      <c r="G763" s="1" t="s">
        <v>74</v>
      </c>
      <c r="H763" s="1" t="s">
        <v>74</v>
      </c>
      <c r="I763" s="1" t="s">
        <v>7731</v>
      </c>
      <c r="J763" s="1" t="s">
        <v>7732</v>
      </c>
      <c r="K763" s="1" t="s">
        <v>74</v>
      </c>
      <c r="L763" s="1" t="s">
        <v>74</v>
      </c>
      <c r="M763" s="1" t="s">
        <v>74</v>
      </c>
      <c r="N763" s="1" t="s">
        <v>74</v>
      </c>
      <c r="O763" s="1" t="s">
        <v>74</v>
      </c>
      <c r="P763" s="1" t="s">
        <v>74</v>
      </c>
      <c r="Q763" s="1" t="s">
        <v>74</v>
      </c>
      <c r="R763" s="1" t="s">
        <v>74</v>
      </c>
      <c r="S763" s="1" t="s">
        <v>74</v>
      </c>
      <c r="T763" s="1" t="s">
        <v>74</v>
      </c>
      <c r="U763" s="1" t="s">
        <v>74</v>
      </c>
      <c r="V763" s="1" t="s">
        <v>7733</v>
      </c>
      <c r="W763" s="1" t="s">
        <v>74</v>
      </c>
      <c r="X763" s="1" t="s">
        <v>74</v>
      </c>
      <c r="Y763" s="1" t="s">
        <v>74</v>
      </c>
      <c r="Z763" s="1" t="s">
        <v>74</v>
      </c>
      <c r="AA763" s="1" t="s">
        <v>7734</v>
      </c>
      <c r="AB763" s="1" t="s">
        <v>7735</v>
      </c>
      <c r="AC763" s="1" t="s">
        <v>74</v>
      </c>
      <c r="AD763" s="1" t="s">
        <v>74</v>
      </c>
      <c r="AE763" s="1" t="s">
        <v>74</v>
      </c>
      <c r="AF763" s="1" t="s">
        <v>74</v>
      </c>
      <c r="AG763" s="1" t="s">
        <v>74</v>
      </c>
      <c r="AH763" s="1" t="s">
        <v>74</v>
      </c>
      <c r="AI763" s="1" t="s">
        <v>74</v>
      </c>
      <c r="AJ763" s="1" t="s">
        <v>74</v>
      </c>
      <c r="AK763" s="1" t="s">
        <v>74</v>
      </c>
      <c r="AL763" s="1" t="s">
        <v>74</v>
      </c>
      <c r="AM763" s="1" t="s">
        <v>74</v>
      </c>
      <c r="AN763" s="1" t="s">
        <v>74</v>
      </c>
      <c r="AO763" s="1" t="s">
        <v>7736</v>
      </c>
      <c r="AP763" s="1" t="s">
        <v>74</v>
      </c>
      <c r="AQ763" s="1" t="s">
        <v>74</v>
      </c>
      <c r="AR763" s="1" t="s">
        <v>74</v>
      </c>
      <c r="AS763" s="1" t="s">
        <v>74</v>
      </c>
      <c r="AT763" s="1" t="s">
        <v>3122</v>
      </c>
      <c r="AU763" s="1">
        <v>2012.0</v>
      </c>
      <c r="AV763" s="1">
        <v>69.0</v>
      </c>
      <c r="AW763" s="1">
        <v>9.0</v>
      </c>
      <c r="AX763" s="1" t="s">
        <v>74</v>
      </c>
      <c r="AY763" s="1" t="s">
        <v>74</v>
      </c>
      <c r="AZ763" s="1" t="s">
        <v>74</v>
      </c>
      <c r="BA763" s="1" t="s">
        <v>74</v>
      </c>
      <c r="BB763" s="1">
        <v>1496.0</v>
      </c>
      <c r="BC763" s="1">
        <v>1521.0</v>
      </c>
      <c r="BD763" s="1" t="s">
        <v>74</v>
      </c>
      <c r="BE763" s="1" t="s">
        <v>7737</v>
      </c>
      <c r="BF763" s="2" t="str">
        <f>HYPERLINK("http://dx.doi.org/10.1002/fld.2648","http://dx.doi.org/10.1002/fld.2648")</f>
        <v>http://dx.doi.org/10.1002/fld.2648</v>
      </c>
      <c r="BG763" s="1" t="s">
        <v>74</v>
      </c>
      <c r="BH763" s="1" t="s">
        <v>74</v>
      </c>
      <c r="BI763" s="1" t="s">
        <v>74</v>
      </c>
      <c r="BJ763" s="1" t="s">
        <v>74</v>
      </c>
      <c r="BK763" s="1" t="s">
        <v>74</v>
      </c>
      <c r="BL763" s="1" t="s">
        <v>74</v>
      </c>
      <c r="BM763" s="1" t="s">
        <v>74</v>
      </c>
      <c r="BN763" s="1" t="s">
        <v>74</v>
      </c>
      <c r="BO763" s="1" t="s">
        <v>74</v>
      </c>
      <c r="BP763" s="1" t="s">
        <v>74</v>
      </c>
      <c r="BQ763" s="1" t="s">
        <v>74</v>
      </c>
      <c r="BR763" s="1" t="s">
        <v>74</v>
      </c>
      <c r="BS763" s="1" t="s">
        <v>7738</v>
      </c>
      <c r="BT763" s="1" t="str">
        <f>HYPERLINK("https%3A%2F%2Fwww.webofscience.com%2Fwos%2Fwoscc%2Ffull-record%2FWOS:000305450000004","View Full Record in Web of Science")</f>
        <v>View Full Record in Web of Science</v>
      </c>
    </row>
    <row r="764" ht="12.75" customHeight="1">
      <c r="A764" s="1" t="s">
        <v>72</v>
      </c>
      <c r="B764" s="1" t="s">
        <v>7739</v>
      </c>
      <c r="C764" s="1" t="s">
        <v>74</v>
      </c>
      <c r="D764" s="1" t="s">
        <v>74</v>
      </c>
      <c r="E764" s="1" t="s">
        <v>74</v>
      </c>
      <c r="F764" s="1" t="s">
        <v>7740</v>
      </c>
      <c r="G764" s="1" t="s">
        <v>74</v>
      </c>
      <c r="H764" s="1" t="s">
        <v>74</v>
      </c>
      <c r="I764" s="1" t="s">
        <v>7741</v>
      </c>
      <c r="J764" s="1" t="s">
        <v>7742</v>
      </c>
      <c r="K764" s="1" t="s">
        <v>74</v>
      </c>
      <c r="L764" s="1" t="s">
        <v>74</v>
      </c>
      <c r="M764" s="1" t="s">
        <v>74</v>
      </c>
      <c r="N764" s="1" t="s">
        <v>74</v>
      </c>
      <c r="O764" s="1" t="s">
        <v>74</v>
      </c>
      <c r="P764" s="1" t="s">
        <v>74</v>
      </c>
      <c r="Q764" s="1" t="s">
        <v>74</v>
      </c>
      <c r="R764" s="1" t="s">
        <v>74</v>
      </c>
      <c r="S764" s="1" t="s">
        <v>74</v>
      </c>
      <c r="T764" s="1" t="s">
        <v>74</v>
      </c>
      <c r="U764" s="1" t="s">
        <v>74</v>
      </c>
      <c r="V764" s="1" t="s">
        <v>7743</v>
      </c>
      <c r="W764" s="1" t="s">
        <v>74</v>
      </c>
      <c r="X764" s="1" t="s">
        <v>74</v>
      </c>
      <c r="Y764" s="1" t="s">
        <v>74</v>
      </c>
      <c r="Z764" s="1" t="s">
        <v>74</v>
      </c>
      <c r="AA764" s="1" t="s">
        <v>7744</v>
      </c>
      <c r="AB764" s="1" t="s">
        <v>7745</v>
      </c>
      <c r="AC764" s="1" t="s">
        <v>74</v>
      </c>
      <c r="AD764" s="1" t="s">
        <v>74</v>
      </c>
      <c r="AE764" s="1" t="s">
        <v>74</v>
      </c>
      <c r="AF764" s="1" t="s">
        <v>74</v>
      </c>
      <c r="AG764" s="1" t="s">
        <v>74</v>
      </c>
      <c r="AH764" s="1" t="s">
        <v>74</v>
      </c>
      <c r="AI764" s="1" t="s">
        <v>74</v>
      </c>
      <c r="AJ764" s="1" t="s">
        <v>74</v>
      </c>
      <c r="AK764" s="1" t="s">
        <v>74</v>
      </c>
      <c r="AL764" s="1" t="s">
        <v>74</v>
      </c>
      <c r="AM764" s="1" t="s">
        <v>74</v>
      </c>
      <c r="AN764" s="1" t="s">
        <v>74</v>
      </c>
      <c r="AO764" s="1" t="s">
        <v>7746</v>
      </c>
      <c r="AP764" s="1" t="s">
        <v>7747</v>
      </c>
      <c r="AQ764" s="1" t="s">
        <v>74</v>
      </c>
      <c r="AR764" s="1" t="s">
        <v>74</v>
      </c>
      <c r="AS764" s="1" t="s">
        <v>74</v>
      </c>
      <c r="AT764" s="1" t="s">
        <v>1018</v>
      </c>
      <c r="AU764" s="1">
        <v>2011.0</v>
      </c>
      <c r="AV764" s="1">
        <v>26.0</v>
      </c>
      <c r="AW764" s="1">
        <v>3.0</v>
      </c>
      <c r="AX764" s="1" t="s">
        <v>74</v>
      </c>
      <c r="AY764" s="1" t="s">
        <v>74</v>
      </c>
      <c r="AZ764" s="1" t="s">
        <v>74</v>
      </c>
      <c r="BA764" s="1" t="s">
        <v>74</v>
      </c>
      <c r="BB764" s="1">
        <v>1089.0</v>
      </c>
      <c r="BC764" s="1">
        <v>1101.0</v>
      </c>
      <c r="BD764" s="1" t="s">
        <v>74</v>
      </c>
      <c r="BE764" s="1" t="s">
        <v>7748</v>
      </c>
      <c r="BF764" s="2" t="str">
        <f>HYPERLINK("http://dx.doi.org/10.1109/TPWRS.2010.2077313","http://dx.doi.org/10.1109/TPWRS.2010.2077313")</f>
        <v>http://dx.doi.org/10.1109/TPWRS.2010.2077313</v>
      </c>
      <c r="BG764" s="1" t="s">
        <v>74</v>
      </c>
      <c r="BH764" s="1" t="s">
        <v>74</v>
      </c>
      <c r="BI764" s="1" t="s">
        <v>74</v>
      </c>
      <c r="BJ764" s="1" t="s">
        <v>74</v>
      </c>
      <c r="BK764" s="1" t="s">
        <v>74</v>
      </c>
      <c r="BL764" s="1" t="s">
        <v>74</v>
      </c>
      <c r="BM764" s="1" t="s">
        <v>74</v>
      </c>
      <c r="BN764" s="1" t="s">
        <v>74</v>
      </c>
      <c r="BO764" s="1" t="s">
        <v>74</v>
      </c>
      <c r="BP764" s="1" t="s">
        <v>74</v>
      </c>
      <c r="BQ764" s="1" t="s">
        <v>74</v>
      </c>
      <c r="BR764" s="1" t="s">
        <v>74</v>
      </c>
      <c r="BS764" s="1" t="s">
        <v>7749</v>
      </c>
      <c r="BT764" s="1" t="str">
        <f>HYPERLINK("https%3A%2F%2Fwww.webofscience.com%2Fwos%2Fwoscc%2Ffull-record%2FWOS:000293711700013","View Full Record in Web of Science")</f>
        <v>View Full Record in Web of Science</v>
      </c>
    </row>
    <row r="765" ht="12.75" customHeight="1">
      <c r="A765" s="1" t="s">
        <v>72</v>
      </c>
      <c r="B765" s="1" t="s">
        <v>7750</v>
      </c>
      <c r="C765" s="1" t="s">
        <v>74</v>
      </c>
      <c r="D765" s="1" t="s">
        <v>74</v>
      </c>
      <c r="E765" s="1" t="s">
        <v>74</v>
      </c>
      <c r="F765" s="1" t="s">
        <v>7751</v>
      </c>
      <c r="G765" s="1" t="s">
        <v>74</v>
      </c>
      <c r="H765" s="1" t="s">
        <v>74</v>
      </c>
      <c r="I765" s="1" t="s">
        <v>7752</v>
      </c>
      <c r="J765" s="1" t="s">
        <v>7753</v>
      </c>
      <c r="K765" s="1" t="s">
        <v>74</v>
      </c>
      <c r="L765" s="1" t="s">
        <v>74</v>
      </c>
      <c r="M765" s="1" t="s">
        <v>74</v>
      </c>
      <c r="N765" s="1" t="s">
        <v>74</v>
      </c>
      <c r="O765" s="1" t="s">
        <v>74</v>
      </c>
      <c r="P765" s="1" t="s">
        <v>74</v>
      </c>
      <c r="Q765" s="1" t="s">
        <v>74</v>
      </c>
      <c r="R765" s="1" t="s">
        <v>74</v>
      </c>
      <c r="S765" s="1" t="s">
        <v>74</v>
      </c>
      <c r="T765" s="1" t="s">
        <v>74</v>
      </c>
      <c r="U765" s="1" t="s">
        <v>74</v>
      </c>
      <c r="V765" s="1" t="s">
        <v>7754</v>
      </c>
      <c r="W765" s="1" t="s">
        <v>74</v>
      </c>
      <c r="X765" s="1" t="s">
        <v>74</v>
      </c>
      <c r="Y765" s="1" t="s">
        <v>74</v>
      </c>
      <c r="Z765" s="1" t="s">
        <v>74</v>
      </c>
      <c r="AA765" s="1" t="s">
        <v>7755</v>
      </c>
      <c r="AB765" s="1" t="s">
        <v>7756</v>
      </c>
      <c r="AC765" s="1" t="s">
        <v>74</v>
      </c>
      <c r="AD765" s="1" t="s">
        <v>74</v>
      </c>
      <c r="AE765" s="1" t="s">
        <v>74</v>
      </c>
      <c r="AF765" s="1" t="s">
        <v>74</v>
      </c>
      <c r="AG765" s="1" t="s">
        <v>74</v>
      </c>
      <c r="AH765" s="1" t="s">
        <v>74</v>
      </c>
      <c r="AI765" s="1" t="s">
        <v>74</v>
      </c>
      <c r="AJ765" s="1" t="s">
        <v>74</v>
      </c>
      <c r="AK765" s="1" t="s">
        <v>74</v>
      </c>
      <c r="AL765" s="1" t="s">
        <v>74</v>
      </c>
      <c r="AM765" s="1" t="s">
        <v>74</v>
      </c>
      <c r="AN765" s="1" t="s">
        <v>74</v>
      </c>
      <c r="AO765" s="1" t="s">
        <v>7757</v>
      </c>
      <c r="AP765" s="1" t="s">
        <v>7758</v>
      </c>
      <c r="AQ765" s="1" t="s">
        <v>74</v>
      </c>
      <c r="AR765" s="1" t="s">
        <v>74</v>
      </c>
      <c r="AS765" s="1" t="s">
        <v>74</v>
      </c>
      <c r="AT765" s="1" t="s">
        <v>939</v>
      </c>
      <c r="AU765" s="1">
        <v>2011.0</v>
      </c>
      <c r="AV765" s="1">
        <v>14.0</v>
      </c>
      <c r="AW765" s="1">
        <v>6.0</v>
      </c>
      <c r="AX765" s="1" t="s">
        <v>74</v>
      </c>
      <c r="AY765" s="1" t="s">
        <v>74</v>
      </c>
      <c r="AZ765" s="1" t="s">
        <v>74</v>
      </c>
      <c r="BA765" s="1" t="s">
        <v>74</v>
      </c>
      <c r="BB765" s="1">
        <v>964.0</v>
      </c>
      <c r="BC765" s="1">
        <v>967.0</v>
      </c>
      <c r="BD765" s="1" t="s">
        <v>74</v>
      </c>
      <c r="BE765" s="1" t="s">
        <v>7759</v>
      </c>
      <c r="BF765" s="2" t="str">
        <f>HYPERLINK("http://dx.doi.org/10.1016/j.inoche.2011.03.043","http://dx.doi.org/10.1016/j.inoche.2011.03.043")</f>
        <v>http://dx.doi.org/10.1016/j.inoche.2011.03.043</v>
      </c>
      <c r="BG765" s="1" t="s">
        <v>74</v>
      </c>
      <c r="BH765" s="1" t="s">
        <v>74</v>
      </c>
      <c r="BI765" s="1" t="s">
        <v>74</v>
      </c>
      <c r="BJ765" s="1" t="s">
        <v>74</v>
      </c>
      <c r="BK765" s="1" t="s">
        <v>74</v>
      </c>
      <c r="BL765" s="1" t="s">
        <v>74</v>
      </c>
      <c r="BM765" s="1" t="s">
        <v>74</v>
      </c>
      <c r="BN765" s="1" t="s">
        <v>74</v>
      </c>
      <c r="BO765" s="1" t="s">
        <v>74</v>
      </c>
      <c r="BP765" s="1" t="s">
        <v>74</v>
      </c>
      <c r="BQ765" s="1" t="s">
        <v>74</v>
      </c>
      <c r="BR765" s="1" t="s">
        <v>74</v>
      </c>
      <c r="BS765" s="1" t="s">
        <v>7760</v>
      </c>
      <c r="BT765" s="1" t="str">
        <f>HYPERLINK("https%3A%2F%2Fwww.webofscience.com%2Fwos%2Fwoscc%2Ffull-record%2FWOS:000291835600040","View Full Record in Web of Science")</f>
        <v>View Full Record in Web of Science</v>
      </c>
    </row>
    <row r="766" ht="12.75" customHeight="1">
      <c r="A766" s="1" t="s">
        <v>72</v>
      </c>
      <c r="B766" s="1" t="s">
        <v>7761</v>
      </c>
      <c r="C766" s="1" t="s">
        <v>74</v>
      </c>
      <c r="D766" s="1" t="s">
        <v>74</v>
      </c>
      <c r="E766" s="1" t="s">
        <v>74</v>
      </c>
      <c r="F766" s="1" t="s">
        <v>7762</v>
      </c>
      <c r="G766" s="1" t="s">
        <v>74</v>
      </c>
      <c r="H766" s="1" t="s">
        <v>74</v>
      </c>
      <c r="I766" s="1" t="s">
        <v>7763</v>
      </c>
      <c r="J766" s="1" t="s">
        <v>354</v>
      </c>
      <c r="K766" s="1" t="s">
        <v>74</v>
      </c>
      <c r="L766" s="1" t="s">
        <v>74</v>
      </c>
      <c r="M766" s="1" t="s">
        <v>74</v>
      </c>
      <c r="N766" s="1" t="s">
        <v>74</v>
      </c>
      <c r="O766" s="1" t="s">
        <v>74</v>
      </c>
      <c r="P766" s="1" t="s">
        <v>74</v>
      </c>
      <c r="Q766" s="1" t="s">
        <v>74</v>
      </c>
      <c r="R766" s="1" t="s">
        <v>74</v>
      </c>
      <c r="S766" s="1" t="s">
        <v>74</v>
      </c>
      <c r="T766" s="1" t="s">
        <v>74</v>
      </c>
      <c r="U766" s="1" t="s">
        <v>74</v>
      </c>
      <c r="V766" s="1" t="s">
        <v>7764</v>
      </c>
      <c r="W766" s="1" t="s">
        <v>74</v>
      </c>
      <c r="X766" s="1" t="s">
        <v>74</v>
      </c>
      <c r="Y766" s="1" t="s">
        <v>74</v>
      </c>
      <c r="Z766" s="1" t="s">
        <v>74</v>
      </c>
      <c r="AA766" s="1" t="s">
        <v>7765</v>
      </c>
      <c r="AB766" s="1" t="s">
        <v>7766</v>
      </c>
      <c r="AC766" s="1" t="s">
        <v>74</v>
      </c>
      <c r="AD766" s="1" t="s">
        <v>74</v>
      </c>
      <c r="AE766" s="1" t="s">
        <v>74</v>
      </c>
      <c r="AF766" s="1" t="s">
        <v>74</v>
      </c>
      <c r="AG766" s="1" t="s">
        <v>74</v>
      </c>
      <c r="AH766" s="1" t="s">
        <v>74</v>
      </c>
      <c r="AI766" s="1" t="s">
        <v>74</v>
      </c>
      <c r="AJ766" s="1" t="s">
        <v>74</v>
      </c>
      <c r="AK766" s="1" t="s">
        <v>74</v>
      </c>
      <c r="AL766" s="1" t="s">
        <v>74</v>
      </c>
      <c r="AM766" s="1" t="s">
        <v>74</v>
      </c>
      <c r="AN766" s="1" t="s">
        <v>74</v>
      </c>
      <c r="AO766" s="1" t="s">
        <v>358</v>
      </c>
      <c r="AP766" s="1" t="s">
        <v>359</v>
      </c>
      <c r="AQ766" s="1" t="s">
        <v>74</v>
      </c>
      <c r="AR766" s="1" t="s">
        <v>74</v>
      </c>
      <c r="AS766" s="1" t="s">
        <v>74</v>
      </c>
      <c r="AT766" s="1" t="s">
        <v>7767</v>
      </c>
      <c r="AU766" s="1">
        <v>2011.0</v>
      </c>
      <c r="AV766" s="1">
        <v>56.0</v>
      </c>
      <c r="AW766" s="1">
        <v>14.0</v>
      </c>
      <c r="AX766" s="1" t="s">
        <v>74</v>
      </c>
      <c r="AY766" s="1" t="s">
        <v>74</v>
      </c>
      <c r="AZ766" s="1" t="s">
        <v>74</v>
      </c>
      <c r="BA766" s="1" t="s">
        <v>74</v>
      </c>
      <c r="BB766" s="1">
        <v>5230.0</v>
      </c>
      <c r="BC766" s="1">
        <v>5237.0</v>
      </c>
      <c r="BD766" s="1" t="s">
        <v>74</v>
      </c>
      <c r="BE766" s="1" t="s">
        <v>7768</v>
      </c>
      <c r="BF766" s="2" t="str">
        <f>HYPERLINK("http://dx.doi.org/10.1016/j.electacta.2011.03.028","http://dx.doi.org/10.1016/j.electacta.2011.03.028")</f>
        <v>http://dx.doi.org/10.1016/j.electacta.2011.03.028</v>
      </c>
      <c r="BG766" s="1" t="s">
        <v>74</v>
      </c>
      <c r="BH766" s="1" t="s">
        <v>74</v>
      </c>
      <c r="BI766" s="1" t="s">
        <v>74</v>
      </c>
      <c r="BJ766" s="1" t="s">
        <v>74</v>
      </c>
      <c r="BK766" s="1" t="s">
        <v>74</v>
      </c>
      <c r="BL766" s="1" t="s">
        <v>74</v>
      </c>
      <c r="BM766" s="1" t="s">
        <v>74</v>
      </c>
      <c r="BN766" s="1" t="s">
        <v>74</v>
      </c>
      <c r="BO766" s="1" t="s">
        <v>74</v>
      </c>
      <c r="BP766" s="1" t="s">
        <v>74</v>
      </c>
      <c r="BQ766" s="1" t="s">
        <v>74</v>
      </c>
      <c r="BR766" s="1" t="s">
        <v>74</v>
      </c>
      <c r="BS766" s="1" t="s">
        <v>7769</v>
      </c>
      <c r="BT766" s="1" t="str">
        <f>HYPERLINK("https%3A%2F%2Fwww.webofscience.com%2Fwos%2Fwoscc%2Ffull-record%2FWOS:000291907300045","View Full Record in Web of Science")</f>
        <v>View Full Record in Web of Science</v>
      </c>
    </row>
    <row r="767" ht="12.75" customHeight="1">
      <c r="A767" s="1" t="s">
        <v>72</v>
      </c>
      <c r="B767" s="1" t="s">
        <v>7388</v>
      </c>
      <c r="C767" s="1" t="s">
        <v>74</v>
      </c>
      <c r="D767" s="1" t="s">
        <v>74</v>
      </c>
      <c r="E767" s="1" t="s">
        <v>74</v>
      </c>
      <c r="F767" s="1" t="s">
        <v>7389</v>
      </c>
      <c r="G767" s="1" t="s">
        <v>74</v>
      </c>
      <c r="H767" s="1" t="s">
        <v>74</v>
      </c>
      <c r="I767" s="1" t="s">
        <v>7770</v>
      </c>
      <c r="J767" s="1" t="s">
        <v>7001</v>
      </c>
      <c r="K767" s="1" t="s">
        <v>74</v>
      </c>
      <c r="L767" s="1" t="s">
        <v>74</v>
      </c>
      <c r="M767" s="1" t="s">
        <v>74</v>
      </c>
      <c r="N767" s="1" t="s">
        <v>74</v>
      </c>
      <c r="O767" s="1" t="s">
        <v>74</v>
      </c>
      <c r="P767" s="1" t="s">
        <v>74</v>
      </c>
      <c r="Q767" s="1" t="s">
        <v>74</v>
      </c>
      <c r="R767" s="1" t="s">
        <v>74</v>
      </c>
      <c r="S767" s="1" t="s">
        <v>74</v>
      </c>
      <c r="T767" s="1" t="s">
        <v>74</v>
      </c>
      <c r="U767" s="1" t="s">
        <v>74</v>
      </c>
      <c r="V767" s="1" t="s">
        <v>7771</v>
      </c>
      <c r="W767" s="1" t="s">
        <v>74</v>
      </c>
      <c r="X767" s="1" t="s">
        <v>74</v>
      </c>
      <c r="Y767" s="1" t="s">
        <v>74</v>
      </c>
      <c r="Z767" s="1" t="s">
        <v>74</v>
      </c>
      <c r="AA767" s="1" t="s">
        <v>7772</v>
      </c>
      <c r="AB767" s="1" t="s">
        <v>7393</v>
      </c>
      <c r="AC767" s="1" t="s">
        <v>74</v>
      </c>
      <c r="AD767" s="1" t="s">
        <v>74</v>
      </c>
      <c r="AE767" s="1" t="s">
        <v>74</v>
      </c>
      <c r="AF767" s="1" t="s">
        <v>74</v>
      </c>
      <c r="AG767" s="1" t="s">
        <v>74</v>
      </c>
      <c r="AH767" s="1" t="s">
        <v>74</v>
      </c>
      <c r="AI767" s="1" t="s">
        <v>74</v>
      </c>
      <c r="AJ767" s="1" t="s">
        <v>74</v>
      </c>
      <c r="AK767" s="1" t="s">
        <v>74</v>
      </c>
      <c r="AL767" s="1" t="s">
        <v>74</v>
      </c>
      <c r="AM767" s="1" t="s">
        <v>74</v>
      </c>
      <c r="AN767" s="1" t="s">
        <v>74</v>
      </c>
      <c r="AO767" s="1" t="s">
        <v>7005</v>
      </c>
      <c r="AP767" s="1" t="s">
        <v>7006</v>
      </c>
      <c r="AQ767" s="1" t="s">
        <v>74</v>
      </c>
      <c r="AR767" s="1" t="s">
        <v>74</v>
      </c>
      <c r="AS767" s="1" t="s">
        <v>74</v>
      </c>
      <c r="AT767" s="1" t="s">
        <v>1213</v>
      </c>
      <c r="AU767" s="1">
        <v>2011.0</v>
      </c>
      <c r="AV767" s="1">
        <v>62.0</v>
      </c>
      <c r="AW767" s="1">
        <v>1.0</v>
      </c>
      <c r="AX767" s="1" t="s">
        <v>74</v>
      </c>
      <c r="AY767" s="1" t="s">
        <v>74</v>
      </c>
      <c r="AZ767" s="1" t="s">
        <v>74</v>
      </c>
      <c r="BA767" s="1" t="s">
        <v>74</v>
      </c>
      <c r="BB767" s="1">
        <v>25.0</v>
      </c>
      <c r="BC767" s="1">
        <v>31.0</v>
      </c>
      <c r="BD767" s="1" t="s">
        <v>74</v>
      </c>
      <c r="BE767" s="1" t="s">
        <v>7773</v>
      </c>
      <c r="BF767" s="2" t="str">
        <f>HYPERLINK("http://dx.doi.org/10.1140/epjd/e2010-10328-3","http://dx.doi.org/10.1140/epjd/e2010-10328-3")</f>
        <v>http://dx.doi.org/10.1140/epjd/e2010-10328-3</v>
      </c>
      <c r="BG767" s="1" t="s">
        <v>74</v>
      </c>
      <c r="BH767" s="1" t="s">
        <v>74</v>
      </c>
      <c r="BI767" s="1" t="s">
        <v>74</v>
      </c>
      <c r="BJ767" s="1" t="s">
        <v>74</v>
      </c>
      <c r="BK767" s="1" t="s">
        <v>74</v>
      </c>
      <c r="BL767" s="1" t="s">
        <v>74</v>
      </c>
      <c r="BM767" s="1" t="s">
        <v>74</v>
      </c>
      <c r="BN767" s="1" t="s">
        <v>74</v>
      </c>
      <c r="BO767" s="1" t="s">
        <v>74</v>
      </c>
      <c r="BP767" s="1" t="s">
        <v>74</v>
      </c>
      <c r="BQ767" s="1" t="s">
        <v>74</v>
      </c>
      <c r="BR767" s="1" t="s">
        <v>74</v>
      </c>
      <c r="BS767" s="1" t="s">
        <v>7774</v>
      </c>
      <c r="BT767" s="1" t="str">
        <f>HYPERLINK("https%3A%2F%2Fwww.webofscience.com%2Fwos%2Fwoscc%2Ffull-record%2FWOS:000289735000004","View Full Record in Web of Science")</f>
        <v>View Full Record in Web of Science</v>
      </c>
    </row>
    <row r="768" ht="12.75" customHeight="1">
      <c r="A768" s="1" t="s">
        <v>72</v>
      </c>
      <c r="B768" s="1" t="s">
        <v>7775</v>
      </c>
      <c r="C768" s="1" t="s">
        <v>74</v>
      </c>
      <c r="D768" s="1" t="s">
        <v>74</v>
      </c>
      <c r="E768" s="1" t="s">
        <v>74</v>
      </c>
      <c r="F768" s="1" t="s">
        <v>7776</v>
      </c>
      <c r="G768" s="1" t="s">
        <v>74</v>
      </c>
      <c r="H768" s="1" t="s">
        <v>74</v>
      </c>
      <c r="I768" s="1" t="s">
        <v>7777</v>
      </c>
      <c r="J768" s="1" t="s">
        <v>7778</v>
      </c>
      <c r="K768" s="1" t="s">
        <v>74</v>
      </c>
      <c r="L768" s="1" t="s">
        <v>74</v>
      </c>
      <c r="M768" s="1" t="s">
        <v>74</v>
      </c>
      <c r="N768" s="1" t="s">
        <v>74</v>
      </c>
      <c r="O768" s="1" t="s">
        <v>74</v>
      </c>
      <c r="P768" s="1" t="s">
        <v>74</v>
      </c>
      <c r="Q768" s="1" t="s">
        <v>74</v>
      </c>
      <c r="R768" s="1" t="s">
        <v>74</v>
      </c>
      <c r="S768" s="1" t="s">
        <v>74</v>
      </c>
      <c r="T768" s="1" t="s">
        <v>74</v>
      </c>
      <c r="U768" s="1" t="s">
        <v>74</v>
      </c>
      <c r="V768" s="1" t="s">
        <v>7779</v>
      </c>
      <c r="W768" s="1" t="s">
        <v>74</v>
      </c>
      <c r="X768" s="1" t="s">
        <v>74</v>
      </c>
      <c r="Y768" s="1" t="s">
        <v>74</v>
      </c>
      <c r="Z768" s="1" t="s">
        <v>74</v>
      </c>
      <c r="AA768" s="1" t="s">
        <v>7780</v>
      </c>
      <c r="AB768" s="1" t="s">
        <v>7781</v>
      </c>
      <c r="AC768" s="1" t="s">
        <v>74</v>
      </c>
      <c r="AD768" s="1" t="s">
        <v>74</v>
      </c>
      <c r="AE768" s="1" t="s">
        <v>74</v>
      </c>
      <c r="AF768" s="1" t="s">
        <v>74</v>
      </c>
      <c r="AG768" s="1" t="s">
        <v>74</v>
      </c>
      <c r="AH768" s="1" t="s">
        <v>74</v>
      </c>
      <c r="AI768" s="1" t="s">
        <v>74</v>
      </c>
      <c r="AJ768" s="1" t="s">
        <v>74</v>
      </c>
      <c r="AK768" s="1" t="s">
        <v>74</v>
      </c>
      <c r="AL768" s="1" t="s">
        <v>74</v>
      </c>
      <c r="AM768" s="1" t="s">
        <v>74</v>
      </c>
      <c r="AN768" s="1" t="s">
        <v>74</v>
      </c>
      <c r="AO768" s="1" t="s">
        <v>7782</v>
      </c>
      <c r="AP768" s="1" t="s">
        <v>7783</v>
      </c>
      <c r="AQ768" s="1" t="s">
        <v>74</v>
      </c>
      <c r="AR768" s="1" t="s">
        <v>74</v>
      </c>
      <c r="AS768" s="1" t="s">
        <v>74</v>
      </c>
      <c r="AT768" s="1" t="s">
        <v>348</v>
      </c>
      <c r="AU768" s="1">
        <v>2010.0</v>
      </c>
      <c r="AV768" s="1">
        <v>47.0</v>
      </c>
      <c r="AW768" s="1">
        <v>3.0</v>
      </c>
      <c r="AX768" s="1" t="s">
        <v>74</v>
      </c>
      <c r="AY768" s="1" t="s">
        <v>74</v>
      </c>
      <c r="AZ768" s="1" t="s">
        <v>74</v>
      </c>
      <c r="BA768" s="1" t="s">
        <v>74</v>
      </c>
      <c r="BB768" s="1">
        <v>251.0</v>
      </c>
      <c r="BC768" s="1">
        <v>257.0</v>
      </c>
      <c r="BD768" s="1" t="s">
        <v>74</v>
      </c>
      <c r="BE768" s="1" t="s">
        <v>7784</v>
      </c>
      <c r="BF768" s="2" t="str">
        <f>HYPERLINK("http://dx.doi.org/10.1007/s00592-010-0189-1","http://dx.doi.org/10.1007/s00592-010-0189-1")</f>
        <v>http://dx.doi.org/10.1007/s00592-010-0189-1</v>
      </c>
      <c r="BG768" s="1" t="s">
        <v>74</v>
      </c>
      <c r="BH768" s="1" t="s">
        <v>74</v>
      </c>
      <c r="BI768" s="1" t="s">
        <v>74</v>
      </c>
      <c r="BJ768" s="1" t="s">
        <v>74</v>
      </c>
      <c r="BK768" s="1" t="s">
        <v>74</v>
      </c>
      <c r="BL768" s="1" t="s">
        <v>74</v>
      </c>
      <c r="BM768" s="1" t="s">
        <v>74</v>
      </c>
      <c r="BN768" s="1">
        <v>2.046457E7</v>
      </c>
      <c r="BO768" s="1" t="s">
        <v>74</v>
      </c>
      <c r="BP768" s="1" t="s">
        <v>74</v>
      </c>
      <c r="BQ768" s="1" t="s">
        <v>74</v>
      </c>
      <c r="BR768" s="1" t="s">
        <v>74</v>
      </c>
      <c r="BS768" s="1" t="s">
        <v>7785</v>
      </c>
      <c r="BT768" s="1" t="str">
        <f>HYPERLINK("https%3A%2F%2Fwww.webofscience.com%2Fwos%2Fwoscc%2Ffull-record%2FWOS:000280372600010","View Full Record in Web of Science")</f>
        <v>View Full Record in Web of Science</v>
      </c>
    </row>
    <row r="769" ht="12.75" customHeight="1">
      <c r="A769" s="1" t="s">
        <v>72</v>
      </c>
      <c r="B769" s="1" t="s">
        <v>7786</v>
      </c>
      <c r="C769" s="1" t="s">
        <v>74</v>
      </c>
      <c r="D769" s="1" t="s">
        <v>74</v>
      </c>
      <c r="E769" s="1" t="s">
        <v>74</v>
      </c>
      <c r="F769" s="1" t="s">
        <v>7787</v>
      </c>
      <c r="G769" s="1" t="s">
        <v>74</v>
      </c>
      <c r="H769" s="1" t="s">
        <v>74</v>
      </c>
      <c r="I769" s="1" t="s">
        <v>7788</v>
      </c>
      <c r="J769" s="1" t="s">
        <v>2267</v>
      </c>
      <c r="K769" s="1" t="s">
        <v>74</v>
      </c>
      <c r="L769" s="1" t="s">
        <v>74</v>
      </c>
      <c r="M769" s="1" t="s">
        <v>74</v>
      </c>
      <c r="N769" s="1" t="s">
        <v>74</v>
      </c>
      <c r="O769" s="1" t="s">
        <v>74</v>
      </c>
      <c r="P769" s="1" t="s">
        <v>74</v>
      </c>
      <c r="Q769" s="1" t="s">
        <v>74</v>
      </c>
      <c r="R769" s="1" t="s">
        <v>74</v>
      </c>
      <c r="S769" s="1" t="s">
        <v>74</v>
      </c>
      <c r="T769" s="1" t="s">
        <v>74</v>
      </c>
      <c r="U769" s="1" t="s">
        <v>74</v>
      </c>
      <c r="V769" s="1" t="s">
        <v>7789</v>
      </c>
      <c r="W769" s="1" t="s">
        <v>74</v>
      </c>
      <c r="X769" s="1" t="s">
        <v>74</v>
      </c>
      <c r="Y769" s="1" t="s">
        <v>74</v>
      </c>
      <c r="Z769" s="1" t="s">
        <v>74</v>
      </c>
      <c r="AA769" s="1" t="s">
        <v>7790</v>
      </c>
      <c r="AB769" s="1" t="s">
        <v>7791</v>
      </c>
      <c r="AC769" s="1" t="s">
        <v>74</v>
      </c>
      <c r="AD769" s="1" t="s">
        <v>74</v>
      </c>
      <c r="AE769" s="1" t="s">
        <v>74</v>
      </c>
      <c r="AF769" s="1" t="s">
        <v>74</v>
      </c>
      <c r="AG769" s="1" t="s">
        <v>74</v>
      </c>
      <c r="AH769" s="1" t="s">
        <v>74</v>
      </c>
      <c r="AI769" s="1" t="s">
        <v>74</v>
      </c>
      <c r="AJ769" s="1" t="s">
        <v>74</v>
      </c>
      <c r="AK769" s="1" t="s">
        <v>74</v>
      </c>
      <c r="AL769" s="1" t="s">
        <v>74</v>
      </c>
      <c r="AM769" s="1" t="s">
        <v>74</v>
      </c>
      <c r="AN769" s="1" t="s">
        <v>74</v>
      </c>
      <c r="AO769" s="1" t="s">
        <v>2271</v>
      </c>
      <c r="AP769" s="1" t="s">
        <v>7792</v>
      </c>
      <c r="AQ769" s="1" t="s">
        <v>74</v>
      </c>
      <c r="AR769" s="1" t="s">
        <v>74</v>
      </c>
      <c r="AS769" s="1" t="s">
        <v>74</v>
      </c>
      <c r="AT769" s="1" t="s">
        <v>485</v>
      </c>
      <c r="AU769" s="1">
        <v>2009.0</v>
      </c>
      <c r="AV769" s="1">
        <v>43.0</v>
      </c>
      <c r="AW769" s="1">
        <v>14.0</v>
      </c>
      <c r="AX769" s="1" t="s">
        <v>74</v>
      </c>
      <c r="AY769" s="1" t="s">
        <v>74</v>
      </c>
      <c r="AZ769" s="1" t="s">
        <v>74</v>
      </c>
      <c r="BA769" s="1" t="s">
        <v>74</v>
      </c>
      <c r="BB769" s="1">
        <v>2260.0</v>
      </c>
      <c r="BC769" s="1">
        <v>2267.0</v>
      </c>
      <c r="BD769" s="1" t="s">
        <v>74</v>
      </c>
      <c r="BE769" s="1" t="s">
        <v>7793</v>
      </c>
      <c r="BF769" s="2" t="str">
        <f>HYPERLINK("http://dx.doi.org/10.1016/j.atmosenv.2009.01.047","http://dx.doi.org/10.1016/j.atmosenv.2009.01.047")</f>
        <v>http://dx.doi.org/10.1016/j.atmosenv.2009.01.047</v>
      </c>
      <c r="BG769" s="1" t="s">
        <v>74</v>
      </c>
      <c r="BH769" s="1" t="s">
        <v>74</v>
      </c>
      <c r="BI769" s="1" t="s">
        <v>74</v>
      </c>
      <c r="BJ769" s="1" t="s">
        <v>74</v>
      </c>
      <c r="BK769" s="1" t="s">
        <v>74</v>
      </c>
      <c r="BL769" s="1" t="s">
        <v>74</v>
      </c>
      <c r="BM769" s="1" t="s">
        <v>74</v>
      </c>
      <c r="BN769" s="1" t="s">
        <v>74</v>
      </c>
      <c r="BO769" s="1" t="s">
        <v>74</v>
      </c>
      <c r="BP769" s="1" t="s">
        <v>74</v>
      </c>
      <c r="BQ769" s="1" t="s">
        <v>74</v>
      </c>
      <c r="BR769" s="1" t="s">
        <v>74</v>
      </c>
      <c r="BS769" s="1" t="s">
        <v>7794</v>
      </c>
      <c r="BT769" s="1" t="str">
        <f>HYPERLINK("https%3A%2F%2Fwww.webofscience.com%2Fwos%2Fwoscc%2Ffull-record%2FWOS:000265809300004","View Full Record in Web of Science")</f>
        <v>View Full Record in Web of Science</v>
      </c>
    </row>
    <row r="770" ht="12.75" customHeight="1">
      <c r="A770" s="1" t="s">
        <v>86</v>
      </c>
      <c r="B770" s="1" t="s">
        <v>7795</v>
      </c>
      <c r="C770" s="1" t="s">
        <v>74</v>
      </c>
      <c r="D770" s="1" t="s">
        <v>74</v>
      </c>
      <c r="E770" s="1" t="s">
        <v>248</v>
      </c>
      <c r="F770" s="1" t="s">
        <v>7796</v>
      </c>
      <c r="G770" s="1" t="s">
        <v>74</v>
      </c>
      <c r="H770" s="1" t="s">
        <v>74</v>
      </c>
      <c r="I770" s="1" t="s">
        <v>7797</v>
      </c>
      <c r="J770" s="1" t="s">
        <v>7798</v>
      </c>
      <c r="K770" s="1" t="s">
        <v>74</v>
      </c>
      <c r="L770" s="1" t="s">
        <v>74</v>
      </c>
      <c r="M770" s="1" t="s">
        <v>74</v>
      </c>
      <c r="N770" s="1" t="s">
        <v>74</v>
      </c>
      <c r="O770" s="1" t="s">
        <v>7799</v>
      </c>
      <c r="P770" s="1" t="s">
        <v>7800</v>
      </c>
      <c r="Q770" s="1" t="s">
        <v>7801</v>
      </c>
      <c r="R770" s="1" t="s">
        <v>74</v>
      </c>
      <c r="S770" s="1" t="s">
        <v>74</v>
      </c>
      <c r="T770" s="1" t="s">
        <v>74</v>
      </c>
      <c r="U770" s="1" t="s">
        <v>74</v>
      </c>
      <c r="V770" s="1" t="s">
        <v>7802</v>
      </c>
      <c r="W770" s="1" t="s">
        <v>74</v>
      </c>
      <c r="X770" s="1" t="s">
        <v>74</v>
      </c>
      <c r="Y770" s="1" t="s">
        <v>74</v>
      </c>
      <c r="Z770" s="1" t="s">
        <v>74</v>
      </c>
      <c r="AA770" s="1" t="s">
        <v>7803</v>
      </c>
      <c r="AB770" s="1" t="s">
        <v>7804</v>
      </c>
      <c r="AC770" s="1" t="s">
        <v>74</v>
      </c>
      <c r="AD770" s="1" t="s">
        <v>74</v>
      </c>
      <c r="AE770" s="1" t="s">
        <v>74</v>
      </c>
      <c r="AF770" s="1" t="s">
        <v>74</v>
      </c>
      <c r="AG770" s="1" t="s">
        <v>74</v>
      </c>
      <c r="AH770" s="1" t="s">
        <v>74</v>
      </c>
      <c r="AI770" s="1" t="s">
        <v>74</v>
      </c>
      <c r="AJ770" s="1" t="s">
        <v>74</v>
      </c>
      <c r="AK770" s="1" t="s">
        <v>74</v>
      </c>
      <c r="AL770" s="1" t="s">
        <v>74</v>
      </c>
      <c r="AM770" s="1" t="s">
        <v>74</v>
      </c>
      <c r="AN770" s="1" t="s">
        <v>74</v>
      </c>
      <c r="AO770" s="1" t="s">
        <v>74</v>
      </c>
      <c r="AP770" s="1" t="s">
        <v>74</v>
      </c>
      <c r="AQ770" s="1" t="s">
        <v>7805</v>
      </c>
      <c r="AR770" s="1" t="s">
        <v>74</v>
      </c>
      <c r="AS770" s="1" t="s">
        <v>74</v>
      </c>
      <c r="AT770" s="1" t="s">
        <v>74</v>
      </c>
      <c r="AU770" s="1">
        <v>2009.0</v>
      </c>
      <c r="AV770" s="1" t="s">
        <v>74</v>
      </c>
      <c r="AW770" s="1" t="s">
        <v>74</v>
      </c>
      <c r="AX770" s="1" t="s">
        <v>74</v>
      </c>
      <c r="AY770" s="1" t="s">
        <v>74</v>
      </c>
      <c r="AZ770" s="1" t="s">
        <v>74</v>
      </c>
      <c r="BA770" s="1" t="s">
        <v>74</v>
      </c>
      <c r="BB770" s="1">
        <v>5764.0</v>
      </c>
      <c r="BC770" s="1">
        <v>5771.0</v>
      </c>
      <c r="BD770" s="1" t="s">
        <v>74</v>
      </c>
      <c r="BE770" s="1" t="s">
        <v>74</v>
      </c>
      <c r="BF770" s="1" t="s">
        <v>74</v>
      </c>
      <c r="BG770" s="1" t="s">
        <v>74</v>
      </c>
      <c r="BH770" s="1" t="s">
        <v>74</v>
      </c>
      <c r="BI770" s="1" t="s">
        <v>74</v>
      </c>
      <c r="BJ770" s="1" t="s">
        <v>74</v>
      </c>
      <c r="BK770" s="1" t="s">
        <v>74</v>
      </c>
      <c r="BL770" s="1" t="s">
        <v>74</v>
      </c>
      <c r="BM770" s="1" t="s">
        <v>74</v>
      </c>
      <c r="BN770" s="1" t="s">
        <v>74</v>
      </c>
      <c r="BO770" s="1" t="s">
        <v>74</v>
      </c>
      <c r="BP770" s="1" t="s">
        <v>74</v>
      </c>
      <c r="BQ770" s="1" t="s">
        <v>74</v>
      </c>
      <c r="BR770" s="1" t="s">
        <v>74</v>
      </c>
      <c r="BS770" s="1" t="s">
        <v>7806</v>
      </c>
      <c r="BT770" s="1" t="str">
        <f>HYPERLINK("https%3A%2F%2Fwww.webofscience.com%2Fwos%2Fwoscc%2Ffull-record%2FWOS:000275384102172","View Full Record in Web of Science")</f>
        <v>View Full Record in Web of Science</v>
      </c>
    </row>
    <row r="771" ht="12.75" customHeight="1">
      <c r="A771" s="1" t="s">
        <v>72</v>
      </c>
      <c r="B771" s="1" t="s">
        <v>7807</v>
      </c>
      <c r="C771" s="1" t="s">
        <v>74</v>
      </c>
      <c r="D771" s="1" t="s">
        <v>74</v>
      </c>
      <c r="E771" s="1" t="s">
        <v>74</v>
      </c>
      <c r="F771" s="1" t="s">
        <v>7808</v>
      </c>
      <c r="G771" s="1" t="s">
        <v>74</v>
      </c>
      <c r="H771" s="1" t="s">
        <v>74</v>
      </c>
      <c r="I771" s="1" t="s">
        <v>7809</v>
      </c>
      <c r="J771" s="1" t="s">
        <v>7810</v>
      </c>
      <c r="K771" s="1" t="s">
        <v>74</v>
      </c>
      <c r="L771" s="1" t="s">
        <v>74</v>
      </c>
      <c r="M771" s="1" t="s">
        <v>74</v>
      </c>
      <c r="N771" s="1" t="s">
        <v>74</v>
      </c>
      <c r="O771" s="1" t="s">
        <v>7811</v>
      </c>
      <c r="P771" s="1" t="s">
        <v>7812</v>
      </c>
      <c r="Q771" s="1" t="s">
        <v>7813</v>
      </c>
      <c r="R771" s="1" t="s">
        <v>74</v>
      </c>
      <c r="S771" s="1" t="s">
        <v>7814</v>
      </c>
      <c r="T771" s="1" t="s">
        <v>74</v>
      </c>
      <c r="U771" s="1" t="s">
        <v>74</v>
      </c>
      <c r="V771" s="1" t="s">
        <v>7815</v>
      </c>
      <c r="W771" s="1" t="s">
        <v>74</v>
      </c>
      <c r="X771" s="1" t="s">
        <v>74</v>
      </c>
      <c r="Y771" s="1" t="s">
        <v>74</v>
      </c>
      <c r="Z771" s="1" t="s">
        <v>74</v>
      </c>
      <c r="AA771" s="1" t="s">
        <v>7816</v>
      </c>
      <c r="AB771" s="1" t="s">
        <v>7817</v>
      </c>
      <c r="AC771" s="1" t="s">
        <v>74</v>
      </c>
      <c r="AD771" s="1" t="s">
        <v>74</v>
      </c>
      <c r="AE771" s="1" t="s">
        <v>74</v>
      </c>
      <c r="AF771" s="1" t="s">
        <v>74</v>
      </c>
      <c r="AG771" s="1" t="s">
        <v>74</v>
      </c>
      <c r="AH771" s="1" t="s">
        <v>74</v>
      </c>
      <c r="AI771" s="1" t="s">
        <v>74</v>
      </c>
      <c r="AJ771" s="1" t="s">
        <v>74</v>
      </c>
      <c r="AK771" s="1" t="s">
        <v>74</v>
      </c>
      <c r="AL771" s="1" t="s">
        <v>74</v>
      </c>
      <c r="AM771" s="1" t="s">
        <v>74</v>
      </c>
      <c r="AN771" s="1" t="s">
        <v>74</v>
      </c>
      <c r="AO771" s="1" t="s">
        <v>7818</v>
      </c>
      <c r="AP771" s="1" t="s">
        <v>7819</v>
      </c>
      <c r="AQ771" s="1" t="s">
        <v>74</v>
      </c>
      <c r="AR771" s="1" t="s">
        <v>74</v>
      </c>
      <c r="AS771" s="1" t="s">
        <v>74</v>
      </c>
      <c r="AT771" s="1" t="s">
        <v>7540</v>
      </c>
      <c r="AU771" s="1">
        <v>2008.0</v>
      </c>
      <c r="AV771" s="1">
        <v>40.0</v>
      </c>
      <c r="AW771" s="1" t="s">
        <v>7820</v>
      </c>
      <c r="AX771" s="1" t="s">
        <v>74</v>
      </c>
      <c r="AY771" s="1" t="s">
        <v>74</v>
      </c>
      <c r="AZ771" s="1" t="s">
        <v>74</v>
      </c>
      <c r="BA771" s="1" t="s">
        <v>74</v>
      </c>
      <c r="BB771" s="1">
        <v>411.0</v>
      </c>
      <c r="BC771" s="1">
        <v>418.0</v>
      </c>
      <c r="BD771" s="1" t="s">
        <v>74</v>
      </c>
      <c r="BE771" s="1" t="s">
        <v>7821</v>
      </c>
      <c r="BF771" s="2" t="str">
        <f>HYPERLINK("http://dx.doi.org/10.1007/s11082-008-9201-1","http://dx.doi.org/10.1007/s11082-008-9201-1")</f>
        <v>http://dx.doi.org/10.1007/s11082-008-9201-1</v>
      </c>
      <c r="BG771" s="1" t="s">
        <v>74</v>
      </c>
      <c r="BH771" s="1" t="s">
        <v>74</v>
      </c>
      <c r="BI771" s="1" t="s">
        <v>74</v>
      </c>
      <c r="BJ771" s="1" t="s">
        <v>74</v>
      </c>
      <c r="BK771" s="1" t="s">
        <v>74</v>
      </c>
      <c r="BL771" s="1" t="s">
        <v>74</v>
      </c>
      <c r="BM771" s="1" t="s">
        <v>74</v>
      </c>
      <c r="BN771" s="1" t="s">
        <v>74</v>
      </c>
      <c r="BO771" s="1" t="s">
        <v>74</v>
      </c>
      <c r="BP771" s="1" t="s">
        <v>74</v>
      </c>
      <c r="BQ771" s="1" t="s">
        <v>74</v>
      </c>
      <c r="BR771" s="1" t="s">
        <v>74</v>
      </c>
      <c r="BS771" s="1" t="s">
        <v>7822</v>
      </c>
      <c r="BT771" s="1" t="str">
        <f>HYPERLINK("https%3A%2F%2Fwww.webofscience.com%2Fwos%2Fwoscc%2Ffull-record%2FWOS:000259499800021","View Full Record in Web of Science")</f>
        <v>View Full Record in Web of Science</v>
      </c>
    </row>
    <row r="772" ht="12.75" customHeight="1">
      <c r="A772" s="1" t="s">
        <v>72</v>
      </c>
      <c r="B772" s="1" t="s">
        <v>7823</v>
      </c>
      <c r="C772" s="1" t="s">
        <v>74</v>
      </c>
      <c r="D772" s="1" t="s">
        <v>74</v>
      </c>
      <c r="E772" s="1" t="s">
        <v>74</v>
      </c>
      <c r="F772" s="1" t="s">
        <v>7824</v>
      </c>
      <c r="G772" s="1" t="s">
        <v>74</v>
      </c>
      <c r="H772" s="1" t="s">
        <v>74</v>
      </c>
      <c r="I772" s="1" t="s">
        <v>7825</v>
      </c>
      <c r="J772" s="1" t="s">
        <v>5048</v>
      </c>
      <c r="K772" s="1" t="s">
        <v>74</v>
      </c>
      <c r="L772" s="1" t="s">
        <v>74</v>
      </c>
      <c r="M772" s="1" t="s">
        <v>74</v>
      </c>
      <c r="N772" s="1" t="s">
        <v>74</v>
      </c>
      <c r="O772" s="1" t="s">
        <v>74</v>
      </c>
      <c r="P772" s="1" t="s">
        <v>74</v>
      </c>
      <c r="Q772" s="1" t="s">
        <v>74</v>
      </c>
      <c r="R772" s="1" t="s">
        <v>74</v>
      </c>
      <c r="S772" s="1" t="s">
        <v>74</v>
      </c>
      <c r="T772" s="1" t="s">
        <v>74</v>
      </c>
      <c r="U772" s="1" t="s">
        <v>74</v>
      </c>
      <c r="V772" s="1" t="s">
        <v>7826</v>
      </c>
      <c r="W772" s="1" t="s">
        <v>74</v>
      </c>
      <c r="X772" s="1" t="s">
        <v>74</v>
      </c>
      <c r="Y772" s="1" t="s">
        <v>74</v>
      </c>
      <c r="Z772" s="1" t="s">
        <v>74</v>
      </c>
      <c r="AA772" s="1" t="s">
        <v>7827</v>
      </c>
      <c r="AB772" s="1" t="s">
        <v>1599</v>
      </c>
      <c r="AC772" s="1" t="s">
        <v>74</v>
      </c>
      <c r="AD772" s="1" t="s">
        <v>74</v>
      </c>
      <c r="AE772" s="1" t="s">
        <v>74</v>
      </c>
      <c r="AF772" s="1" t="s">
        <v>74</v>
      </c>
      <c r="AG772" s="1" t="s">
        <v>74</v>
      </c>
      <c r="AH772" s="1" t="s">
        <v>74</v>
      </c>
      <c r="AI772" s="1" t="s">
        <v>74</v>
      </c>
      <c r="AJ772" s="1" t="s">
        <v>74</v>
      </c>
      <c r="AK772" s="1" t="s">
        <v>74</v>
      </c>
      <c r="AL772" s="1" t="s">
        <v>74</v>
      </c>
      <c r="AM772" s="1" t="s">
        <v>74</v>
      </c>
      <c r="AN772" s="1" t="s">
        <v>74</v>
      </c>
      <c r="AO772" s="1" t="s">
        <v>5052</v>
      </c>
      <c r="AP772" s="1" t="s">
        <v>74</v>
      </c>
      <c r="AQ772" s="1" t="s">
        <v>74</v>
      </c>
      <c r="AR772" s="1" t="s">
        <v>74</v>
      </c>
      <c r="AS772" s="1" t="s">
        <v>74</v>
      </c>
      <c r="AT772" s="1" t="s">
        <v>74</v>
      </c>
      <c r="AU772" s="1">
        <v>2007.0</v>
      </c>
      <c r="AV772" s="1">
        <v>40.0</v>
      </c>
      <c r="AW772" s="1">
        <v>2.0</v>
      </c>
      <c r="AX772" s="1" t="s">
        <v>74</v>
      </c>
      <c r="AY772" s="1" t="s">
        <v>74</v>
      </c>
      <c r="AZ772" s="1" t="s">
        <v>74</v>
      </c>
      <c r="BA772" s="1" t="s">
        <v>74</v>
      </c>
      <c r="BB772" s="1">
        <v>155.0</v>
      </c>
      <c r="BC772" s="1">
        <v>162.0</v>
      </c>
      <c r="BD772" s="1" t="s">
        <v>74</v>
      </c>
      <c r="BE772" s="1" t="s">
        <v>7828</v>
      </c>
      <c r="BF772" s="2" t="str">
        <f>HYPERLINK("http://dx.doi.org/10.4067/S0716-97602007000200006","http://dx.doi.org/10.4067/S0716-97602007000200006")</f>
        <v>http://dx.doi.org/10.4067/S0716-97602007000200006</v>
      </c>
      <c r="BG772" s="1" t="s">
        <v>74</v>
      </c>
      <c r="BH772" s="1" t="s">
        <v>74</v>
      </c>
      <c r="BI772" s="1" t="s">
        <v>74</v>
      </c>
      <c r="BJ772" s="1" t="s">
        <v>74</v>
      </c>
      <c r="BK772" s="1" t="s">
        <v>74</v>
      </c>
      <c r="BL772" s="1" t="s">
        <v>74</v>
      </c>
      <c r="BM772" s="1" t="s">
        <v>74</v>
      </c>
      <c r="BN772" s="1">
        <v>1.8064352E7</v>
      </c>
      <c r="BO772" s="1" t="s">
        <v>74</v>
      </c>
      <c r="BP772" s="1" t="s">
        <v>74</v>
      </c>
      <c r="BQ772" s="1" t="s">
        <v>74</v>
      </c>
      <c r="BR772" s="1" t="s">
        <v>74</v>
      </c>
      <c r="BS772" s="1" t="s">
        <v>7829</v>
      </c>
      <c r="BT772" s="1" t="str">
        <f>HYPERLINK("https%3A%2F%2Fwww.webofscience.com%2Fwos%2Fwoscc%2Ffull-record%2FWOS:000250812900006","View Full Record in Web of Science")</f>
        <v>View Full Record in Web of Science</v>
      </c>
    </row>
    <row r="773" ht="12.75" customHeight="1">
      <c r="A773" s="1" t="s">
        <v>72</v>
      </c>
      <c r="B773" s="1" t="s">
        <v>7830</v>
      </c>
      <c r="C773" s="1" t="s">
        <v>74</v>
      </c>
      <c r="D773" s="1" t="s">
        <v>74</v>
      </c>
      <c r="E773" s="1" t="s">
        <v>74</v>
      </c>
      <c r="F773" s="1" t="s">
        <v>7831</v>
      </c>
      <c r="G773" s="1" t="s">
        <v>74</v>
      </c>
      <c r="H773" s="1" t="s">
        <v>74</v>
      </c>
      <c r="I773" s="1" t="s">
        <v>7832</v>
      </c>
      <c r="J773" s="1" t="s">
        <v>4748</v>
      </c>
      <c r="K773" s="1" t="s">
        <v>74</v>
      </c>
      <c r="L773" s="1" t="s">
        <v>74</v>
      </c>
      <c r="M773" s="1" t="s">
        <v>74</v>
      </c>
      <c r="N773" s="1" t="s">
        <v>74</v>
      </c>
      <c r="O773" s="1" t="s">
        <v>74</v>
      </c>
      <c r="P773" s="1" t="s">
        <v>74</v>
      </c>
      <c r="Q773" s="1" t="s">
        <v>74</v>
      </c>
      <c r="R773" s="1" t="s">
        <v>74</v>
      </c>
      <c r="S773" s="1" t="s">
        <v>74</v>
      </c>
      <c r="T773" s="1" t="s">
        <v>74</v>
      </c>
      <c r="U773" s="1" t="s">
        <v>74</v>
      </c>
      <c r="V773" s="1" t="s">
        <v>7833</v>
      </c>
      <c r="W773" s="1" t="s">
        <v>74</v>
      </c>
      <c r="X773" s="1" t="s">
        <v>74</v>
      </c>
      <c r="Y773" s="1" t="s">
        <v>74</v>
      </c>
      <c r="Z773" s="1" t="s">
        <v>74</v>
      </c>
      <c r="AA773" s="1" t="s">
        <v>6450</v>
      </c>
      <c r="AB773" s="1" t="s">
        <v>6451</v>
      </c>
      <c r="AC773" s="1" t="s">
        <v>74</v>
      </c>
      <c r="AD773" s="1" t="s">
        <v>74</v>
      </c>
      <c r="AE773" s="1" t="s">
        <v>74</v>
      </c>
      <c r="AF773" s="1" t="s">
        <v>74</v>
      </c>
      <c r="AG773" s="1" t="s">
        <v>74</v>
      </c>
      <c r="AH773" s="1" t="s">
        <v>74</v>
      </c>
      <c r="AI773" s="1" t="s">
        <v>74</v>
      </c>
      <c r="AJ773" s="1" t="s">
        <v>74</v>
      </c>
      <c r="AK773" s="1" t="s">
        <v>74</v>
      </c>
      <c r="AL773" s="1" t="s">
        <v>74</v>
      </c>
      <c r="AM773" s="1" t="s">
        <v>74</v>
      </c>
      <c r="AN773" s="1" t="s">
        <v>74</v>
      </c>
      <c r="AO773" s="1" t="s">
        <v>4752</v>
      </c>
      <c r="AP773" s="1" t="s">
        <v>7834</v>
      </c>
      <c r="AQ773" s="1" t="s">
        <v>74</v>
      </c>
      <c r="AR773" s="1" t="s">
        <v>74</v>
      </c>
      <c r="AS773" s="1" t="s">
        <v>74</v>
      </c>
      <c r="AT773" s="1" t="s">
        <v>939</v>
      </c>
      <c r="AU773" s="1">
        <v>2006.0</v>
      </c>
      <c r="AV773" s="1">
        <v>13.0</v>
      </c>
      <c r="AW773" s="1">
        <v>6.0</v>
      </c>
      <c r="AX773" s="1" t="s">
        <v>74</v>
      </c>
      <c r="AY773" s="1" t="s">
        <v>74</v>
      </c>
      <c r="AZ773" s="1" t="s">
        <v>74</v>
      </c>
      <c r="BA773" s="1" t="s">
        <v>74</v>
      </c>
      <c r="BB773" s="1">
        <v>721.0</v>
      </c>
      <c r="BC773" s="1">
        <v>727.0</v>
      </c>
      <c r="BD773" s="1" t="s">
        <v>74</v>
      </c>
      <c r="BE773" s="1" t="s">
        <v>7835</v>
      </c>
      <c r="BF773" s="2" t="str">
        <f>HYPERLINK("http://dx.doi.org/10.1016/j.acra.2006.01.049","http://dx.doi.org/10.1016/j.acra.2006.01.049")</f>
        <v>http://dx.doi.org/10.1016/j.acra.2006.01.049</v>
      </c>
      <c r="BG773" s="1" t="s">
        <v>74</v>
      </c>
      <c r="BH773" s="1" t="s">
        <v>74</v>
      </c>
      <c r="BI773" s="1" t="s">
        <v>74</v>
      </c>
      <c r="BJ773" s="1" t="s">
        <v>74</v>
      </c>
      <c r="BK773" s="1" t="s">
        <v>74</v>
      </c>
      <c r="BL773" s="1" t="s">
        <v>74</v>
      </c>
      <c r="BM773" s="1" t="s">
        <v>74</v>
      </c>
      <c r="BN773" s="1">
        <v>1.6679274E7</v>
      </c>
      <c r="BO773" s="1" t="s">
        <v>74</v>
      </c>
      <c r="BP773" s="1" t="s">
        <v>74</v>
      </c>
      <c r="BQ773" s="1" t="s">
        <v>74</v>
      </c>
      <c r="BR773" s="1" t="s">
        <v>74</v>
      </c>
      <c r="BS773" s="1" t="s">
        <v>7836</v>
      </c>
      <c r="BT773" s="1" t="str">
        <f>HYPERLINK("https%3A%2F%2Fwww.webofscience.com%2Fwos%2Fwoscc%2Ffull-record%2FWOS:000237709000008","View Full Record in Web of Science")</f>
        <v>View Full Record in Web of Science</v>
      </c>
    </row>
    <row r="774" ht="12.75" customHeight="1">
      <c r="A774" s="1" t="s">
        <v>72</v>
      </c>
      <c r="B774" s="1" t="s">
        <v>5495</v>
      </c>
      <c r="C774" s="1" t="s">
        <v>74</v>
      </c>
      <c r="D774" s="1" t="s">
        <v>74</v>
      </c>
      <c r="E774" s="1" t="s">
        <v>74</v>
      </c>
      <c r="F774" s="1" t="s">
        <v>7837</v>
      </c>
      <c r="G774" s="1" t="s">
        <v>74</v>
      </c>
      <c r="H774" s="1" t="s">
        <v>74</v>
      </c>
      <c r="I774" s="1" t="s">
        <v>7838</v>
      </c>
      <c r="J774" s="1" t="s">
        <v>5497</v>
      </c>
      <c r="K774" s="1" t="s">
        <v>74</v>
      </c>
      <c r="L774" s="1" t="s">
        <v>74</v>
      </c>
      <c r="M774" s="1" t="s">
        <v>74</v>
      </c>
      <c r="N774" s="1" t="s">
        <v>74</v>
      </c>
      <c r="O774" s="1" t="s">
        <v>74</v>
      </c>
      <c r="P774" s="1" t="s">
        <v>74</v>
      </c>
      <c r="Q774" s="1" t="s">
        <v>74</v>
      </c>
      <c r="R774" s="1" t="s">
        <v>74</v>
      </c>
      <c r="S774" s="1" t="s">
        <v>74</v>
      </c>
      <c r="T774" s="1" t="s">
        <v>74</v>
      </c>
      <c r="U774" s="1" t="s">
        <v>74</v>
      </c>
      <c r="V774" s="1" t="s">
        <v>7839</v>
      </c>
      <c r="W774" s="1" t="s">
        <v>74</v>
      </c>
      <c r="X774" s="1" t="s">
        <v>74</v>
      </c>
      <c r="Y774" s="1" t="s">
        <v>74</v>
      </c>
      <c r="Z774" s="1" t="s">
        <v>74</v>
      </c>
      <c r="AA774" s="1" t="s">
        <v>5499</v>
      </c>
      <c r="AB774" s="1" t="s">
        <v>5500</v>
      </c>
      <c r="AC774" s="1" t="s">
        <v>74</v>
      </c>
      <c r="AD774" s="1" t="s">
        <v>74</v>
      </c>
      <c r="AE774" s="1" t="s">
        <v>74</v>
      </c>
      <c r="AF774" s="1" t="s">
        <v>74</v>
      </c>
      <c r="AG774" s="1" t="s">
        <v>74</v>
      </c>
      <c r="AH774" s="1" t="s">
        <v>74</v>
      </c>
      <c r="AI774" s="1" t="s">
        <v>74</v>
      </c>
      <c r="AJ774" s="1" t="s">
        <v>74</v>
      </c>
      <c r="AK774" s="1" t="s">
        <v>74</v>
      </c>
      <c r="AL774" s="1" t="s">
        <v>74</v>
      </c>
      <c r="AM774" s="1" t="s">
        <v>74</v>
      </c>
      <c r="AN774" s="1" t="s">
        <v>74</v>
      </c>
      <c r="AO774" s="1" t="s">
        <v>5501</v>
      </c>
      <c r="AP774" s="1" t="s">
        <v>5502</v>
      </c>
      <c r="AQ774" s="1" t="s">
        <v>74</v>
      </c>
      <c r="AR774" s="1" t="s">
        <v>74</v>
      </c>
      <c r="AS774" s="1" t="s">
        <v>74</v>
      </c>
      <c r="AT774" s="1" t="s">
        <v>7840</v>
      </c>
      <c r="AU774" s="1">
        <v>2006.0</v>
      </c>
      <c r="AV774" s="1">
        <v>51.0</v>
      </c>
      <c r="AW774" s="1">
        <v>8.0</v>
      </c>
      <c r="AX774" s="1" t="s">
        <v>74</v>
      </c>
      <c r="AY774" s="1" t="s">
        <v>74</v>
      </c>
      <c r="AZ774" s="1" t="s">
        <v>74</v>
      </c>
      <c r="BA774" s="1" t="s">
        <v>74</v>
      </c>
      <c r="BB774" s="1">
        <v>2045.0</v>
      </c>
      <c r="BC774" s="1">
        <v>2053.0</v>
      </c>
      <c r="BD774" s="1" t="s">
        <v>74</v>
      </c>
      <c r="BE774" s="1" t="s">
        <v>7841</v>
      </c>
      <c r="BF774" s="2" t="str">
        <f>HYPERLINK("http://dx.doi.org/10.1088/0031-9155/51/8/006","http://dx.doi.org/10.1088/0031-9155/51/8/006")</f>
        <v>http://dx.doi.org/10.1088/0031-9155/51/8/006</v>
      </c>
      <c r="BG774" s="1" t="s">
        <v>74</v>
      </c>
      <c r="BH774" s="1" t="s">
        <v>74</v>
      </c>
      <c r="BI774" s="1" t="s">
        <v>74</v>
      </c>
      <c r="BJ774" s="1" t="s">
        <v>74</v>
      </c>
      <c r="BK774" s="1" t="s">
        <v>74</v>
      </c>
      <c r="BL774" s="1" t="s">
        <v>74</v>
      </c>
      <c r="BM774" s="1" t="s">
        <v>74</v>
      </c>
      <c r="BN774" s="1">
        <v>1.6585844E7</v>
      </c>
      <c r="BO774" s="1" t="s">
        <v>74</v>
      </c>
      <c r="BP774" s="1" t="s">
        <v>74</v>
      </c>
      <c r="BQ774" s="1" t="s">
        <v>74</v>
      </c>
      <c r="BR774" s="1" t="s">
        <v>74</v>
      </c>
      <c r="BS774" s="1" t="s">
        <v>7842</v>
      </c>
      <c r="BT774" s="1" t="str">
        <f>HYPERLINK("https%3A%2F%2Fwww.webofscience.com%2Fwos%2Fwoscc%2Ffull-record%2FWOS:000237774000006","View Full Record in Web of Science")</f>
        <v>View Full Record in Web of Science</v>
      </c>
    </row>
    <row r="775" ht="12.75" customHeight="1">
      <c r="A775" s="1" t="s">
        <v>72</v>
      </c>
      <c r="B775" s="1" t="s">
        <v>7843</v>
      </c>
      <c r="C775" s="1" t="s">
        <v>74</v>
      </c>
      <c r="D775" s="1" t="s">
        <v>74</v>
      </c>
      <c r="E775" s="1" t="s">
        <v>74</v>
      </c>
      <c r="F775" s="1" t="s">
        <v>7843</v>
      </c>
      <c r="G775" s="1" t="s">
        <v>74</v>
      </c>
      <c r="H775" s="1" t="s">
        <v>74</v>
      </c>
      <c r="I775" s="1" t="s">
        <v>7844</v>
      </c>
      <c r="J775" s="1" t="s">
        <v>169</v>
      </c>
      <c r="K775" s="1" t="s">
        <v>74</v>
      </c>
      <c r="L775" s="1" t="s">
        <v>74</v>
      </c>
      <c r="M775" s="1" t="s">
        <v>74</v>
      </c>
      <c r="N775" s="1" t="s">
        <v>74</v>
      </c>
      <c r="O775" s="1" t="s">
        <v>74</v>
      </c>
      <c r="P775" s="1" t="s">
        <v>74</v>
      </c>
      <c r="Q775" s="1" t="s">
        <v>74</v>
      </c>
      <c r="R775" s="1" t="s">
        <v>74</v>
      </c>
      <c r="S775" s="1" t="s">
        <v>74</v>
      </c>
      <c r="T775" s="1" t="s">
        <v>74</v>
      </c>
      <c r="U775" s="1" t="s">
        <v>74</v>
      </c>
      <c r="V775" s="1" t="s">
        <v>7845</v>
      </c>
      <c r="W775" s="1" t="s">
        <v>74</v>
      </c>
      <c r="X775" s="1" t="s">
        <v>74</v>
      </c>
      <c r="Y775" s="1" t="s">
        <v>74</v>
      </c>
      <c r="Z775" s="1" t="s">
        <v>74</v>
      </c>
      <c r="AA775" s="1" t="s">
        <v>7846</v>
      </c>
      <c r="AB775" s="1" t="s">
        <v>7847</v>
      </c>
      <c r="AC775" s="1" t="s">
        <v>74</v>
      </c>
      <c r="AD775" s="1" t="s">
        <v>74</v>
      </c>
      <c r="AE775" s="1" t="s">
        <v>74</v>
      </c>
      <c r="AF775" s="1" t="s">
        <v>74</v>
      </c>
      <c r="AG775" s="1" t="s">
        <v>74</v>
      </c>
      <c r="AH775" s="1" t="s">
        <v>74</v>
      </c>
      <c r="AI775" s="1" t="s">
        <v>74</v>
      </c>
      <c r="AJ775" s="1" t="s">
        <v>74</v>
      </c>
      <c r="AK775" s="1" t="s">
        <v>74</v>
      </c>
      <c r="AL775" s="1" t="s">
        <v>74</v>
      </c>
      <c r="AM775" s="1" t="s">
        <v>74</v>
      </c>
      <c r="AN775" s="1" t="s">
        <v>74</v>
      </c>
      <c r="AO775" s="1" t="s">
        <v>173</v>
      </c>
      <c r="AP775" s="1" t="s">
        <v>174</v>
      </c>
      <c r="AQ775" s="1" t="s">
        <v>74</v>
      </c>
      <c r="AR775" s="1" t="s">
        <v>74</v>
      </c>
      <c r="AS775" s="1" t="s">
        <v>74</v>
      </c>
      <c r="AT775" s="1" t="s">
        <v>622</v>
      </c>
      <c r="AU775" s="1">
        <v>2006.0</v>
      </c>
      <c r="AV775" s="1">
        <v>634.0</v>
      </c>
      <c r="AW775" s="1" t="s">
        <v>7820</v>
      </c>
      <c r="AX775" s="1" t="s">
        <v>74</v>
      </c>
      <c r="AY775" s="1" t="s">
        <v>74</v>
      </c>
      <c r="AZ775" s="1" t="s">
        <v>74</v>
      </c>
      <c r="BA775" s="1" t="s">
        <v>74</v>
      </c>
      <c r="BB775" s="1">
        <v>471.0</v>
      </c>
      <c r="BC775" s="1">
        <v>473.0</v>
      </c>
      <c r="BD775" s="1" t="s">
        <v>74</v>
      </c>
      <c r="BE775" s="1" t="s">
        <v>7848</v>
      </c>
      <c r="BF775" s="2" t="str">
        <f>HYPERLINK("http://dx.doi.org/10.1016/j.physletb.2006.02.014","http://dx.doi.org/10.1016/j.physletb.2006.02.014")</f>
        <v>http://dx.doi.org/10.1016/j.physletb.2006.02.014</v>
      </c>
      <c r="BG775" s="1" t="s">
        <v>74</v>
      </c>
      <c r="BH775" s="1" t="s">
        <v>74</v>
      </c>
      <c r="BI775" s="1" t="s">
        <v>74</v>
      </c>
      <c r="BJ775" s="1" t="s">
        <v>74</v>
      </c>
      <c r="BK775" s="1" t="s">
        <v>74</v>
      </c>
      <c r="BL775" s="1" t="s">
        <v>74</v>
      </c>
      <c r="BM775" s="1" t="s">
        <v>74</v>
      </c>
      <c r="BN775" s="1" t="s">
        <v>74</v>
      </c>
      <c r="BO775" s="1" t="s">
        <v>74</v>
      </c>
      <c r="BP775" s="1" t="s">
        <v>74</v>
      </c>
      <c r="BQ775" s="1" t="s">
        <v>74</v>
      </c>
      <c r="BR775" s="1" t="s">
        <v>74</v>
      </c>
      <c r="BS775" s="1" t="s">
        <v>7849</v>
      </c>
      <c r="BT775" s="1" t="str">
        <f>HYPERLINK("https%3A%2F%2Fwww.webofscience.com%2Fwos%2Fwoscc%2Ffull-record%2FWOS:000236229700006","View Full Record in Web of Science")</f>
        <v>View Full Record in Web of Science</v>
      </c>
    </row>
    <row r="776" ht="12.75" customHeight="1">
      <c r="A776" s="1" t="s">
        <v>72</v>
      </c>
      <c r="B776" s="1" t="s">
        <v>7850</v>
      </c>
      <c r="C776" s="1" t="s">
        <v>74</v>
      </c>
      <c r="D776" s="1" t="s">
        <v>74</v>
      </c>
      <c r="E776" s="1" t="s">
        <v>74</v>
      </c>
      <c r="F776" s="1" t="s">
        <v>7850</v>
      </c>
      <c r="G776" s="1" t="s">
        <v>74</v>
      </c>
      <c r="H776" s="1" t="s">
        <v>74</v>
      </c>
      <c r="I776" s="1" t="s">
        <v>7851</v>
      </c>
      <c r="J776" s="1" t="s">
        <v>7852</v>
      </c>
      <c r="K776" s="1" t="s">
        <v>74</v>
      </c>
      <c r="L776" s="1" t="s">
        <v>74</v>
      </c>
      <c r="M776" s="1" t="s">
        <v>74</v>
      </c>
      <c r="N776" s="1" t="s">
        <v>74</v>
      </c>
      <c r="O776" s="1" t="s">
        <v>74</v>
      </c>
      <c r="P776" s="1" t="s">
        <v>74</v>
      </c>
      <c r="Q776" s="1" t="s">
        <v>74</v>
      </c>
      <c r="R776" s="1" t="s">
        <v>74</v>
      </c>
      <c r="S776" s="1" t="s">
        <v>74</v>
      </c>
      <c r="T776" s="1" t="s">
        <v>74</v>
      </c>
      <c r="U776" s="1" t="s">
        <v>74</v>
      </c>
      <c r="V776" s="1" t="s">
        <v>7853</v>
      </c>
      <c r="W776" s="1" t="s">
        <v>74</v>
      </c>
      <c r="X776" s="1" t="s">
        <v>74</v>
      </c>
      <c r="Y776" s="1" t="s">
        <v>74</v>
      </c>
      <c r="Z776" s="1" t="s">
        <v>74</v>
      </c>
      <c r="AA776" s="1" t="s">
        <v>74</v>
      </c>
      <c r="AB776" s="1" t="s">
        <v>6460</v>
      </c>
      <c r="AC776" s="1" t="s">
        <v>74</v>
      </c>
      <c r="AD776" s="1" t="s">
        <v>74</v>
      </c>
      <c r="AE776" s="1" t="s">
        <v>74</v>
      </c>
      <c r="AF776" s="1" t="s">
        <v>74</v>
      </c>
      <c r="AG776" s="1" t="s">
        <v>74</v>
      </c>
      <c r="AH776" s="1" t="s">
        <v>74</v>
      </c>
      <c r="AI776" s="1" t="s">
        <v>74</v>
      </c>
      <c r="AJ776" s="1" t="s">
        <v>74</v>
      </c>
      <c r="AK776" s="1" t="s">
        <v>74</v>
      </c>
      <c r="AL776" s="1" t="s">
        <v>74</v>
      </c>
      <c r="AM776" s="1" t="s">
        <v>74</v>
      </c>
      <c r="AN776" s="1" t="s">
        <v>74</v>
      </c>
      <c r="AO776" s="1" t="s">
        <v>7854</v>
      </c>
      <c r="AP776" s="1" t="s">
        <v>7855</v>
      </c>
      <c r="AQ776" s="1" t="s">
        <v>74</v>
      </c>
      <c r="AR776" s="1" t="s">
        <v>74</v>
      </c>
      <c r="AS776" s="1" t="s">
        <v>74</v>
      </c>
      <c r="AT776" s="1" t="s">
        <v>939</v>
      </c>
      <c r="AU776" s="1">
        <v>2005.0</v>
      </c>
      <c r="AV776" s="1">
        <v>48.0</v>
      </c>
      <c r="AW776" s="1" t="s">
        <v>74</v>
      </c>
      <c r="AX776" s="1">
        <v>2.0</v>
      </c>
      <c r="AY776" s="1" t="s">
        <v>74</v>
      </c>
      <c r="AZ776" s="1" t="s">
        <v>74</v>
      </c>
      <c r="BA776" s="1" t="s">
        <v>74</v>
      </c>
      <c r="BB776" s="1">
        <v>365.0</v>
      </c>
      <c r="BC776" s="1">
        <v>373.0</v>
      </c>
      <c r="BD776" s="1" t="s">
        <v>74</v>
      </c>
      <c r="BE776" s="1" t="s">
        <v>7856</v>
      </c>
      <c r="BF776" s="2" t="str">
        <f>HYPERLINK("http://dx.doi.org/10.1017/S0013091503000944","http://dx.doi.org/10.1017/S0013091503000944")</f>
        <v>http://dx.doi.org/10.1017/S0013091503000944</v>
      </c>
      <c r="BG776" s="1" t="s">
        <v>74</v>
      </c>
      <c r="BH776" s="1" t="s">
        <v>74</v>
      </c>
      <c r="BI776" s="1" t="s">
        <v>74</v>
      </c>
      <c r="BJ776" s="1" t="s">
        <v>74</v>
      </c>
      <c r="BK776" s="1" t="s">
        <v>74</v>
      </c>
      <c r="BL776" s="1" t="s">
        <v>74</v>
      </c>
      <c r="BM776" s="1" t="s">
        <v>74</v>
      </c>
      <c r="BN776" s="1" t="s">
        <v>74</v>
      </c>
      <c r="BO776" s="1" t="s">
        <v>74</v>
      </c>
      <c r="BP776" s="1" t="s">
        <v>74</v>
      </c>
      <c r="BQ776" s="1" t="s">
        <v>74</v>
      </c>
      <c r="BR776" s="1" t="s">
        <v>74</v>
      </c>
      <c r="BS776" s="1" t="s">
        <v>7857</v>
      </c>
      <c r="BT776" s="1" t="str">
        <f>HYPERLINK("https%3A%2F%2Fwww.webofscience.com%2Fwos%2Fwoscc%2Ffull-record%2FWOS:000229944500005","View Full Record in Web of Science")</f>
        <v>View Full Record in Web of Science</v>
      </c>
    </row>
    <row r="777" ht="12.75" customHeight="1">
      <c r="A777" s="1" t="s">
        <v>72</v>
      </c>
      <c r="B777" s="1" t="s">
        <v>7858</v>
      </c>
      <c r="C777" s="1" t="s">
        <v>74</v>
      </c>
      <c r="D777" s="1" t="s">
        <v>74</v>
      </c>
      <c r="E777" s="1" t="s">
        <v>74</v>
      </c>
      <c r="F777" s="1" t="s">
        <v>7858</v>
      </c>
      <c r="G777" s="1" t="s">
        <v>74</v>
      </c>
      <c r="H777" s="1" t="s">
        <v>74</v>
      </c>
      <c r="I777" s="1" t="s">
        <v>7859</v>
      </c>
      <c r="J777" s="1" t="s">
        <v>169</v>
      </c>
      <c r="K777" s="1" t="s">
        <v>74</v>
      </c>
      <c r="L777" s="1" t="s">
        <v>74</v>
      </c>
      <c r="M777" s="1" t="s">
        <v>74</v>
      </c>
      <c r="N777" s="1" t="s">
        <v>74</v>
      </c>
      <c r="O777" s="1" t="s">
        <v>74</v>
      </c>
      <c r="P777" s="1" t="s">
        <v>74</v>
      </c>
      <c r="Q777" s="1" t="s">
        <v>74</v>
      </c>
      <c r="R777" s="1" t="s">
        <v>74</v>
      </c>
      <c r="S777" s="1" t="s">
        <v>74</v>
      </c>
      <c r="T777" s="1" t="s">
        <v>74</v>
      </c>
      <c r="U777" s="1" t="s">
        <v>74</v>
      </c>
      <c r="V777" s="1" t="s">
        <v>7860</v>
      </c>
      <c r="W777" s="1" t="s">
        <v>74</v>
      </c>
      <c r="X777" s="1" t="s">
        <v>74</v>
      </c>
      <c r="Y777" s="1" t="s">
        <v>74</v>
      </c>
      <c r="Z777" s="1" t="s">
        <v>74</v>
      </c>
      <c r="AA777" s="1" t="s">
        <v>7861</v>
      </c>
      <c r="AB777" s="1" t="s">
        <v>74</v>
      </c>
      <c r="AC777" s="1" t="s">
        <v>74</v>
      </c>
      <c r="AD777" s="1" t="s">
        <v>74</v>
      </c>
      <c r="AE777" s="1" t="s">
        <v>74</v>
      </c>
      <c r="AF777" s="1" t="s">
        <v>74</v>
      </c>
      <c r="AG777" s="1" t="s">
        <v>74</v>
      </c>
      <c r="AH777" s="1" t="s">
        <v>74</v>
      </c>
      <c r="AI777" s="1" t="s">
        <v>74</v>
      </c>
      <c r="AJ777" s="1" t="s">
        <v>74</v>
      </c>
      <c r="AK777" s="1" t="s">
        <v>74</v>
      </c>
      <c r="AL777" s="1" t="s">
        <v>74</v>
      </c>
      <c r="AM777" s="1" t="s">
        <v>74</v>
      </c>
      <c r="AN777" s="1" t="s">
        <v>74</v>
      </c>
      <c r="AO777" s="1" t="s">
        <v>173</v>
      </c>
      <c r="AP777" s="1" t="s">
        <v>74</v>
      </c>
      <c r="AQ777" s="1" t="s">
        <v>74</v>
      </c>
      <c r="AR777" s="1" t="s">
        <v>74</v>
      </c>
      <c r="AS777" s="1" t="s">
        <v>74</v>
      </c>
      <c r="AT777" s="1" t="s">
        <v>622</v>
      </c>
      <c r="AU777" s="1">
        <v>2000.0</v>
      </c>
      <c r="AV777" s="1">
        <v>477.0</v>
      </c>
      <c r="AW777" s="1" t="s">
        <v>913</v>
      </c>
      <c r="AX777" s="1" t="s">
        <v>74</v>
      </c>
      <c r="AY777" s="1" t="s">
        <v>74</v>
      </c>
      <c r="AZ777" s="1" t="s">
        <v>74</v>
      </c>
      <c r="BA777" s="1" t="s">
        <v>74</v>
      </c>
      <c r="BB777" s="1">
        <v>276.0</v>
      </c>
      <c r="BC777" s="1">
        <v>284.0</v>
      </c>
      <c r="BD777" s="1" t="s">
        <v>74</v>
      </c>
      <c r="BE777" s="1" t="s">
        <v>7862</v>
      </c>
      <c r="BF777" s="2" t="str">
        <f>HYPERLINK("http://dx.doi.org/10.1016/S0370-2693(00)00190-8","http://dx.doi.org/10.1016/S0370-2693(00)00190-8")</f>
        <v>http://dx.doi.org/10.1016/S0370-2693(00)00190-8</v>
      </c>
      <c r="BG777" s="1" t="s">
        <v>74</v>
      </c>
      <c r="BH777" s="1" t="s">
        <v>74</v>
      </c>
      <c r="BI777" s="1" t="s">
        <v>74</v>
      </c>
      <c r="BJ777" s="1" t="s">
        <v>74</v>
      </c>
      <c r="BK777" s="1" t="s">
        <v>74</v>
      </c>
      <c r="BL777" s="1" t="s">
        <v>74</v>
      </c>
      <c r="BM777" s="1" t="s">
        <v>74</v>
      </c>
      <c r="BN777" s="1" t="s">
        <v>74</v>
      </c>
      <c r="BO777" s="1" t="s">
        <v>74</v>
      </c>
      <c r="BP777" s="1" t="s">
        <v>74</v>
      </c>
      <c r="BQ777" s="1" t="s">
        <v>74</v>
      </c>
      <c r="BR777" s="1" t="s">
        <v>74</v>
      </c>
      <c r="BS777" s="1" t="s">
        <v>7863</v>
      </c>
      <c r="BT777" s="1" t="str">
        <f>HYPERLINK("https%3A%2F%2Fwww.webofscience.com%2Fwos%2Fwoscc%2Ffull-record%2FWOS:000086203000039","View Full Record in Web of Science")</f>
        <v>View Full Record in Web of Science</v>
      </c>
    </row>
    <row r="778" ht="12.75" customHeight="1">
      <c r="A778" s="1" t="s">
        <v>72</v>
      </c>
      <c r="B778" s="1" t="s">
        <v>7864</v>
      </c>
      <c r="C778" s="1" t="s">
        <v>74</v>
      </c>
      <c r="D778" s="1" t="s">
        <v>74</v>
      </c>
      <c r="E778" s="1" t="s">
        <v>74</v>
      </c>
      <c r="F778" s="1" t="s">
        <v>7864</v>
      </c>
      <c r="G778" s="1" t="s">
        <v>74</v>
      </c>
      <c r="H778" s="1" t="s">
        <v>74</v>
      </c>
      <c r="I778" s="1" t="s">
        <v>7865</v>
      </c>
      <c r="J778" s="1" t="s">
        <v>2339</v>
      </c>
      <c r="K778" s="1" t="s">
        <v>74</v>
      </c>
      <c r="L778" s="1" t="s">
        <v>74</v>
      </c>
      <c r="M778" s="1" t="s">
        <v>74</v>
      </c>
      <c r="N778" s="1" t="s">
        <v>74</v>
      </c>
      <c r="O778" s="1" t="s">
        <v>74</v>
      </c>
      <c r="P778" s="1" t="s">
        <v>74</v>
      </c>
      <c r="Q778" s="1" t="s">
        <v>74</v>
      </c>
      <c r="R778" s="1" t="s">
        <v>74</v>
      </c>
      <c r="S778" s="1" t="s">
        <v>74</v>
      </c>
      <c r="T778" s="1" t="s">
        <v>74</v>
      </c>
      <c r="U778" s="1" t="s">
        <v>74</v>
      </c>
      <c r="V778" s="1" t="s">
        <v>7866</v>
      </c>
      <c r="W778" s="1" t="s">
        <v>74</v>
      </c>
      <c r="X778" s="1" t="s">
        <v>74</v>
      </c>
      <c r="Y778" s="1" t="s">
        <v>74</v>
      </c>
      <c r="Z778" s="1" t="s">
        <v>74</v>
      </c>
      <c r="AA778" s="1" t="s">
        <v>74</v>
      </c>
      <c r="AB778" s="1" t="s">
        <v>74</v>
      </c>
      <c r="AC778" s="1" t="s">
        <v>74</v>
      </c>
      <c r="AD778" s="1" t="s">
        <v>74</v>
      </c>
      <c r="AE778" s="1" t="s">
        <v>74</v>
      </c>
      <c r="AF778" s="1" t="s">
        <v>74</v>
      </c>
      <c r="AG778" s="1" t="s">
        <v>74</v>
      </c>
      <c r="AH778" s="1" t="s">
        <v>74</v>
      </c>
      <c r="AI778" s="1" t="s">
        <v>74</v>
      </c>
      <c r="AJ778" s="1" t="s">
        <v>74</v>
      </c>
      <c r="AK778" s="1" t="s">
        <v>74</v>
      </c>
      <c r="AL778" s="1" t="s">
        <v>74</v>
      </c>
      <c r="AM778" s="1" t="s">
        <v>74</v>
      </c>
      <c r="AN778" s="1" t="s">
        <v>74</v>
      </c>
      <c r="AO778" s="1" t="s">
        <v>2343</v>
      </c>
      <c r="AP778" s="1" t="s">
        <v>74</v>
      </c>
      <c r="AQ778" s="1" t="s">
        <v>74</v>
      </c>
      <c r="AR778" s="1" t="s">
        <v>74</v>
      </c>
      <c r="AS778" s="1" t="s">
        <v>74</v>
      </c>
      <c r="AT778" s="1" t="s">
        <v>175</v>
      </c>
      <c r="AU778" s="1">
        <v>1998.0</v>
      </c>
      <c r="AV778" s="1">
        <v>54.0</v>
      </c>
      <c r="AW778" s="1" t="s">
        <v>74</v>
      </c>
      <c r="AX778" s="1">
        <v>11.0</v>
      </c>
      <c r="AY778" s="1" t="s">
        <v>74</v>
      </c>
      <c r="AZ778" s="1" t="s">
        <v>74</v>
      </c>
      <c r="BA778" s="1" t="s">
        <v>74</v>
      </c>
      <c r="BB778" s="1">
        <v>1592.0</v>
      </c>
      <c r="BC778" s="1">
        <v>1594.0</v>
      </c>
      <c r="BD778" s="1" t="s">
        <v>74</v>
      </c>
      <c r="BE778" s="1" t="s">
        <v>7867</v>
      </c>
      <c r="BF778" s="2" t="str">
        <f>HYPERLINK("http://dx.doi.org/10.1107/S010827019800691X","http://dx.doi.org/10.1107/S010827019800691X")</f>
        <v>http://dx.doi.org/10.1107/S010827019800691X</v>
      </c>
      <c r="BG778" s="1" t="s">
        <v>74</v>
      </c>
      <c r="BH778" s="1" t="s">
        <v>74</v>
      </c>
      <c r="BI778" s="1" t="s">
        <v>74</v>
      </c>
      <c r="BJ778" s="1" t="s">
        <v>74</v>
      </c>
      <c r="BK778" s="1" t="s">
        <v>74</v>
      </c>
      <c r="BL778" s="1" t="s">
        <v>74</v>
      </c>
      <c r="BM778" s="1" t="s">
        <v>74</v>
      </c>
      <c r="BN778" s="1" t="s">
        <v>74</v>
      </c>
      <c r="BO778" s="1" t="s">
        <v>74</v>
      </c>
      <c r="BP778" s="1" t="s">
        <v>74</v>
      </c>
      <c r="BQ778" s="1" t="s">
        <v>74</v>
      </c>
      <c r="BR778" s="1" t="s">
        <v>74</v>
      </c>
      <c r="BS778" s="1" t="s">
        <v>7868</v>
      </c>
      <c r="BT778" s="1" t="str">
        <f>HYPERLINK("https%3A%2F%2Fwww.webofscience.com%2Fwos%2Fwoscc%2Ffull-record%2FWOS:000077537400019","View Full Record in Web of Science")</f>
        <v>View Full Record in Web of Science</v>
      </c>
    </row>
    <row r="779" ht="12.75" customHeight="1">
      <c r="A779" s="1" t="s">
        <v>72</v>
      </c>
      <c r="B779" s="1" t="s">
        <v>7869</v>
      </c>
      <c r="C779" s="1" t="s">
        <v>74</v>
      </c>
      <c r="D779" s="1" t="s">
        <v>74</v>
      </c>
      <c r="E779" s="1" t="s">
        <v>74</v>
      </c>
      <c r="F779" s="1" t="s">
        <v>7869</v>
      </c>
      <c r="G779" s="1" t="s">
        <v>74</v>
      </c>
      <c r="H779" s="1" t="s">
        <v>74</v>
      </c>
      <c r="I779" s="1" t="s">
        <v>7870</v>
      </c>
      <c r="J779" s="1" t="s">
        <v>7871</v>
      </c>
      <c r="K779" s="1" t="s">
        <v>74</v>
      </c>
      <c r="L779" s="1" t="s">
        <v>74</v>
      </c>
      <c r="M779" s="1" t="s">
        <v>74</v>
      </c>
      <c r="N779" s="1" t="s">
        <v>74</v>
      </c>
      <c r="O779" s="1" t="s">
        <v>74</v>
      </c>
      <c r="P779" s="1" t="s">
        <v>74</v>
      </c>
      <c r="Q779" s="1" t="s">
        <v>74</v>
      </c>
      <c r="R779" s="1" t="s">
        <v>74</v>
      </c>
      <c r="S779" s="1" t="s">
        <v>74</v>
      </c>
      <c r="T779" s="1" t="s">
        <v>74</v>
      </c>
      <c r="U779" s="1" t="s">
        <v>74</v>
      </c>
      <c r="V779" s="1" t="s">
        <v>7872</v>
      </c>
      <c r="W779" s="1" t="s">
        <v>74</v>
      </c>
      <c r="X779" s="1" t="s">
        <v>74</v>
      </c>
      <c r="Y779" s="1" t="s">
        <v>74</v>
      </c>
      <c r="Z779" s="1" t="s">
        <v>74</v>
      </c>
      <c r="AA779" s="1" t="s">
        <v>74</v>
      </c>
      <c r="AB779" s="1" t="s">
        <v>74</v>
      </c>
      <c r="AC779" s="1" t="s">
        <v>74</v>
      </c>
      <c r="AD779" s="1" t="s">
        <v>74</v>
      </c>
      <c r="AE779" s="1" t="s">
        <v>74</v>
      </c>
      <c r="AF779" s="1" t="s">
        <v>74</v>
      </c>
      <c r="AG779" s="1" t="s">
        <v>74</v>
      </c>
      <c r="AH779" s="1" t="s">
        <v>74</v>
      </c>
      <c r="AI779" s="1" t="s">
        <v>74</v>
      </c>
      <c r="AJ779" s="1" t="s">
        <v>74</v>
      </c>
      <c r="AK779" s="1" t="s">
        <v>74</v>
      </c>
      <c r="AL779" s="1" t="s">
        <v>74</v>
      </c>
      <c r="AM779" s="1" t="s">
        <v>74</v>
      </c>
      <c r="AN779" s="1" t="s">
        <v>74</v>
      </c>
      <c r="AO779" s="1" t="s">
        <v>7873</v>
      </c>
      <c r="AP779" s="1" t="s">
        <v>74</v>
      </c>
      <c r="AQ779" s="1" t="s">
        <v>74</v>
      </c>
      <c r="AR779" s="1" t="s">
        <v>74</v>
      </c>
      <c r="AS779" s="1" t="s">
        <v>74</v>
      </c>
      <c r="AT779" s="1" t="s">
        <v>74</v>
      </c>
      <c r="AU779" s="1">
        <v>1997.0</v>
      </c>
      <c r="AV779" s="1">
        <v>34.0</v>
      </c>
      <c r="AW779" s="1">
        <v>4.0</v>
      </c>
      <c r="AX779" s="1" t="s">
        <v>74</v>
      </c>
      <c r="AY779" s="1" t="s">
        <v>74</v>
      </c>
      <c r="AZ779" s="1" t="s">
        <v>74</v>
      </c>
      <c r="BA779" s="1" t="s">
        <v>74</v>
      </c>
      <c r="BB779" s="1">
        <v>367.0</v>
      </c>
      <c r="BC779" s="1">
        <v>379.0</v>
      </c>
      <c r="BD779" s="1" t="s">
        <v>74</v>
      </c>
      <c r="BE779" s="1" t="s">
        <v>74</v>
      </c>
      <c r="BF779" s="1" t="s">
        <v>74</v>
      </c>
      <c r="BG779" s="1" t="s">
        <v>74</v>
      </c>
      <c r="BH779" s="1" t="s">
        <v>74</v>
      </c>
      <c r="BI779" s="1" t="s">
        <v>74</v>
      </c>
      <c r="BJ779" s="1" t="s">
        <v>74</v>
      </c>
      <c r="BK779" s="1" t="s">
        <v>74</v>
      </c>
      <c r="BL779" s="1" t="s">
        <v>74</v>
      </c>
      <c r="BM779" s="1" t="s">
        <v>74</v>
      </c>
      <c r="BN779" s="1" t="s">
        <v>74</v>
      </c>
      <c r="BO779" s="1" t="s">
        <v>74</v>
      </c>
      <c r="BP779" s="1" t="s">
        <v>74</v>
      </c>
      <c r="BQ779" s="1" t="s">
        <v>74</v>
      </c>
      <c r="BR779" s="1" t="s">
        <v>74</v>
      </c>
      <c r="BS779" s="1" t="s">
        <v>7874</v>
      </c>
      <c r="BT779" s="1" t="str">
        <f>HYPERLINK("https%3A%2F%2Fwww.webofscience.com%2Fwos%2Fwoscc%2Ffull-record%2FWOS:A1997XK13200005","View Full Record in Web of Science")</f>
        <v>View Full Record in Web of Science</v>
      </c>
    </row>
    <row r="780" ht="12.75" customHeight="1">
      <c r="A780" s="1" t="s">
        <v>72</v>
      </c>
      <c r="B780" s="1" t="s">
        <v>7875</v>
      </c>
      <c r="C780" s="1" t="s">
        <v>74</v>
      </c>
      <c r="D780" s="1" t="s">
        <v>74</v>
      </c>
      <c r="E780" s="1" t="s">
        <v>74</v>
      </c>
      <c r="F780" s="1" t="s">
        <v>7876</v>
      </c>
      <c r="G780" s="1" t="s">
        <v>74</v>
      </c>
      <c r="H780" s="1" t="s">
        <v>74</v>
      </c>
      <c r="I780" s="1" t="s">
        <v>7877</v>
      </c>
      <c r="J780" s="1" t="s">
        <v>4807</v>
      </c>
      <c r="K780" s="1" t="s">
        <v>74</v>
      </c>
      <c r="L780" s="1" t="s">
        <v>74</v>
      </c>
      <c r="M780" s="1" t="s">
        <v>74</v>
      </c>
      <c r="N780" s="1" t="s">
        <v>74</v>
      </c>
      <c r="O780" s="1" t="s">
        <v>74</v>
      </c>
      <c r="P780" s="1" t="s">
        <v>74</v>
      </c>
      <c r="Q780" s="1" t="s">
        <v>74</v>
      </c>
      <c r="R780" s="1" t="s">
        <v>74</v>
      </c>
      <c r="S780" s="1" t="s">
        <v>74</v>
      </c>
      <c r="T780" s="1" t="s">
        <v>74</v>
      </c>
      <c r="U780" s="1" t="s">
        <v>74</v>
      </c>
      <c r="V780" s="1" t="s">
        <v>7878</v>
      </c>
      <c r="W780" s="1" t="s">
        <v>74</v>
      </c>
      <c r="X780" s="1" t="s">
        <v>74</v>
      </c>
      <c r="Y780" s="1" t="s">
        <v>74</v>
      </c>
      <c r="Z780" s="1" t="s">
        <v>74</v>
      </c>
      <c r="AA780" s="1" t="s">
        <v>7879</v>
      </c>
      <c r="AB780" s="1" t="s">
        <v>7880</v>
      </c>
      <c r="AC780" s="1" t="s">
        <v>74</v>
      </c>
      <c r="AD780" s="1" t="s">
        <v>74</v>
      </c>
      <c r="AE780" s="1" t="s">
        <v>74</v>
      </c>
      <c r="AF780" s="1" t="s">
        <v>74</v>
      </c>
      <c r="AG780" s="1" t="s">
        <v>74</v>
      </c>
      <c r="AH780" s="1" t="s">
        <v>74</v>
      </c>
      <c r="AI780" s="1" t="s">
        <v>74</v>
      </c>
      <c r="AJ780" s="1" t="s">
        <v>74</v>
      </c>
      <c r="AK780" s="1" t="s">
        <v>74</v>
      </c>
      <c r="AL780" s="1" t="s">
        <v>74</v>
      </c>
      <c r="AM780" s="1" t="s">
        <v>74</v>
      </c>
      <c r="AN780" s="1" t="s">
        <v>74</v>
      </c>
      <c r="AO780" s="1" t="s">
        <v>74</v>
      </c>
      <c r="AP780" s="1" t="s">
        <v>4811</v>
      </c>
      <c r="AQ780" s="1" t="s">
        <v>74</v>
      </c>
      <c r="AR780" s="1" t="s">
        <v>74</v>
      </c>
      <c r="AS780" s="1" t="s">
        <v>74</v>
      </c>
      <c r="AT780" s="1" t="s">
        <v>307</v>
      </c>
      <c r="AU780" s="1">
        <v>2024.0</v>
      </c>
      <c r="AV780" s="1">
        <v>17.0</v>
      </c>
      <c r="AW780" s="1">
        <v>23.0</v>
      </c>
      <c r="AX780" s="1" t="s">
        <v>74</v>
      </c>
      <c r="AY780" s="1" t="s">
        <v>74</v>
      </c>
      <c r="AZ780" s="1" t="s">
        <v>74</v>
      </c>
      <c r="BA780" s="1" t="s">
        <v>74</v>
      </c>
      <c r="BB780" s="1" t="s">
        <v>74</v>
      </c>
      <c r="BC780" s="1" t="s">
        <v>74</v>
      </c>
      <c r="BD780" s="1">
        <v>5868.0</v>
      </c>
      <c r="BE780" s="1" t="s">
        <v>7881</v>
      </c>
      <c r="BF780" s="2" t="str">
        <f>HYPERLINK("http://dx.doi.org/10.3390/en17235868","http://dx.doi.org/10.3390/en17235868")</f>
        <v>http://dx.doi.org/10.3390/en17235868</v>
      </c>
      <c r="BG780" s="1" t="s">
        <v>74</v>
      </c>
      <c r="BH780" s="1" t="s">
        <v>74</v>
      </c>
      <c r="BI780" s="1" t="s">
        <v>74</v>
      </c>
      <c r="BJ780" s="1" t="s">
        <v>74</v>
      </c>
      <c r="BK780" s="1" t="s">
        <v>74</v>
      </c>
      <c r="BL780" s="1" t="s">
        <v>74</v>
      </c>
      <c r="BM780" s="1" t="s">
        <v>74</v>
      </c>
      <c r="BN780" s="1" t="s">
        <v>74</v>
      </c>
      <c r="BO780" s="1" t="s">
        <v>74</v>
      </c>
      <c r="BP780" s="1" t="s">
        <v>74</v>
      </c>
      <c r="BQ780" s="1" t="s">
        <v>74</v>
      </c>
      <c r="BR780" s="1" t="s">
        <v>74</v>
      </c>
      <c r="BS780" s="1" t="s">
        <v>7882</v>
      </c>
      <c r="BT780" s="1" t="str">
        <f>HYPERLINK("https%3A%2F%2Fwww.webofscience.com%2Fwos%2Fwoscc%2Ffull-record%2FWOS:001377786400001","View Full Record in Web of Science")</f>
        <v>View Full Record in Web of Science</v>
      </c>
    </row>
    <row r="781" ht="12.75" customHeight="1">
      <c r="A781" s="1" t="s">
        <v>72</v>
      </c>
      <c r="B781" s="1" t="s">
        <v>7883</v>
      </c>
      <c r="C781" s="1" t="s">
        <v>74</v>
      </c>
      <c r="D781" s="1" t="s">
        <v>74</v>
      </c>
      <c r="E781" s="1" t="s">
        <v>74</v>
      </c>
      <c r="F781" s="1" t="s">
        <v>7884</v>
      </c>
      <c r="G781" s="1" t="s">
        <v>74</v>
      </c>
      <c r="H781" s="1" t="s">
        <v>74</v>
      </c>
      <c r="I781" s="1" t="s">
        <v>7885</v>
      </c>
      <c r="J781" s="1" t="s">
        <v>7886</v>
      </c>
      <c r="K781" s="1" t="s">
        <v>74</v>
      </c>
      <c r="L781" s="1" t="s">
        <v>74</v>
      </c>
      <c r="M781" s="1" t="s">
        <v>74</v>
      </c>
      <c r="N781" s="1" t="s">
        <v>74</v>
      </c>
      <c r="O781" s="1" t="s">
        <v>74</v>
      </c>
      <c r="P781" s="1" t="s">
        <v>74</v>
      </c>
      <c r="Q781" s="1" t="s">
        <v>74</v>
      </c>
      <c r="R781" s="1" t="s">
        <v>74</v>
      </c>
      <c r="S781" s="1" t="s">
        <v>74</v>
      </c>
      <c r="T781" s="1" t="s">
        <v>74</v>
      </c>
      <c r="U781" s="1" t="s">
        <v>74</v>
      </c>
      <c r="V781" s="1" t="s">
        <v>7887</v>
      </c>
      <c r="W781" s="1" t="s">
        <v>74</v>
      </c>
      <c r="X781" s="1" t="s">
        <v>74</v>
      </c>
      <c r="Y781" s="1" t="s">
        <v>74</v>
      </c>
      <c r="Z781" s="1" t="s">
        <v>74</v>
      </c>
      <c r="AA781" s="1" t="s">
        <v>74</v>
      </c>
      <c r="AB781" s="1" t="s">
        <v>7888</v>
      </c>
      <c r="AC781" s="1" t="s">
        <v>74</v>
      </c>
      <c r="AD781" s="1" t="s">
        <v>74</v>
      </c>
      <c r="AE781" s="1" t="s">
        <v>74</v>
      </c>
      <c r="AF781" s="1" t="s">
        <v>74</v>
      </c>
      <c r="AG781" s="1" t="s">
        <v>74</v>
      </c>
      <c r="AH781" s="1" t="s">
        <v>74</v>
      </c>
      <c r="AI781" s="1" t="s">
        <v>74</v>
      </c>
      <c r="AJ781" s="1" t="s">
        <v>74</v>
      </c>
      <c r="AK781" s="1" t="s">
        <v>74</v>
      </c>
      <c r="AL781" s="1" t="s">
        <v>74</v>
      </c>
      <c r="AM781" s="1" t="s">
        <v>74</v>
      </c>
      <c r="AN781" s="1" t="s">
        <v>74</v>
      </c>
      <c r="AO781" s="1" t="s">
        <v>74</v>
      </c>
      <c r="AP781" s="1" t="s">
        <v>7889</v>
      </c>
      <c r="AQ781" s="1" t="s">
        <v>74</v>
      </c>
      <c r="AR781" s="1" t="s">
        <v>74</v>
      </c>
      <c r="AS781" s="1" t="s">
        <v>74</v>
      </c>
      <c r="AT781" s="1" t="s">
        <v>318</v>
      </c>
      <c r="AU781" s="1">
        <v>2024.0</v>
      </c>
      <c r="AV781" s="1">
        <v>10.0</v>
      </c>
      <c r="AW781" s="1">
        <v>2.0</v>
      </c>
      <c r="AX781" s="1" t="s">
        <v>74</v>
      </c>
      <c r="AY781" s="1" t="s">
        <v>74</v>
      </c>
      <c r="AZ781" s="1" t="s">
        <v>74</v>
      </c>
      <c r="BA781" s="1" t="s">
        <v>74</v>
      </c>
      <c r="BB781" s="1" t="s">
        <v>74</v>
      </c>
      <c r="BC781" s="1" t="s">
        <v>74</v>
      </c>
      <c r="BD781" s="1">
        <v>157.0</v>
      </c>
      <c r="BE781" s="1" t="s">
        <v>7890</v>
      </c>
      <c r="BF781" s="2" t="str">
        <f>HYPERLINK("http://dx.doi.org/10.3390/jof10020157","http://dx.doi.org/10.3390/jof10020157")</f>
        <v>http://dx.doi.org/10.3390/jof10020157</v>
      </c>
      <c r="BG781" s="1" t="s">
        <v>74</v>
      </c>
      <c r="BH781" s="1" t="s">
        <v>74</v>
      </c>
      <c r="BI781" s="1" t="s">
        <v>74</v>
      </c>
      <c r="BJ781" s="1" t="s">
        <v>74</v>
      </c>
      <c r="BK781" s="1" t="s">
        <v>74</v>
      </c>
      <c r="BL781" s="1" t="s">
        <v>74</v>
      </c>
      <c r="BM781" s="1" t="s">
        <v>74</v>
      </c>
      <c r="BN781" s="1">
        <v>3.8392828E7</v>
      </c>
      <c r="BO781" s="1" t="s">
        <v>74</v>
      </c>
      <c r="BP781" s="1" t="s">
        <v>74</v>
      </c>
      <c r="BQ781" s="1" t="s">
        <v>74</v>
      </c>
      <c r="BR781" s="1" t="s">
        <v>74</v>
      </c>
      <c r="BS781" s="1" t="s">
        <v>7891</v>
      </c>
      <c r="BT781" s="1" t="str">
        <f>HYPERLINK("https%3A%2F%2Fwww.webofscience.com%2Fwos%2Fwoscc%2Ffull-record%2FWOS:001171983900001","View Full Record in Web of Science")</f>
        <v>View Full Record in Web of Science</v>
      </c>
    </row>
    <row r="782" ht="12.75" customHeight="1">
      <c r="A782" s="1" t="s">
        <v>72</v>
      </c>
      <c r="B782" s="1" t="s">
        <v>7892</v>
      </c>
      <c r="C782" s="1" t="s">
        <v>74</v>
      </c>
      <c r="D782" s="1" t="s">
        <v>74</v>
      </c>
      <c r="E782" s="1" t="s">
        <v>74</v>
      </c>
      <c r="F782" s="1" t="s">
        <v>7893</v>
      </c>
      <c r="G782" s="1" t="s">
        <v>74</v>
      </c>
      <c r="H782" s="1" t="s">
        <v>74</v>
      </c>
      <c r="I782" s="1" t="s">
        <v>7894</v>
      </c>
      <c r="J782" s="1" t="s">
        <v>7895</v>
      </c>
      <c r="K782" s="1" t="s">
        <v>74</v>
      </c>
      <c r="L782" s="1" t="s">
        <v>74</v>
      </c>
      <c r="M782" s="1" t="s">
        <v>74</v>
      </c>
      <c r="N782" s="1" t="s">
        <v>74</v>
      </c>
      <c r="O782" s="1" t="s">
        <v>74</v>
      </c>
      <c r="P782" s="1" t="s">
        <v>74</v>
      </c>
      <c r="Q782" s="1" t="s">
        <v>74</v>
      </c>
      <c r="R782" s="1" t="s">
        <v>74</v>
      </c>
      <c r="S782" s="1" t="s">
        <v>74</v>
      </c>
      <c r="T782" s="1" t="s">
        <v>74</v>
      </c>
      <c r="U782" s="1" t="s">
        <v>74</v>
      </c>
      <c r="V782" s="1" t="s">
        <v>7896</v>
      </c>
      <c r="W782" s="1" t="s">
        <v>74</v>
      </c>
      <c r="X782" s="1" t="s">
        <v>74</v>
      </c>
      <c r="Y782" s="1" t="s">
        <v>74</v>
      </c>
      <c r="Z782" s="1" t="s">
        <v>74</v>
      </c>
      <c r="AA782" s="1" t="s">
        <v>74</v>
      </c>
      <c r="AB782" s="1" t="s">
        <v>7897</v>
      </c>
      <c r="AC782" s="1" t="s">
        <v>74</v>
      </c>
      <c r="AD782" s="1" t="s">
        <v>74</v>
      </c>
      <c r="AE782" s="1" t="s">
        <v>74</v>
      </c>
      <c r="AF782" s="1" t="s">
        <v>74</v>
      </c>
      <c r="AG782" s="1" t="s">
        <v>74</v>
      </c>
      <c r="AH782" s="1" t="s">
        <v>74</v>
      </c>
      <c r="AI782" s="1" t="s">
        <v>74</v>
      </c>
      <c r="AJ782" s="1" t="s">
        <v>74</v>
      </c>
      <c r="AK782" s="1" t="s">
        <v>74</v>
      </c>
      <c r="AL782" s="1" t="s">
        <v>74</v>
      </c>
      <c r="AM782" s="1" t="s">
        <v>74</v>
      </c>
      <c r="AN782" s="1" t="s">
        <v>74</v>
      </c>
      <c r="AO782" s="1" t="s">
        <v>7898</v>
      </c>
      <c r="AP782" s="1" t="s">
        <v>7899</v>
      </c>
      <c r="AQ782" s="1" t="s">
        <v>74</v>
      </c>
      <c r="AR782" s="1" t="s">
        <v>74</v>
      </c>
      <c r="AS782" s="1" t="s">
        <v>74</v>
      </c>
      <c r="AT782" s="1" t="s">
        <v>212</v>
      </c>
      <c r="AU782" s="1">
        <v>2024.0</v>
      </c>
      <c r="AV782" s="1">
        <v>22.0</v>
      </c>
      <c r="AW782" s="1">
        <v>3.0</v>
      </c>
      <c r="AX782" s="1" t="s">
        <v>74</v>
      </c>
      <c r="AY782" s="1" t="s">
        <v>74</v>
      </c>
      <c r="AZ782" s="1" t="s">
        <v>1416</v>
      </c>
      <c r="BA782" s="1" t="s">
        <v>74</v>
      </c>
      <c r="BB782" s="1">
        <v>379.0</v>
      </c>
      <c r="BC782" s="1">
        <v>399.0</v>
      </c>
      <c r="BD782" s="1" t="s">
        <v>74</v>
      </c>
      <c r="BE782" s="1" t="s">
        <v>7900</v>
      </c>
      <c r="BF782" s="2" t="str">
        <f>HYPERLINK("http://dx.doi.org/10.1080/18387357.2023.2291372","http://dx.doi.org/10.1080/18387357.2023.2291372")</f>
        <v>http://dx.doi.org/10.1080/18387357.2023.2291372</v>
      </c>
      <c r="BG782" s="1" t="s">
        <v>74</v>
      </c>
      <c r="BH782" s="1" t="s">
        <v>190</v>
      </c>
      <c r="BI782" s="1" t="s">
        <v>74</v>
      </c>
      <c r="BJ782" s="1" t="s">
        <v>74</v>
      </c>
      <c r="BK782" s="1" t="s">
        <v>74</v>
      </c>
      <c r="BL782" s="1" t="s">
        <v>74</v>
      </c>
      <c r="BM782" s="1" t="s">
        <v>74</v>
      </c>
      <c r="BN782" s="1" t="s">
        <v>74</v>
      </c>
      <c r="BO782" s="1" t="s">
        <v>74</v>
      </c>
      <c r="BP782" s="1" t="s">
        <v>74</v>
      </c>
      <c r="BQ782" s="1" t="s">
        <v>74</v>
      </c>
      <c r="BR782" s="1" t="s">
        <v>74</v>
      </c>
      <c r="BS782" s="1" t="s">
        <v>7901</v>
      </c>
      <c r="BT782" s="1" t="str">
        <f>HYPERLINK("https%3A%2F%2Fwww.webofscience.com%2Fwos%2Fwoscc%2Ffull-record%2FWOS:001124364500001","View Full Record in Web of Science")</f>
        <v>View Full Record in Web of Science</v>
      </c>
    </row>
    <row r="783" ht="12.75" customHeight="1">
      <c r="A783" s="1" t="s">
        <v>72</v>
      </c>
      <c r="B783" s="1" t="s">
        <v>7902</v>
      </c>
      <c r="C783" s="1" t="s">
        <v>74</v>
      </c>
      <c r="D783" s="1" t="s">
        <v>74</v>
      </c>
      <c r="E783" s="1" t="s">
        <v>74</v>
      </c>
      <c r="F783" s="1" t="s">
        <v>7903</v>
      </c>
      <c r="G783" s="1" t="s">
        <v>74</v>
      </c>
      <c r="H783" s="1" t="s">
        <v>74</v>
      </c>
      <c r="I783" s="1" t="s">
        <v>7904</v>
      </c>
      <c r="J783" s="1" t="s">
        <v>7905</v>
      </c>
      <c r="K783" s="1" t="s">
        <v>74</v>
      </c>
      <c r="L783" s="1" t="s">
        <v>74</v>
      </c>
      <c r="M783" s="1" t="s">
        <v>74</v>
      </c>
      <c r="N783" s="1" t="s">
        <v>74</v>
      </c>
      <c r="O783" s="1" t="s">
        <v>74</v>
      </c>
      <c r="P783" s="1" t="s">
        <v>74</v>
      </c>
      <c r="Q783" s="1" t="s">
        <v>74</v>
      </c>
      <c r="R783" s="1" t="s">
        <v>74</v>
      </c>
      <c r="S783" s="1" t="s">
        <v>74</v>
      </c>
      <c r="T783" s="1" t="s">
        <v>74</v>
      </c>
      <c r="U783" s="1" t="s">
        <v>74</v>
      </c>
      <c r="V783" s="1" t="s">
        <v>7906</v>
      </c>
      <c r="W783" s="1" t="s">
        <v>74</v>
      </c>
      <c r="X783" s="1" t="s">
        <v>74</v>
      </c>
      <c r="Y783" s="1" t="s">
        <v>74</v>
      </c>
      <c r="Z783" s="1" t="s">
        <v>74</v>
      </c>
      <c r="AA783" s="1" t="s">
        <v>74</v>
      </c>
      <c r="AB783" s="1" t="s">
        <v>74</v>
      </c>
      <c r="AC783" s="1" t="s">
        <v>74</v>
      </c>
      <c r="AD783" s="1" t="s">
        <v>74</v>
      </c>
      <c r="AE783" s="1" t="s">
        <v>74</v>
      </c>
      <c r="AF783" s="1" t="s">
        <v>74</v>
      </c>
      <c r="AG783" s="1" t="s">
        <v>74</v>
      </c>
      <c r="AH783" s="1" t="s">
        <v>74</v>
      </c>
      <c r="AI783" s="1" t="s">
        <v>74</v>
      </c>
      <c r="AJ783" s="1" t="s">
        <v>74</v>
      </c>
      <c r="AK783" s="1" t="s">
        <v>74</v>
      </c>
      <c r="AL783" s="1" t="s">
        <v>74</v>
      </c>
      <c r="AM783" s="1" t="s">
        <v>74</v>
      </c>
      <c r="AN783" s="1" t="s">
        <v>74</v>
      </c>
      <c r="AO783" s="1" t="s">
        <v>7907</v>
      </c>
      <c r="AP783" s="1" t="s">
        <v>74</v>
      </c>
      <c r="AQ783" s="1" t="s">
        <v>74</v>
      </c>
      <c r="AR783" s="1" t="s">
        <v>74</v>
      </c>
      <c r="AS783" s="1" t="s">
        <v>74</v>
      </c>
      <c r="AT783" s="1" t="s">
        <v>7456</v>
      </c>
      <c r="AU783" s="1">
        <v>2023.0</v>
      </c>
      <c r="AV783" s="1">
        <v>15.0</v>
      </c>
      <c r="AW783" s="1">
        <v>6.0</v>
      </c>
      <c r="AX783" s="1" t="s">
        <v>74</v>
      </c>
      <c r="AY783" s="1" t="s">
        <v>74</v>
      </c>
      <c r="AZ783" s="1" t="s">
        <v>74</v>
      </c>
      <c r="BA783" s="1" t="s">
        <v>74</v>
      </c>
      <c r="BB783" s="1">
        <v>541.0</v>
      </c>
      <c r="BC783" s="1">
        <v>551.0</v>
      </c>
      <c r="BD783" s="1" t="s">
        <v>74</v>
      </c>
      <c r="BE783" s="1" t="s">
        <v>74</v>
      </c>
      <c r="BF783" s="1" t="s">
        <v>74</v>
      </c>
      <c r="BG783" s="1" t="s">
        <v>74</v>
      </c>
      <c r="BH783" s="1" t="s">
        <v>74</v>
      </c>
      <c r="BI783" s="1" t="s">
        <v>74</v>
      </c>
      <c r="BJ783" s="1" t="s">
        <v>74</v>
      </c>
      <c r="BK783" s="1" t="s">
        <v>74</v>
      </c>
      <c r="BL783" s="1" t="s">
        <v>74</v>
      </c>
      <c r="BM783" s="1" t="s">
        <v>74</v>
      </c>
      <c r="BN783" s="1" t="s">
        <v>74</v>
      </c>
      <c r="BO783" s="1" t="s">
        <v>74</v>
      </c>
      <c r="BP783" s="1" t="s">
        <v>74</v>
      </c>
      <c r="BQ783" s="1" t="s">
        <v>74</v>
      </c>
      <c r="BR783" s="1" t="s">
        <v>74</v>
      </c>
      <c r="BS783" s="1" t="s">
        <v>7908</v>
      </c>
      <c r="BT783" s="1" t="str">
        <f>HYPERLINK("https%3A%2F%2Fwww.webofscience.com%2Fwos%2Fwoscc%2Ffull-record%2FWOS:001126631700057","View Full Record in Web of Science")</f>
        <v>View Full Record in Web of Science</v>
      </c>
    </row>
    <row r="784" ht="12.75" customHeight="1">
      <c r="A784" s="1" t="s">
        <v>72</v>
      </c>
      <c r="B784" s="1" t="s">
        <v>7909</v>
      </c>
      <c r="C784" s="1" t="s">
        <v>74</v>
      </c>
      <c r="D784" s="1" t="s">
        <v>74</v>
      </c>
      <c r="E784" s="1" t="s">
        <v>74</v>
      </c>
      <c r="F784" s="1" t="s">
        <v>7910</v>
      </c>
      <c r="G784" s="1" t="s">
        <v>74</v>
      </c>
      <c r="H784" s="1" t="s">
        <v>74</v>
      </c>
      <c r="I784" s="1" t="s">
        <v>7911</v>
      </c>
      <c r="J784" s="1" t="s">
        <v>107</v>
      </c>
      <c r="K784" s="1" t="s">
        <v>74</v>
      </c>
      <c r="L784" s="1" t="s">
        <v>74</v>
      </c>
      <c r="M784" s="1" t="s">
        <v>74</v>
      </c>
      <c r="N784" s="1" t="s">
        <v>74</v>
      </c>
      <c r="O784" s="1" t="s">
        <v>74</v>
      </c>
      <c r="P784" s="1" t="s">
        <v>74</v>
      </c>
      <c r="Q784" s="1" t="s">
        <v>74</v>
      </c>
      <c r="R784" s="1" t="s">
        <v>74</v>
      </c>
      <c r="S784" s="1" t="s">
        <v>74</v>
      </c>
      <c r="T784" s="1" t="s">
        <v>74</v>
      </c>
      <c r="U784" s="1" t="s">
        <v>74</v>
      </c>
      <c r="V784" s="1" t="s">
        <v>7912</v>
      </c>
      <c r="W784" s="1" t="s">
        <v>74</v>
      </c>
      <c r="X784" s="1" t="s">
        <v>74</v>
      </c>
      <c r="Y784" s="1" t="s">
        <v>74</v>
      </c>
      <c r="Z784" s="1" t="s">
        <v>74</v>
      </c>
      <c r="AA784" s="1" t="s">
        <v>7913</v>
      </c>
      <c r="AB784" s="1" t="s">
        <v>7914</v>
      </c>
      <c r="AC784" s="1" t="s">
        <v>74</v>
      </c>
      <c r="AD784" s="1" t="s">
        <v>74</v>
      </c>
      <c r="AE784" s="1" t="s">
        <v>74</v>
      </c>
      <c r="AF784" s="1" t="s">
        <v>74</v>
      </c>
      <c r="AG784" s="1" t="s">
        <v>74</v>
      </c>
      <c r="AH784" s="1" t="s">
        <v>74</v>
      </c>
      <c r="AI784" s="1" t="s">
        <v>74</v>
      </c>
      <c r="AJ784" s="1" t="s">
        <v>74</v>
      </c>
      <c r="AK784" s="1" t="s">
        <v>74</v>
      </c>
      <c r="AL784" s="1" t="s">
        <v>74</v>
      </c>
      <c r="AM784" s="1" t="s">
        <v>74</v>
      </c>
      <c r="AN784" s="1" t="s">
        <v>74</v>
      </c>
      <c r="AO784" s="1" t="s">
        <v>110</v>
      </c>
      <c r="AP784" s="1" t="s">
        <v>563</v>
      </c>
      <c r="AQ784" s="1" t="s">
        <v>74</v>
      </c>
      <c r="AR784" s="1" t="s">
        <v>74</v>
      </c>
      <c r="AS784" s="1" t="s">
        <v>74</v>
      </c>
      <c r="AT784" s="1" t="s">
        <v>6769</v>
      </c>
      <c r="AU784" s="1">
        <v>2022.0</v>
      </c>
      <c r="AV784" s="1">
        <v>395.0</v>
      </c>
      <c r="AW784" s="1" t="s">
        <v>74</v>
      </c>
      <c r="AX784" s="1" t="s">
        <v>74</v>
      </c>
      <c r="AY784" s="1" t="s">
        <v>74</v>
      </c>
      <c r="AZ784" s="1" t="s">
        <v>74</v>
      </c>
      <c r="BA784" s="1" t="s">
        <v>74</v>
      </c>
      <c r="BB784" s="1" t="s">
        <v>74</v>
      </c>
      <c r="BC784" s="1" t="s">
        <v>74</v>
      </c>
      <c r="BD784" s="1">
        <v>133595.0</v>
      </c>
      <c r="BE784" s="1" t="s">
        <v>7915</v>
      </c>
      <c r="BF784" s="2" t="str">
        <f>HYPERLINK("http://dx.doi.org/10.1016/j.foodchem.2022.133595","http://dx.doi.org/10.1016/j.foodchem.2022.133595")</f>
        <v>http://dx.doi.org/10.1016/j.foodchem.2022.133595</v>
      </c>
      <c r="BG784" s="1" t="s">
        <v>74</v>
      </c>
      <c r="BH784" s="1" t="s">
        <v>3026</v>
      </c>
      <c r="BI784" s="1" t="s">
        <v>74</v>
      </c>
      <c r="BJ784" s="1" t="s">
        <v>74</v>
      </c>
      <c r="BK784" s="1" t="s">
        <v>74</v>
      </c>
      <c r="BL784" s="1" t="s">
        <v>74</v>
      </c>
      <c r="BM784" s="1" t="s">
        <v>74</v>
      </c>
      <c r="BN784" s="1">
        <v>3.5809548E7</v>
      </c>
      <c r="BO784" s="1" t="s">
        <v>74</v>
      </c>
      <c r="BP784" s="1" t="s">
        <v>74</v>
      </c>
      <c r="BQ784" s="1" t="s">
        <v>74</v>
      </c>
      <c r="BR784" s="1" t="s">
        <v>74</v>
      </c>
      <c r="BS784" s="1" t="s">
        <v>7916</v>
      </c>
      <c r="BT784" s="1" t="str">
        <f>HYPERLINK("https%3A%2F%2Fwww.webofscience.com%2Fwos%2Fwoscc%2Ffull-record%2FWOS:000827950000008","View Full Record in Web of Science")</f>
        <v>View Full Record in Web of Science</v>
      </c>
    </row>
    <row r="785" ht="12.75" customHeight="1">
      <c r="A785" s="1" t="s">
        <v>72</v>
      </c>
      <c r="B785" s="1" t="s">
        <v>7917</v>
      </c>
      <c r="C785" s="1" t="s">
        <v>74</v>
      </c>
      <c r="D785" s="1" t="s">
        <v>74</v>
      </c>
      <c r="E785" s="1" t="s">
        <v>74</v>
      </c>
      <c r="F785" s="1" t="s">
        <v>7918</v>
      </c>
      <c r="G785" s="1" t="s">
        <v>74</v>
      </c>
      <c r="H785" s="1" t="s">
        <v>74</v>
      </c>
      <c r="I785" s="1" t="s">
        <v>7919</v>
      </c>
      <c r="J785" s="1" t="s">
        <v>2835</v>
      </c>
      <c r="K785" s="1" t="s">
        <v>74</v>
      </c>
      <c r="L785" s="1" t="s">
        <v>74</v>
      </c>
      <c r="M785" s="1" t="s">
        <v>74</v>
      </c>
      <c r="N785" s="1" t="s">
        <v>74</v>
      </c>
      <c r="O785" s="1" t="s">
        <v>74</v>
      </c>
      <c r="P785" s="1" t="s">
        <v>74</v>
      </c>
      <c r="Q785" s="1" t="s">
        <v>74</v>
      </c>
      <c r="R785" s="1" t="s">
        <v>74</v>
      </c>
      <c r="S785" s="1" t="s">
        <v>74</v>
      </c>
      <c r="T785" s="1" t="s">
        <v>74</v>
      </c>
      <c r="U785" s="1" t="s">
        <v>74</v>
      </c>
      <c r="V785" s="1" t="s">
        <v>7920</v>
      </c>
      <c r="W785" s="1" t="s">
        <v>74</v>
      </c>
      <c r="X785" s="1" t="s">
        <v>74</v>
      </c>
      <c r="Y785" s="1" t="s">
        <v>74</v>
      </c>
      <c r="Z785" s="1" t="s">
        <v>74</v>
      </c>
      <c r="AA785" s="1" t="s">
        <v>7921</v>
      </c>
      <c r="AB785" s="1" t="s">
        <v>7922</v>
      </c>
      <c r="AC785" s="1" t="s">
        <v>74</v>
      </c>
      <c r="AD785" s="1" t="s">
        <v>74</v>
      </c>
      <c r="AE785" s="1" t="s">
        <v>74</v>
      </c>
      <c r="AF785" s="1" t="s">
        <v>74</v>
      </c>
      <c r="AG785" s="1" t="s">
        <v>74</v>
      </c>
      <c r="AH785" s="1" t="s">
        <v>74</v>
      </c>
      <c r="AI785" s="1" t="s">
        <v>74</v>
      </c>
      <c r="AJ785" s="1" t="s">
        <v>74</v>
      </c>
      <c r="AK785" s="1" t="s">
        <v>74</v>
      </c>
      <c r="AL785" s="1" t="s">
        <v>74</v>
      </c>
      <c r="AM785" s="1" t="s">
        <v>74</v>
      </c>
      <c r="AN785" s="1" t="s">
        <v>74</v>
      </c>
      <c r="AO785" s="1" t="s">
        <v>2839</v>
      </c>
      <c r="AP785" s="1" t="s">
        <v>2840</v>
      </c>
      <c r="AQ785" s="1" t="s">
        <v>74</v>
      </c>
      <c r="AR785" s="1" t="s">
        <v>74</v>
      </c>
      <c r="AS785" s="1" t="s">
        <v>74</v>
      </c>
      <c r="AT785" s="1" t="s">
        <v>7923</v>
      </c>
      <c r="AU785" s="1">
        <v>2022.0</v>
      </c>
      <c r="AV785" s="1">
        <v>46.0</v>
      </c>
      <c r="AW785" s="1">
        <v>26.0</v>
      </c>
      <c r="AX785" s="1" t="s">
        <v>74</v>
      </c>
      <c r="AY785" s="1" t="s">
        <v>74</v>
      </c>
      <c r="AZ785" s="1" t="s">
        <v>74</v>
      </c>
      <c r="BA785" s="1" t="s">
        <v>74</v>
      </c>
      <c r="BB785" s="1">
        <v>12825.0</v>
      </c>
      <c r="BC785" s="1">
        <v>12835.0</v>
      </c>
      <c r="BD785" s="1" t="s">
        <v>74</v>
      </c>
      <c r="BE785" s="1" t="s">
        <v>7924</v>
      </c>
      <c r="BF785" s="2" t="str">
        <f>HYPERLINK("http://dx.doi.org/10.1039/d2nj01194h","http://dx.doi.org/10.1039/d2nj01194h")</f>
        <v>http://dx.doi.org/10.1039/d2nj01194h</v>
      </c>
      <c r="BG785" s="1" t="s">
        <v>74</v>
      </c>
      <c r="BH785" s="1" t="s">
        <v>5909</v>
      </c>
      <c r="BI785" s="1" t="s">
        <v>74</v>
      </c>
      <c r="BJ785" s="1" t="s">
        <v>74</v>
      </c>
      <c r="BK785" s="1" t="s">
        <v>74</v>
      </c>
      <c r="BL785" s="1" t="s">
        <v>74</v>
      </c>
      <c r="BM785" s="1" t="s">
        <v>74</v>
      </c>
      <c r="BN785" s="1" t="s">
        <v>74</v>
      </c>
      <c r="BO785" s="1" t="s">
        <v>74</v>
      </c>
      <c r="BP785" s="1" t="s">
        <v>74</v>
      </c>
      <c r="BQ785" s="1" t="s">
        <v>74</v>
      </c>
      <c r="BR785" s="1" t="s">
        <v>74</v>
      </c>
      <c r="BS785" s="1" t="s">
        <v>7925</v>
      </c>
      <c r="BT785" s="1" t="str">
        <f>HYPERLINK("https%3A%2F%2Fwww.webofscience.com%2Fwos%2Fwoscc%2Ffull-record%2FWOS:000812298000001","View Full Record in Web of Science")</f>
        <v>View Full Record in Web of Science</v>
      </c>
    </row>
    <row r="786" ht="12.75" customHeight="1">
      <c r="A786" s="1" t="s">
        <v>72</v>
      </c>
      <c r="B786" s="1" t="s">
        <v>7926</v>
      </c>
      <c r="C786" s="1" t="s">
        <v>74</v>
      </c>
      <c r="D786" s="1" t="s">
        <v>74</v>
      </c>
      <c r="E786" s="1" t="s">
        <v>74</v>
      </c>
      <c r="F786" s="1" t="s">
        <v>7927</v>
      </c>
      <c r="G786" s="1" t="s">
        <v>74</v>
      </c>
      <c r="H786" s="1" t="s">
        <v>74</v>
      </c>
      <c r="I786" s="1" t="s">
        <v>7928</v>
      </c>
      <c r="J786" s="1" t="s">
        <v>7929</v>
      </c>
      <c r="K786" s="1" t="s">
        <v>74</v>
      </c>
      <c r="L786" s="1" t="s">
        <v>74</v>
      </c>
      <c r="M786" s="1" t="s">
        <v>74</v>
      </c>
      <c r="N786" s="1" t="s">
        <v>74</v>
      </c>
      <c r="O786" s="1" t="s">
        <v>74</v>
      </c>
      <c r="P786" s="1" t="s">
        <v>74</v>
      </c>
      <c r="Q786" s="1" t="s">
        <v>74</v>
      </c>
      <c r="R786" s="1" t="s">
        <v>74</v>
      </c>
      <c r="S786" s="1" t="s">
        <v>74</v>
      </c>
      <c r="T786" s="1" t="s">
        <v>74</v>
      </c>
      <c r="U786" s="1" t="s">
        <v>74</v>
      </c>
      <c r="V786" s="1" t="s">
        <v>7930</v>
      </c>
      <c r="W786" s="1" t="s">
        <v>74</v>
      </c>
      <c r="X786" s="1" t="s">
        <v>74</v>
      </c>
      <c r="Y786" s="1" t="s">
        <v>74</v>
      </c>
      <c r="Z786" s="1" t="s">
        <v>74</v>
      </c>
      <c r="AA786" s="1" t="s">
        <v>7931</v>
      </c>
      <c r="AB786" s="1" t="s">
        <v>7932</v>
      </c>
      <c r="AC786" s="1" t="s">
        <v>74</v>
      </c>
      <c r="AD786" s="1" t="s">
        <v>74</v>
      </c>
      <c r="AE786" s="1" t="s">
        <v>74</v>
      </c>
      <c r="AF786" s="1" t="s">
        <v>74</v>
      </c>
      <c r="AG786" s="1" t="s">
        <v>74</v>
      </c>
      <c r="AH786" s="1" t="s">
        <v>74</v>
      </c>
      <c r="AI786" s="1" t="s">
        <v>74</v>
      </c>
      <c r="AJ786" s="1" t="s">
        <v>74</v>
      </c>
      <c r="AK786" s="1" t="s">
        <v>74</v>
      </c>
      <c r="AL786" s="1" t="s">
        <v>74</v>
      </c>
      <c r="AM786" s="1" t="s">
        <v>74</v>
      </c>
      <c r="AN786" s="1" t="s">
        <v>74</v>
      </c>
      <c r="AO786" s="1" t="s">
        <v>7933</v>
      </c>
      <c r="AP786" s="1" t="s">
        <v>7934</v>
      </c>
      <c r="AQ786" s="1" t="s">
        <v>74</v>
      </c>
      <c r="AR786" s="1" t="s">
        <v>74</v>
      </c>
      <c r="AS786" s="1" t="s">
        <v>74</v>
      </c>
      <c r="AT786" s="1" t="s">
        <v>422</v>
      </c>
      <c r="AU786" s="1">
        <v>2022.0</v>
      </c>
      <c r="AV786" s="1">
        <v>197.0</v>
      </c>
      <c r="AW786" s="1" t="s">
        <v>74</v>
      </c>
      <c r="AX786" s="1" t="s">
        <v>74</v>
      </c>
      <c r="AY786" s="1" t="s">
        <v>74</v>
      </c>
      <c r="AZ786" s="1" t="s">
        <v>74</v>
      </c>
      <c r="BA786" s="1" t="s">
        <v>74</v>
      </c>
      <c r="BB786" s="1" t="s">
        <v>74</v>
      </c>
      <c r="BC786" s="1" t="s">
        <v>74</v>
      </c>
      <c r="BD786" s="1">
        <v>109953.0</v>
      </c>
      <c r="BE786" s="1" t="s">
        <v>7935</v>
      </c>
      <c r="BF786" s="2" t="str">
        <f>HYPERLINK("http://dx.doi.org/10.1016/j.dyepig.2021.109953","http://dx.doi.org/10.1016/j.dyepig.2021.109953")</f>
        <v>http://dx.doi.org/10.1016/j.dyepig.2021.109953</v>
      </c>
      <c r="BG786" s="1" t="s">
        <v>74</v>
      </c>
      <c r="BH786" s="1" t="s">
        <v>3918</v>
      </c>
      <c r="BI786" s="1" t="s">
        <v>74</v>
      </c>
      <c r="BJ786" s="1" t="s">
        <v>74</v>
      </c>
      <c r="BK786" s="1" t="s">
        <v>74</v>
      </c>
      <c r="BL786" s="1" t="s">
        <v>74</v>
      </c>
      <c r="BM786" s="1" t="s">
        <v>74</v>
      </c>
      <c r="BN786" s="1" t="s">
        <v>74</v>
      </c>
      <c r="BO786" s="1" t="s">
        <v>74</v>
      </c>
      <c r="BP786" s="1" t="s">
        <v>74</v>
      </c>
      <c r="BQ786" s="1" t="s">
        <v>74</v>
      </c>
      <c r="BR786" s="1" t="s">
        <v>74</v>
      </c>
      <c r="BS786" s="1" t="s">
        <v>7936</v>
      </c>
      <c r="BT786" s="1" t="str">
        <f>HYPERLINK("https%3A%2F%2Fwww.webofscience.com%2Fwos%2Fwoscc%2Ffull-record%2FWOS:000744244000002","View Full Record in Web of Science")</f>
        <v>View Full Record in Web of Science</v>
      </c>
    </row>
    <row r="787" ht="12.75" customHeight="1">
      <c r="A787" s="1" t="s">
        <v>72</v>
      </c>
      <c r="B787" s="1" t="s">
        <v>7937</v>
      </c>
      <c r="C787" s="1" t="s">
        <v>74</v>
      </c>
      <c r="D787" s="1" t="s">
        <v>74</v>
      </c>
      <c r="E787" s="1" t="s">
        <v>74</v>
      </c>
      <c r="F787" s="1" t="s">
        <v>7938</v>
      </c>
      <c r="G787" s="1" t="s">
        <v>74</v>
      </c>
      <c r="H787" s="1" t="s">
        <v>74</v>
      </c>
      <c r="I787" s="1" t="s">
        <v>7939</v>
      </c>
      <c r="J787" s="1" t="s">
        <v>1034</v>
      </c>
      <c r="K787" s="1" t="s">
        <v>74</v>
      </c>
      <c r="L787" s="1" t="s">
        <v>74</v>
      </c>
      <c r="M787" s="1" t="s">
        <v>74</v>
      </c>
      <c r="N787" s="1" t="s">
        <v>74</v>
      </c>
      <c r="O787" s="1" t="s">
        <v>74</v>
      </c>
      <c r="P787" s="1" t="s">
        <v>74</v>
      </c>
      <c r="Q787" s="1" t="s">
        <v>74</v>
      </c>
      <c r="R787" s="1" t="s">
        <v>74</v>
      </c>
      <c r="S787" s="1" t="s">
        <v>74</v>
      </c>
      <c r="T787" s="1" t="s">
        <v>74</v>
      </c>
      <c r="U787" s="1" t="s">
        <v>74</v>
      </c>
      <c r="V787" s="1" t="s">
        <v>7940</v>
      </c>
      <c r="W787" s="1" t="s">
        <v>74</v>
      </c>
      <c r="X787" s="1" t="s">
        <v>74</v>
      </c>
      <c r="Y787" s="1" t="s">
        <v>74</v>
      </c>
      <c r="Z787" s="1" t="s">
        <v>74</v>
      </c>
      <c r="AA787" s="1" t="s">
        <v>7941</v>
      </c>
      <c r="AB787" s="1" t="s">
        <v>7942</v>
      </c>
      <c r="AC787" s="1" t="s">
        <v>74</v>
      </c>
      <c r="AD787" s="1" t="s">
        <v>74</v>
      </c>
      <c r="AE787" s="1" t="s">
        <v>74</v>
      </c>
      <c r="AF787" s="1" t="s">
        <v>74</v>
      </c>
      <c r="AG787" s="1" t="s">
        <v>74</v>
      </c>
      <c r="AH787" s="1" t="s">
        <v>74</v>
      </c>
      <c r="AI787" s="1" t="s">
        <v>74</v>
      </c>
      <c r="AJ787" s="1" t="s">
        <v>74</v>
      </c>
      <c r="AK787" s="1" t="s">
        <v>74</v>
      </c>
      <c r="AL787" s="1" t="s">
        <v>74</v>
      </c>
      <c r="AM787" s="1" t="s">
        <v>74</v>
      </c>
      <c r="AN787" s="1" t="s">
        <v>74</v>
      </c>
      <c r="AO787" s="1" t="s">
        <v>74</v>
      </c>
      <c r="AP787" s="1" t="s">
        <v>1038</v>
      </c>
      <c r="AQ787" s="1" t="s">
        <v>74</v>
      </c>
      <c r="AR787" s="1" t="s">
        <v>74</v>
      </c>
      <c r="AS787" s="1" t="s">
        <v>74</v>
      </c>
      <c r="AT787" s="1" t="s">
        <v>485</v>
      </c>
      <c r="AU787" s="1">
        <v>2021.0</v>
      </c>
      <c r="AV787" s="1">
        <v>18.0</v>
      </c>
      <c r="AW787" s="1">
        <v>10.0</v>
      </c>
      <c r="AX787" s="1" t="s">
        <v>74</v>
      </c>
      <c r="AY787" s="1" t="s">
        <v>74</v>
      </c>
      <c r="AZ787" s="1" t="s">
        <v>74</v>
      </c>
      <c r="BA787" s="1" t="s">
        <v>74</v>
      </c>
      <c r="BB787" s="1" t="s">
        <v>74</v>
      </c>
      <c r="BC787" s="1" t="s">
        <v>74</v>
      </c>
      <c r="BD787" s="1">
        <v>5458.0</v>
      </c>
      <c r="BE787" s="1" t="s">
        <v>7943</v>
      </c>
      <c r="BF787" s="2" t="str">
        <f>HYPERLINK("http://dx.doi.org/10.3390/ijerph18105458","http://dx.doi.org/10.3390/ijerph18105458")</f>
        <v>http://dx.doi.org/10.3390/ijerph18105458</v>
      </c>
      <c r="BG787" s="1" t="s">
        <v>74</v>
      </c>
      <c r="BH787" s="1" t="s">
        <v>74</v>
      </c>
      <c r="BI787" s="1" t="s">
        <v>74</v>
      </c>
      <c r="BJ787" s="1" t="s">
        <v>74</v>
      </c>
      <c r="BK787" s="1" t="s">
        <v>74</v>
      </c>
      <c r="BL787" s="1" t="s">
        <v>74</v>
      </c>
      <c r="BM787" s="1" t="s">
        <v>74</v>
      </c>
      <c r="BN787" s="1">
        <v>3.4065219E7</v>
      </c>
      <c r="BO787" s="1" t="s">
        <v>74</v>
      </c>
      <c r="BP787" s="1" t="s">
        <v>74</v>
      </c>
      <c r="BQ787" s="1" t="s">
        <v>74</v>
      </c>
      <c r="BR787" s="1" t="s">
        <v>74</v>
      </c>
      <c r="BS787" s="1" t="s">
        <v>7944</v>
      </c>
      <c r="BT787" s="1" t="str">
        <f>HYPERLINK("https%3A%2F%2Fwww.webofscience.com%2Fwos%2Fwoscc%2Ffull-record%2FWOS:000654849400001","View Full Record in Web of Science")</f>
        <v>View Full Record in Web of Science</v>
      </c>
    </row>
    <row r="788" ht="12.75" customHeight="1">
      <c r="A788" s="1" t="s">
        <v>72</v>
      </c>
      <c r="B788" s="1" t="s">
        <v>7945</v>
      </c>
      <c r="C788" s="1" t="s">
        <v>74</v>
      </c>
      <c r="D788" s="1" t="s">
        <v>74</v>
      </c>
      <c r="E788" s="1" t="s">
        <v>74</v>
      </c>
      <c r="F788" s="1" t="s">
        <v>7946</v>
      </c>
      <c r="G788" s="1" t="s">
        <v>74</v>
      </c>
      <c r="H788" s="1" t="s">
        <v>74</v>
      </c>
      <c r="I788" s="1" t="s">
        <v>7947</v>
      </c>
      <c r="J788" s="1" t="s">
        <v>5163</v>
      </c>
      <c r="K788" s="1" t="s">
        <v>74</v>
      </c>
      <c r="L788" s="1" t="s">
        <v>74</v>
      </c>
      <c r="M788" s="1" t="s">
        <v>74</v>
      </c>
      <c r="N788" s="1" t="s">
        <v>74</v>
      </c>
      <c r="O788" s="1" t="s">
        <v>74</v>
      </c>
      <c r="P788" s="1" t="s">
        <v>74</v>
      </c>
      <c r="Q788" s="1" t="s">
        <v>74</v>
      </c>
      <c r="R788" s="1" t="s">
        <v>74</v>
      </c>
      <c r="S788" s="1" t="s">
        <v>74</v>
      </c>
      <c r="T788" s="1" t="s">
        <v>74</v>
      </c>
      <c r="U788" s="1" t="s">
        <v>74</v>
      </c>
      <c r="V788" s="1" t="s">
        <v>7948</v>
      </c>
      <c r="W788" s="1" t="s">
        <v>74</v>
      </c>
      <c r="X788" s="1" t="s">
        <v>74</v>
      </c>
      <c r="Y788" s="1" t="s">
        <v>74</v>
      </c>
      <c r="Z788" s="1" t="s">
        <v>74</v>
      </c>
      <c r="AA788" s="1" t="s">
        <v>7949</v>
      </c>
      <c r="AB788" s="1" t="s">
        <v>7950</v>
      </c>
      <c r="AC788" s="1" t="s">
        <v>74</v>
      </c>
      <c r="AD788" s="1" t="s">
        <v>74</v>
      </c>
      <c r="AE788" s="1" t="s">
        <v>74</v>
      </c>
      <c r="AF788" s="1" t="s">
        <v>74</v>
      </c>
      <c r="AG788" s="1" t="s">
        <v>74</v>
      </c>
      <c r="AH788" s="1" t="s">
        <v>74</v>
      </c>
      <c r="AI788" s="1" t="s">
        <v>74</v>
      </c>
      <c r="AJ788" s="1" t="s">
        <v>74</v>
      </c>
      <c r="AK788" s="1" t="s">
        <v>74</v>
      </c>
      <c r="AL788" s="1" t="s">
        <v>74</v>
      </c>
      <c r="AM788" s="1" t="s">
        <v>74</v>
      </c>
      <c r="AN788" s="1" t="s">
        <v>74</v>
      </c>
      <c r="AO788" s="1" t="s">
        <v>5167</v>
      </c>
      <c r="AP788" s="1" t="s">
        <v>5168</v>
      </c>
      <c r="AQ788" s="1" t="s">
        <v>74</v>
      </c>
      <c r="AR788" s="1" t="s">
        <v>74</v>
      </c>
      <c r="AS788" s="1" t="s">
        <v>74</v>
      </c>
      <c r="AT788" s="1" t="s">
        <v>2871</v>
      </c>
      <c r="AU788" s="1">
        <v>2021.0</v>
      </c>
      <c r="AV788" s="1">
        <v>181.0</v>
      </c>
      <c r="AW788" s="1" t="s">
        <v>74</v>
      </c>
      <c r="AX788" s="1" t="s">
        <v>74</v>
      </c>
      <c r="AY788" s="1" t="s">
        <v>74</v>
      </c>
      <c r="AZ788" s="1" t="s">
        <v>74</v>
      </c>
      <c r="BA788" s="1" t="s">
        <v>74</v>
      </c>
      <c r="BB788" s="1" t="s">
        <v>74</v>
      </c>
      <c r="BC788" s="1" t="s">
        <v>74</v>
      </c>
      <c r="BD788" s="1">
        <v>109204.0</v>
      </c>
      <c r="BE788" s="1" t="s">
        <v>7951</v>
      </c>
      <c r="BF788" s="2" t="str">
        <f>HYPERLINK("http://dx.doi.org/10.1016/j.corsci.2020.109204","http://dx.doi.org/10.1016/j.corsci.2020.109204")</f>
        <v>http://dx.doi.org/10.1016/j.corsci.2020.109204</v>
      </c>
      <c r="BG788" s="1" t="s">
        <v>74</v>
      </c>
      <c r="BH788" s="1" t="s">
        <v>625</v>
      </c>
      <c r="BI788" s="1" t="s">
        <v>74</v>
      </c>
      <c r="BJ788" s="1" t="s">
        <v>74</v>
      </c>
      <c r="BK788" s="1" t="s">
        <v>74</v>
      </c>
      <c r="BL788" s="1" t="s">
        <v>74</v>
      </c>
      <c r="BM788" s="1" t="s">
        <v>74</v>
      </c>
      <c r="BN788" s="1" t="s">
        <v>74</v>
      </c>
      <c r="BO788" s="1" t="s">
        <v>74</v>
      </c>
      <c r="BP788" s="1" t="s">
        <v>74</v>
      </c>
      <c r="BQ788" s="1" t="s">
        <v>74</v>
      </c>
      <c r="BR788" s="1" t="s">
        <v>74</v>
      </c>
      <c r="BS788" s="1" t="s">
        <v>7952</v>
      </c>
      <c r="BT788" s="1" t="str">
        <f>HYPERLINK("https%3A%2F%2Fwww.webofscience.com%2Fwos%2Fwoscc%2Ffull-record%2FWOS:000618190400003","View Full Record in Web of Science")</f>
        <v>View Full Record in Web of Science</v>
      </c>
    </row>
    <row r="789" ht="12.75" customHeight="1">
      <c r="A789" s="1" t="s">
        <v>72</v>
      </c>
      <c r="B789" s="1" t="s">
        <v>7953</v>
      </c>
      <c r="C789" s="1" t="s">
        <v>74</v>
      </c>
      <c r="D789" s="1" t="s">
        <v>74</v>
      </c>
      <c r="E789" s="1" t="s">
        <v>74</v>
      </c>
      <c r="F789" s="1" t="s">
        <v>7954</v>
      </c>
      <c r="G789" s="1" t="s">
        <v>74</v>
      </c>
      <c r="H789" s="1" t="s">
        <v>74</v>
      </c>
      <c r="I789" s="1" t="s">
        <v>7955</v>
      </c>
      <c r="J789" s="1" t="s">
        <v>7956</v>
      </c>
      <c r="K789" s="1" t="s">
        <v>74</v>
      </c>
      <c r="L789" s="1" t="s">
        <v>74</v>
      </c>
      <c r="M789" s="1" t="s">
        <v>74</v>
      </c>
      <c r="N789" s="1" t="s">
        <v>74</v>
      </c>
      <c r="O789" s="1" t="s">
        <v>74</v>
      </c>
      <c r="P789" s="1" t="s">
        <v>74</v>
      </c>
      <c r="Q789" s="1" t="s">
        <v>74</v>
      </c>
      <c r="R789" s="1" t="s">
        <v>74</v>
      </c>
      <c r="S789" s="1" t="s">
        <v>74</v>
      </c>
      <c r="T789" s="1" t="s">
        <v>74</v>
      </c>
      <c r="U789" s="1" t="s">
        <v>74</v>
      </c>
      <c r="V789" s="1" t="s">
        <v>7957</v>
      </c>
      <c r="W789" s="1" t="s">
        <v>74</v>
      </c>
      <c r="X789" s="1" t="s">
        <v>74</v>
      </c>
      <c r="Y789" s="1" t="s">
        <v>74</v>
      </c>
      <c r="Z789" s="1" t="s">
        <v>74</v>
      </c>
      <c r="AA789" s="1" t="s">
        <v>7958</v>
      </c>
      <c r="AB789" s="1" t="s">
        <v>7959</v>
      </c>
      <c r="AC789" s="1" t="s">
        <v>74</v>
      </c>
      <c r="AD789" s="1" t="s">
        <v>74</v>
      </c>
      <c r="AE789" s="1" t="s">
        <v>74</v>
      </c>
      <c r="AF789" s="1" t="s">
        <v>74</v>
      </c>
      <c r="AG789" s="1" t="s">
        <v>74</v>
      </c>
      <c r="AH789" s="1" t="s">
        <v>74</v>
      </c>
      <c r="AI789" s="1" t="s">
        <v>74</v>
      </c>
      <c r="AJ789" s="1" t="s">
        <v>74</v>
      </c>
      <c r="AK789" s="1" t="s">
        <v>74</v>
      </c>
      <c r="AL789" s="1" t="s">
        <v>74</v>
      </c>
      <c r="AM789" s="1" t="s">
        <v>74</v>
      </c>
      <c r="AN789" s="1" t="s">
        <v>74</v>
      </c>
      <c r="AO789" s="1" t="s">
        <v>7960</v>
      </c>
      <c r="AP789" s="1" t="s">
        <v>7961</v>
      </c>
      <c r="AQ789" s="1" t="s">
        <v>74</v>
      </c>
      <c r="AR789" s="1" t="s">
        <v>74</v>
      </c>
      <c r="AS789" s="1" t="s">
        <v>74</v>
      </c>
      <c r="AT789" s="1" t="s">
        <v>939</v>
      </c>
      <c r="AU789" s="1">
        <v>2020.0</v>
      </c>
      <c r="AV789" s="1">
        <v>8.0</v>
      </c>
      <c r="AW789" s="1">
        <v>2.0</v>
      </c>
      <c r="AX789" s="1" t="s">
        <v>74</v>
      </c>
      <c r="AY789" s="1" t="s">
        <v>74</v>
      </c>
      <c r="AZ789" s="1" t="s">
        <v>1416</v>
      </c>
      <c r="BA789" s="1" t="s">
        <v>74</v>
      </c>
      <c r="BB789" s="1">
        <v>1728.0</v>
      </c>
      <c r="BC789" s="1">
        <v>1738.0</v>
      </c>
      <c r="BD789" s="1" t="s">
        <v>74</v>
      </c>
      <c r="BE789" s="1" t="s">
        <v>7962</v>
      </c>
      <c r="BF789" s="2" t="str">
        <f>HYPERLINK("http://dx.doi.org/10.1109/JESTPE.2019.2921536","http://dx.doi.org/10.1109/JESTPE.2019.2921536")</f>
        <v>http://dx.doi.org/10.1109/JESTPE.2019.2921536</v>
      </c>
      <c r="BG789" s="1" t="s">
        <v>74</v>
      </c>
      <c r="BH789" s="1" t="s">
        <v>74</v>
      </c>
      <c r="BI789" s="1" t="s">
        <v>74</v>
      </c>
      <c r="BJ789" s="1" t="s">
        <v>74</v>
      </c>
      <c r="BK789" s="1" t="s">
        <v>74</v>
      </c>
      <c r="BL789" s="1" t="s">
        <v>74</v>
      </c>
      <c r="BM789" s="1" t="s">
        <v>74</v>
      </c>
      <c r="BN789" s="1" t="s">
        <v>74</v>
      </c>
      <c r="BO789" s="1" t="s">
        <v>74</v>
      </c>
      <c r="BP789" s="1" t="s">
        <v>74</v>
      </c>
      <c r="BQ789" s="1" t="s">
        <v>74</v>
      </c>
      <c r="BR789" s="1" t="s">
        <v>74</v>
      </c>
      <c r="BS789" s="1" t="s">
        <v>7963</v>
      </c>
      <c r="BT789" s="1" t="str">
        <f>HYPERLINK("https%3A%2F%2Fwww.webofscience.com%2Fwos%2Fwoscc%2Ffull-record%2FWOS:000534642200067","View Full Record in Web of Science")</f>
        <v>View Full Record in Web of Science</v>
      </c>
    </row>
    <row r="790" ht="12.75" customHeight="1">
      <c r="A790" s="1" t="s">
        <v>86</v>
      </c>
      <c r="B790" s="1" t="s">
        <v>7964</v>
      </c>
      <c r="C790" s="1" t="s">
        <v>74</v>
      </c>
      <c r="D790" s="1" t="s">
        <v>74</v>
      </c>
      <c r="E790" s="1" t="s">
        <v>248</v>
      </c>
      <c r="F790" s="1" t="s">
        <v>7965</v>
      </c>
      <c r="G790" s="1" t="s">
        <v>74</v>
      </c>
      <c r="H790" s="1" t="s">
        <v>74</v>
      </c>
      <c r="I790" s="1" t="s">
        <v>7966</v>
      </c>
      <c r="J790" s="1" t="s">
        <v>7967</v>
      </c>
      <c r="K790" s="1" t="s">
        <v>7968</v>
      </c>
      <c r="L790" s="1" t="s">
        <v>74</v>
      </c>
      <c r="M790" s="1" t="s">
        <v>74</v>
      </c>
      <c r="N790" s="1" t="s">
        <v>74</v>
      </c>
      <c r="O790" s="1" t="s">
        <v>7969</v>
      </c>
      <c r="P790" s="1" t="s">
        <v>7970</v>
      </c>
      <c r="Q790" s="1" t="s">
        <v>1067</v>
      </c>
      <c r="R790" s="1" t="s">
        <v>7971</v>
      </c>
      <c r="S790" s="1" t="s">
        <v>74</v>
      </c>
      <c r="T790" s="1" t="s">
        <v>74</v>
      </c>
      <c r="U790" s="1" t="s">
        <v>74</v>
      </c>
      <c r="V790" s="1" t="s">
        <v>7972</v>
      </c>
      <c r="W790" s="1" t="s">
        <v>74</v>
      </c>
      <c r="X790" s="1" t="s">
        <v>74</v>
      </c>
      <c r="Y790" s="1" t="s">
        <v>74</v>
      </c>
      <c r="Z790" s="1" t="s">
        <v>74</v>
      </c>
      <c r="AA790" s="1" t="s">
        <v>7973</v>
      </c>
      <c r="AB790" s="1" t="s">
        <v>7974</v>
      </c>
      <c r="AC790" s="1" t="s">
        <v>74</v>
      </c>
      <c r="AD790" s="1" t="s">
        <v>74</v>
      </c>
      <c r="AE790" s="1" t="s">
        <v>74</v>
      </c>
      <c r="AF790" s="1" t="s">
        <v>74</v>
      </c>
      <c r="AG790" s="1" t="s">
        <v>74</v>
      </c>
      <c r="AH790" s="1" t="s">
        <v>74</v>
      </c>
      <c r="AI790" s="1" t="s">
        <v>74</v>
      </c>
      <c r="AJ790" s="1" t="s">
        <v>74</v>
      </c>
      <c r="AK790" s="1" t="s">
        <v>74</v>
      </c>
      <c r="AL790" s="1" t="s">
        <v>74</v>
      </c>
      <c r="AM790" s="1" t="s">
        <v>74</v>
      </c>
      <c r="AN790" s="1" t="s">
        <v>74</v>
      </c>
      <c r="AO790" s="1" t="s">
        <v>7975</v>
      </c>
      <c r="AP790" s="1" t="s">
        <v>74</v>
      </c>
      <c r="AQ790" s="1" t="s">
        <v>7976</v>
      </c>
      <c r="AR790" s="1" t="s">
        <v>74</v>
      </c>
      <c r="AS790" s="1" t="s">
        <v>74</v>
      </c>
      <c r="AT790" s="1" t="s">
        <v>74</v>
      </c>
      <c r="AU790" s="1">
        <v>2020.0</v>
      </c>
      <c r="AV790" s="1" t="s">
        <v>74</v>
      </c>
      <c r="AW790" s="1" t="s">
        <v>74</v>
      </c>
      <c r="AX790" s="1" t="s">
        <v>74</v>
      </c>
      <c r="AY790" s="1" t="s">
        <v>74</v>
      </c>
      <c r="AZ790" s="1" t="s">
        <v>74</v>
      </c>
      <c r="BA790" s="1" t="s">
        <v>74</v>
      </c>
      <c r="BB790" s="1">
        <v>487.0</v>
      </c>
      <c r="BC790" s="1">
        <v>493.0</v>
      </c>
      <c r="BD790" s="1" t="s">
        <v>74</v>
      </c>
      <c r="BE790" s="1" t="s">
        <v>7977</v>
      </c>
      <c r="BF790" s="2" t="str">
        <f>HYPERLINK("http://dx.doi.org/10.1109/pedg48541.2020.9244420","http://dx.doi.org/10.1109/pedg48541.2020.9244420")</f>
        <v>http://dx.doi.org/10.1109/pedg48541.2020.9244420</v>
      </c>
      <c r="BG790" s="1" t="s">
        <v>74</v>
      </c>
      <c r="BH790" s="1" t="s">
        <v>74</v>
      </c>
      <c r="BI790" s="1" t="s">
        <v>74</v>
      </c>
      <c r="BJ790" s="1" t="s">
        <v>74</v>
      </c>
      <c r="BK790" s="1" t="s">
        <v>74</v>
      </c>
      <c r="BL790" s="1" t="s">
        <v>74</v>
      </c>
      <c r="BM790" s="1" t="s">
        <v>74</v>
      </c>
      <c r="BN790" s="1" t="s">
        <v>74</v>
      </c>
      <c r="BO790" s="1" t="s">
        <v>74</v>
      </c>
      <c r="BP790" s="1" t="s">
        <v>74</v>
      </c>
      <c r="BQ790" s="1" t="s">
        <v>74</v>
      </c>
      <c r="BR790" s="1" t="s">
        <v>74</v>
      </c>
      <c r="BS790" s="1" t="s">
        <v>7978</v>
      </c>
      <c r="BT790" s="1" t="str">
        <f>HYPERLINK("https%3A%2F%2Fwww.webofscience.com%2Fwos%2Fwoscc%2Ffull-record%2FWOS:000851397200083","View Full Record in Web of Science")</f>
        <v>View Full Record in Web of Science</v>
      </c>
    </row>
    <row r="791" ht="12.75" customHeight="1">
      <c r="A791" s="1" t="s">
        <v>72</v>
      </c>
      <c r="B791" s="1" t="s">
        <v>7979</v>
      </c>
      <c r="C791" s="1" t="s">
        <v>74</v>
      </c>
      <c r="D791" s="1" t="s">
        <v>74</v>
      </c>
      <c r="E791" s="1" t="s">
        <v>74</v>
      </c>
      <c r="F791" s="1" t="s">
        <v>7980</v>
      </c>
      <c r="G791" s="1" t="s">
        <v>74</v>
      </c>
      <c r="H791" s="1" t="s">
        <v>74</v>
      </c>
      <c r="I791" s="1" t="s">
        <v>7981</v>
      </c>
      <c r="J791" s="1" t="s">
        <v>302</v>
      </c>
      <c r="K791" s="1" t="s">
        <v>74</v>
      </c>
      <c r="L791" s="1" t="s">
        <v>74</v>
      </c>
      <c r="M791" s="1" t="s">
        <v>74</v>
      </c>
      <c r="N791" s="1" t="s">
        <v>74</v>
      </c>
      <c r="O791" s="1" t="s">
        <v>74</v>
      </c>
      <c r="P791" s="1" t="s">
        <v>74</v>
      </c>
      <c r="Q791" s="1" t="s">
        <v>74</v>
      </c>
      <c r="R791" s="1" t="s">
        <v>74</v>
      </c>
      <c r="S791" s="1" t="s">
        <v>74</v>
      </c>
      <c r="T791" s="1" t="s">
        <v>74</v>
      </c>
      <c r="U791" s="1" t="s">
        <v>74</v>
      </c>
      <c r="V791" s="1" t="s">
        <v>74</v>
      </c>
      <c r="W791" s="1" t="s">
        <v>74</v>
      </c>
      <c r="X791" s="1" t="s">
        <v>74</v>
      </c>
      <c r="Y791" s="1" t="s">
        <v>74</v>
      </c>
      <c r="Z791" s="1" t="s">
        <v>74</v>
      </c>
      <c r="AA791" s="1" t="s">
        <v>7982</v>
      </c>
      <c r="AB791" s="1" t="s">
        <v>7983</v>
      </c>
      <c r="AC791" s="1" t="s">
        <v>74</v>
      </c>
      <c r="AD791" s="1" t="s">
        <v>74</v>
      </c>
      <c r="AE791" s="1" t="s">
        <v>74</v>
      </c>
      <c r="AF791" s="1" t="s">
        <v>74</v>
      </c>
      <c r="AG791" s="1" t="s">
        <v>74</v>
      </c>
      <c r="AH791" s="1" t="s">
        <v>74</v>
      </c>
      <c r="AI791" s="1" t="s">
        <v>74</v>
      </c>
      <c r="AJ791" s="1" t="s">
        <v>74</v>
      </c>
      <c r="AK791" s="1" t="s">
        <v>74</v>
      </c>
      <c r="AL791" s="1" t="s">
        <v>74</v>
      </c>
      <c r="AM791" s="1" t="s">
        <v>74</v>
      </c>
      <c r="AN791" s="1" t="s">
        <v>74</v>
      </c>
      <c r="AO791" s="1" t="s">
        <v>305</v>
      </c>
      <c r="AP791" s="1" t="s">
        <v>306</v>
      </c>
      <c r="AQ791" s="1" t="s">
        <v>74</v>
      </c>
      <c r="AR791" s="1" t="s">
        <v>74</v>
      </c>
      <c r="AS791" s="1" t="s">
        <v>74</v>
      </c>
      <c r="AT791" s="1" t="s">
        <v>201</v>
      </c>
      <c r="AU791" s="1">
        <v>2019.0</v>
      </c>
      <c r="AV791" s="1">
        <v>147.0</v>
      </c>
      <c r="AW791" s="1">
        <v>10.0</v>
      </c>
      <c r="AX791" s="1" t="s">
        <v>74</v>
      </c>
      <c r="AY791" s="1" t="s">
        <v>74</v>
      </c>
      <c r="AZ791" s="1" t="s">
        <v>74</v>
      </c>
      <c r="BA791" s="1" t="s">
        <v>74</v>
      </c>
      <c r="BB791" s="1">
        <v>1358.0</v>
      </c>
      <c r="BC791" s="1">
        <v>1360.0</v>
      </c>
      <c r="BD791" s="1" t="s">
        <v>74</v>
      </c>
      <c r="BE791" s="1" t="s">
        <v>74</v>
      </c>
      <c r="BF791" s="1" t="s">
        <v>74</v>
      </c>
      <c r="BG791" s="1" t="s">
        <v>74</v>
      </c>
      <c r="BH791" s="1" t="s">
        <v>74</v>
      </c>
      <c r="BI791" s="1" t="s">
        <v>74</v>
      </c>
      <c r="BJ791" s="1" t="s">
        <v>74</v>
      </c>
      <c r="BK791" s="1" t="s">
        <v>74</v>
      </c>
      <c r="BL791" s="1" t="s">
        <v>74</v>
      </c>
      <c r="BM791" s="1" t="s">
        <v>74</v>
      </c>
      <c r="BN791" s="1">
        <v>3.2186649E7</v>
      </c>
      <c r="BO791" s="1" t="s">
        <v>74</v>
      </c>
      <c r="BP791" s="1" t="s">
        <v>74</v>
      </c>
      <c r="BQ791" s="1" t="s">
        <v>74</v>
      </c>
      <c r="BR791" s="1" t="s">
        <v>74</v>
      </c>
      <c r="BS791" s="1" t="s">
        <v>7984</v>
      </c>
      <c r="BT791" s="1" t="str">
        <f>HYPERLINK("https%3A%2F%2Fwww.webofscience.com%2Fwos%2Fwoscc%2Ffull-record%2FWOS:000504652600020","View Full Record in Web of Science")</f>
        <v>View Full Record in Web of Science</v>
      </c>
    </row>
    <row r="792" ht="12.75" customHeight="1">
      <c r="A792" s="1" t="s">
        <v>72</v>
      </c>
      <c r="B792" s="1" t="s">
        <v>7985</v>
      </c>
      <c r="C792" s="1" t="s">
        <v>74</v>
      </c>
      <c r="D792" s="1" t="s">
        <v>74</v>
      </c>
      <c r="E792" s="1" t="s">
        <v>74</v>
      </c>
      <c r="F792" s="1" t="s">
        <v>7986</v>
      </c>
      <c r="G792" s="1" t="s">
        <v>74</v>
      </c>
      <c r="H792" s="1" t="s">
        <v>74</v>
      </c>
      <c r="I792" s="1" t="s">
        <v>7987</v>
      </c>
      <c r="J792" s="1" t="s">
        <v>4722</v>
      </c>
      <c r="K792" s="1" t="s">
        <v>74</v>
      </c>
      <c r="L792" s="1" t="s">
        <v>74</v>
      </c>
      <c r="M792" s="1" t="s">
        <v>74</v>
      </c>
      <c r="N792" s="1" t="s">
        <v>74</v>
      </c>
      <c r="O792" s="1" t="s">
        <v>74</v>
      </c>
      <c r="P792" s="1" t="s">
        <v>74</v>
      </c>
      <c r="Q792" s="1" t="s">
        <v>74</v>
      </c>
      <c r="R792" s="1" t="s">
        <v>74</v>
      </c>
      <c r="S792" s="1" t="s">
        <v>74</v>
      </c>
      <c r="T792" s="1" t="s">
        <v>74</v>
      </c>
      <c r="U792" s="1" t="s">
        <v>74</v>
      </c>
      <c r="V792" s="1" t="s">
        <v>7988</v>
      </c>
      <c r="W792" s="1" t="s">
        <v>74</v>
      </c>
      <c r="X792" s="1" t="s">
        <v>74</v>
      </c>
      <c r="Y792" s="1" t="s">
        <v>74</v>
      </c>
      <c r="Z792" s="1" t="s">
        <v>74</v>
      </c>
      <c r="AA792" s="1" t="s">
        <v>7989</v>
      </c>
      <c r="AB792" s="1" t="s">
        <v>7990</v>
      </c>
      <c r="AC792" s="1" t="s">
        <v>74</v>
      </c>
      <c r="AD792" s="1" t="s">
        <v>74</v>
      </c>
      <c r="AE792" s="1" t="s">
        <v>74</v>
      </c>
      <c r="AF792" s="1" t="s">
        <v>74</v>
      </c>
      <c r="AG792" s="1" t="s">
        <v>74</v>
      </c>
      <c r="AH792" s="1" t="s">
        <v>74</v>
      </c>
      <c r="AI792" s="1" t="s">
        <v>74</v>
      </c>
      <c r="AJ792" s="1" t="s">
        <v>74</v>
      </c>
      <c r="AK792" s="1" t="s">
        <v>74</v>
      </c>
      <c r="AL792" s="1" t="s">
        <v>74</v>
      </c>
      <c r="AM792" s="1" t="s">
        <v>74</v>
      </c>
      <c r="AN792" s="1" t="s">
        <v>74</v>
      </c>
      <c r="AO792" s="1" t="s">
        <v>4725</v>
      </c>
      <c r="AP792" s="1" t="s">
        <v>4726</v>
      </c>
      <c r="AQ792" s="1" t="s">
        <v>74</v>
      </c>
      <c r="AR792" s="1" t="s">
        <v>74</v>
      </c>
      <c r="AS792" s="1" t="s">
        <v>74</v>
      </c>
      <c r="AT792" s="1" t="s">
        <v>1714</v>
      </c>
      <c r="AU792" s="1">
        <v>2017.0</v>
      </c>
      <c r="AV792" s="1">
        <v>32.0</v>
      </c>
      <c r="AW792" s="1">
        <v>33.0</v>
      </c>
      <c r="AX792" s="1" t="s">
        <v>74</v>
      </c>
      <c r="AY792" s="1" t="s">
        <v>74</v>
      </c>
      <c r="AZ792" s="1" t="s">
        <v>74</v>
      </c>
      <c r="BA792" s="1" t="s">
        <v>74</v>
      </c>
      <c r="BB792" s="1" t="s">
        <v>74</v>
      </c>
      <c r="BC792" s="1" t="s">
        <v>74</v>
      </c>
      <c r="BD792" s="1">
        <v>1750175.0</v>
      </c>
      <c r="BE792" s="1" t="s">
        <v>7991</v>
      </c>
      <c r="BF792" s="2" t="str">
        <f>HYPERLINK("http://dx.doi.org/10.1142/S0217732317501759","http://dx.doi.org/10.1142/S0217732317501759")</f>
        <v>http://dx.doi.org/10.1142/S0217732317501759</v>
      </c>
      <c r="BG792" s="1" t="s">
        <v>74</v>
      </c>
      <c r="BH792" s="1" t="s">
        <v>74</v>
      </c>
      <c r="BI792" s="1" t="s">
        <v>74</v>
      </c>
      <c r="BJ792" s="1" t="s">
        <v>74</v>
      </c>
      <c r="BK792" s="1" t="s">
        <v>74</v>
      </c>
      <c r="BL792" s="1" t="s">
        <v>74</v>
      </c>
      <c r="BM792" s="1" t="s">
        <v>74</v>
      </c>
      <c r="BN792" s="1" t="s">
        <v>74</v>
      </c>
      <c r="BO792" s="1" t="s">
        <v>74</v>
      </c>
      <c r="BP792" s="1" t="s">
        <v>74</v>
      </c>
      <c r="BQ792" s="1" t="s">
        <v>74</v>
      </c>
      <c r="BR792" s="1" t="s">
        <v>74</v>
      </c>
      <c r="BS792" s="1" t="s">
        <v>7992</v>
      </c>
      <c r="BT792" s="1" t="str">
        <f>HYPERLINK("https%3A%2F%2Fwww.webofscience.com%2Fwos%2Fwoscc%2Ffull-record%2FWOS:000413393900003","View Full Record in Web of Science")</f>
        <v>View Full Record in Web of Science</v>
      </c>
    </row>
    <row r="793" ht="12.75" customHeight="1">
      <c r="A793" s="1" t="s">
        <v>72</v>
      </c>
      <c r="B793" s="1" t="s">
        <v>7993</v>
      </c>
      <c r="C793" s="1" t="s">
        <v>74</v>
      </c>
      <c r="D793" s="1" t="s">
        <v>74</v>
      </c>
      <c r="E793" s="1" t="s">
        <v>74</v>
      </c>
      <c r="F793" s="1" t="s">
        <v>7994</v>
      </c>
      <c r="G793" s="1" t="s">
        <v>74</v>
      </c>
      <c r="H793" s="1" t="s">
        <v>74</v>
      </c>
      <c r="I793" s="1" t="s">
        <v>7995</v>
      </c>
      <c r="J793" s="1" t="s">
        <v>7996</v>
      </c>
      <c r="K793" s="1" t="s">
        <v>74</v>
      </c>
      <c r="L793" s="1" t="s">
        <v>74</v>
      </c>
      <c r="M793" s="1" t="s">
        <v>74</v>
      </c>
      <c r="N793" s="1" t="s">
        <v>74</v>
      </c>
      <c r="O793" s="1" t="s">
        <v>74</v>
      </c>
      <c r="P793" s="1" t="s">
        <v>74</v>
      </c>
      <c r="Q793" s="1" t="s">
        <v>74</v>
      </c>
      <c r="R793" s="1" t="s">
        <v>74</v>
      </c>
      <c r="S793" s="1" t="s">
        <v>74</v>
      </c>
      <c r="T793" s="1" t="s">
        <v>74</v>
      </c>
      <c r="U793" s="1" t="s">
        <v>74</v>
      </c>
      <c r="V793" s="1" t="s">
        <v>7997</v>
      </c>
      <c r="W793" s="1" t="s">
        <v>74</v>
      </c>
      <c r="X793" s="1" t="s">
        <v>74</v>
      </c>
      <c r="Y793" s="1" t="s">
        <v>74</v>
      </c>
      <c r="Z793" s="1" t="s">
        <v>74</v>
      </c>
      <c r="AA793" s="1" t="s">
        <v>74</v>
      </c>
      <c r="AB793" s="1" t="s">
        <v>7998</v>
      </c>
      <c r="AC793" s="1" t="s">
        <v>74</v>
      </c>
      <c r="AD793" s="1" t="s">
        <v>74</v>
      </c>
      <c r="AE793" s="1" t="s">
        <v>74</v>
      </c>
      <c r="AF793" s="1" t="s">
        <v>74</v>
      </c>
      <c r="AG793" s="1" t="s">
        <v>74</v>
      </c>
      <c r="AH793" s="1" t="s">
        <v>74</v>
      </c>
      <c r="AI793" s="1" t="s">
        <v>74</v>
      </c>
      <c r="AJ793" s="1" t="s">
        <v>74</v>
      </c>
      <c r="AK793" s="1" t="s">
        <v>74</v>
      </c>
      <c r="AL793" s="1" t="s">
        <v>74</v>
      </c>
      <c r="AM793" s="1" t="s">
        <v>74</v>
      </c>
      <c r="AN793" s="1" t="s">
        <v>74</v>
      </c>
      <c r="AO793" s="1" t="s">
        <v>7999</v>
      </c>
      <c r="AP793" s="1" t="s">
        <v>8000</v>
      </c>
      <c r="AQ793" s="1" t="s">
        <v>74</v>
      </c>
      <c r="AR793" s="1" t="s">
        <v>74</v>
      </c>
      <c r="AS793" s="1" t="s">
        <v>74</v>
      </c>
      <c r="AT793" s="1" t="s">
        <v>74</v>
      </c>
      <c r="AU793" s="1">
        <v>2017.0</v>
      </c>
      <c r="AV793" s="1">
        <v>2017.0</v>
      </c>
      <c r="AW793" s="1" t="s">
        <v>74</v>
      </c>
      <c r="AX793" s="1" t="s">
        <v>74</v>
      </c>
      <c r="AY793" s="1" t="s">
        <v>74</v>
      </c>
      <c r="AZ793" s="1" t="s">
        <v>74</v>
      </c>
      <c r="BA793" s="1" t="s">
        <v>74</v>
      </c>
      <c r="BB793" s="1" t="s">
        <v>74</v>
      </c>
      <c r="BC793" s="1" t="s">
        <v>74</v>
      </c>
      <c r="BD793" s="1">
        <v>9730696.0</v>
      </c>
      <c r="BE793" s="1" t="s">
        <v>8001</v>
      </c>
      <c r="BF793" s="2" t="str">
        <f>HYPERLINK("http://dx.doi.org/10.1155/2017/9730696","http://dx.doi.org/10.1155/2017/9730696")</f>
        <v>http://dx.doi.org/10.1155/2017/9730696</v>
      </c>
      <c r="BG793" s="1" t="s">
        <v>74</v>
      </c>
      <c r="BH793" s="1" t="s">
        <v>74</v>
      </c>
      <c r="BI793" s="1" t="s">
        <v>74</v>
      </c>
      <c r="BJ793" s="1" t="s">
        <v>74</v>
      </c>
      <c r="BK793" s="1" t="s">
        <v>74</v>
      </c>
      <c r="BL793" s="1" t="s">
        <v>74</v>
      </c>
      <c r="BM793" s="1" t="s">
        <v>74</v>
      </c>
      <c r="BN793" s="1">
        <v>2.8758127E7</v>
      </c>
      <c r="BO793" s="1" t="s">
        <v>74</v>
      </c>
      <c r="BP793" s="1" t="s">
        <v>74</v>
      </c>
      <c r="BQ793" s="1" t="s">
        <v>74</v>
      </c>
      <c r="BR793" s="1" t="s">
        <v>74</v>
      </c>
      <c r="BS793" s="1" t="s">
        <v>8002</v>
      </c>
      <c r="BT793" s="1" t="str">
        <f>HYPERLINK("https%3A%2F%2Fwww.webofscience.com%2Fwos%2Fwoscc%2Ffull-record%2FWOS:000404567100001","View Full Record in Web of Science")</f>
        <v>View Full Record in Web of Science</v>
      </c>
    </row>
    <row r="794" ht="12.75" customHeight="1">
      <c r="A794" s="1" t="s">
        <v>72</v>
      </c>
      <c r="B794" s="1" t="s">
        <v>8003</v>
      </c>
      <c r="C794" s="1" t="s">
        <v>74</v>
      </c>
      <c r="D794" s="1" t="s">
        <v>74</v>
      </c>
      <c r="E794" s="1" t="s">
        <v>74</v>
      </c>
      <c r="F794" s="1" t="s">
        <v>8004</v>
      </c>
      <c r="G794" s="1" t="s">
        <v>74</v>
      </c>
      <c r="H794" s="1" t="s">
        <v>74</v>
      </c>
      <c r="I794" s="1" t="s">
        <v>8005</v>
      </c>
      <c r="J794" s="1" t="s">
        <v>2186</v>
      </c>
      <c r="K794" s="1" t="s">
        <v>74</v>
      </c>
      <c r="L794" s="1" t="s">
        <v>74</v>
      </c>
      <c r="M794" s="1" t="s">
        <v>74</v>
      </c>
      <c r="N794" s="1" t="s">
        <v>74</v>
      </c>
      <c r="O794" s="1" t="s">
        <v>74</v>
      </c>
      <c r="P794" s="1" t="s">
        <v>74</v>
      </c>
      <c r="Q794" s="1" t="s">
        <v>74</v>
      </c>
      <c r="R794" s="1" t="s">
        <v>74</v>
      </c>
      <c r="S794" s="1" t="s">
        <v>74</v>
      </c>
      <c r="T794" s="1" t="s">
        <v>74</v>
      </c>
      <c r="U794" s="1" t="s">
        <v>74</v>
      </c>
      <c r="V794" s="1" t="s">
        <v>8006</v>
      </c>
      <c r="W794" s="1" t="s">
        <v>74</v>
      </c>
      <c r="X794" s="1" t="s">
        <v>74</v>
      </c>
      <c r="Y794" s="1" t="s">
        <v>74</v>
      </c>
      <c r="Z794" s="1" t="s">
        <v>74</v>
      </c>
      <c r="AA794" s="1" t="s">
        <v>8007</v>
      </c>
      <c r="AB794" s="1" t="s">
        <v>74</v>
      </c>
      <c r="AC794" s="1" t="s">
        <v>74</v>
      </c>
      <c r="AD794" s="1" t="s">
        <v>74</v>
      </c>
      <c r="AE794" s="1" t="s">
        <v>74</v>
      </c>
      <c r="AF794" s="1" t="s">
        <v>74</v>
      </c>
      <c r="AG794" s="1" t="s">
        <v>74</v>
      </c>
      <c r="AH794" s="1" t="s">
        <v>74</v>
      </c>
      <c r="AI794" s="1" t="s">
        <v>74</v>
      </c>
      <c r="AJ794" s="1" t="s">
        <v>74</v>
      </c>
      <c r="AK794" s="1" t="s">
        <v>74</v>
      </c>
      <c r="AL794" s="1" t="s">
        <v>74</v>
      </c>
      <c r="AM794" s="1" t="s">
        <v>74</v>
      </c>
      <c r="AN794" s="1" t="s">
        <v>74</v>
      </c>
      <c r="AO794" s="1" t="s">
        <v>2260</v>
      </c>
      <c r="AP794" s="1" t="s">
        <v>2261</v>
      </c>
      <c r="AQ794" s="1" t="s">
        <v>74</v>
      </c>
      <c r="AR794" s="1" t="s">
        <v>74</v>
      </c>
      <c r="AS794" s="1" t="s">
        <v>74</v>
      </c>
      <c r="AT794" s="1" t="s">
        <v>8008</v>
      </c>
      <c r="AU794" s="1">
        <v>2016.0</v>
      </c>
      <c r="AV794" s="1">
        <v>94.0</v>
      </c>
      <c r="AW794" s="1">
        <v>10.0</v>
      </c>
      <c r="AX794" s="1" t="s">
        <v>74</v>
      </c>
      <c r="AY794" s="1" t="s">
        <v>74</v>
      </c>
      <c r="AZ794" s="1" t="s">
        <v>74</v>
      </c>
      <c r="BA794" s="1" t="s">
        <v>74</v>
      </c>
      <c r="BB794" s="1" t="s">
        <v>74</v>
      </c>
      <c r="BC794" s="1" t="s">
        <v>74</v>
      </c>
      <c r="BD794" s="1">
        <v>105022.0</v>
      </c>
      <c r="BE794" s="1" t="s">
        <v>8009</v>
      </c>
      <c r="BF794" s="2" t="str">
        <f>HYPERLINK("http://dx.doi.org/10.1103/PhysRevD.94.105022","http://dx.doi.org/10.1103/PhysRevD.94.105022")</f>
        <v>http://dx.doi.org/10.1103/PhysRevD.94.105022</v>
      </c>
      <c r="BG794" s="1" t="s">
        <v>74</v>
      </c>
      <c r="BH794" s="1" t="s">
        <v>74</v>
      </c>
      <c r="BI794" s="1" t="s">
        <v>74</v>
      </c>
      <c r="BJ794" s="1" t="s">
        <v>74</v>
      </c>
      <c r="BK794" s="1" t="s">
        <v>74</v>
      </c>
      <c r="BL794" s="1" t="s">
        <v>74</v>
      </c>
      <c r="BM794" s="1" t="s">
        <v>74</v>
      </c>
      <c r="BN794" s="1" t="s">
        <v>74</v>
      </c>
      <c r="BO794" s="1" t="s">
        <v>74</v>
      </c>
      <c r="BP794" s="1" t="s">
        <v>74</v>
      </c>
      <c r="BQ794" s="1" t="s">
        <v>74</v>
      </c>
      <c r="BR794" s="1" t="s">
        <v>74</v>
      </c>
      <c r="BS794" s="1" t="s">
        <v>8010</v>
      </c>
      <c r="BT794" s="1" t="str">
        <f>HYPERLINK("https%3A%2F%2Fwww.webofscience.com%2Fwos%2Fwoscc%2Ffull-record%2FWOS:000388529000009","View Full Record in Web of Science")</f>
        <v>View Full Record in Web of Science</v>
      </c>
    </row>
    <row r="795" ht="12.75" customHeight="1">
      <c r="A795" s="1" t="s">
        <v>72</v>
      </c>
      <c r="B795" s="1" t="s">
        <v>8011</v>
      </c>
      <c r="C795" s="1" t="s">
        <v>74</v>
      </c>
      <c r="D795" s="1" t="s">
        <v>74</v>
      </c>
      <c r="E795" s="1" t="s">
        <v>74</v>
      </c>
      <c r="F795" s="1" t="s">
        <v>8012</v>
      </c>
      <c r="G795" s="1" t="s">
        <v>74</v>
      </c>
      <c r="H795" s="1" t="s">
        <v>74</v>
      </c>
      <c r="I795" s="1" t="s">
        <v>8013</v>
      </c>
      <c r="J795" s="1" t="s">
        <v>8014</v>
      </c>
      <c r="K795" s="1" t="s">
        <v>74</v>
      </c>
      <c r="L795" s="1" t="s">
        <v>74</v>
      </c>
      <c r="M795" s="1" t="s">
        <v>74</v>
      </c>
      <c r="N795" s="1" t="s">
        <v>74</v>
      </c>
      <c r="O795" s="1" t="s">
        <v>74</v>
      </c>
      <c r="P795" s="1" t="s">
        <v>74</v>
      </c>
      <c r="Q795" s="1" t="s">
        <v>74</v>
      </c>
      <c r="R795" s="1" t="s">
        <v>74</v>
      </c>
      <c r="S795" s="1" t="s">
        <v>74</v>
      </c>
      <c r="T795" s="1" t="s">
        <v>74</v>
      </c>
      <c r="U795" s="1" t="s">
        <v>74</v>
      </c>
      <c r="V795" s="1" t="s">
        <v>8015</v>
      </c>
      <c r="W795" s="1" t="s">
        <v>74</v>
      </c>
      <c r="X795" s="1" t="s">
        <v>74</v>
      </c>
      <c r="Y795" s="1" t="s">
        <v>74</v>
      </c>
      <c r="Z795" s="1" t="s">
        <v>74</v>
      </c>
      <c r="AA795" s="1" t="s">
        <v>8016</v>
      </c>
      <c r="AB795" s="1" t="s">
        <v>8017</v>
      </c>
      <c r="AC795" s="1" t="s">
        <v>74</v>
      </c>
      <c r="AD795" s="1" t="s">
        <v>74</v>
      </c>
      <c r="AE795" s="1" t="s">
        <v>74</v>
      </c>
      <c r="AF795" s="1" t="s">
        <v>74</v>
      </c>
      <c r="AG795" s="1" t="s">
        <v>74</v>
      </c>
      <c r="AH795" s="1" t="s">
        <v>74</v>
      </c>
      <c r="AI795" s="1" t="s">
        <v>74</v>
      </c>
      <c r="AJ795" s="1" t="s">
        <v>74</v>
      </c>
      <c r="AK795" s="1" t="s">
        <v>74</v>
      </c>
      <c r="AL795" s="1" t="s">
        <v>74</v>
      </c>
      <c r="AM795" s="1" t="s">
        <v>74</v>
      </c>
      <c r="AN795" s="1" t="s">
        <v>74</v>
      </c>
      <c r="AO795" s="1" t="s">
        <v>8018</v>
      </c>
      <c r="AP795" s="1" t="s">
        <v>8019</v>
      </c>
      <c r="AQ795" s="1" t="s">
        <v>74</v>
      </c>
      <c r="AR795" s="1" t="s">
        <v>74</v>
      </c>
      <c r="AS795" s="1" t="s">
        <v>74</v>
      </c>
      <c r="AT795" s="1" t="s">
        <v>318</v>
      </c>
      <c r="AU795" s="1">
        <v>2015.0</v>
      </c>
      <c r="AV795" s="1">
        <v>159.0</v>
      </c>
      <c r="AW795" s="1" t="s">
        <v>74</v>
      </c>
      <c r="AX795" s="1" t="s">
        <v>74</v>
      </c>
      <c r="AY795" s="1" t="s">
        <v>74</v>
      </c>
      <c r="AZ795" s="1" t="s">
        <v>74</v>
      </c>
      <c r="BA795" s="1" t="s">
        <v>74</v>
      </c>
      <c r="BB795" s="1">
        <v>81.0</v>
      </c>
      <c r="BC795" s="1">
        <v>89.0</v>
      </c>
      <c r="BD795" s="1" t="s">
        <v>74</v>
      </c>
      <c r="BE795" s="1" t="s">
        <v>8020</v>
      </c>
      <c r="BF795" s="2" t="str">
        <f>HYPERLINK("http://dx.doi.org/10.1016/j.aquatox.2014.11.019","http://dx.doi.org/10.1016/j.aquatox.2014.11.019")</f>
        <v>http://dx.doi.org/10.1016/j.aquatox.2014.11.019</v>
      </c>
      <c r="BG795" s="1" t="s">
        <v>74</v>
      </c>
      <c r="BH795" s="1" t="s">
        <v>74</v>
      </c>
      <c r="BI795" s="1" t="s">
        <v>74</v>
      </c>
      <c r="BJ795" s="1" t="s">
        <v>74</v>
      </c>
      <c r="BK795" s="1" t="s">
        <v>74</v>
      </c>
      <c r="BL795" s="1" t="s">
        <v>74</v>
      </c>
      <c r="BM795" s="1" t="s">
        <v>74</v>
      </c>
      <c r="BN795" s="1">
        <v>2.5521566E7</v>
      </c>
      <c r="BO795" s="1" t="s">
        <v>74</v>
      </c>
      <c r="BP795" s="1" t="s">
        <v>74</v>
      </c>
      <c r="BQ795" s="1" t="s">
        <v>74</v>
      </c>
      <c r="BR795" s="1" t="s">
        <v>74</v>
      </c>
      <c r="BS795" s="1" t="s">
        <v>8021</v>
      </c>
      <c r="BT795" s="1" t="str">
        <f>HYPERLINK("https%3A%2F%2Fwww.webofscience.com%2Fwos%2Fwoscc%2Ffull-record%2FWOS:000349592100009","View Full Record in Web of Science")</f>
        <v>View Full Record in Web of Science</v>
      </c>
    </row>
    <row r="796" ht="12.75" customHeight="1">
      <c r="A796" s="1" t="s">
        <v>72</v>
      </c>
      <c r="B796" s="1" t="s">
        <v>8022</v>
      </c>
      <c r="C796" s="1" t="s">
        <v>74</v>
      </c>
      <c r="D796" s="1" t="s">
        <v>74</v>
      </c>
      <c r="E796" s="1" t="s">
        <v>74</v>
      </c>
      <c r="F796" s="1" t="s">
        <v>8023</v>
      </c>
      <c r="G796" s="1" t="s">
        <v>74</v>
      </c>
      <c r="H796" s="1" t="s">
        <v>74</v>
      </c>
      <c r="I796" s="1" t="s">
        <v>8024</v>
      </c>
      <c r="J796" s="1" t="s">
        <v>2012</v>
      </c>
      <c r="K796" s="1" t="s">
        <v>74</v>
      </c>
      <c r="L796" s="1" t="s">
        <v>74</v>
      </c>
      <c r="M796" s="1" t="s">
        <v>74</v>
      </c>
      <c r="N796" s="1" t="s">
        <v>74</v>
      </c>
      <c r="O796" s="1" t="s">
        <v>74</v>
      </c>
      <c r="P796" s="1" t="s">
        <v>74</v>
      </c>
      <c r="Q796" s="1" t="s">
        <v>74</v>
      </c>
      <c r="R796" s="1" t="s">
        <v>74</v>
      </c>
      <c r="S796" s="1" t="s">
        <v>74</v>
      </c>
      <c r="T796" s="1" t="s">
        <v>74</v>
      </c>
      <c r="U796" s="1" t="s">
        <v>74</v>
      </c>
      <c r="V796" s="1" t="s">
        <v>8025</v>
      </c>
      <c r="W796" s="1" t="s">
        <v>74</v>
      </c>
      <c r="X796" s="1" t="s">
        <v>74</v>
      </c>
      <c r="Y796" s="1" t="s">
        <v>74</v>
      </c>
      <c r="Z796" s="1" t="s">
        <v>74</v>
      </c>
      <c r="AA796" s="1" t="s">
        <v>8026</v>
      </c>
      <c r="AB796" s="1" t="s">
        <v>8027</v>
      </c>
      <c r="AC796" s="1" t="s">
        <v>74</v>
      </c>
      <c r="AD796" s="1" t="s">
        <v>74</v>
      </c>
      <c r="AE796" s="1" t="s">
        <v>74</v>
      </c>
      <c r="AF796" s="1" t="s">
        <v>74</v>
      </c>
      <c r="AG796" s="1" t="s">
        <v>74</v>
      </c>
      <c r="AH796" s="1" t="s">
        <v>74</v>
      </c>
      <c r="AI796" s="1" t="s">
        <v>74</v>
      </c>
      <c r="AJ796" s="1" t="s">
        <v>74</v>
      </c>
      <c r="AK796" s="1" t="s">
        <v>74</v>
      </c>
      <c r="AL796" s="1" t="s">
        <v>74</v>
      </c>
      <c r="AM796" s="1" t="s">
        <v>74</v>
      </c>
      <c r="AN796" s="1" t="s">
        <v>74</v>
      </c>
      <c r="AO796" s="1" t="s">
        <v>2015</v>
      </c>
      <c r="AP796" s="1" t="s">
        <v>74</v>
      </c>
      <c r="AQ796" s="1" t="s">
        <v>74</v>
      </c>
      <c r="AR796" s="1" t="s">
        <v>74</v>
      </c>
      <c r="AS796" s="1" t="s">
        <v>74</v>
      </c>
      <c r="AT796" s="1" t="s">
        <v>74</v>
      </c>
      <c r="AU796" s="1">
        <v>2015.0</v>
      </c>
      <c r="AV796" s="1">
        <v>5.0</v>
      </c>
      <c r="AW796" s="1">
        <v>50.0</v>
      </c>
      <c r="AX796" s="1" t="s">
        <v>74</v>
      </c>
      <c r="AY796" s="1" t="s">
        <v>74</v>
      </c>
      <c r="AZ796" s="1" t="s">
        <v>74</v>
      </c>
      <c r="BA796" s="1" t="s">
        <v>74</v>
      </c>
      <c r="BB796" s="1">
        <v>39899.0</v>
      </c>
      <c r="BC796" s="1">
        <v>39902.0</v>
      </c>
      <c r="BD796" s="1" t="s">
        <v>74</v>
      </c>
      <c r="BE796" s="1" t="s">
        <v>8028</v>
      </c>
      <c r="BF796" s="2" t="str">
        <f>HYPERLINK("http://dx.doi.org/10.1039/c5ra01645b","http://dx.doi.org/10.1039/c5ra01645b")</f>
        <v>http://dx.doi.org/10.1039/c5ra01645b</v>
      </c>
      <c r="BG796" s="1" t="s">
        <v>74</v>
      </c>
      <c r="BH796" s="1" t="s">
        <v>74</v>
      </c>
      <c r="BI796" s="1" t="s">
        <v>74</v>
      </c>
      <c r="BJ796" s="1" t="s">
        <v>74</v>
      </c>
      <c r="BK796" s="1" t="s">
        <v>74</v>
      </c>
      <c r="BL796" s="1" t="s">
        <v>74</v>
      </c>
      <c r="BM796" s="1" t="s">
        <v>74</v>
      </c>
      <c r="BN796" s="1" t="s">
        <v>74</v>
      </c>
      <c r="BO796" s="1" t="s">
        <v>74</v>
      </c>
      <c r="BP796" s="1" t="s">
        <v>74</v>
      </c>
      <c r="BQ796" s="1" t="s">
        <v>74</v>
      </c>
      <c r="BR796" s="1" t="s">
        <v>74</v>
      </c>
      <c r="BS796" s="1" t="s">
        <v>8029</v>
      </c>
      <c r="BT796" s="1" t="str">
        <f>HYPERLINK("https%3A%2F%2Fwww.webofscience.com%2Fwos%2Fwoscc%2Ffull-record%2FWOS:000354211100032","View Full Record in Web of Science")</f>
        <v>View Full Record in Web of Science</v>
      </c>
    </row>
    <row r="797" ht="12.75" customHeight="1">
      <c r="A797" s="1" t="s">
        <v>72</v>
      </c>
      <c r="B797" s="1" t="s">
        <v>8030</v>
      </c>
      <c r="C797" s="1" t="s">
        <v>74</v>
      </c>
      <c r="D797" s="1" t="s">
        <v>74</v>
      </c>
      <c r="E797" s="1" t="s">
        <v>74</v>
      </c>
      <c r="F797" s="1" t="s">
        <v>8031</v>
      </c>
      <c r="G797" s="1" t="s">
        <v>74</v>
      </c>
      <c r="H797" s="1" t="s">
        <v>74</v>
      </c>
      <c r="I797" s="1" t="s">
        <v>8032</v>
      </c>
      <c r="J797" s="1" t="s">
        <v>8033</v>
      </c>
      <c r="K797" s="1" t="s">
        <v>74</v>
      </c>
      <c r="L797" s="1" t="s">
        <v>74</v>
      </c>
      <c r="M797" s="1" t="s">
        <v>74</v>
      </c>
      <c r="N797" s="1" t="s">
        <v>74</v>
      </c>
      <c r="O797" s="1" t="s">
        <v>74</v>
      </c>
      <c r="P797" s="1" t="s">
        <v>74</v>
      </c>
      <c r="Q797" s="1" t="s">
        <v>74</v>
      </c>
      <c r="R797" s="1" t="s">
        <v>74</v>
      </c>
      <c r="S797" s="1" t="s">
        <v>74</v>
      </c>
      <c r="T797" s="1" t="s">
        <v>74</v>
      </c>
      <c r="U797" s="1" t="s">
        <v>74</v>
      </c>
      <c r="V797" s="1" t="s">
        <v>8034</v>
      </c>
      <c r="W797" s="1" t="s">
        <v>74</v>
      </c>
      <c r="X797" s="1" t="s">
        <v>74</v>
      </c>
      <c r="Y797" s="1" t="s">
        <v>74</v>
      </c>
      <c r="Z797" s="1" t="s">
        <v>74</v>
      </c>
      <c r="AA797" s="1" t="s">
        <v>8035</v>
      </c>
      <c r="AB797" s="1" t="s">
        <v>8036</v>
      </c>
      <c r="AC797" s="1" t="s">
        <v>74</v>
      </c>
      <c r="AD797" s="1" t="s">
        <v>74</v>
      </c>
      <c r="AE797" s="1" t="s">
        <v>74</v>
      </c>
      <c r="AF797" s="1" t="s">
        <v>74</v>
      </c>
      <c r="AG797" s="1" t="s">
        <v>74</v>
      </c>
      <c r="AH797" s="1" t="s">
        <v>74</v>
      </c>
      <c r="AI797" s="1" t="s">
        <v>74</v>
      </c>
      <c r="AJ797" s="1" t="s">
        <v>74</v>
      </c>
      <c r="AK797" s="1" t="s">
        <v>74</v>
      </c>
      <c r="AL797" s="1" t="s">
        <v>74</v>
      </c>
      <c r="AM797" s="1" t="s">
        <v>74</v>
      </c>
      <c r="AN797" s="1" t="s">
        <v>74</v>
      </c>
      <c r="AO797" s="1" t="s">
        <v>8037</v>
      </c>
      <c r="AP797" s="1" t="s">
        <v>8038</v>
      </c>
      <c r="AQ797" s="1" t="s">
        <v>74</v>
      </c>
      <c r="AR797" s="1" t="s">
        <v>74</v>
      </c>
      <c r="AS797" s="1" t="s">
        <v>74</v>
      </c>
      <c r="AT797" s="1" t="s">
        <v>1018</v>
      </c>
      <c r="AU797" s="1">
        <v>2014.0</v>
      </c>
      <c r="AV797" s="1">
        <v>115.0</v>
      </c>
      <c r="AW797" s="1" t="s">
        <v>74</v>
      </c>
      <c r="AX797" s="1" t="s">
        <v>74</v>
      </c>
      <c r="AY797" s="1" t="s">
        <v>74</v>
      </c>
      <c r="AZ797" s="1" t="s">
        <v>1416</v>
      </c>
      <c r="BA797" s="1" t="s">
        <v>74</v>
      </c>
      <c r="BB797" s="1">
        <v>32.0</v>
      </c>
      <c r="BC797" s="1">
        <v>40.0</v>
      </c>
      <c r="BD797" s="1" t="s">
        <v>74</v>
      </c>
      <c r="BE797" s="1" t="s">
        <v>8039</v>
      </c>
      <c r="BF797" s="2" t="str">
        <f>HYPERLINK("http://dx.doi.org/10.1016/j.jastp.2013.12.005","http://dx.doi.org/10.1016/j.jastp.2013.12.005")</f>
        <v>http://dx.doi.org/10.1016/j.jastp.2013.12.005</v>
      </c>
      <c r="BG797" s="1" t="s">
        <v>74</v>
      </c>
      <c r="BH797" s="1" t="s">
        <v>74</v>
      </c>
      <c r="BI797" s="1" t="s">
        <v>74</v>
      </c>
      <c r="BJ797" s="1" t="s">
        <v>74</v>
      </c>
      <c r="BK797" s="1" t="s">
        <v>74</v>
      </c>
      <c r="BL797" s="1" t="s">
        <v>74</v>
      </c>
      <c r="BM797" s="1" t="s">
        <v>74</v>
      </c>
      <c r="BN797" s="1" t="s">
        <v>74</v>
      </c>
      <c r="BO797" s="1" t="s">
        <v>74</v>
      </c>
      <c r="BP797" s="1" t="s">
        <v>74</v>
      </c>
      <c r="BQ797" s="1" t="s">
        <v>74</v>
      </c>
      <c r="BR797" s="1" t="s">
        <v>74</v>
      </c>
      <c r="BS797" s="1" t="s">
        <v>8040</v>
      </c>
      <c r="BT797" s="1" t="str">
        <f>HYPERLINK("https%3A%2F%2Fwww.webofscience.com%2Fwos%2Fwoscc%2Ffull-record%2FWOS:000337986700006","View Full Record in Web of Science")</f>
        <v>View Full Record in Web of Science</v>
      </c>
    </row>
    <row r="798" ht="12.75" customHeight="1">
      <c r="A798" s="1" t="s">
        <v>72</v>
      </c>
      <c r="B798" s="1" t="s">
        <v>8041</v>
      </c>
      <c r="C798" s="1" t="s">
        <v>74</v>
      </c>
      <c r="D798" s="1" t="s">
        <v>74</v>
      </c>
      <c r="E798" s="1" t="s">
        <v>74</v>
      </c>
      <c r="F798" s="1" t="s">
        <v>8042</v>
      </c>
      <c r="G798" s="1" t="s">
        <v>74</v>
      </c>
      <c r="H798" s="1" t="s">
        <v>74</v>
      </c>
      <c r="I798" s="1" t="s">
        <v>8043</v>
      </c>
      <c r="J798" s="1" t="s">
        <v>8044</v>
      </c>
      <c r="K798" s="1" t="s">
        <v>74</v>
      </c>
      <c r="L798" s="1" t="s">
        <v>74</v>
      </c>
      <c r="M798" s="1" t="s">
        <v>74</v>
      </c>
      <c r="N798" s="1" t="s">
        <v>74</v>
      </c>
      <c r="O798" s="1" t="s">
        <v>74</v>
      </c>
      <c r="P798" s="1" t="s">
        <v>74</v>
      </c>
      <c r="Q798" s="1" t="s">
        <v>74</v>
      </c>
      <c r="R798" s="1" t="s">
        <v>74</v>
      </c>
      <c r="S798" s="1" t="s">
        <v>74</v>
      </c>
      <c r="T798" s="1" t="s">
        <v>74</v>
      </c>
      <c r="U798" s="1" t="s">
        <v>74</v>
      </c>
      <c r="V798" s="1" t="s">
        <v>8045</v>
      </c>
      <c r="W798" s="1" t="s">
        <v>74</v>
      </c>
      <c r="X798" s="1" t="s">
        <v>74</v>
      </c>
      <c r="Y798" s="1" t="s">
        <v>74</v>
      </c>
      <c r="Z798" s="1" t="s">
        <v>74</v>
      </c>
      <c r="AA798" s="1" t="s">
        <v>4948</v>
      </c>
      <c r="AB798" s="1" t="s">
        <v>8046</v>
      </c>
      <c r="AC798" s="1" t="s">
        <v>74</v>
      </c>
      <c r="AD798" s="1" t="s">
        <v>74</v>
      </c>
      <c r="AE798" s="1" t="s">
        <v>74</v>
      </c>
      <c r="AF798" s="1" t="s">
        <v>74</v>
      </c>
      <c r="AG798" s="1" t="s">
        <v>74</v>
      </c>
      <c r="AH798" s="1" t="s">
        <v>74</v>
      </c>
      <c r="AI798" s="1" t="s">
        <v>74</v>
      </c>
      <c r="AJ798" s="1" t="s">
        <v>74</v>
      </c>
      <c r="AK798" s="1" t="s">
        <v>74</v>
      </c>
      <c r="AL798" s="1" t="s">
        <v>74</v>
      </c>
      <c r="AM798" s="1" t="s">
        <v>74</v>
      </c>
      <c r="AN798" s="1" t="s">
        <v>74</v>
      </c>
      <c r="AO798" s="1" t="s">
        <v>8047</v>
      </c>
      <c r="AP798" s="1" t="s">
        <v>8048</v>
      </c>
      <c r="AQ798" s="1" t="s">
        <v>74</v>
      </c>
      <c r="AR798" s="1" t="s">
        <v>74</v>
      </c>
      <c r="AS798" s="1" t="s">
        <v>74</v>
      </c>
      <c r="AT798" s="1" t="s">
        <v>74</v>
      </c>
      <c r="AU798" s="1">
        <v>2014.0</v>
      </c>
      <c r="AV798" s="1">
        <v>2014.0</v>
      </c>
      <c r="AW798" s="1" t="s">
        <v>74</v>
      </c>
      <c r="AX798" s="1" t="s">
        <v>74</v>
      </c>
      <c r="AY798" s="1" t="s">
        <v>74</v>
      </c>
      <c r="AZ798" s="1" t="s">
        <v>74</v>
      </c>
      <c r="BA798" s="1" t="s">
        <v>74</v>
      </c>
      <c r="BB798" s="1" t="s">
        <v>74</v>
      </c>
      <c r="BC798" s="1" t="s">
        <v>74</v>
      </c>
      <c r="BD798" s="1">
        <v>432548.0</v>
      </c>
      <c r="BE798" s="1" t="s">
        <v>8049</v>
      </c>
      <c r="BF798" s="2" t="str">
        <f>HYPERLINK("http://dx.doi.org/10.1155/2014/432548","http://dx.doi.org/10.1155/2014/432548")</f>
        <v>http://dx.doi.org/10.1155/2014/432548</v>
      </c>
      <c r="BG798" s="1" t="s">
        <v>74</v>
      </c>
      <c r="BH798" s="1" t="s">
        <v>74</v>
      </c>
      <c r="BI798" s="1" t="s">
        <v>74</v>
      </c>
      <c r="BJ798" s="1" t="s">
        <v>74</v>
      </c>
      <c r="BK798" s="1" t="s">
        <v>74</v>
      </c>
      <c r="BL798" s="1" t="s">
        <v>74</v>
      </c>
      <c r="BM798" s="1" t="s">
        <v>74</v>
      </c>
      <c r="BN798" s="1" t="s">
        <v>74</v>
      </c>
      <c r="BO798" s="1" t="s">
        <v>74</v>
      </c>
      <c r="BP798" s="1" t="s">
        <v>74</v>
      </c>
      <c r="BQ798" s="1" t="s">
        <v>74</v>
      </c>
      <c r="BR798" s="1" t="s">
        <v>74</v>
      </c>
      <c r="BS798" s="1" t="s">
        <v>8050</v>
      </c>
      <c r="BT798" s="1" t="str">
        <f>HYPERLINK("https%3A%2F%2Fwww.webofscience.com%2Fwos%2Fwoscc%2Ffull-record%2FWOS:000345043800001","View Full Record in Web of Science")</f>
        <v>View Full Record in Web of Science</v>
      </c>
    </row>
    <row r="799" ht="12.75" customHeight="1">
      <c r="A799" s="1" t="s">
        <v>72</v>
      </c>
      <c r="B799" s="1" t="s">
        <v>8051</v>
      </c>
      <c r="C799" s="1" t="s">
        <v>74</v>
      </c>
      <c r="D799" s="1" t="s">
        <v>74</v>
      </c>
      <c r="E799" s="1" t="s">
        <v>74</v>
      </c>
      <c r="F799" s="1" t="s">
        <v>8052</v>
      </c>
      <c r="G799" s="1" t="s">
        <v>74</v>
      </c>
      <c r="H799" s="1" t="s">
        <v>74</v>
      </c>
      <c r="I799" s="1" t="s">
        <v>8053</v>
      </c>
      <c r="J799" s="1" t="s">
        <v>8054</v>
      </c>
      <c r="K799" s="1" t="s">
        <v>74</v>
      </c>
      <c r="L799" s="1" t="s">
        <v>74</v>
      </c>
      <c r="M799" s="1" t="s">
        <v>74</v>
      </c>
      <c r="N799" s="1" t="s">
        <v>74</v>
      </c>
      <c r="O799" s="1" t="s">
        <v>74</v>
      </c>
      <c r="P799" s="1" t="s">
        <v>74</v>
      </c>
      <c r="Q799" s="1" t="s">
        <v>74</v>
      </c>
      <c r="R799" s="1" t="s">
        <v>74</v>
      </c>
      <c r="S799" s="1" t="s">
        <v>74</v>
      </c>
      <c r="T799" s="1" t="s">
        <v>74</v>
      </c>
      <c r="U799" s="1" t="s">
        <v>74</v>
      </c>
      <c r="V799" s="1" t="s">
        <v>8055</v>
      </c>
      <c r="W799" s="1" t="s">
        <v>74</v>
      </c>
      <c r="X799" s="1" t="s">
        <v>74</v>
      </c>
      <c r="Y799" s="1" t="s">
        <v>74</v>
      </c>
      <c r="Z799" s="1" t="s">
        <v>74</v>
      </c>
      <c r="AA799" s="1" t="s">
        <v>8056</v>
      </c>
      <c r="AB799" s="1" t="s">
        <v>8057</v>
      </c>
      <c r="AC799" s="1" t="s">
        <v>74</v>
      </c>
      <c r="AD799" s="1" t="s">
        <v>74</v>
      </c>
      <c r="AE799" s="1" t="s">
        <v>74</v>
      </c>
      <c r="AF799" s="1" t="s">
        <v>74</v>
      </c>
      <c r="AG799" s="1" t="s">
        <v>74</v>
      </c>
      <c r="AH799" s="1" t="s">
        <v>74</v>
      </c>
      <c r="AI799" s="1" t="s">
        <v>74</v>
      </c>
      <c r="AJ799" s="1" t="s">
        <v>74</v>
      </c>
      <c r="AK799" s="1" t="s">
        <v>74</v>
      </c>
      <c r="AL799" s="1" t="s">
        <v>74</v>
      </c>
      <c r="AM799" s="1" t="s">
        <v>74</v>
      </c>
      <c r="AN799" s="1" t="s">
        <v>74</v>
      </c>
      <c r="AO799" s="1" t="s">
        <v>8058</v>
      </c>
      <c r="AP799" s="1" t="s">
        <v>74</v>
      </c>
      <c r="AQ799" s="1" t="s">
        <v>74</v>
      </c>
      <c r="AR799" s="1" t="s">
        <v>74</v>
      </c>
      <c r="AS799" s="1" t="s">
        <v>74</v>
      </c>
      <c r="AT799" s="1" t="s">
        <v>8059</v>
      </c>
      <c r="AU799" s="1">
        <v>2012.0</v>
      </c>
      <c r="AV799" s="1">
        <v>10.0</v>
      </c>
      <c r="AW799" s="1" t="s">
        <v>74</v>
      </c>
      <c r="AX799" s="1" t="s">
        <v>74</v>
      </c>
      <c r="AY799" s="1" t="s">
        <v>74</v>
      </c>
      <c r="AZ799" s="1" t="s">
        <v>74</v>
      </c>
      <c r="BA799" s="1" t="s">
        <v>74</v>
      </c>
      <c r="BB799" s="1" t="s">
        <v>74</v>
      </c>
      <c r="BC799" s="1" t="s">
        <v>74</v>
      </c>
      <c r="BD799" s="1">
        <v>56.0</v>
      </c>
      <c r="BE799" s="1" t="s">
        <v>8060</v>
      </c>
      <c r="BF799" s="2" t="str">
        <f>HYPERLINK("http://dx.doi.org/10.1186/1477-7827-10-56","http://dx.doi.org/10.1186/1477-7827-10-56")</f>
        <v>http://dx.doi.org/10.1186/1477-7827-10-56</v>
      </c>
      <c r="BG799" s="1" t="s">
        <v>74</v>
      </c>
      <c r="BH799" s="1" t="s">
        <v>74</v>
      </c>
      <c r="BI799" s="1" t="s">
        <v>74</v>
      </c>
      <c r="BJ799" s="1" t="s">
        <v>74</v>
      </c>
      <c r="BK799" s="1" t="s">
        <v>74</v>
      </c>
      <c r="BL799" s="1" t="s">
        <v>74</v>
      </c>
      <c r="BM799" s="1" t="s">
        <v>74</v>
      </c>
      <c r="BN799" s="1">
        <v>2.2897899E7</v>
      </c>
      <c r="BO799" s="1" t="s">
        <v>74</v>
      </c>
      <c r="BP799" s="1" t="s">
        <v>74</v>
      </c>
      <c r="BQ799" s="1" t="s">
        <v>74</v>
      </c>
      <c r="BR799" s="1" t="s">
        <v>74</v>
      </c>
      <c r="BS799" s="1" t="s">
        <v>8061</v>
      </c>
      <c r="BT799" s="1" t="str">
        <f>HYPERLINK("https%3A%2F%2Fwww.webofscience.com%2Fwos%2Fwoscc%2Ffull-record%2FWOS:000310751900001","View Full Record in Web of Science")</f>
        <v>View Full Record in Web of Science</v>
      </c>
    </row>
    <row r="800" ht="12.75" customHeight="1">
      <c r="A800" s="1" t="s">
        <v>72</v>
      </c>
      <c r="B800" s="1" t="s">
        <v>8062</v>
      </c>
      <c r="C800" s="1" t="s">
        <v>74</v>
      </c>
      <c r="D800" s="1" t="s">
        <v>74</v>
      </c>
      <c r="E800" s="1" t="s">
        <v>74</v>
      </c>
      <c r="F800" s="1" t="s">
        <v>8063</v>
      </c>
      <c r="G800" s="1" t="s">
        <v>74</v>
      </c>
      <c r="H800" s="1" t="s">
        <v>74</v>
      </c>
      <c r="I800" s="1" t="s">
        <v>8064</v>
      </c>
      <c r="J800" s="1" t="s">
        <v>3267</v>
      </c>
      <c r="K800" s="1" t="s">
        <v>74</v>
      </c>
      <c r="L800" s="1" t="s">
        <v>74</v>
      </c>
      <c r="M800" s="1" t="s">
        <v>74</v>
      </c>
      <c r="N800" s="1" t="s">
        <v>74</v>
      </c>
      <c r="O800" s="1" t="s">
        <v>74</v>
      </c>
      <c r="P800" s="1" t="s">
        <v>74</v>
      </c>
      <c r="Q800" s="1" t="s">
        <v>74</v>
      </c>
      <c r="R800" s="1" t="s">
        <v>74</v>
      </c>
      <c r="S800" s="1" t="s">
        <v>74</v>
      </c>
      <c r="T800" s="1" t="s">
        <v>74</v>
      </c>
      <c r="U800" s="1" t="s">
        <v>74</v>
      </c>
      <c r="V800" s="1" t="s">
        <v>8065</v>
      </c>
      <c r="W800" s="1" t="s">
        <v>74</v>
      </c>
      <c r="X800" s="1" t="s">
        <v>74</v>
      </c>
      <c r="Y800" s="1" t="s">
        <v>74</v>
      </c>
      <c r="Z800" s="1" t="s">
        <v>74</v>
      </c>
      <c r="AA800" s="1" t="s">
        <v>8066</v>
      </c>
      <c r="AB800" s="1" t="s">
        <v>8067</v>
      </c>
      <c r="AC800" s="1" t="s">
        <v>74</v>
      </c>
      <c r="AD800" s="1" t="s">
        <v>74</v>
      </c>
      <c r="AE800" s="1" t="s">
        <v>74</v>
      </c>
      <c r="AF800" s="1" t="s">
        <v>74</v>
      </c>
      <c r="AG800" s="1" t="s">
        <v>74</v>
      </c>
      <c r="AH800" s="1" t="s">
        <v>74</v>
      </c>
      <c r="AI800" s="1" t="s">
        <v>74</v>
      </c>
      <c r="AJ800" s="1" t="s">
        <v>74</v>
      </c>
      <c r="AK800" s="1" t="s">
        <v>74</v>
      </c>
      <c r="AL800" s="1" t="s">
        <v>74</v>
      </c>
      <c r="AM800" s="1" t="s">
        <v>74</v>
      </c>
      <c r="AN800" s="1" t="s">
        <v>74</v>
      </c>
      <c r="AO800" s="1" t="s">
        <v>3270</v>
      </c>
      <c r="AP800" s="1" t="s">
        <v>74</v>
      </c>
      <c r="AQ800" s="1" t="s">
        <v>74</v>
      </c>
      <c r="AR800" s="1" t="s">
        <v>74</v>
      </c>
      <c r="AS800" s="1" t="s">
        <v>74</v>
      </c>
      <c r="AT800" s="1" t="s">
        <v>1018</v>
      </c>
      <c r="AU800" s="1">
        <v>2012.0</v>
      </c>
      <c r="AV800" s="1">
        <v>80.0</v>
      </c>
      <c r="AW800" s="1" t="s">
        <v>74</v>
      </c>
      <c r="AX800" s="1" t="s">
        <v>74</v>
      </c>
      <c r="AY800" s="1" t="s">
        <v>74</v>
      </c>
      <c r="AZ800" s="1" t="s">
        <v>74</v>
      </c>
      <c r="BA800" s="1" t="s">
        <v>74</v>
      </c>
      <c r="BB800" s="1">
        <v>109.0</v>
      </c>
      <c r="BC800" s="1">
        <v>114.0</v>
      </c>
      <c r="BD800" s="1" t="s">
        <v>74</v>
      </c>
      <c r="BE800" s="1" t="s">
        <v>8068</v>
      </c>
      <c r="BF800" s="2" t="str">
        <f>HYPERLINK("http://dx.doi.org/10.1016/j.phytochem.2012.04.014","http://dx.doi.org/10.1016/j.phytochem.2012.04.014")</f>
        <v>http://dx.doi.org/10.1016/j.phytochem.2012.04.014</v>
      </c>
      <c r="BG800" s="1" t="s">
        <v>74</v>
      </c>
      <c r="BH800" s="1" t="s">
        <v>74</v>
      </c>
      <c r="BI800" s="1" t="s">
        <v>74</v>
      </c>
      <c r="BJ800" s="1" t="s">
        <v>74</v>
      </c>
      <c r="BK800" s="1" t="s">
        <v>74</v>
      </c>
      <c r="BL800" s="1" t="s">
        <v>74</v>
      </c>
      <c r="BM800" s="1" t="s">
        <v>74</v>
      </c>
      <c r="BN800" s="1">
        <v>2.2656857E7</v>
      </c>
      <c r="BO800" s="1" t="s">
        <v>74</v>
      </c>
      <c r="BP800" s="1" t="s">
        <v>74</v>
      </c>
      <c r="BQ800" s="1" t="s">
        <v>74</v>
      </c>
      <c r="BR800" s="1" t="s">
        <v>74</v>
      </c>
      <c r="BS800" s="1" t="s">
        <v>8069</v>
      </c>
      <c r="BT800" s="1" t="str">
        <f>HYPERLINK("https%3A%2F%2Fwww.webofscience.com%2Fwos%2Fwoscc%2Ffull-record%2FWOS:000306729800013","View Full Record in Web of Science")</f>
        <v>View Full Record in Web of Science</v>
      </c>
    </row>
    <row r="801" ht="12.75" customHeight="1">
      <c r="A801" s="1" t="s">
        <v>72</v>
      </c>
      <c r="B801" s="1" t="s">
        <v>8070</v>
      </c>
      <c r="C801" s="1" t="s">
        <v>74</v>
      </c>
      <c r="D801" s="1" t="s">
        <v>74</v>
      </c>
      <c r="E801" s="1" t="s">
        <v>74</v>
      </c>
      <c r="F801" s="1" t="s">
        <v>8071</v>
      </c>
      <c r="G801" s="1" t="s">
        <v>74</v>
      </c>
      <c r="H801" s="1" t="s">
        <v>74</v>
      </c>
      <c r="I801" s="1" t="s">
        <v>8072</v>
      </c>
      <c r="J801" s="1" t="s">
        <v>8073</v>
      </c>
      <c r="K801" s="1" t="s">
        <v>74</v>
      </c>
      <c r="L801" s="1" t="s">
        <v>74</v>
      </c>
      <c r="M801" s="1" t="s">
        <v>74</v>
      </c>
      <c r="N801" s="1" t="s">
        <v>74</v>
      </c>
      <c r="O801" s="1" t="s">
        <v>74</v>
      </c>
      <c r="P801" s="1" t="s">
        <v>74</v>
      </c>
      <c r="Q801" s="1" t="s">
        <v>74</v>
      </c>
      <c r="R801" s="1" t="s">
        <v>74</v>
      </c>
      <c r="S801" s="1" t="s">
        <v>74</v>
      </c>
      <c r="T801" s="1" t="s">
        <v>74</v>
      </c>
      <c r="U801" s="1" t="s">
        <v>74</v>
      </c>
      <c r="V801" s="1" t="s">
        <v>8074</v>
      </c>
      <c r="W801" s="1" t="s">
        <v>74</v>
      </c>
      <c r="X801" s="1" t="s">
        <v>74</v>
      </c>
      <c r="Y801" s="1" t="s">
        <v>74</v>
      </c>
      <c r="Z801" s="1" t="s">
        <v>74</v>
      </c>
      <c r="AA801" s="1" t="s">
        <v>8075</v>
      </c>
      <c r="AB801" s="1" t="s">
        <v>8076</v>
      </c>
      <c r="AC801" s="1" t="s">
        <v>74</v>
      </c>
      <c r="AD801" s="1" t="s">
        <v>74</v>
      </c>
      <c r="AE801" s="1" t="s">
        <v>74</v>
      </c>
      <c r="AF801" s="1" t="s">
        <v>74</v>
      </c>
      <c r="AG801" s="1" t="s">
        <v>74</v>
      </c>
      <c r="AH801" s="1" t="s">
        <v>74</v>
      </c>
      <c r="AI801" s="1" t="s">
        <v>74</v>
      </c>
      <c r="AJ801" s="1" t="s">
        <v>74</v>
      </c>
      <c r="AK801" s="1" t="s">
        <v>74</v>
      </c>
      <c r="AL801" s="1" t="s">
        <v>74</v>
      </c>
      <c r="AM801" s="1" t="s">
        <v>74</v>
      </c>
      <c r="AN801" s="1" t="s">
        <v>74</v>
      </c>
      <c r="AO801" s="1" t="s">
        <v>8077</v>
      </c>
      <c r="AP801" s="1" t="s">
        <v>74</v>
      </c>
      <c r="AQ801" s="1" t="s">
        <v>74</v>
      </c>
      <c r="AR801" s="1" t="s">
        <v>74</v>
      </c>
      <c r="AS801" s="1" t="s">
        <v>74</v>
      </c>
      <c r="AT801" s="1" t="s">
        <v>1018</v>
      </c>
      <c r="AU801" s="1">
        <v>2012.0</v>
      </c>
      <c r="AV801" s="1">
        <v>25.0</v>
      </c>
      <c r="AW801" s="1">
        <v>4.0</v>
      </c>
      <c r="AX801" s="1" t="s">
        <v>74</v>
      </c>
      <c r="AY801" s="1" t="s">
        <v>74</v>
      </c>
      <c r="AZ801" s="1" t="s">
        <v>74</v>
      </c>
      <c r="BA801" s="1" t="s">
        <v>74</v>
      </c>
      <c r="BB801" s="1">
        <v>201.0</v>
      </c>
      <c r="BC801" s="1">
        <v>206.0</v>
      </c>
      <c r="BD801" s="1" t="s">
        <v>74</v>
      </c>
      <c r="BE801" s="1" t="s">
        <v>8078</v>
      </c>
      <c r="BF801" s="2" t="str">
        <f>HYPERLINK("http://dx.doi.org/10.1179/1743133612Y.0000000010","http://dx.doi.org/10.1179/1743133612Y.0000000010")</f>
        <v>http://dx.doi.org/10.1179/1743133612Y.0000000010</v>
      </c>
      <c r="BG801" s="1" t="s">
        <v>74</v>
      </c>
      <c r="BH801" s="1" t="s">
        <v>74</v>
      </c>
      <c r="BI801" s="1" t="s">
        <v>74</v>
      </c>
      <c r="BJ801" s="1" t="s">
        <v>74</v>
      </c>
      <c r="BK801" s="1" t="s">
        <v>74</v>
      </c>
      <c r="BL801" s="1" t="s">
        <v>74</v>
      </c>
      <c r="BM801" s="1" t="s">
        <v>74</v>
      </c>
      <c r="BN801" s="1" t="s">
        <v>74</v>
      </c>
      <c r="BO801" s="1" t="s">
        <v>74</v>
      </c>
      <c r="BP801" s="1" t="s">
        <v>74</v>
      </c>
      <c r="BQ801" s="1" t="s">
        <v>74</v>
      </c>
      <c r="BR801" s="1" t="s">
        <v>74</v>
      </c>
      <c r="BS801" s="1" t="s">
        <v>8079</v>
      </c>
      <c r="BT801" s="1" t="str">
        <f>HYPERLINK("https%3A%2F%2Fwww.webofscience.com%2Fwos%2Fwoscc%2Ffull-record%2FWOS:000307436700002","View Full Record in Web of Science")</f>
        <v>View Full Record in Web of Science</v>
      </c>
    </row>
    <row r="802" ht="12.75" customHeight="1">
      <c r="A802" s="1" t="s">
        <v>72</v>
      </c>
      <c r="B802" s="1" t="s">
        <v>8080</v>
      </c>
      <c r="C802" s="1" t="s">
        <v>74</v>
      </c>
      <c r="D802" s="1" t="s">
        <v>74</v>
      </c>
      <c r="E802" s="1" t="s">
        <v>74</v>
      </c>
      <c r="F802" s="1" t="s">
        <v>8081</v>
      </c>
      <c r="G802" s="1" t="s">
        <v>74</v>
      </c>
      <c r="H802" s="1" t="s">
        <v>74</v>
      </c>
      <c r="I802" s="1" t="s">
        <v>8082</v>
      </c>
      <c r="J802" s="1" t="s">
        <v>8083</v>
      </c>
      <c r="K802" s="1" t="s">
        <v>74</v>
      </c>
      <c r="L802" s="1" t="s">
        <v>74</v>
      </c>
      <c r="M802" s="1" t="s">
        <v>74</v>
      </c>
      <c r="N802" s="1" t="s">
        <v>74</v>
      </c>
      <c r="O802" s="1" t="s">
        <v>74</v>
      </c>
      <c r="P802" s="1" t="s">
        <v>74</v>
      </c>
      <c r="Q802" s="1" t="s">
        <v>74</v>
      </c>
      <c r="R802" s="1" t="s">
        <v>74</v>
      </c>
      <c r="S802" s="1" t="s">
        <v>74</v>
      </c>
      <c r="T802" s="1" t="s">
        <v>74</v>
      </c>
      <c r="U802" s="1" t="s">
        <v>74</v>
      </c>
      <c r="V802" s="1" t="s">
        <v>8084</v>
      </c>
      <c r="W802" s="1" t="s">
        <v>74</v>
      </c>
      <c r="X802" s="1" t="s">
        <v>74</v>
      </c>
      <c r="Y802" s="1" t="s">
        <v>74</v>
      </c>
      <c r="Z802" s="1" t="s">
        <v>74</v>
      </c>
      <c r="AA802" s="1" t="s">
        <v>8085</v>
      </c>
      <c r="AB802" s="1" t="s">
        <v>7700</v>
      </c>
      <c r="AC802" s="1" t="s">
        <v>74</v>
      </c>
      <c r="AD802" s="1" t="s">
        <v>74</v>
      </c>
      <c r="AE802" s="1" t="s">
        <v>74</v>
      </c>
      <c r="AF802" s="1" t="s">
        <v>74</v>
      </c>
      <c r="AG802" s="1" t="s">
        <v>74</v>
      </c>
      <c r="AH802" s="1" t="s">
        <v>74</v>
      </c>
      <c r="AI802" s="1" t="s">
        <v>74</v>
      </c>
      <c r="AJ802" s="1" t="s">
        <v>74</v>
      </c>
      <c r="AK802" s="1" t="s">
        <v>74</v>
      </c>
      <c r="AL802" s="1" t="s">
        <v>74</v>
      </c>
      <c r="AM802" s="1" t="s">
        <v>74</v>
      </c>
      <c r="AN802" s="1" t="s">
        <v>74</v>
      </c>
      <c r="AO802" s="1" t="s">
        <v>8086</v>
      </c>
      <c r="AP802" s="1" t="s">
        <v>8087</v>
      </c>
      <c r="AQ802" s="1" t="s">
        <v>74</v>
      </c>
      <c r="AR802" s="1" t="s">
        <v>74</v>
      </c>
      <c r="AS802" s="1" t="s">
        <v>74</v>
      </c>
      <c r="AT802" s="1" t="s">
        <v>8088</v>
      </c>
      <c r="AU802" s="1">
        <v>2011.0</v>
      </c>
      <c r="AV802" s="1">
        <v>115.0</v>
      </c>
      <c r="AW802" s="1">
        <v>43.0</v>
      </c>
      <c r="AX802" s="1" t="s">
        <v>74</v>
      </c>
      <c r="AY802" s="1" t="s">
        <v>74</v>
      </c>
      <c r="AZ802" s="1" t="s">
        <v>74</v>
      </c>
      <c r="BA802" s="1" t="s">
        <v>74</v>
      </c>
      <c r="BB802" s="1">
        <v>11988.0</v>
      </c>
      <c r="BC802" s="1">
        <v>11997.0</v>
      </c>
      <c r="BD802" s="1" t="s">
        <v>74</v>
      </c>
      <c r="BE802" s="1" t="s">
        <v>8089</v>
      </c>
      <c r="BF802" s="2" t="str">
        <f>HYPERLINK("http://dx.doi.org/10.1021/jp202377d","http://dx.doi.org/10.1021/jp202377d")</f>
        <v>http://dx.doi.org/10.1021/jp202377d</v>
      </c>
      <c r="BG802" s="1" t="s">
        <v>74</v>
      </c>
      <c r="BH802" s="1" t="s">
        <v>74</v>
      </c>
      <c r="BI802" s="1" t="s">
        <v>74</v>
      </c>
      <c r="BJ802" s="1" t="s">
        <v>74</v>
      </c>
      <c r="BK802" s="1" t="s">
        <v>74</v>
      </c>
      <c r="BL802" s="1" t="s">
        <v>74</v>
      </c>
      <c r="BM802" s="1" t="s">
        <v>74</v>
      </c>
      <c r="BN802" s="1">
        <v>2.1910497E7</v>
      </c>
      <c r="BO802" s="1" t="s">
        <v>74</v>
      </c>
      <c r="BP802" s="1" t="s">
        <v>74</v>
      </c>
      <c r="BQ802" s="1" t="s">
        <v>74</v>
      </c>
      <c r="BR802" s="1" t="s">
        <v>74</v>
      </c>
      <c r="BS802" s="1" t="s">
        <v>8090</v>
      </c>
      <c r="BT802" s="1" t="str">
        <f>HYPERLINK("https%3A%2F%2Fwww.webofscience.com%2Fwos%2Fwoscc%2Ffull-record%2FWOS:000296169800007","View Full Record in Web of Science")</f>
        <v>View Full Record in Web of Science</v>
      </c>
    </row>
    <row r="803" ht="12.75" customHeight="1">
      <c r="A803" s="1" t="s">
        <v>72</v>
      </c>
      <c r="B803" s="1" t="s">
        <v>8091</v>
      </c>
      <c r="C803" s="1" t="s">
        <v>74</v>
      </c>
      <c r="D803" s="1" t="s">
        <v>74</v>
      </c>
      <c r="E803" s="1" t="s">
        <v>74</v>
      </c>
      <c r="F803" s="1" t="s">
        <v>8092</v>
      </c>
      <c r="G803" s="1" t="s">
        <v>74</v>
      </c>
      <c r="H803" s="1" t="s">
        <v>74</v>
      </c>
      <c r="I803" s="1" t="s">
        <v>8093</v>
      </c>
      <c r="J803" s="1" t="s">
        <v>6802</v>
      </c>
      <c r="K803" s="1" t="s">
        <v>74</v>
      </c>
      <c r="L803" s="1" t="s">
        <v>74</v>
      </c>
      <c r="M803" s="1" t="s">
        <v>74</v>
      </c>
      <c r="N803" s="1" t="s">
        <v>74</v>
      </c>
      <c r="O803" s="1" t="s">
        <v>74</v>
      </c>
      <c r="P803" s="1" t="s">
        <v>74</v>
      </c>
      <c r="Q803" s="1" t="s">
        <v>74</v>
      </c>
      <c r="R803" s="1" t="s">
        <v>74</v>
      </c>
      <c r="S803" s="1" t="s">
        <v>74</v>
      </c>
      <c r="T803" s="1" t="s">
        <v>74</v>
      </c>
      <c r="U803" s="1" t="s">
        <v>74</v>
      </c>
      <c r="V803" s="1" t="s">
        <v>8094</v>
      </c>
      <c r="W803" s="1" t="s">
        <v>74</v>
      </c>
      <c r="X803" s="1" t="s">
        <v>74</v>
      </c>
      <c r="Y803" s="1" t="s">
        <v>74</v>
      </c>
      <c r="Z803" s="1" t="s">
        <v>74</v>
      </c>
      <c r="AA803" s="1" t="s">
        <v>8095</v>
      </c>
      <c r="AB803" s="1" t="s">
        <v>8096</v>
      </c>
      <c r="AC803" s="1" t="s">
        <v>74</v>
      </c>
      <c r="AD803" s="1" t="s">
        <v>74</v>
      </c>
      <c r="AE803" s="1" t="s">
        <v>74</v>
      </c>
      <c r="AF803" s="1" t="s">
        <v>74</v>
      </c>
      <c r="AG803" s="1" t="s">
        <v>74</v>
      </c>
      <c r="AH803" s="1" t="s">
        <v>74</v>
      </c>
      <c r="AI803" s="1" t="s">
        <v>74</v>
      </c>
      <c r="AJ803" s="1" t="s">
        <v>74</v>
      </c>
      <c r="AK803" s="1" t="s">
        <v>74</v>
      </c>
      <c r="AL803" s="1" t="s">
        <v>74</v>
      </c>
      <c r="AM803" s="1" t="s">
        <v>74</v>
      </c>
      <c r="AN803" s="1" t="s">
        <v>74</v>
      </c>
      <c r="AO803" s="1" t="s">
        <v>6806</v>
      </c>
      <c r="AP803" s="1" t="s">
        <v>6807</v>
      </c>
      <c r="AQ803" s="1" t="s">
        <v>74</v>
      </c>
      <c r="AR803" s="1" t="s">
        <v>74</v>
      </c>
      <c r="AS803" s="1" t="s">
        <v>74</v>
      </c>
      <c r="AT803" s="1" t="s">
        <v>422</v>
      </c>
      <c r="AU803" s="1">
        <v>2011.0</v>
      </c>
      <c r="AV803" s="1">
        <v>11.0</v>
      </c>
      <c r="AW803" s="1">
        <v>1.0</v>
      </c>
      <c r="AX803" s="1" t="s">
        <v>74</v>
      </c>
      <c r="AY803" s="1" t="s">
        <v>74</v>
      </c>
      <c r="AZ803" s="1" t="s">
        <v>74</v>
      </c>
      <c r="BA803" s="1" t="s">
        <v>74</v>
      </c>
      <c r="BB803" s="1">
        <v>218.0</v>
      </c>
      <c r="BC803" s="1">
        <v>223.0</v>
      </c>
      <c r="BD803" s="1" t="s">
        <v>74</v>
      </c>
      <c r="BE803" s="1" t="s">
        <v>8097</v>
      </c>
      <c r="BF803" s="2" t="str">
        <f>HYPERLINK("http://dx.doi.org/10.1166/jnn.2011.3537","http://dx.doi.org/10.1166/jnn.2011.3537")</f>
        <v>http://dx.doi.org/10.1166/jnn.2011.3537</v>
      </c>
      <c r="BG803" s="1" t="s">
        <v>74</v>
      </c>
      <c r="BH803" s="1" t="s">
        <v>74</v>
      </c>
      <c r="BI803" s="1" t="s">
        <v>74</v>
      </c>
      <c r="BJ803" s="1" t="s">
        <v>74</v>
      </c>
      <c r="BK803" s="1" t="s">
        <v>74</v>
      </c>
      <c r="BL803" s="1" t="s">
        <v>74</v>
      </c>
      <c r="BM803" s="1" t="s">
        <v>74</v>
      </c>
      <c r="BN803" s="1">
        <v>2.144643E7</v>
      </c>
      <c r="BO803" s="1" t="s">
        <v>74</v>
      </c>
      <c r="BP803" s="1" t="s">
        <v>74</v>
      </c>
      <c r="BQ803" s="1" t="s">
        <v>74</v>
      </c>
      <c r="BR803" s="1" t="s">
        <v>74</v>
      </c>
      <c r="BS803" s="1" t="s">
        <v>8098</v>
      </c>
      <c r="BT803" s="1" t="str">
        <f>HYPERLINK("https%3A%2F%2Fwww.webofscience.com%2Fwos%2Fwoscc%2Ffull-record%2FWOS:000286344400029","View Full Record in Web of Science")</f>
        <v>View Full Record in Web of Science</v>
      </c>
    </row>
    <row r="804" ht="12.75" customHeight="1">
      <c r="A804" s="1" t="s">
        <v>72</v>
      </c>
      <c r="B804" s="1" t="s">
        <v>8099</v>
      </c>
      <c r="C804" s="1" t="s">
        <v>74</v>
      </c>
      <c r="D804" s="1" t="s">
        <v>74</v>
      </c>
      <c r="E804" s="1" t="s">
        <v>74</v>
      </c>
      <c r="F804" s="1" t="s">
        <v>8100</v>
      </c>
      <c r="G804" s="1" t="s">
        <v>74</v>
      </c>
      <c r="H804" s="1" t="s">
        <v>74</v>
      </c>
      <c r="I804" s="1" t="s">
        <v>8101</v>
      </c>
      <c r="J804" s="1" t="s">
        <v>1300</v>
      </c>
      <c r="K804" s="1" t="s">
        <v>74</v>
      </c>
      <c r="L804" s="1" t="s">
        <v>74</v>
      </c>
      <c r="M804" s="1" t="s">
        <v>74</v>
      </c>
      <c r="N804" s="1" t="s">
        <v>74</v>
      </c>
      <c r="O804" s="1" t="s">
        <v>74</v>
      </c>
      <c r="P804" s="1" t="s">
        <v>74</v>
      </c>
      <c r="Q804" s="1" t="s">
        <v>74</v>
      </c>
      <c r="R804" s="1" t="s">
        <v>74</v>
      </c>
      <c r="S804" s="1" t="s">
        <v>74</v>
      </c>
      <c r="T804" s="1" t="s">
        <v>74</v>
      </c>
      <c r="U804" s="1" t="s">
        <v>74</v>
      </c>
      <c r="V804" s="1" t="s">
        <v>8102</v>
      </c>
      <c r="W804" s="1" t="s">
        <v>74</v>
      </c>
      <c r="X804" s="1" t="s">
        <v>74</v>
      </c>
      <c r="Y804" s="1" t="s">
        <v>74</v>
      </c>
      <c r="Z804" s="1" t="s">
        <v>74</v>
      </c>
      <c r="AA804" s="1" t="s">
        <v>8103</v>
      </c>
      <c r="AB804" s="1" t="s">
        <v>8104</v>
      </c>
      <c r="AC804" s="1" t="s">
        <v>74</v>
      </c>
      <c r="AD804" s="1" t="s">
        <v>74</v>
      </c>
      <c r="AE804" s="1" t="s">
        <v>74</v>
      </c>
      <c r="AF804" s="1" t="s">
        <v>74</v>
      </c>
      <c r="AG804" s="1" t="s">
        <v>74</v>
      </c>
      <c r="AH804" s="1" t="s">
        <v>74</v>
      </c>
      <c r="AI804" s="1" t="s">
        <v>74</v>
      </c>
      <c r="AJ804" s="1" t="s">
        <v>74</v>
      </c>
      <c r="AK804" s="1" t="s">
        <v>74</v>
      </c>
      <c r="AL804" s="1" t="s">
        <v>74</v>
      </c>
      <c r="AM804" s="1" t="s">
        <v>74</v>
      </c>
      <c r="AN804" s="1" t="s">
        <v>74</v>
      </c>
      <c r="AO804" s="1" t="s">
        <v>1304</v>
      </c>
      <c r="AP804" s="1" t="s">
        <v>74</v>
      </c>
      <c r="AQ804" s="1" t="s">
        <v>74</v>
      </c>
      <c r="AR804" s="1" t="s">
        <v>74</v>
      </c>
      <c r="AS804" s="1" t="s">
        <v>74</v>
      </c>
      <c r="AT804" s="1" t="s">
        <v>1332</v>
      </c>
      <c r="AU804" s="1">
        <v>2010.0</v>
      </c>
      <c r="AV804" s="1">
        <v>105.0</v>
      </c>
      <c r="AW804" s="1">
        <v>20.0</v>
      </c>
      <c r="AX804" s="1" t="s">
        <v>74</v>
      </c>
      <c r="AY804" s="1" t="s">
        <v>74</v>
      </c>
      <c r="AZ804" s="1" t="s">
        <v>74</v>
      </c>
      <c r="BA804" s="1" t="s">
        <v>74</v>
      </c>
      <c r="BB804" s="1" t="s">
        <v>74</v>
      </c>
      <c r="BC804" s="1" t="s">
        <v>74</v>
      </c>
      <c r="BD804" s="1">
        <v>208001.0</v>
      </c>
      <c r="BE804" s="1" t="s">
        <v>8105</v>
      </c>
      <c r="BF804" s="2" t="str">
        <f>HYPERLINK("http://dx.doi.org/10.1103/PhysRevLett.105.208001","http://dx.doi.org/10.1103/PhysRevLett.105.208001")</f>
        <v>http://dx.doi.org/10.1103/PhysRevLett.105.208001</v>
      </c>
      <c r="BG804" s="1" t="s">
        <v>74</v>
      </c>
      <c r="BH804" s="1" t="s">
        <v>74</v>
      </c>
      <c r="BI804" s="1" t="s">
        <v>74</v>
      </c>
      <c r="BJ804" s="1" t="s">
        <v>74</v>
      </c>
      <c r="BK804" s="1" t="s">
        <v>74</v>
      </c>
      <c r="BL804" s="1" t="s">
        <v>74</v>
      </c>
      <c r="BM804" s="1" t="s">
        <v>74</v>
      </c>
      <c r="BN804" s="1">
        <v>2.1231266E7</v>
      </c>
      <c r="BO804" s="1" t="s">
        <v>74</v>
      </c>
      <c r="BP804" s="1" t="s">
        <v>74</v>
      </c>
      <c r="BQ804" s="1" t="s">
        <v>74</v>
      </c>
      <c r="BR804" s="1" t="s">
        <v>74</v>
      </c>
      <c r="BS804" s="1" t="s">
        <v>8106</v>
      </c>
      <c r="BT804" s="1" t="str">
        <f>HYPERLINK("https%3A%2F%2Fwww.webofscience.com%2Fwos%2Fwoscc%2Ffull-record%2FWOS:000284052700015","View Full Record in Web of Science")</f>
        <v>View Full Record in Web of Science</v>
      </c>
    </row>
    <row r="805" ht="12.75" customHeight="1">
      <c r="A805" s="1" t="s">
        <v>72</v>
      </c>
      <c r="B805" s="1" t="s">
        <v>8107</v>
      </c>
      <c r="C805" s="1" t="s">
        <v>74</v>
      </c>
      <c r="D805" s="1" t="s">
        <v>74</v>
      </c>
      <c r="E805" s="1" t="s">
        <v>74</v>
      </c>
      <c r="F805" s="1" t="s">
        <v>8108</v>
      </c>
      <c r="G805" s="1" t="s">
        <v>74</v>
      </c>
      <c r="H805" s="1" t="s">
        <v>74</v>
      </c>
      <c r="I805" s="1" t="s">
        <v>8109</v>
      </c>
      <c r="J805" s="1" t="s">
        <v>2186</v>
      </c>
      <c r="K805" s="1" t="s">
        <v>74</v>
      </c>
      <c r="L805" s="1" t="s">
        <v>74</v>
      </c>
      <c r="M805" s="1" t="s">
        <v>74</v>
      </c>
      <c r="N805" s="1" t="s">
        <v>74</v>
      </c>
      <c r="O805" s="1" t="s">
        <v>74</v>
      </c>
      <c r="P805" s="1" t="s">
        <v>74</v>
      </c>
      <c r="Q805" s="1" t="s">
        <v>74</v>
      </c>
      <c r="R805" s="1" t="s">
        <v>74</v>
      </c>
      <c r="S805" s="1" t="s">
        <v>74</v>
      </c>
      <c r="T805" s="1" t="s">
        <v>74</v>
      </c>
      <c r="U805" s="1" t="s">
        <v>74</v>
      </c>
      <c r="V805" s="1" t="s">
        <v>8110</v>
      </c>
      <c r="W805" s="1" t="s">
        <v>74</v>
      </c>
      <c r="X805" s="1" t="s">
        <v>74</v>
      </c>
      <c r="Y805" s="1" t="s">
        <v>74</v>
      </c>
      <c r="Z805" s="1" t="s">
        <v>74</v>
      </c>
      <c r="AA805" s="1" t="s">
        <v>171</v>
      </c>
      <c r="AB805" s="1" t="s">
        <v>8111</v>
      </c>
      <c r="AC805" s="1" t="s">
        <v>74</v>
      </c>
      <c r="AD805" s="1" t="s">
        <v>74</v>
      </c>
      <c r="AE805" s="1" t="s">
        <v>74</v>
      </c>
      <c r="AF805" s="1" t="s">
        <v>74</v>
      </c>
      <c r="AG805" s="1" t="s">
        <v>74</v>
      </c>
      <c r="AH805" s="1" t="s">
        <v>74</v>
      </c>
      <c r="AI805" s="1" t="s">
        <v>74</v>
      </c>
      <c r="AJ805" s="1" t="s">
        <v>74</v>
      </c>
      <c r="AK805" s="1" t="s">
        <v>74</v>
      </c>
      <c r="AL805" s="1" t="s">
        <v>74</v>
      </c>
      <c r="AM805" s="1" t="s">
        <v>74</v>
      </c>
      <c r="AN805" s="1" t="s">
        <v>74</v>
      </c>
      <c r="AO805" s="1" t="s">
        <v>2190</v>
      </c>
      <c r="AP805" s="1" t="s">
        <v>2191</v>
      </c>
      <c r="AQ805" s="1" t="s">
        <v>74</v>
      </c>
      <c r="AR805" s="1" t="s">
        <v>74</v>
      </c>
      <c r="AS805" s="1" t="s">
        <v>74</v>
      </c>
      <c r="AT805" s="1" t="s">
        <v>1018</v>
      </c>
      <c r="AU805" s="1">
        <v>2006.0</v>
      </c>
      <c r="AV805" s="1">
        <v>74.0</v>
      </c>
      <c r="AW805" s="1">
        <v>4.0</v>
      </c>
      <c r="AX805" s="1" t="s">
        <v>74</v>
      </c>
      <c r="AY805" s="1" t="s">
        <v>74</v>
      </c>
      <c r="AZ805" s="1" t="s">
        <v>74</v>
      </c>
      <c r="BA805" s="1" t="s">
        <v>74</v>
      </c>
      <c r="BB805" s="1" t="s">
        <v>74</v>
      </c>
      <c r="BC805" s="1" t="s">
        <v>74</v>
      </c>
      <c r="BD805" s="1">
        <v>47701.0</v>
      </c>
      <c r="BE805" s="1" t="s">
        <v>8112</v>
      </c>
      <c r="BF805" s="2" t="str">
        <f>HYPERLINK("http://dx.doi.org/10.1103/PhysRevD.74.047701","http://dx.doi.org/10.1103/PhysRevD.74.047701")</f>
        <v>http://dx.doi.org/10.1103/PhysRevD.74.047701</v>
      </c>
      <c r="BG805" s="1" t="s">
        <v>74</v>
      </c>
      <c r="BH805" s="1" t="s">
        <v>74</v>
      </c>
      <c r="BI805" s="1" t="s">
        <v>74</v>
      </c>
      <c r="BJ805" s="1" t="s">
        <v>74</v>
      </c>
      <c r="BK805" s="1" t="s">
        <v>74</v>
      </c>
      <c r="BL805" s="1" t="s">
        <v>74</v>
      </c>
      <c r="BM805" s="1" t="s">
        <v>74</v>
      </c>
      <c r="BN805" s="1" t="s">
        <v>74</v>
      </c>
      <c r="BO805" s="1" t="s">
        <v>74</v>
      </c>
      <c r="BP805" s="1" t="s">
        <v>74</v>
      </c>
      <c r="BQ805" s="1" t="s">
        <v>74</v>
      </c>
      <c r="BR805" s="1" t="s">
        <v>74</v>
      </c>
      <c r="BS805" s="1" t="s">
        <v>8113</v>
      </c>
      <c r="BT805" s="1" t="str">
        <f>HYPERLINK("https%3A%2F%2Fwww.webofscience.com%2Fwos%2Fwoscc%2Ffull-record%2FWOS:000240239500133","View Full Record in Web of Science")</f>
        <v>View Full Record in Web of Science</v>
      </c>
    </row>
    <row r="806" ht="12.75" customHeight="1">
      <c r="A806" s="1" t="s">
        <v>72</v>
      </c>
      <c r="B806" s="1" t="s">
        <v>8114</v>
      </c>
      <c r="C806" s="1" t="s">
        <v>74</v>
      </c>
      <c r="D806" s="1" t="s">
        <v>74</v>
      </c>
      <c r="E806" s="1" t="s">
        <v>74</v>
      </c>
      <c r="F806" s="1" t="s">
        <v>8115</v>
      </c>
      <c r="G806" s="1" t="s">
        <v>74</v>
      </c>
      <c r="H806" s="1" t="s">
        <v>74</v>
      </c>
      <c r="I806" s="1" t="s">
        <v>8116</v>
      </c>
      <c r="J806" s="1" t="s">
        <v>8117</v>
      </c>
      <c r="K806" s="1" t="s">
        <v>74</v>
      </c>
      <c r="L806" s="1" t="s">
        <v>74</v>
      </c>
      <c r="M806" s="1" t="s">
        <v>74</v>
      </c>
      <c r="N806" s="1" t="s">
        <v>74</v>
      </c>
      <c r="O806" s="1" t="s">
        <v>74</v>
      </c>
      <c r="P806" s="1" t="s">
        <v>74</v>
      </c>
      <c r="Q806" s="1" t="s">
        <v>74</v>
      </c>
      <c r="R806" s="1" t="s">
        <v>74</v>
      </c>
      <c r="S806" s="1" t="s">
        <v>74</v>
      </c>
      <c r="T806" s="1" t="s">
        <v>74</v>
      </c>
      <c r="U806" s="1" t="s">
        <v>74</v>
      </c>
      <c r="V806" s="1" t="s">
        <v>8118</v>
      </c>
      <c r="W806" s="1" t="s">
        <v>74</v>
      </c>
      <c r="X806" s="1" t="s">
        <v>74</v>
      </c>
      <c r="Y806" s="1" t="s">
        <v>74</v>
      </c>
      <c r="Z806" s="1" t="s">
        <v>74</v>
      </c>
      <c r="AA806" s="1" t="s">
        <v>8119</v>
      </c>
      <c r="AB806" s="1" t="s">
        <v>8120</v>
      </c>
      <c r="AC806" s="1" t="s">
        <v>74</v>
      </c>
      <c r="AD806" s="1" t="s">
        <v>74</v>
      </c>
      <c r="AE806" s="1" t="s">
        <v>74</v>
      </c>
      <c r="AF806" s="1" t="s">
        <v>74</v>
      </c>
      <c r="AG806" s="1" t="s">
        <v>74</v>
      </c>
      <c r="AH806" s="1" t="s">
        <v>74</v>
      </c>
      <c r="AI806" s="1" t="s">
        <v>74</v>
      </c>
      <c r="AJ806" s="1" t="s">
        <v>74</v>
      </c>
      <c r="AK806" s="1" t="s">
        <v>74</v>
      </c>
      <c r="AL806" s="1" t="s">
        <v>74</v>
      </c>
      <c r="AM806" s="1" t="s">
        <v>74</v>
      </c>
      <c r="AN806" s="1" t="s">
        <v>74</v>
      </c>
      <c r="AO806" s="1" t="s">
        <v>8121</v>
      </c>
      <c r="AP806" s="1" t="s">
        <v>74</v>
      </c>
      <c r="AQ806" s="1" t="s">
        <v>74</v>
      </c>
      <c r="AR806" s="1" t="s">
        <v>74</v>
      </c>
      <c r="AS806" s="1" t="s">
        <v>74</v>
      </c>
      <c r="AT806" s="1" t="s">
        <v>1018</v>
      </c>
      <c r="AU806" s="1">
        <v>2006.0</v>
      </c>
      <c r="AV806" s="1">
        <v>24.0</v>
      </c>
      <c r="AW806" s="1">
        <v>4.0</v>
      </c>
      <c r="AX806" s="1" t="s">
        <v>74</v>
      </c>
      <c r="AY806" s="1" t="s">
        <v>74</v>
      </c>
      <c r="AZ806" s="1" t="s">
        <v>74</v>
      </c>
      <c r="BA806" s="1" t="s">
        <v>74</v>
      </c>
      <c r="BB806" s="1">
        <v>1209.0</v>
      </c>
      <c r="BC806" s="1">
        <v>1219.0</v>
      </c>
      <c r="BD806" s="1" t="s">
        <v>74</v>
      </c>
      <c r="BE806" s="1" t="s">
        <v>8122</v>
      </c>
      <c r="BF806" s="2" t="str">
        <f>HYPERLINK("http://dx.doi.org/10.1111/j.1460-9568.2006.04997.x","http://dx.doi.org/10.1111/j.1460-9568.2006.04997.x")</f>
        <v>http://dx.doi.org/10.1111/j.1460-9568.2006.04997.x</v>
      </c>
      <c r="BG806" s="1" t="s">
        <v>74</v>
      </c>
      <c r="BH806" s="1" t="s">
        <v>74</v>
      </c>
      <c r="BI806" s="1" t="s">
        <v>74</v>
      </c>
      <c r="BJ806" s="1" t="s">
        <v>74</v>
      </c>
      <c r="BK806" s="1" t="s">
        <v>74</v>
      </c>
      <c r="BL806" s="1" t="s">
        <v>74</v>
      </c>
      <c r="BM806" s="1" t="s">
        <v>74</v>
      </c>
      <c r="BN806" s="1">
        <v>1.6930446E7</v>
      </c>
      <c r="BO806" s="1" t="s">
        <v>74</v>
      </c>
      <c r="BP806" s="1" t="s">
        <v>74</v>
      </c>
      <c r="BQ806" s="1" t="s">
        <v>74</v>
      </c>
      <c r="BR806" s="1" t="s">
        <v>74</v>
      </c>
      <c r="BS806" s="1" t="s">
        <v>8123</v>
      </c>
      <c r="BT806" s="1" t="str">
        <f>HYPERLINK("https%3A%2F%2Fwww.webofscience.com%2Fwos%2Fwoscc%2Ffull-record%2FWOS:000239979800026","View Full Record in Web of Science")</f>
        <v>View Full Record in Web of Science</v>
      </c>
    </row>
    <row r="807" ht="12.75" customHeight="1">
      <c r="A807" s="1" t="s">
        <v>72</v>
      </c>
      <c r="B807" s="1" t="s">
        <v>8124</v>
      </c>
      <c r="C807" s="1" t="s">
        <v>74</v>
      </c>
      <c r="D807" s="1" t="s">
        <v>74</v>
      </c>
      <c r="E807" s="1" t="s">
        <v>74</v>
      </c>
      <c r="F807" s="1" t="s">
        <v>8124</v>
      </c>
      <c r="G807" s="1" t="s">
        <v>74</v>
      </c>
      <c r="H807" s="1" t="s">
        <v>74</v>
      </c>
      <c r="I807" s="1" t="s">
        <v>8125</v>
      </c>
      <c r="J807" s="1" t="s">
        <v>207</v>
      </c>
      <c r="K807" s="1" t="s">
        <v>74</v>
      </c>
      <c r="L807" s="1" t="s">
        <v>74</v>
      </c>
      <c r="M807" s="1" t="s">
        <v>74</v>
      </c>
      <c r="N807" s="1" t="s">
        <v>74</v>
      </c>
      <c r="O807" s="1" t="s">
        <v>74</v>
      </c>
      <c r="P807" s="1" t="s">
        <v>74</v>
      </c>
      <c r="Q807" s="1" t="s">
        <v>74</v>
      </c>
      <c r="R807" s="1" t="s">
        <v>74</v>
      </c>
      <c r="S807" s="1" t="s">
        <v>74</v>
      </c>
      <c r="T807" s="1" t="s">
        <v>74</v>
      </c>
      <c r="U807" s="1" t="s">
        <v>74</v>
      </c>
      <c r="V807" s="1" t="s">
        <v>8126</v>
      </c>
      <c r="W807" s="1" t="s">
        <v>74</v>
      </c>
      <c r="X807" s="1" t="s">
        <v>74</v>
      </c>
      <c r="Y807" s="1" t="s">
        <v>74</v>
      </c>
      <c r="Z807" s="1" t="s">
        <v>74</v>
      </c>
      <c r="AA807" s="1" t="s">
        <v>8127</v>
      </c>
      <c r="AB807" s="1" t="s">
        <v>8128</v>
      </c>
      <c r="AC807" s="1" t="s">
        <v>74</v>
      </c>
      <c r="AD807" s="1" t="s">
        <v>74</v>
      </c>
      <c r="AE807" s="1" t="s">
        <v>74</v>
      </c>
      <c r="AF807" s="1" t="s">
        <v>74</v>
      </c>
      <c r="AG807" s="1" t="s">
        <v>74</v>
      </c>
      <c r="AH807" s="1" t="s">
        <v>74</v>
      </c>
      <c r="AI807" s="1" t="s">
        <v>74</v>
      </c>
      <c r="AJ807" s="1" t="s">
        <v>74</v>
      </c>
      <c r="AK807" s="1" t="s">
        <v>74</v>
      </c>
      <c r="AL807" s="1" t="s">
        <v>74</v>
      </c>
      <c r="AM807" s="1" t="s">
        <v>74</v>
      </c>
      <c r="AN807" s="1" t="s">
        <v>74</v>
      </c>
      <c r="AO807" s="1" t="s">
        <v>211</v>
      </c>
      <c r="AP807" s="1" t="s">
        <v>74</v>
      </c>
      <c r="AQ807" s="1" t="s">
        <v>74</v>
      </c>
      <c r="AR807" s="1" t="s">
        <v>74</v>
      </c>
      <c r="AS807" s="1" t="s">
        <v>74</v>
      </c>
      <c r="AT807" s="1" t="s">
        <v>8129</v>
      </c>
      <c r="AU807" s="1">
        <v>2005.0</v>
      </c>
      <c r="AV807" s="1">
        <v>7.0</v>
      </c>
      <c r="AW807" s="1" t="s">
        <v>74</v>
      </c>
      <c r="AX807" s="1" t="s">
        <v>74</v>
      </c>
      <c r="AY807" s="1" t="s">
        <v>74</v>
      </c>
      <c r="AZ807" s="1" t="s">
        <v>74</v>
      </c>
      <c r="BA807" s="1" t="s">
        <v>74</v>
      </c>
      <c r="BB807" s="1" t="s">
        <v>74</v>
      </c>
      <c r="BC807" s="1" t="s">
        <v>74</v>
      </c>
      <c r="BD807" s="1">
        <v>145.0</v>
      </c>
      <c r="BE807" s="1" t="s">
        <v>8130</v>
      </c>
      <c r="BF807" s="2" t="str">
        <f>HYPERLINK("http://dx.doi.org/10.1088/1367-2630/7/1/145","http://dx.doi.org/10.1088/1367-2630/7/1/145")</f>
        <v>http://dx.doi.org/10.1088/1367-2630/7/1/145</v>
      </c>
      <c r="BG807" s="1" t="s">
        <v>74</v>
      </c>
      <c r="BH807" s="1" t="s">
        <v>74</v>
      </c>
      <c r="BI807" s="1" t="s">
        <v>74</v>
      </c>
      <c r="BJ807" s="1" t="s">
        <v>74</v>
      </c>
      <c r="BK807" s="1" t="s">
        <v>74</v>
      </c>
      <c r="BL807" s="1" t="s">
        <v>74</v>
      </c>
      <c r="BM807" s="1" t="s">
        <v>74</v>
      </c>
      <c r="BN807" s="1">
        <v>1.8239727E7</v>
      </c>
      <c r="BO807" s="1" t="s">
        <v>74</v>
      </c>
      <c r="BP807" s="1" t="s">
        <v>74</v>
      </c>
      <c r="BQ807" s="1" t="s">
        <v>74</v>
      </c>
      <c r="BR807" s="1" t="s">
        <v>74</v>
      </c>
      <c r="BS807" s="1" t="s">
        <v>8131</v>
      </c>
      <c r="BT807" s="1" t="str">
        <f>HYPERLINK("https%3A%2F%2Fwww.webofscience.com%2Fwos%2Fwoscc%2Ffull-record%2FWOS:000229836500002","View Full Record in Web of Science")</f>
        <v>View Full Record in Web of Science</v>
      </c>
    </row>
    <row r="808" ht="12.75" customHeight="1">
      <c r="A808" s="1" t="s">
        <v>1313</v>
      </c>
      <c r="B808" s="1" t="s">
        <v>8132</v>
      </c>
      <c r="C808" s="1" t="s">
        <v>74</v>
      </c>
      <c r="D808" s="1" t="s">
        <v>8133</v>
      </c>
      <c r="E808" s="1" t="s">
        <v>74</v>
      </c>
      <c r="F808" s="1" t="s">
        <v>8132</v>
      </c>
      <c r="G808" s="1" t="s">
        <v>74</v>
      </c>
      <c r="H808" s="1" t="s">
        <v>74</v>
      </c>
      <c r="I808" s="1" t="s">
        <v>8134</v>
      </c>
      <c r="J808" s="1" t="s">
        <v>8135</v>
      </c>
      <c r="K808" s="1" t="s">
        <v>8136</v>
      </c>
      <c r="L808" s="1" t="s">
        <v>74</v>
      </c>
      <c r="M808" s="1" t="s">
        <v>74</v>
      </c>
      <c r="N808" s="1" t="s">
        <v>74</v>
      </c>
      <c r="O808" s="1" t="s">
        <v>74</v>
      </c>
      <c r="P808" s="1" t="s">
        <v>74</v>
      </c>
      <c r="Q808" s="1" t="s">
        <v>74</v>
      </c>
      <c r="R808" s="1" t="s">
        <v>74</v>
      </c>
      <c r="S808" s="1" t="s">
        <v>74</v>
      </c>
      <c r="T808" s="1" t="s">
        <v>74</v>
      </c>
      <c r="U808" s="1" t="s">
        <v>74</v>
      </c>
      <c r="V808" s="1" t="s">
        <v>8137</v>
      </c>
      <c r="W808" s="1" t="s">
        <v>74</v>
      </c>
      <c r="X808" s="1" t="s">
        <v>74</v>
      </c>
      <c r="Y808" s="1" t="s">
        <v>74</v>
      </c>
      <c r="Z808" s="1" t="s">
        <v>74</v>
      </c>
      <c r="AA808" s="1" t="s">
        <v>8138</v>
      </c>
      <c r="AB808" s="1" t="s">
        <v>8139</v>
      </c>
      <c r="AC808" s="1" t="s">
        <v>74</v>
      </c>
      <c r="AD808" s="1" t="s">
        <v>74</v>
      </c>
      <c r="AE808" s="1" t="s">
        <v>74</v>
      </c>
      <c r="AF808" s="1" t="s">
        <v>74</v>
      </c>
      <c r="AG808" s="1" t="s">
        <v>74</v>
      </c>
      <c r="AH808" s="1" t="s">
        <v>74</v>
      </c>
      <c r="AI808" s="1" t="s">
        <v>74</v>
      </c>
      <c r="AJ808" s="1" t="s">
        <v>74</v>
      </c>
      <c r="AK808" s="1" t="s">
        <v>74</v>
      </c>
      <c r="AL808" s="1" t="s">
        <v>74</v>
      </c>
      <c r="AM808" s="1" t="s">
        <v>74</v>
      </c>
      <c r="AN808" s="1" t="s">
        <v>74</v>
      </c>
      <c r="AO808" s="1" t="s">
        <v>3149</v>
      </c>
      <c r="AP808" s="1" t="s">
        <v>74</v>
      </c>
      <c r="AQ808" s="1" t="s">
        <v>74</v>
      </c>
      <c r="AR808" s="1" t="s">
        <v>74</v>
      </c>
      <c r="AS808" s="1" t="s">
        <v>74</v>
      </c>
      <c r="AT808" s="1" t="s">
        <v>74</v>
      </c>
      <c r="AU808" s="1">
        <v>2005.0</v>
      </c>
      <c r="AV808" s="1">
        <v>36.0</v>
      </c>
      <c r="AW808" s="1">
        <v>12.0</v>
      </c>
      <c r="AX808" s="1" t="s">
        <v>74</v>
      </c>
      <c r="AY808" s="1" t="s">
        <v>74</v>
      </c>
      <c r="AZ808" s="1">
        <v>2005.0</v>
      </c>
      <c r="BA808" s="1" t="s">
        <v>74</v>
      </c>
      <c r="BB808" s="1">
        <v>2451.0</v>
      </c>
      <c r="BC808" s="1">
        <v>2454.0</v>
      </c>
      <c r="BD808" s="1" t="s">
        <v>74</v>
      </c>
      <c r="BE808" s="1" t="s">
        <v>8140</v>
      </c>
      <c r="BF808" s="2" t="str">
        <f>HYPERLINK("http://dx.doi.org/10.1016/j.asr.2003.09.073","http://dx.doi.org/10.1016/j.asr.2003.09.073")</f>
        <v>http://dx.doi.org/10.1016/j.asr.2003.09.073</v>
      </c>
      <c r="BG808" s="1" t="s">
        <v>74</v>
      </c>
      <c r="BH808" s="1" t="s">
        <v>74</v>
      </c>
      <c r="BI808" s="1" t="s">
        <v>74</v>
      </c>
      <c r="BJ808" s="1" t="s">
        <v>74</v>
      </c>
      <c r="BK808" s="1" t="s">
        <v>74</v>
      </c>
      <c r="BL808" s="1" t="s">
        <v>74</v>
      </c>
      <c r="BM808" s="1" t="s">
        <v>74</v>
      </c>
      <c r="BN808" s="1" t="s">
        <v>74</v>
      </c>
      <c r="BO808" s="1" t="s">
        <v>74</v>
      </c>
      <c r="BP808" s="1" t="s">
        <v>74</v>
      </c>
      <c r="BQ808" s="1" t="s">
        <v>74</v>
      </c>
      <c r="BR808" s="1" t="s">
        <v>74</v>
      </c>
      <c r="BS808" s="1" t="s">
        <v>8141</v>
      </c>
      <c r="BT808" s="1" t="str">
        <f>HYPERLINK("https%3A%2F%2Fwww.webofscience.com%2Fwos%2Fwoscc%2Ffull-record%2FWOS:000235183100037","View Full Record in Web of Science")</f>
        <v>View Full Record in Web of Science</v>
      </c>
    </row>
    <row r="809" ht="12.75" customHeight="1">
      <c r="A809" s="1" t="s">
        <v>72</v>
      </c>
      <c r="B809" s="1" t="s">
        <v>8142</v>
      </c>
      <c r="C809" s="1" t="s">
        <v>74</v>
      </c>
      <c r="D809" s="1" t="s">
        <v>74</v>
      </c>
      <c r="E809" s="1" t="s">
        <v>74</v>
      </c>
      <c r="F809" s="1" t="s">
        <v>8142</v>
      </c>
      <c r="G809" s="1" t="s">
        <v>74</v>
      </c>
      <c r="H809" s="1" t="s">
        <v>74</v>
      </c>
      <c r="I809" s="1" t="s">
        <v>8143</v>
      </c>
      <c r="J809" s="1" t="s">
        <v>1596</v>
      </c>
      <c r="K809" s="1" t="s">
        <v>74</v>
      </c>
      <c r="L809" s="1" t="s">
        <v>74</v>
      </c>
      <c r="M809" s="1" t="s">
        <v>74</v>
      </c>
      <c r="N809" s="1" t="s">
        <v>74</v>
      </c>
      <c r="O809" s="1" t="s">
        <v>74</v>
      </c>
      <c r="P809" s="1" t="s">
        <v>74</v>
      </c>
      <c r="Q809" s="1" t="s">
        <v>74</v>
      </c>
      <c r="R809" s="1" t="s">
        <v>74</v>
      </c>
      <c r="S809" s="1" t="s">
        <v>74</v>
      </c>
      <c r="T809" s="1" t="s">
        <v>74</v>
      </c>
      <c r="U809" s="1" t="s">
        <v>74</v>
      </c>
      <c r="V809" s="1" t="s">
        <v>8144</v>
      </c>
      <c r="W809" s="1" t="s">
        <v>74</v>
      </c>
      <c r="X809" s="1" t="s">
        <v>74</v>
      </c>
      <c r="Y809" s="1" t="s">
        <v>74</v>
      </c>
      <c r="Z809" s="1" t="s">
        <v>74</v>
      </c>
      <c r="AA809" s="1" t="s">
        <v>74</v>
      </c>
      <c r="AB809" s="1" t="s">
        <v>74</v>
      </c>
      <c r="AC809" s="1" t="s">
        <v>74</v>
      </c>
      <c r="AD809" s="1" t="s">
        <v>74</v>
      </c>
      <c r="AE809" s="1" t="s">
        <v>74</v>
      </c>
      <c r="AF809" s="1" t="s">
        <v>74</v>
      </c>
      <c r="AG809" s="1" t="s">
        <v>74</v>
      </c>
      <c r="AH809" s="1" t="s">
        <v>74</v>
      </c>
      <c r="AI809" s="1" t="s">
        <v>74</v>
      </c>
      <c r="AJ809" s="1" t="s">
        <v>74</v>
      </c>
      <c r="AK809" s="1" t="s">
        <v>74</v>
      </c>
      <c r="AL809" s="1" t="s">
        <v>74</v>
      </c>
      <c r="AM809" s="1" t="s">
        <v>74</v>
      </c>
      <c r="AN809" s="1" t="s">
        <v>74</v>
      </c>
      <c r="AO809" s="1" t="s">
        <v>8145</v>
      </c>
      <c r="AP809" s="1" t="s">
        <v>74</v>
      </c>
      <c r="AQ809" s="1" t="s">
        <v>74</v>
      </c>
      <c r="AR809" s="1" t="s">
        <v>74</v>
      </c>
      <c r="AS809" s="1" t="s">
        <v>74</v>
      </c>
      <c r="AT809" s="1" t="s">
        <v>1213</v>
      </c>
      <c r="AU809" s="1">
        <v>2004.0</v>
      </c>
      <c r="AV809" s="1">
        <v>49.0</v>
      </c>
      <c r="AW809" s="1">
        <v>1.0</v>
      </c>
      <c r="AX809" s="1" t="s">
        <v>74</v>
      </c>
      <c r="AY809" s="1" t="s">
        <v>74</v>
      </c>
      <c r="AZ809" s="1" t="s">
        <v>74</v>
      </c>
      <c r="BA809" s="1" t="s">
        <v>74</v>
      </c>
      <c r="BB809" s="1">
        <v>5.0</v>
      </c>
      <c r="BC809" s="1">
        <v>9.0</v>
      </c>
      <c r="BD809" s="1" t="s">
        <v>74</v>
      </c>
      <c r="BE809" s="1" t="s">
        <v>74</v>
      </c>
      <c r="BF809" s="1" t="s">
        <v>74</v>
      </c>
      <c r="BG809" s="1" t="s">
        <v>74</v>
      </c>
      <c r="BH809" s="1" t="s">
        <v>74</v>
      </c>
      <c r="BI809" s="1" t="s">
        <v>74</v>
      </c>
      <c r="BJ809" s="1" t="s">
        <v>74</v>
      </c>
      <c r="BK809" s="1" t="s">
        <v>74</v>
      </c>
      <c r="BL809" s="1" t="s">
        <v>74</v>
      </c>
      <c r="BM809" s="1" t="s">
        <v>74</v>
      </c>
      <c r="BN809" s="1" t="s">
        <v>74</v>
      </c>
      <c r="BO809" s="1" t="s">
        <v>74</v>
      </c>
      <c r="BP809" s="1" t="s">
        <v>74</v>
      </c>
      <c r="BQ809" s="1" t="s">
        <v>74</v>
      </c>
      <c r="BR809" s="1" t="s">
        <v>74</v>
      </c>
      <c r="BS809" s="1" t="s">
        <v>8146</v>
      </c>
      <c r="BT809" s="1" t="str">
        <f>HYPERLINK("https%3A%2F%2Fwww.webofscience.com%2Fwos%2Fwoscc%2Ffull-record%2FWOS:000189308600002","View Full Record in Web of Science")</f>
        <v>View Full Record in Web of Science</v>
      </c>
    </row>
    <row r="810" ht="12.75" customHeight="1">
      <c r="A810" s="1" t="s">
        <v>72</v>
      </c>
      <c r="B810" s="1" t="s">
        <v>8147</v>
      </c>
      <c r="C810" s="1" t="s">
        <v>74</v>
      </c>
      <c r="D810" s="1" t="s">
        <v>74</v>
      </c>
      <c r="E810" s="1" t="s">
        <v>74</v>
      </c>
      <c r="F810" s="1" t="s">
        <v>8147</v>
      </c>
      <c r="G810" s="1" t="s">
        <v>74</v>
      </c>
      <c r="H810" s="1" t="s">
        <v>74</v>
      </c>
      <c r="I810" s="1" t="s">
        <v>8148</v>
      </c>
      <c r="J810" s="1" t="s">
        <v>5521</v>
      </c>
      <c r="K810" s="1" t="s">
        <v>74</v>
      </c>
      <c r="L810" s="1" t="s">
        <v>74</v>
      </c>
      <c r="M810" s="1" t="s">
        <v>74</v>
      </c>
      <c r="N810" s="1" t="s">
        <v>74</v>
      </c>
      <c r="O810" s="1" t="s">
        <v>74</v>
      </c>
      <c r="P810" s="1" t="s">
        <v>74</v>
      </c>
      <c r="Q810" s="1" t="s">
        <v>74</v>
      </c>
      <c r="R810" s="1" t="s">
        <v>74</v>
      </c>
      <c r="S810" s="1" t="s">
        <v>74</v>
      </c>
      <c r="T810" s="1" t="s">
        <v>74</v>
      </c>
      <c r="U810" s="1" t="s">
        <v>74</v>
      </c>
      <c r="V810" s="1" t="s">
        <v>8149</v>
      </c>
      <c r="W810" s="1" t="s">
        <v>74</v>
      </c>
      <c r="X810" s="1" t="s">
        <v>74</v>
      </c>
      <c r="Y810" s="1" t="s">
        <v>74</v>
      </c>
      <c r="Z810" s="1" t="s">
        <v>74</v>
      </c>
      <c r="AA810" s="1" t="s">
        <v>8150</v>
      </c>
      <c r="AB810" s="1" t="s">
        <v>8151</v>
      </c>
      <c r="AC810" s="1" t="s">
        <v>74</v>
      </c>
      <c r="AD810" s="1" t="s">
        <v>74</v>
      </c>
      <c r="AE810" s="1" t="s">
        <v>74</v>
      </c>
      <c r="AF810" s="1" t="s">
        <v>74</v>
      </c>
      <c r="AG810" s="1" t="s">
        <v>74</v>
      </c>
      <c r="AH810" s="1" t="s">
        <v>74</v>
      </c>
      <c r="AI810" s="1" t="s">
        <v>74</v>
      </c>
      <c r="AJ810" s="1" t="s">
        <v>74</v>
      </c>
      <c r="AK810" s="1" t="s">
        <v>74</v>
      </c>
      <c r="AL810" s="1" t="s">
        <v>74</v>
      </c>
      <c r="AM810" s="1" t="s">
        <v>74</v>
      </c>
      <c r="AN810" s="1" t="s">
        <v>74</v>
      </c>
      <c r="AO810" s="1" t="s">
        <v>5523</v>
      </c>
      <c r="AP810" s="1" t="s">
        <v>5524</v>
      </c>
      <c r="AQ810" s="1" t="s">
        <v>74</v>
      </c>
      <c r="AR810" s="1" t="s">
        <v>74</v>
      </c>
      <c r="AS810" s="1" t="s">
        <v>74</v>
      </c>
      <c r="AT810" s="1" t="s">
        <v>74</v>
      </c>
      <c r="AU810" s="1">
        <v>2002.0</v>
      </c>
      <c r="AV810" s="1">
        <v>33.0</v>
      </c>
      <c r="AW810" s="1" t="s">
        <v>8152</v>
      </c>
      <c r="AX810" s="1" t="s">
        <v>74</v>
      </c>
      <c r="AY810" s="1" t="s">
        <v>74</v>
      </c>
      <c r="AZ810" s="1" t="s">
        <v>74</v>
      </c>
      <c r="BA810" s="1" t="s">
        <v>74</v>
      </c>
      <c r="BB810" s="1">
        <v>3663.0</v>
      </c>
      <c r="BC810" s="1">
        <v>3677.0</v>
      </c>
      <c r="BD810" s="1" t="s">
        <v>74</v>
      </c>
      <c r="BE810" s="1" t="s">
        <v>8153</v>
      </c>
      <c r="BF810" s="2" t="str">
        <f>HYPERLINK("http://dx.doi.org/10.1081/CSS-120015914","http://dx.doi.org/10.1081/CSS-120015914")</f>
        <v>http://dx.doi.org/10.1081/CSS-120015914</v>
      </c>
      <c r="BG810" s="1" t="s">
        <v>74</v>
      </c>
      <c r="BH810" s="1" t="s">
        <v>74</v>
      </c>
      <c r="BI810" s="1" t="s">
        <v>74</v>
      </c>
      <c r="BJ810" s="1" t="s">
        <v>74</v>
      </c>
      <c r="BK810" s="1" t="s">
        <v>74</v>
      </c>
      <c r="BL810" s="1" t="s">
        <v>74</v>
      </c>
      <c r="BM810" s="1" t="s">
        <v>74</v>
      </c>
      <c r="BN810" s="1" t="s">
        <v>74</v>
      </c>
      <c r="BO810" s="1" t="s">
        <v>74</v>
      </c>
      <c r="BP810" s="1" t="s">
        <v>74</v>
      </c>
      <c r="BQ810" s="1" t="s">
        <v>74</v>
      </c>
      <c r="BR810" s="1" t="s">
        <v>74</v>
      </c>
      <c r="BS810" s="1" t="s">
        <v>8154</v>
      </c>
      <c r="BT810" s="1" t="str">
        <f>HYPERLINK("https%3A%2F%2Fwww.webofscience.com%2Fwos%2Fwoscc%2Ffull-record%2FWOS:000179962000010","View Full Record in Web of Science")</f>
        <v>View Full Record in Web of Science</v>
      </c>
    </row>
    <row r="811" ht="12.75" customHeight="1">
      <c r="A811" s="1" t="s">
        <v>72</v>
      </c>
      <c r="B811" s="1" t="s">
        <v>8155</v>
      </c>
      <c r="C811" s="1" t="s">
        <v>74</v>
      </c>
      <c r="D811" s="1" t="s">
        <v>74</v>
      </c>
      <c r="E811" s="1" t="s">
        <v>74</v>
      </c>
      <c r="F811" s="1" t="s">
        <v>8155</v>
      </c>
      <c r="G811" s="1" t="s">
        <v>74</v>
      </c>
      <c r="H811" s="1" t="s">
        <v>74</v>
      </c>
      <c r="I811" s="1" t="s">
        <v>8156</v>
      </c>
      <c r="J811" s="1" t="s">
        <v>8157</v>
      </c>
      <c r="K811" s="1" t="s">
        <v>74</v>
      </c>
      <c r="L811" s="1" t="s">
        <v>74</v>
      </c>
      <c r="M811" s="1" t="s">
        <v>74</v>
      </c>
      <c r="N811" s="1" t="s">
        <v>74</v>
      </c>
      <c r="O811" s="1" t="s">
        <v>74</v>
      </c>
      <c r="P811" s="1" t="s">
        <v>74</v>
      </c>
      <c r="Q811" s="1" t="s">
        <v>74</v>
      </c>
      <c r="R811" s="1" t="s">
        <v>74</v>
      </c>
      <c r="S811" s="1" t="s">
        <v>74</v>
      </c>
      <c r="T811" s="1" t="s">
        <v>74</v>
      </c>
      <c r="U811" s="1" t="s">
        <v>74</v>
      </c>
      <c r="V811" s="1" t="s">
        <v>8158</v>
      </c>
      <c r="W811" s="1" t="s">
        <v>74</v>
      </c>
      <c r="X811" s="1" t="s">
        <v>74</v>
      </c>
      <c r="Y811" s="1" t="s">
        <v>74</v>
      </c>
      <c r="Z811" s="1" t="s">
        <v>74</v>
      </c>
      <c r="AA811" s="1" t="s">
        <v>8159</v>
      </c>
      <c r="AB811" s="1" t="s">
        <v>74</v>
      </c>
      <c r="AC811" s="1" t="s">
        <v>74</v>
      </c>
      <c r="AD811" s="1" t="s">
        <v>74</v>
      </c>
      <c r="AE811" s="1" t="s">
        <v>74</v>
      </c>
      <c r="AF811" s="1" t="s">
        <v>74</v>
      </c>
      <c r="AG811" s="1" t="s">
        <v>74</v>
      </c>
      <c r="AH811" s="1" t="s">
        <v>74</v>
      </c>
      <c r="AI811" s="1" t="s">
        <v>74</v>
      </c>
      <c r="AJ811" s="1" t="s">
        <v>74</v>
      </c>
      <c r="AK811" s="1" t="s">
        <v>74</v>
      </c>
      <c r="AL811" s="1" t="s">
        <v>74</v>
      </c>
      <c r="AM811" s="1" t="s">
        <v>74</v>
      </c>
      <c r="AN811" s="1" t="s">
        <v>74</v>
      </c>
      <c r="AO811" s="1" t="s">
        <v>8160</v>
      </c>
      <c r="AP811" s="1" t="s">
        <v>8161</v>
      </c>
      <c r="AQ811" s="1" t="s">
        <v>74</v>
      </c>
      <c r="AR811" s="1" t="s">
        <v>74</v>
      </c>
      <c r="AS811" s="1" t="s">
        <v>74</v>
      </c>
      <c r="AT811" s="1" t="s">
        <v>235</v>
      </c>
      <c r="AU811" s="1">
        <v>1997.0</v>
      </c>
      <c r="AV811" s="1">
        <v>25.0</v>
      </c>
      <c r="AW811" s="1">
        <v>3.0</v>
      </c>
      <c r="AX811" s="1" t="s">
        <v>74</v>
      </c>
      <c r="AY811" s="1" t="s">
        <v>74</v>
      </c>
      <c r="AZ811" s="1" t="s">
        <v>74</v>
      </c>
      <c r="BA811" s="1" t="s">
        <v>74</v>
      </c>
      <c r="BB811" s="1">
        <v>189.0</v>
      </c>
      <c r="BC811" s="1">
        <v>193.0</v>
      </c>
      <c r="BD811" s="1" t="s">
        <v>74</v>
      </c>
      <c r="BE811" s="1" t="s">
        <v>8162</v>
      </c>
      <c r="BF811" s="2" t="str">
        <f>HYPERLINK("http://dx.doi.org/10.1016/S0305-1978(96)00100-7","http://dx.doi.org/10.1016/S0305-1978(96)00100-7")</f>
        <v>http://dx.doi.org/10.1016/S0305-1978(96)00100-7</v>
      </c>
      <c r="BG811" s="1" t="s">
        <v>74</v>
      </c>
      <c r="BH811" s="1" t="s">
        <v>74</v>
      </c>
      <c r="BI811" s="1" t="s">
        <v>74</v>
      </c>
      <c r="BJ811" s="1" t="s">
        <v>74</v>
      </c>
      <c r="BK811" s="1" t="s">
        <v>74</v>
      </c>
      <c r="BL811" s="1" t="s">
        <v>74</v>
      </c>
      <c r="BM811" s="1" t="s">
        <v>74</v>
      </c>
      <c r="BN811" s="1" t="s">
        <v>74</v>
      </c>
      <c r="BO811" s="1" t="s">
        <v>74</v>
      </c>
      <c r="BP811" s="1" t="s">
        <v>74</v>
      </c>
      <c r="BQ811" s="1" t="s">
        <v>74</v>
      </c>
      <c r="BR811" s="1" t="s">
        <v>74</v>
      </c>
      <c r="BS811" s="1" t="s">
        <v>8163</v>
      </c>
      <c r="BT811" s="1" t="str">
        <f>HYPERLINK("https%3A%2F%2Fwww.webofscience.com%2Fwos%2Fwoscc%2Ffull-record%2FWOS:A1997XD14600001","View Full Record in Web of Science")</f>
        <v>View Full Record in Web of Science</v>
      </c>
    </row>
    <row r="812" ht="12.75" customHeight="1">
      <c r="A812" s="1" t="s">
        <v>72</v>
      </c>
      <c r="B812" s="1" t="s">
        <v>8164</v>
      </c>
      <c r="C812" s="1" t="s">
        <v>74</v>
      </c>
      <c r="D812" s="1" t="s">
        <v>74</v>
      </c>
      <c r="E812" s="1" t="s">
        <v>74</v>
      </c>
      <c r="F812" s="1" t="s">
        <v>8164</v>
      </c>
      <c r="G812" s="1" t="s">
        <v>74</v>
      </c>
      <c r="H812" s="1" t="s">
        <v>74</v>
      </c>
      <c r="I812" s="1" t="s">
        <v>8165</v>
      </c>
      <c r="J812" s="1" t="s">
        <v>8166</v>
      </c>
      <c r="K812" s="1" t="s">
        <v>74</v>
      </c>
      <c r="L812" s="1" t="s">
        <v>74</v>
      </c>
      <c r="M812" s="1" t="s">
        <v>74</v>
      </c>
      <c r="N812" s="1" t="s">
        <v>74</v>
      </c>
      <c r="O812" s="1" t="s">
        <v>74</v>
      </c>
      <c r="P812" s="1" t="s">
        <v>74</v>
      </c>
      <c r="Q812" s="1" t="s">
        <v>74</v>
      </c>
      <c r="R812" s="1" t="s">
        <v>74</v>
      </c>
      <c r="S812" s="1" t="s">
        <v>74</v>
      </c>
      <c r="T812" s="1" t="s">
        <v>74</v>
      </c>
      <c r="U812" s="1" t="s">
        <v>74</v>
      </c>
      <c r="V812" s="1" t="s">
        <v>8167</v>
      </c>
      <c r="W812" s="1" t="s">
        <v>74</v>
      </c>
      <c r="X812" s="1" t="s">
        <v>74</v>
      </c>
      <c r="Y812" s="1" t="s">
        <v>74</v>
      </c>
      <c r="Z812" s="1" t="s">
        <v>74</v>
      </c>
      <c r="AA812" s="1" t="s">
        <v>8168</v>
      </c>
      <c r="AB812" s="1" t="s">
        <v>8169</v>
      </c>
      <c r="AC812" s="1" t="s">
        <v>74</v>
      </c>
      <c r="AD812" s="1" t="s">
        <v>74</v>
      </c>
      <c r="AE812" s="1" t="s">
        <v>74</v>
      </c>
      <c r="AF812" s="1" t="s">
        <v>74</v>
      </c>
      <c r="AG812" s="1" t="s">
        <v>74</v>
      </c>
      <c r="AH812" s="1" t="s">
        <v>74</v>
      </c>
      <c r="AI812" s="1" t="s">
        <v>74</v>
      </c>
      <c r="AJ812" s="1" t="s">
        <v>74</v>
      </c>
      <c r="AK812" s="1" t="s">
        <v>74</v>
      </c>
      <c r="AL812" s="1" t="s">
        <v>74</v>
      </c>
      <c r="AM812" s="1" t="s">
        <v>74</v>
      </c>
      <c r="AN812" s="1" t="s">
        <v>74</v>
      </c>
      <c r="AO812" s="1" t="s">
        <v>8170</v>
      </c>
      <c r="AP812" s="1" t="s">
        <v>8171</v>
      </c>
      <c r="AQ812" s="1" t="s">
        <v>74</v>
      </c>
      <c r="AR812" s="1" t="s">
        <v>74</v>
      </c>
      <c r="AS812" s="1" t="s">
        <v>74</v>
      </c>
      <c r="AT812" s="1" t="s">
        <v>5710</v>
      </c>
      <c r="AU812" s="1">
        <v>1994.0</v>
      </c>
      <c r="AV812" s="1">
        <v>132.0</v>
      </c>
      <c r="AW812" s="1">
        <v>1.0</v>
      </c>
      <c r="AX812" s="1" t="s">
        <v>74</v>
      </c>
      <c r="AY812" s="1" t="s">
        <v>74</v>
      </c>
      <c r="AZ812" s="1" t="s">
        <v>74</v>
      </c>
      <c r="BA812" s="1" t="s">
        <v>74</v>
      </c>
      <c r="BB812" s="1">
        <v>81.0</v>
      </c>
      <c r="BC812" s="1">
        <v>90.0</v>
      </c>
      <c r="BD812" s="1" t="s">
        <v>74</v>
      </c>
      <c r="BE812" s="1" t="s">
        <v>8172</v>
      </c>
      <c r="BF812" s="2" t="str">
        <f>HYPERLINK("http://dx.doi.org/10.1007/BF00925677","http://dx.doi.org/10.1007/BF00925677")</f>
        <v>http://dx.doi.org/10.1007/BF00925677</v>
      </c>
      <c r="BG812" s="1" t="s">
        <v>74</v>
      </c>
      <c r="BH812" s="1" t="s">
        <v>74</v>
      </c>
      <c r="BI812" s="1" t="s">
        <v>74</v>
      </c>
      <c r="BJ812" s="1" t="s">
        <v>74</v>
      </c>
      <c r="BK812" s="1" t="s">
        <v>74</v>
      </c>
      <c r="BL812" s="1" t="s">
        <v>74</v>
      </c>
      <c r="BM812" s="1" t="s">
        <v>74</v>
      </c>
      <c r="BN812" s="1">
        <v>8078512.0</v>
      </c>
      <c r="BO812" s="1" t="s">
        <v>74</v>
      </c>
      <c r="BP812" s="1" t="s">
        <v>74</v>
      </c>
      <c r="BQ812" s="1" t="s">
        <v>74</v>
      </c>
      <c r="BR812" s="1" t="s">
        <v>74</v>
      </c>
      <c r="BS812" s="1" t="s">
        <v>8173</v>
      </c>
      <c r="BT812" s="1" t="str">
        <f>HYPERLINK("https%3A%2F%2Fwww.webofscience.com%2Fwos%2Fwoscc%2Ffull-record%2FWOS:A1994NT09400010","View Full Record in Web of Science")</f>
        <v>View Full Record in Web of Science</v>
      </c>
    </row>
    <row r="813" ht="12.75" customHeight="1">
      <c r="A813" s="1" t="s">
        <v>72</v>
      </c>
      <c r="B813" s="1" t="s">
        <v>8174</v>
      </c>
      <c r="C813" s="1" t="s">
        <v>74</v>
      </c>
      <c r="D813" s="1" t="s">
        <v>74</v>
      </c>
      <c r="E813" s="1" t="s">
        <v>74</v>
      </c>
      <c r="F813" s="1" t="s">
        <v>8175</v>
      </c>
      <c r="G813" s="1" t="s">
        <v>74</v>
      </c>
      <c r="H813" s="1" t="s">
        <v>74</v>
      </c>
      <c r="I813" s="1" t="s">
        <v>8176</v>
      </c>
      <c r="J813" s="1" t="s">
        <v>8177</v>
      </c>
      <c r="K813" s="1" t="s">
        <v>74</v>
      </c>
      <c r="L813" s="1" t="s">
        <v>74</v>
      </c>
      <c r="M813" s="1" t="s">
        <v>74</v>
      </c>
      <c r="N813" s="1" t="s">
        <v>74</v>
      </c>
      <c r="O813" s="1" t="s">
        <v>74</v>
      </c>
      <c r="P813" s="1" t="s">
        <v>74</v>
      </c>
      <c r="Q813" s="1" t="s">
        <v>74</v>
      </c>
      <c r="R813" s="1" t="s">
        <v>74</v>
      </c>
      <c r="S813" s="1" t="s">
        <v>74</v>
      </c>
      <c r="T813" s="1" t="s">
        <v>74</v>
      </c>
      <c r="U813" s="1" t="s">
        <v>74</v>
      </c>
      <c r="V813" s="1" t="s">
        <v>8178</v>
      </c>
      <c r="W813" s="1" t="s">
        <v>74</v>
      </c>
      <c r="X813" s="1" t="s">
        <v>74</v>
      </c>
      <c r="Y813" s="1" t="s">
        <v>74</v>
      </c>
      <c r="Z813" s="1" t="s">
        <v>74</v>
      </c>
      <c r="AA813" s="1" t="s">
        <v>8179</v>
      </c>
      <c r="AB813" s="1" t="s">
        <v>8180</v>
      </c>
      <c r="AC813" s="1" t="s">
        <v>74</v>
      </c>
      <c r="AD813" s="1" t="s">
        <v>74</v>
      </c>
      <c r="AE813" s="1" t="s">
        <v>74</v>
      </c>
      <c r="AF813" s="1" t="s">
        <v>74</v>
      </c>
      <c r="AG813" s="1" t="s">
        <v>74</v>
      </c>
      <c r="AH813" s="1" t="s">
        <v>74</v>
      </c>
      <c r="AI813" s="1" t="s">
        <v>74</v>
      </c>
      <c r="AJ813" s="1" t="s">
        <v>74</v>
      </c>
      <c r="AK813" s="1" t="s">
        <v>74</v>
      </c>
      <c r="AL813" s="1" t="s">
        <v>74</v>
      </c>
      <c r="AM813" s="1" t="s">
        <v>74</v>
      </c>
      <c r="AN813" s="1" t="s">
        <v>74</v>
      </c>
      <c r="AO813" s="1" t="s">
        <v>8181</v>
      </c>
      <c r="AP813" s="1" t="s">
        <v>8182</v>
      </c>
      <c r="AQ813" s="1" t="s">
        <v>74</v>
      </c>
      <c r="AR813" s="1" t="s">
        <v>74</v>
      </c>
      <c r="AS813" s="1" t="s">
        <v>74</v>
      </c>
      <c r="AT813" s="1" t="s">
        <v>111</v>
      </c>
      <c r="AU813" s="1">
        <v>2024.0</v>
      </c>
      <c r="AV813" s="1">
        <v>90.0</v>
      </c>
      <c r="AW813" s="1">
        <v>11.0</v>
      </c>
      <c r="AX813" s="1" t="s">
        <v>74</v>
      </c>
      <c r="AY813" s="1" t="s">
        <v>74</v>
      </c>
      <c r="AZ813" s="1" t="s">
        <v>74</v>
      </c>
      <c r="BA813" s="1" t="s">
        <v>74</v>
      </c>
      <c r="BB813" s="1">
        <v>3076.0</v>
      </c>
      <c r="BC813" s="1">
        <v>3110.0</v>
      </c>
      <c r="BD813" s="1" t="s">
        <v>74</v>
      </c>
      <c r="BE813" s="1" t="s">
        <v>8183</v>
      </c>
      <c r="BF813" s="2" t="str">
        <f>HYPERLINK("http://dx.doi.org/10.2166/wst.2024.384","http://dx.doi.org/10.2166/wst.2024.384")</f>
        <v>http://dx.doi.org/10.2166/wst.2024.384</v>
      </c>
      <c r="BG813" s="1" t="s">
        <v>74</v>
      </c>
      <c r="BH813" s="1" t="s">
        <v>3846</v>
      </c>
      <c r="BI813" s="1" t="s">
        <v>74</v>
      </c>
      <c r="BJ813" s="1" t="s">
        <v>74</v>
      </c>
      <c r="BK813" s="1" t="s">
        <v>74</v>
      </c>
      <c r="BL813" s="1" t="s">
        <v>74</v>
      </c>
      <c r="BM813" s="1" t="s">
        <v>74</v>
      </c>
      <c r="BN813" s="1">
        <v>3.967332E7</v>
      </c>
      <c r="BO813" s="1" t="s">
        <v>74</v>
      </c>
      <c r="BP813" s="1" t="s">
        <v>74</v>
      </c>
      <c r="BQ813" s="1" t="s">
        <v>74</v>
      </c>
      <c r="BR813" s="1" t="s">
        <v>74</v>
      </c>
      <c r="BS813" s="1" t="s">
        <v>8184</v>
      </c>
      <c r="BT813" s="1" t="str">
        <f>HYPERLINK("https%3A%2F%2Fwww.webofscience.com%2Fwos%2Fwoscc%2Ffull-record%2FWOS:001367028700001","View Full Record in Web of Science")</f>
        <v>View Full Record in Web of Science</v>
      </c>
    </row>
    <row r="814" ht="12.75" customHeight="1">
      <c r="A814" s="1" t="s">
        <v>72</v>
      </c>
      <c r="B814" s="1" t="s">
        <v>8185</v>
      </c>
      <c r="C814" s="1" t="s">
        <v>74</v>
      </c>
      <c r="D814" s="1" t="s">
        <v>74</v>
      </c>
      <c r="E814" s="1" t="s">
        <v>74</v>
      </c>
      <c r="F814" s="1" t="s">
        <v>8186</v>
      </c>
      <c r="G814" s="1" t="s">
        <v>74</v>
      </c>
      <c r="H814" s="1" t="s">
        <v>74</v>
      </c>
      <c r="I814" s="1" t="s">
        <v>8187</v>
      </c>
      <c r="J814" s="1" t="s">
        <v>8188</v>
      </c>
      <c r="K814" s="1" t="s">
        <v>74</v>
      </c>
      <c r="L814" s="1" t="s">
        <v>74</v>
      </c>
      <c r="M814" s="1" t="s">
        <v>74</v>
      </c>
      <c r="N814" s="1" t="s">
        <v>74</v>
      </c>
      <c r="O814" s="1" t="s">
        <v>74</v>
      </c>
      <c r="P814" s="1" t="s">
        <v>74</v>
      </c>
      <c r="Q814" s="1" t="s">
        <v>74</v>
      </c>
      <c r="R814" s="1" t="s">
        <v>74</v>
      </c>
      <c r="S814" s="1" t="s">
        <v>74</v>
      </c>
      <c r="T814" s="1" t="s">
        <v>74</v>
      </c>
      <c r="U814" s="1" t="s">
        <v>74</v>
      </c>
      <c r="V814" s="1" t="s">
        <v>8189</v>
      </c>
      <c r="W814" s="1" t="s">
        <v>74</v>
      </c>
      <c r="X814" s="1" t="s">
        <v>74</v>
      </c>
      <c r="Y814" s="1" t="s">
        <v>74</v>
      </c>
      <c r="Z814" s="1" t="s">
        <v>74</v>
      </c>
      <c r="AA814" s="1" t="s">
        <v>8190</v>
      </c>
      <c r="AB814" s="1" t="s">
        <v>8191</v>
      </c>
      <c r="AC814" s="1" t="s">
        <v>74</v>
      </c>
      <c r="AD814" s="1" t="s">
        <v>74</v>
      </c>
      <c r="AE814" s="1" t="s">
        <v>74</v>
      </c>
      <c r="AF814" s="1" t="s">
        <v>74</v>
      </c>
      <c r="AG814" s="1" t="s">
        <v>74</v>
      </c>
      <c r="AH814" s="1" t="s">
        <v>74</v>
      </c>
      <c r="AI814" s="1" t="s">
        <v>74</v>
      </c>
      <c r="AJ814" s="1" t="s">
        <v>74</v>
      </c>
      <c r="AK814" s="1" t="s">
        <v>74</v>
      </c>
      <c r="AL814" s="1" t="s">
        <v>74</v>
      </c>
      <c r="AM814" s="1" t="s">
        <v>74</v>
      </c>
      <c r="AN814" s="1" t="s">
        <v>74</v>
      </c>
      <c r="AO814" s="1" t="s">
        <v>8192</v>
      </c>
      <c r="AP814" s="1" t="s">
        <v>8193</v>
      </c>
      <c r="AQ814" s="1" t="s">
        <v>74</v>
      </c>
      <c r="AR814" s="1" t="s">
        <v>74</v>
      </c>
      <c r="AS814" s="1" t="s">
        <v>74</v>
      </c>
      <c r="AT814" s="1" t="s">
        <v>6639</v>
      </c>
      <c r="AU814" s="1">
        <v>2024.0</v>
      </c>
      <c r="AV814" s="1">
        <v>82.0</v>
      </c>
      <c r="AW814" s="1" t="s">
        <v>74</v>
      </c>
      <c r="AX814" s="1" t="s">
        <v>74</v>
      </c>
      <c r="AY814" s="1" t="s">
        <v>74</v>
      </c>
      <c r="AZ814" s="1" t="s">
        <v>74</v>
      </c>
      <c r="BA814" s="1" t="s">
        <v>74</v>
      </c>
      <c r="BB814" s="1">
        <v>65.0</v>
      </c>
      <c r="BC814" s="1">
        <v>74.0</v>
      </c>
      <c r="BD814" s="1" t="s">
        <v>74</v>
      </c>
      <c r="BE814" s="1" t="s">
        <v>8194</v>
      </c>
      <c r="BF814" s="2" t="str">
        <f>HYPERLINK("http://dx.doi.org/10.1016/j.nbt.2024.05.002","http://dx.doi.org/10.1016/j.nbt.2024.05.002")</f>
        <v>http://dx.doi.org/10.1016/j.nbt.2024.05.002</v>
      </c>
      <c r="BG814" s="1" t="s">
        <v>74</v>
      </c>
      <c r="BH814" s="1" t="s">
        <v>4774</v>
      </c>
      <c r="BI814" s="1" t="s">
        <v>74</v>
      </c>
      <c r="BJ814" s="1" t="s">
        <v>74</v>
      </c>
      <c r="BK814" s="1" t="s">
        <v>74</v>
      </c>
      <c r="BL814" s="1" t="s">
        <v>74</v>
      </c>
      <c r="BM814" s="1" t="s">
        <v>74</v>
      </c>
      <c r="BN814" s="1">
        <v>3.8750816E7</v>
      </c>
      <c r="BO814" s="1" t="s">
        <v>74</v>
      </c>
      <c r="BP814" s="1" t="s">
        <v>74</v>
      </c>
      <c r="BQ814" s="1" t="s">
        <v>74</v>
      </c>
      <c r="BR814" s="1" t="s">
        <v>74</v>
      </c>
      <c r="BS814" s="1" t="s">
        <v>8195</v>
      </c>
      <c r="BT814" s="1" t="str">
        <f>HYPERLINK("https%3A%2F%2Fwww.webofscience.com%2Fwos%2Fwoscc%2Ffull-record%2FWOS:001242584600001","View Full Record in Web of Science")</f>
        <v>View Full Record in Web of Science</v>
      </c>
    </row>
    <row r="815" ht="12.75" customHeight="1">
      <c r="A815" s="1" t="s">
        <v>72</v>
      </c>
      <c r="B815" s="1" t="s">
        <v>8196</v>
      </c>
      <c r="C815" s="1" t="s">
        <v>74</v>
      </c>
      <c r="D815" s="1" t="s">
        <v>74</v>
      </c>
      <c r="E815" s="1" t="s">
        <v>74</v>
      </c>
      <c r="F815" s="1" t="s">
        <v>8197</v>
      </c>
      <c r="G815" s="1" t="s">
        <v>74</v>
      </c>
      <c r="H815" s="1" t="s">
        <v>74</v>
      </c>
      <c r="I815" s="1" t="s">
        <v>8198</v>
      </c>
      <c r="J815" s="1" t="s">
        <v>8199</v>
      </c>
      <c r="K815" s="1" t="s">
        <v>74</v>
      </c>
      <c r="L815" s="1" t="s">
        <v>74</v>
      </c>
      <c r="M815" s="1" t="s">
        <v>74</v>
      </c>
      <c r="N815" s="1" t="s">
        <v>74</v>
      </c>
      <c r="O815" s="1" t="s">
        <v>74</v>
      </c>
      <c r="P815" s="1" t="s">
        <v>74</v>
      </c>
      <c r="Q815" s="1" t="s">
        <v>74</v>
      </c>
      <c r="R815" s="1" t="s">
        <v>74</v>
      </c>
      <c r="S815" s="1" t="s">
        <v>74</v>
      </c>
      <c r="T815" s="1" t="s">
        <v>74</v>
      </c>
      <c r="U815" s="1" t="s">
        <v>74</v>
      </c>
      <c r="V815" s="1" t="s">
        <v>8200</v>
      </c>
      <c r="W815" s="1" t="s">
        <v>74</v>
      </c>
      <c r="X815" s="1" t="s">
        <v>74</v>
      </c>
      <c r="Y815" s="1" t="s">
        <v>74</v>
      </c>
      <c r="Z815" s="1" t="s">
        <v>74</v>
      </c>
      <c r="AA815" s="1" t="s">
        <v>8201</v>
      </c>
      <c r="AB815" s="1" t="s">
        <v>8139</v>
      </c>
      <c r="AC815" s="1" t="s">
        <v>74</v>
      </c>
      <c r="AD815" s="1" t="s">
        <v>74</v>
      </c>
      <c r="AE815" s="1" t="s">
        <v>74</v>
      </c>
      <c r="AF815" s="1" t="s">
        <v>74</v>
      </c>
      <c r="AG815" s="1" t="s">
        <v>74</v>
      </c>
      <c r="AH815" s="1" t="s">
        <v>74</v>
      </c>
      <c r="AI815" s="1" t="s">
        <v>74</v>
      </c>
      <c r="AJ815" s="1" t="s">
        <v>74</v>
      </c>
      <c r="AK815" s="1" t="s">
        <v>74</v>
      </c>
      <c r="AL815" s="1" t="s">
        <v>74</v>
      </c>
      <c r="AM815" s="1" t="s">
        <v>74</v>
      </c>
      <c r="AN815" s="1" t="s">
        <v>74</v>
      </c>
      <c r="AO815" s="1" t="s">
        <v>8202</v>
      </c>
      <c r="AP815" s="1" t="s">
        <v>8203</v>
      </c>
      <c r="AQ815" s="1" t="s">
        <v>74</v>
      </c>
      <c r="AR815" s="1" t="s">
        <v>74</v>
      </c>
      <c r="AS815" s="1" t="s">
        <v>74</v>
      </c>
      <c r="AT815" s="1" t="s">
        <v>8204</v>
      </c>
      <c r="AU815" s="1">
        <v>2023.0</v>
      </c>
      <c r="AV815" s="1">
        <v>50.0</v>
      </c>
      <c r="AW815" s="1">
        <v>18.0</v>
      </c>
      <c r="AX815" s="1" t="s">
        <v>74</v>
      </c>
      <c r="AY815" s="1" t="s">
        <v>74</v>
      </c>
      <c r="AZ815" s="1" t="s">
        <v>74</v>
      </c>
      <c r="BA815" s="1" t="s">
        <v>74</v>
      </c>
      <c r="BB815" s="1" t="s">
        <v>74</v>
      </c>
      <c r="BC815" s="1" t="s">
        <v>74</v>
      </c>
      <c r="BD815" s="1" t="s">
        <v>8205</v>
      </c>
      <c r="BE815" s="1" t="s">
        <v>8206</v>
      </c>
      <c r="BF815" s="2" t="str">
        <f>HYPERLINK("http://dx.doi.org/10.1029/2023GL105190","http://dx.doi.org/10.1029/2023GL105190")</f>
        <v>http://dx.doi.org/10.1029/2023GL105190</v>
      </c>
      <c r="BG815" s="1" t="s">
        <v>74</v>
      </c>
      <c r="BH815" s="1" t="s">
        <v>74</v>
      </c>
      <c r="BI815" s="1" t="s">
        <v>74</v>
      </c>
      <c r="BJ815" s="1" t="s">
        <v>74</v>
      </c>
      <c r="BK815" s="1" t="s">
        <v>74</v>
      </c>
      <c r="BL815" s="1" t="s">
        <v>74</v>
      </c>
      <c r="BM815" s="1" t="s">
        <v>74</v>
      </c>
      <c r="BN815" s="1" t="s">
        <v>74</v>
      </c>
      <c r="BO815" s="1" t="s">
        <v>74</v>
      </c>
      <c r="BP815" s="1" t="s">
        <v>74</v>
      </c>
      <c r="BQ815" s="1" t="s">
        <v>74</v>
      </c>
      <c r="BR815" s="1" t="s">
        <v>74</v>
      </c>
      <c r="BS815" s="1" t="s">
        <v>8207</v>
      </c>
      <c r="BT815" s="1" t="str">
        <f>HYPERLINK("https%3A%2F%2Fwww.webofscience.com%2Fwos%2Fwoscc%2Ffull-record%2FWOS:001065338600001","View Full Record in Web of Science")</f>
        <v>View Full Record in Web of Science</v>
      </c>
    </row>
    <row r="816" ht="12.75" customHeight="1">
      <c r="A816" s="1" t="s">
        <v>72</v>
      </c>
      <c r="B816" s="1" t="s">
        <v>8208</v>
      </c>
      <c r="C816" s="1" t="s">
        <v>74</v>
      </c>
      <c r="D816" s="1" t="s">
        <v>74</v>
      </c>
      <c r="E816" s="1" t="s">
        <v>74</v>
      </c>
      <c r="F816" s="1" t="s">
        <v>8209</v>
      </c>
      <c r="G816" s="1" t="s">
        <v>74</v>
      </c>
      <c r="H816" s="1" t="s">
        <v>74</v>
      </c>
      <c r="I816" s="1" t="s">
        <v>8210</v>
      </c>
      <c r="J816" s="1" t="s">
        <v>3523</v>
      </c>
      <c r="K816" s="1" t="s">
        <v>74</v>
      </c>
      <c r="L816" s="1" t="s">
        <v>74</v>
      </c>
      <c r="M816" s="1" t="s">
        <v>74</v>
      </c>
      <c r="N816" s="1" t="s">
        <v>74</v>
      </c>
      <c r="O816" s="1" t="s">
        <v>74</v>
      </c>
      <c r="P816" s="1" t="s">
        <v>74</v>
      </c>
      <c r="Q816" s="1" t="s">
        <v>74</v>
      </c>
      <c r="R816" s="1" t="s">
        <v>74</v>
      </c>
      <c r="S816" s="1" t="s">
        <v>74</v>
      </c>
      <c r="T816" s="1" t="s">
        <v>74</v>
      </c>
      <c r="U816" s="1" t="s">
        <v>74</v>
      </c>
      <c r="V816" s="1" t="s">
        <v>8211</v>
      </c>
      <c r="W816" s="1" t="s">
        <v>74</v>
      </c>
      <c r="X816" s="1" t="s">
        <v>74</v>
      </c>
      <c r="Y816" s="1" t="s">
        <v>74</v>
      </c>
      <c r="Z816" s="1" t="s">
        <v>74</v>
      </c>
      <c r="AA816" s="1" t="s">
        <v>8212</v>
      </c>
      <c r="AB816" s="1" t="s">
        <v>8213</v>
      </c>
      <c r="AC816" s="1" t="s">
        <v>74</v>
      </c>
      <c r="AD816" s="1" t="s">
        <v>74</v>
      </c>
      <c r="AE816" s="1" t="s">
        <v>74</v>
      </c>
      <c r="AF816" s="1" t="s">
        <v>74</v>
      </c>
      <c r="AG816" s="1" t="s">
        <v>74</v>
      </c>
      <c r="AH816" s="1" t="s">
        <v>74</v>
      </c>
      <c r="AI816" s="1" t="s">
        <v>74</v>
      </c>
      <c r="AJ816" s="1" t="s">
        <v>74</v>
      </c>
      <c r="AK816" s="1" t="s">
        <v>74</v>
      </c>
      <c r="AL816" s="1" t="s">
        <v>74</v>
      </c>
      <c r="AM816" s="1" t="s">
        <v>74</v>
      </c>
      <c r="AN816" s="1" t="s">
        <v>74</v>
      </c>
      <c r="AO816" s="1" t="s">
        <v>3527</v>
      </c>
      <c r="AP816" s="1" t="s">
        <v>74</v>
      </c>
      <c r="AQ816" s="1" t="s">
        <v>74</v>
      </c>
      <c r="AR816" s="1" t="s">
        <v>74</v>
      </c>
      <c r="AS816" s="1" t="s">
        <v>74</v>
      </c>
      <c r="AT816" s="1" t="s">
        <v>74</v>
      </c>
      <c r="AU816" s="1">
        <v>2022.0</v>
      </c>
      <c r="AV816" s="1">
        <v>10.0</v>
      </c>
      <c r="AW816" s="1" t="s">
        <v>74</v>
      </c>
      <c r="AX816" s="1" t="s">
        <v>74</v>
      </c>
      <c r="AY816" s="1" t="s">
        <v>74</v>
      </c>
      <c r="AZ816" s="1" t="s">
        <v>74</v>
      </c>
      <c r="BA816" s="1" t="s">
        <v>74</v>
      </c>
      <c r="BB816" s="1">
        <v>61277.0</v>
      </c>
      <c r="BC816" s="1">
        <v>61325.0</v>
      </c>
      <c r="BD816" s="1" t="s">
        <v>74</v>
      </c>
      <c r="BE816" s="1" t="s">
        <v>8214</v>
      </c>
      <c r="BF816" s="2" t="str">
        <f>HYPERLINK("http://dx.doi.org/10.1109/ACCESS.2022.3180746","http://dx.doi.org/10.1109/ACCESS.2022.3180746")</f>
        <v>http://dx.doi.org/10.1109/ACCESS.2022.3180746</v>
      </c>
      <c r="BG816" s="1" t="s">
        <v>74</v>
      </c>
      <c r="BH816" s="1" t="s">
        <v>74</v>
      </c>
      <c r="BI816" s="1" t="s">
        <v>74</v>
      </c>
      <c r="BJ816" s="1" t="s">
        <v>74</v>
      </c>
      <c r="BK816" s="1" t="s">
        <v>74</v>
      </c>
      <c r="BL816" s="1" t="s">
        <v>74</v>
      </c>
      <c r="BM816" s="1" t="s">
        <v>74</v>
      </c>
      <c r="BN816" s="1" t="s">
        <v>74</v>
      </c>
      <c r="BO816" s="1" t="s">
        <v>74</v>
      </c>
      <c r="BP816" s="1" t="s">
        <v>74</v>
      </c>
      <c r="BQ816" s="1" t="s">
        <v>74</v>
      </c>
      <c r="BR816" s="1" t="s">
        <v>74</v>
      </c>
      <c r="BS816" s="1" t="s">
        <v>8215</v>
      </c>
      <c r="BT816" s="1" t="str">
        <f>HYPERLINK("https%3A%2F%2Fwww.webofscience.com%2Fwos%2Fwoscc%2Ffull-record%2FWOS:000811550800001","View Full Record in Web of Science")</f>
        <v>View Full Record in Web of Science</v>
      </c>
    </row>
    <row r="817" ht="12.75" customHeight="1">
      <c r="A817" s="1" t="s">
        <v>72</v>
      </c>
      <c r="B817" s="1" t="s">
        <v>8216</v>
      </c>
      <c r="C817" s="1" t="s">
        <v>74</v>
      </c>
      <c r="D817" s="1" t="s">
        <v>74</v>
      </c>
      <c r="E817" s="1" t="s">
        <v>74</v>
      </c>
      <c r="F817" s="1" t="s">
        <v>8217</v>
      </c>
      <c r="G817" s="1" t="s">
        <v>74</v>
      </c>
      <c r="H817" s="1" t="s">
        <v>74</v>
      </c>
      <c r="I817" s="1" t="s">
        <v>8218</v>
      </c>
      <c r="J817" s="1" t="s">
        <v>1775</v>
      </c>
      <c r="K817" s="1" t="s">
        <v>74</v>
      </c>
      <c r="L817" s="1" t="s">
        <v>74</v>
      </c>
      <c r="M817" s="1" t="s">
        <v>74</v>
      </c>
      <c r="N817" s="1" t="s">
        <v>74</v>
      </c>
      <c r="O817" s="1" t="s">
        <v>74</v>
      </c>
      <c r="P817" s="1" t="s">
        <v>74</v>
      </c>
      <c r="Q817" s="1" t="s">
        <v>74</v>
      </c>
      <c r="R817" s="1" t="s">
        <v>74</v>
      </c>
      <c r="S817" s="1" t="s">
        <v>74</v>
      </c>
      <c r="T817" s="1" t="s">
        <v>74</v>
      </c>
      <c r="U817" s="1" t="s">
        <v>74</v>
      </c>
      <c r="V817" s="1" t="s">
        <v>8219</v>
      </c>
      <c r="W817" s="1" t="s">
        <v>74</v>
      </c>
      <c r="X817" s="1" t="s">
        <v>74</v>
      </c>
      <c r="Y817" s="1" t="s">
        <v>74</v>
      </c>
      <c r="Z817" s="1" t="s">
        <v>74</v>
      </c>
      <c r="AA817" s="1" t="s">
        <v>8220</v>
      </c>
      <c r="AB817" s="1" t="s">
        <v>8221</v>
      </c>
      <c r="AC817" s="1" t="s">
        <v>74</v>
      </c>
      <c r="AD817" s="1" t="s">
        <v>74</v>
      </c>
      <c r="AE817" s="1" t="s">
        <v>74</v>
      </c>
      <c r="AF817" s="1" t="s">
        <v>74</v>
      </c>
      <c r="AG817" s="1" t="s">
        <v>74</v>
      </c>
      <c r="AH817" s="1" t="s">
        <v>74</v>
      </c>
      <c r="AI817" s="1" t="s">
        <v>74</v>
      </c>
      <c r="AJ817" s="1" t="s">
        <v>74</v>
      </c>
      <c r="AK817" s="1" t="s">
        <v>74</v>
      </c>
      <c r="AL817" s="1" t="s">
        <v>74</v>
      </c>
      <c r="AM817" s="1" t="s">
        <v>74</v>
      </c>
      <c r="AN817" s="1" t="s">
        <v>74</v>
      </c>
      <c r="AO817" s="1" t="s">
        <v>74</v>
      </c>
      <c r="AP817" s="1" t="s">
        <v>1779</v>
      </c>
      <c r="AQ817" s="1" t="s">
        <v>74</v>
      </c>
      <c r="AR817" s="1" t="s">
        <v>74</v>
      </c>
      <c r="AS817" s="1" t="s">
        <v>74</v>
      </c>
      <c r="AT817" s="1" t="s">
        <v>8222</v>
      </c>
      <c r="AU817" s="1">
        <v>2021.0</v>
      </c>
      <c r="AV817" s="1">
        <v>12.0</v>
      </c>
      <c r="AW817" s="1" t="s">
        <v>74</v>
      </c>
      <c r="AX817" s="1" t="s">
        <v>74</v>
      </c>
      <c r="AY817" s="1" t="s">
        <v>74</v>
      </c>
      <c r="AZ817" s="1" t="s">
        <v>74</v>
      </c>
      <c r="BA817" s="1" t="s">
        <v>74</v>
      </c>
      <c r="BB817" s="1" t="s">
        <v>74</v>
      </c>
      <c r="BC817" s="1" t="s">
        <v>74</v>
      </c>
      <c r="BD817" s="1">
        <v>713189.0</v>
      </c>
      <c r="BE817" s="1" t="s">
        <v>8223</v>
      </c>
      <c r="BF817" s="2" t="str">
        <f>HYPERLINK("http://dx.doi.org/10.3389/fmicb.2021.713189","http://dx.doi.org/10.3389/fmicb.2021.713189")</f>
        <v>http://dx.doi.org/10.3389/fmicb.2021.713189</v>
      </c>
      <c r="BG817" s="1" t="s">
        <v>74</v>
      </c>
      <c r="BH817" s="1" t="s">
        <v>74</v>
      </c>
      <c r="BI817" s="1" t="s">
        <v>74</v>
      </c>
      <c r="BJ817" s="1" t="s">
        <v>74</v>
      </c>
      <c r="BK817" s="1" t="s">
        <v>74</v>
      </c>
      <c r="BL817" s="1" t="s">
        <v>74</v>
      </c>
      <c r="BM817" s="1" t="s">
        <v>74</v>
      </c>
      <c r="BN817" s="1">
        <v>3.486784E7</v>
      </c>
      <c r="BO817" s="1" t="s">
        <v>74</v>
      </c>
      <c r="BP817" s="1" t="s">
        <v>74</v>
      </c>
      <c r="BQ817" s="1" t="s">
        <v>74</v>
      </c>
      <c r="BR817" s="1" t="s">
        <v>74</v>
      </c>
      <c r="BS817" s="1" t="s">
        <v>8224</v>
      </c>
      <c r="BT817" s="1" t="str">
        <f>HYPERLINK("https%3A%2F%2Fwww.webofscience.com%2Fwos%2Fwoscc%2Ffull-record%2FWOS:001027066400001","View Full Record in Web of Science")</f>
        <v>View Full Record in Web of Science</v>
      </c>
    </row>
    <row r="818" ht="12.75" customHeight="1">
      <c r="A818" s="1" t="s">
        <v>72</v>
      </c>
      <c r="B818" s="1" t="s">
        <v>8225</v>
      </c>
      <c r="C818" s="1" t="s">
        <v>74</v>
      </c>
      <c r="D818" s="1" t="s">
        <v>74</v>
      </c>
      <c r="E818" s="1" t="s">
        <v>74</v>
      </c>
      <c r="F818" s="1" t="s">
        <v>8226</v>
      </c>
      <c r="G818" s="1" t="s">
        <v>74</v>
      </c>
      <c r="H818" s="1" t="s">
        <v>74</v>
      </c>
      <c r="I818" s="1" t="s">
        <v>8227</v>
      </c>
      <c r="J818" s="1" t="s">
        <v>8228</v>
      </c>
      <c r="K818" s="1" t="s">
        <v>74</v>
      </c>
      <c r="L818" s="1" t="s">
        <v>74</v>
      </c>
      <c r="M818" s="1" t="s">
        <v>74</v>
      </c>
      <c r="N818" s="1" t="s">
        <v>74</v>
      </c>
      <c r="O818" s="1" t="s">
        <v>74</v>
      </c>
      <c r="P818" s="1" t="s">
        <v>74</v>
      </c>
      <c r="Q818" s="1" t="s">
        <v>74</v>
      </c>
      <c r="R818" s="1" t="s">
        <v>74</v>
      </c>
      <c r="S818" s="1" t="s">
        <v>74</v>
      </c>
      <c r="T818" s="1" t="s">
        <v>74</v>
      </c>
      <c r="U818" s="1" t="s">
        <v>74</v>
      </c>
      <c r="V818" s="1" t="s">
        <v>8229</v>
      </c>
      <c r="W818" s="1" t="s">
        <v>74</v>
      </c>
      <c r="X818" s="1" t="s">
        <v>74</v>
      </c>
      <c r="Y818" s="1" t="s">
        <v>74</v>
      </c>
      <c r="Z818" s="1" t="s">
        <v>74</v>
      </c>
      <c r="AA818" s="1" t="s">
        <v>8230</v>
      </c>
      <c r="AB818" s="1" t="s">
        <v>8231</v>
      </c>
      <c r="AC818" s="1" t="s">
        <v>74</v>
      </c>
      <c r="AD818" s="1" t="s">
        <v>74</v>
      </c>
      <c r="AE818" s="1" t="s">
        <v>74</v>
      </c>
      <c r="AF818" s="1" t="s">
        <v>74</v>
      </c>
      <c r="AG818" s="1" t="s">
        <v>74</v>
      </c>
      <c r="AH818" s="1" t="s">
        <v>74</v>
      </c>
      <c r="AI818" s="1" t="s">
        <v>74</v>
      </c>
      <c r="AJ818" s="1" t="s">
        <v>74</v>
      </c>
      <c r="AK818" s="1" t="s">
        <v>74</v>
      </c>
      <c r="AL818" s="1" t="s">
        <v>74</v>
      </c>
      <c r="AM818" s="1" t="s">
        <v>74</v>
      </c>
      <c r="AN818" s="1" t="s">
        <v>74</v>
      </c>
      <c r="AO818" s="1" t="s">
        <v>8232</v>
      </c>
      <c r="AP818" s="1" t="s">
        <v>8233</v>
      </c>
      <c r="AQ818" s="1" t="s">
        <v>74</v>
      </c>
      <c r="AR818" s="1" t="s">
        <v>74</v>
      </c>
      <c r="AS818" s="1" t="s">
        <v>74</v>
      </c>
      <c r="AT818" s="1" t="s">
        <v>3926</v>
      </c>
      <c r="AU818" s="1">
        <v>2021.0</v>
      </c>
      <c r="AV818" s="1">
        <v>604.0</v>
      </c>
      <c r="AW818" s="1" t="s">
        <v>74</v>
      </c>
      <c r="AX818" s="1" t="s">
        <v>74</v>
      </c>
      <c r="AY818" s="1" t="s">
        <v>74</v>
      </c>
      <c r="AZ818" s="1" t="s">
        <v>74</v>
      </c>
      <c r="BA818" s="1" t="s">
        <v>74</v>
      </c>
      <c r="BB818" s="1">
        <v>248.0</v>
      </c>
      <c r="BC818" s="1">
        <v>259.0</v>
      </c>
      <c r="BD818" s="1" t="s">
        <v>74</v>
      </c>
      <c r="BE818" s="1" t="s">
        <v>8234</v>
      </c>
      <c r="BF818" s="2" t="str">
        <f>HYPERLINK("http://dx.doi.org/10.1016/j.jcis.2021.06.101","http://dx.doi.org/10.1016/j.jcis.2021.06.101")</f>
        <v>http://dx.doi.org/10.1016/j.jcis.2021.06.101</v>
      </c>
      <c r="BG818" s="1" t="s">
        <v>74</v>
      </c>
      <c r="BH818" s="1" t="s">
        <v>3550</v>
      </c>
      <c r="BI818" s="1" t="s">
        <v>74</v>
      </c>
      <c r="BJ818" s="1" t="s">
        <v>74</v>
      </c>
      <c r="BK818" s="1" t="s">
        <v>74</v>
      </c>
      <c r="BL818" s="1" t="s">
        <v>74</v>
      </c>
      <c r="BM818" s="1" t="s">
        <v>74</v>
      </c>
      <c r="BN818" s="1">
        <v>3.4271487E7</v>
      </c>
      <c r="BO818" s="1" t="s">
        <v>74</v>
      </c>
      <c r="BP818" s="1" t="s">
        <v>74</v>
      </c>
      <c r="BQ818" s="1" t="s">
        <v>74</v>
      </c>
      <c r="BR818" s="1" t="s">
        <v>74</v>
      </c>
      <c r="BS818" s="1" t="s">
        <v>8235</v>
      </c>
      <c r="BT818" s="1" t="str">
        <f>HYPERLINK("https%3A%2F%2Fwww.webofscience.com%2Fwos%2Fwoscc%2Ffull-record%2FWOS:000704428600007","View Full Record in Web of Science")</f>
        <v>View Full Record in Web of Science</v>
      </c>
    </row>
    <row r="819" ht="12.75" customHeight="1">
      <c r="A819" s="1" t="s">
        <v>72</v>
      </c>
      <c r="B819" s="1" t="s">
        <v>8236</v>
      </c>
      <c r="C819" s="1" t="s">
        <v>74</v>
      </c>
      <c r="D819" s="1" t="s">
        <v>74</v>
      </c>
      <c r="E819" s="1" t="s">
        <v>74</v>
      </c>
      <c r="F819" s="1" t="s">
        <v>8237</v>
      </c>
      <c r="G819" s="1" t="s">
        <v>74</v>
      </c>
      <c r="H819" s="1" t="s">
        <v>74</v>
      </c>
      <c r="I819" s="1" t="s">
        <v>8238</v>
      </c>
      <c r="J819" s="1" t="s">
        <v>8239</v>
      </c>
      <c r="K819" s="1" t="s">
        <v>74</v>
      </c>
      <c r="L819" s="1" t="s">
        <v>74</v>
      </c>
      <c r="M819" s="1" t="s">
        <v>74</v>
      </c>
      <c r="N819" s="1" t="s">
        <v>74</v>
      </c>
      <c r="O819" s="1" t="s">
        <v>74</v>
      </c>
      <c r="P819" s="1" t="s">
        <v>74</v>
      </c>
      <c r="Q819" s="1" t="s">
        <v>74</v>
      </c>
      <c r="R819" s="1" t="s">
        <v>74</v>
      </c>
      <c r="S819" s="1" t="s">
        <v>74</v>
      </c>
      <c r="T819" s="1" t="s">
        <v>74</v>
      </c>
      <c r="U819" s="1" t="s">
        <v>74</v>
      </c>
      <c r="V819" s="1" t="s">
        <v>8240</v>
      </c>
      <c r="W819" s="1" t="s">
        <v>74</v>
      </c>
      <c r="X819" s="1" t="s">
        <v>74</v>
      </c>
      <c r="Y819" s="1" t="s">
        <v>74</v>
      </c>
      <c r="Z819" s="1" t="s">
        <v>74</v>
      </c>
      <c r="AA819" s="1" t="s">
        <v>8241</v>
      </c>
      <c r="AB819" s="1" t="s">
        <v>8242</v>
      </c>
      <c r="AC819" s="1" t="s">
        <v>74</v>
      </c>
      <c r="AD819" s="1" t="s">
        <v>74</v>
      </c>
      <c r="AE819" s="1" t="s">
        <v>74</v>
      </c>
      <c r="AF819" s="1" t="s">
        <v>74</v>
      </c>
      <c r="AG819" s="1" t="s">
        <v>74</v>
      </c>
      <c r="AH819" s="1" t="s">
        <v>74</v>
      </c>
      <c r="AI819" s="1" t="s">
        <v>74</v>
      </c>
      <c r="AJ819" s="1" t="s">
        <v>74</v>
      </c>
      <c r="AK819" s="1" t="s">
        <v>74</v>
      </c>
      <c r="AL819" s="1" t="s">
        <v>74</v>
      </c>
      <c r="AM819" s="1" t="s">
        <v>74</v>
      </c>
      <c r="AN819" s="1" t="s">
        <v>74</v>
      </c>
      <c r="AO819" s="1" t="s">
        <v>8243</v>
      </c>
      <c r="AP819" s="1" t="s">
        <v>8244</v>
      </c>
      <c r="AQ819" s="1" t="s">
        <v>74</v>
      </c>
      <c r="AR819" s="1" t="s">
        <v>74</v>
      </c>
      <c r="AS819" s="1" t="s">
        <v>74</v>
      </c>
      <c r="AT819" s="1" t="s">
        <v>485</v>
      </c>
      <c r="AU819" s="1">
        <v>2021.0</v>
      </c>
      <c r="AV819" s="1">
        <v>35.0</v>
      </c>
      <c r="AW819" s="1">
        <v>5.0</v>
      </c>
      <c r="AX819" s="1" t="s">
        <v>74</v>
      </c>
      <c r="AY819" s="1" t="s">
        <v>74</v>
      </c>
      <c r="AZ819" s="1" t="s">
        <v>74</v>
      </c>
      <c r="BA819" s="1" t="s">
        <v>74</v>
      </c>
      <c r="BB819" s="1">
        <v>748.0</v>
      </c>
      <c r="BC819" s="1">
        <v>768.0</v>
      </c>
      <c r="BD819" s="1" t="s">
        <v>74</v>
      </c>
      <c r="BE819" s="1" t="s">
        <v>8245</v>
      </c>
      <c r="BF819" s="2" t="str">
        <f>HYPERLINK("http://dx.doi.org/10.1002/acs.3225","http://dx.doi.org/10.1002/acs.3225")</f>
        <v>http://dx.doi.org/10.1002/acs.3225</v>
      </c>
      <c r="BG819" s="1" t="s">
        <v>74</v>
      </c>
      <c r="BH819" s="1" t="s">
        <v>2461</v>
      </c>
      <c r="BI819" s="1" t="s">
        <v>74</v>
      </c>
      <c r="BJ819" s="1" t="s">
        <v>74</v>
      </c>
      <c r="BK819" s="1" t="s">
        <v>74</v>
      </c>
      <c r="BL819" s="1" t="s">
        <v>74</v>
      </c>
      <c r="BM819" s="1" t="s">
        <v>74</v>
      </c>
      <c r="BN819" s="1" t="s">
        <v>74</v>
      </c>
      <c r="BO819" s="1" t="s">
        <v>74</v>
      </c>
      <c r="BP819" s="1" t="s">
        <v>74</v>
      </c>
      <c r="BQ819" s="1" t="s">
        <v>74</v>
      </c>
      <c r="BR819" s="1" t="s">
        <v>74</v>
      </c>
      <c r="BS819" s="1" t="s">
        <v>8246</v>
      </c>
      <c r="BT819" s="1" t="str">
        <f>HYPERLINK("https%3A%2F%2Fwww.webofscience.com%2Fwos%2Fwoscc%2Ffull-record%2FWOS:000629788500001","View Full Record in Web of Science")</f>
        <v>View Full Record in Web of Science</v>
      </c>
    </row>
    <row r="820" ht="12.75" customHeight="1">
      <c r="A820" s="1" t="s">
        <v>72</v>
      </c>
      <c r="B820" s="1" t="s">
        <v>8247</v>
      </c>
      <c r="C820" s="1" t="s">
        <v>74</v>
      </c>
      <c r="D820" s="1" t="s">
        <v>74</v>
      </c>
      <c r="E820" s="1" t="s">
        <v>74</v>
      </c>
      <c r="F820" s="1" t="s">
        <v>8248</v>
      </c>
      <c r="G820" s="1" t="s">
        <v>74</v>
      </c>
      <c r="H820" s="1" t="s">
        <v>74</v>
      </c>
      <c r="I820" s="1" t="s">
        <v>8249</v>
      </c>
      <c r="J820" s="1" t="s">
        <v>8250</v>
      </c>
      <c r="K820" s="1" t="s">
        <v>74</v>
      </c>
      <c r="L820" s="1" t="s">
        <v>74</v>
      </c>
      <c r="M820" s="1" t="s">
        <v>74</v>
      </c>
      <c r="N820" s="1" t="s">
        <v>74</v>
      </c>
      <c r="O820" s="1" t="s">
        <v>74</v>
      </c>
      <c r="P820" s="1" t="s">
        <v>74</v>
      </c>
      <c r="Q820" s="1" t="s">
        <v>74</v>
      </c>
      <c r="R820" s="1" t="s">
        <v>74</v>
      </c>
      <c r="S820" s="1" t="s">
        <v>74</v>
      </c>
      <c r="T820" s="1" t="s">
        <v>74</v>
      </c>
      <c r="U820" s="1" t="s">
        <v>74</v>
      </c>
      <c r="V820" s="1" t="s">
        <v>8251</v>
      </c>
      <c r="W820" s="1" t="s">
        <v>74</v>
      </c>
      <c r="X820" s="1" t="s">
        <v>74</v>
      </c>
      <c r="Y820" s="1" t="s">
        <v>74</v>
      </c>
      <c r="Z820" s="1" t="s">
        <v>74</v>
      </c>
      <c r="AA820" s="1" t="s">
        <v>8252</v>
      </c>
      <c r="AB820" s="1" t="s">
        <v>8253</v>
      </c>
      <c r="AC820" s="1" t="s">
        <v>74</v>
      </c>
      <c r="AD820" s="1" t="s">
        <v>74</v>
      </c>
      <c r="AE820" s="1" t="s">
        <v>74</v>
      </c>
      <c r="AF820" s="1" t="s">
        <v>74</v>
      </c>
      <c r="AG820" s="1" t="s">
        <v>74</v>
      </c>
      <c r="AH820" s="1" t="s">
        <v>74</v>
      </c>
      <c r="AI820" s="1" t="s">
        <v>74</v>
      </c>
      <c r="AJ820" s="1" t="s">
        <v>74</v>
      </c>
      <c r="AK820" s="1" t="s">
        <v>74</v>
      </c>
      <c r="AL820" s="1" t="s">
        <v>74</v>
      </c>
      <c r="AM820" s="1" t="s">
        <v>74</v>
      </c>
      <c r="AN820" s="1" t="s">
        <v>74</v>
      </c>
      <c r="AO820" s="1" t="s">
        <v>8254</v>
      </c>
      <c r="AP820" s="1" t="s">
        <v>8255</v>
      </c>
      <c r="AQ820" s="1" t="s">
        <v>74</v>
      </c>
      <c r="AR820" s="1" t="s">
        <v>74</v>
      </c>
      <c r="AS820" s="1" t="s">
        <v>74</v>
      </c>
      <c r="AT820" s="1" t="s">
        <v>939</v>
      </c>
      <c r="AU820" s="1">
        <v>2021.0</v>
      </c>
      <c r="AV820" s="1">
        <v>95.0</v>
      </c>
      <c r="AW820" s="1" t="s">
        <v>74</v>
      </c>
      <c r="AX820" s="1" t="s">
        <v>74</v>
      </c>
      <c r="AY820" s="1" t="s">
        <v>74</v>
      </c>
      <c r="AZ820" s="1" t="s">
        <v>74</v>
      </c>
      <c r="BA820" s="1" t="s">
        <v>74</v>
      </c>
      <c r="BB820" s="1" t="s">
        <v>74</v>
      </c>
      <c r="BC820" s="1" t="s">
        <v>74</v>
      </c>
      <c r="BD820" s="1">
        <v>103318.0</v>
      </c>
      <c r="BE820" s="1" t="s">
        <v>8256</v>
      </c>
      <c r="BF820" s="2" t="str">
        <f>HYPERLINK("http://dx.doi.org/10.1016/j.ejc.2021.103318","http://dx.doi.org/10.1016/j.ejc.2021.103318")</f>
        <v>http://dx.doi.org/10.1016/j.ejc.2021.103318</v>
      </c>
      <c r="BG820" s="1" t="s">
        <v>74</v>
      </c>
      <c r="BH820" s="1" t="s">
        <v>2461</v>
      </c>
      <c r="BI820" s="1" t="s">
        <v>74</v>
      </c>
      <c r="BJ820" s="1" t="s">
        <v>74</v>
      </c>
      <c r="BK820" s="1" t="s">
        <v>74</v>
      </c>
      <c r="BL820" s="1" t="s">
        <v>74</v>
      </c>
      <c r="BM820" s="1" t="s">
        <v>74</v>
      </c>
      <c r="BN820" s="1" t="s">
        <v>74</v>
      </c>
      <c r="BO820" s="1" t="s">
        <v>74</v>
      </c>
      <c r="BP820" s="1" t="s">
        <v>74</v>
      </c>
      <c r="BQ820" s="1" t="s">
        <v>74</v>
      </c>
      <c r="BR820" s="1" t="s">
        <v>74</v>
      </c>
      <c r="BS820" s="1" t="s">
        <v>8257</v>
      </c>
      <c r="BT820" s="1" t="str">
        <f>HYPERLINK("https%3A%2F%2Fwww.webofscience.com%2Fwos%2Fwoscc%2Ffull-record%2FWOS:000652025600013","View Full Record in Web of Science")</f>
        <v>View Full Record in Web of Science</v>
      </c>
    </row>
    <row r="821" ht="12.75" customHeight="1">
      <c r="A821" s="1" t="s">
        <v>72</v>
      </c>
      <c r="B821" s="1" t="s">
        <v>8258</v>
      </c>
      <c r="C821" s="1" t="s">
        <v>74</v>
      </c>
      <c r="D821" s="1" t="s">
        <v>74</v>
      </c>
      <c r="E821" s="1" t="s">
        <v>74</v>
      </c>
      <c r="F821" s="1" t="s">
        <v>8259</v>
      </c>
      <c r="G821" s="1" t="s">
        <v>74</v>
      </c>
      <c r="H821" s="1" t="s">
        <v>74</v>
      </c>
      <c r="I821" s="1" t="s">
        <v>8260</v>
      </c>
      <c r="J821" s="1" t="s">
        <v>6975</v>
      </c>
      <c r="K821" s="1" t="s">
        <v>74</v>
      </c>
      <c r="L821" s="1" t="s">
        <v>74</v>
      </c>
      <c r="M821" s="1" t="s">
        <v>74</v>
      </c>
      <c r="N821" s="1" t="s">
        <v>74</v>
      </c>
      <c r="O821" s="1" t="s">
        <v>74</v>
      </c>
      <c r="P821" s="1" t="s">
        <v>74</v>
      </c>
      <c r="Q821" s="1" t="s">
        <v>74</v>
      </c>
      <c r="R821" s="1" t="s">
        <v>74</v>
      </c>
      <c r="S821" s="1" t="s">
        <v>74</v>
      </c>
      <c r="T821" s="1" t="s">
        <v>74</v>
      </c>
      <c r="U821" s="1" t="s">
        <v>74</v>
      </c>
      <c r="V821" s="1" t="s">
        <v>8261</v>
      </c>
      <c r="W821" s="1" t="s">
        <v>74</v>
      </c>
      <c r="X821" s="1" t="s">
        <v>74</v>
      </c>
      <c r="Y821" s="1" t="s">
        <v>74</v>
      </c>
      <c r="Z821" s="1" t="s">
        <v>74</v>
      </c>
      <c r="AA821" s="1" t="s">
        <v>6977</v>
      </c>
      <c r="AB821" s="1" t="s">
        <v>8262</v>
      </c>
      <c r="AC821" s="1" t="s">
        <v>74</v>
      </c>
      <c r="AD821" s="1" t="s">
        <v>74</v>
      </c>
      <c r="AE821" s="1" t="s">
        <v>74</v>
      </c>
      <c r="AF821" s="1" t="s">
        <v>74</v>
      </c>
      <c r="AG821" s="1" t="s">
        <v>74</v>
      </c>
      <c r="AH821" s="1" t="s">
        <v>74</v>
      </c>
      <c r="AI821" s="1" t="s">
        <v>74</v>
      </c>
      <c r="AJ821" s="1" t="s">
        <v>74</v>
      </c>
      <c r="AK821" s="1" t="s">
        <v>74</v>
      </c>
      <c r="AL821" s="1" t="s">
        <v>74</v>
      </c>
      <c r="AM821" s="1" t="s">
        <v>74</v>
      </c>
      <c r="AN821" s="1" t="s">
        <v>74</v>
      </c>
      <c r="AO821" s="1" t="s">
        <v>6978</v>
      </c>
      <c r="AP821" s="1" t="s">
        <v>6979</v>
      </c>
      <c r="AQ821" s="1" t="s">
        <v>74</v>
      </c>
      <c r="AR821" s="1" t="s">
        <v>74</v>
      </c>
      <c r="AS821" s="1" t="s">
        <v>74</v>
      </c>
      <c r="AT821" s="1" t="s">
        <v>164</v>
      </c>
      <c r="AU821" s="1">
        <v>2021.0</v>
      </c>
      <c r="AV821" s="1">
        <v>59.0</v>
      </c>
      <c r="AW821" s="1">
        <v>4.0</v>
      </c>
      <c r="AX821" s="1" t="s">
        <v>74</v>
      </c>
      <c r="AY821" s="1" t="s">
        <v>74</v>
      </c>
      <c r="AZ821" s="1" t="s">
        <v>74</v>
      </c>
      <c r="BA821" s="1" t="s">
        <v>74</v>
      </c>
      <c r="BB821" s="1">
        <v>713.0</v>
      </c>
      <c r="BC821" s="1">
        <v>739.0</v>
      </c>
      <c r="BD821" s="1">
        <v>7.35633120969666E14</v>
      </c>
      <c r="BE821" s="1" t="s">
        <v>8263</v>
      </c>
      <c r="BF821" s="2" t="str">
        <f>HYPERLINK("http://dx.doi.org/10.1177/0735633120969666","http://dx.doi.org/10.1177/0735633120969666")</f>
        <v>http://dx.doi.org/10.1177/0735633120969666</v>
      </c>
      <c r="BG821" s="1" t="s">
        <v>74</v>
      </c>
      <c r="BH821" s="1" t="s">
        <v>8264</v>
      </c>
      <c r="BI821" s="1" t="s">
        <v>74</v>
      </c>
      <c r="BJ821" s="1" t="s">
        <v>74</v>
      </c>
      <c r="BK821" s="1" t="s">
        <v>74</v>
      </c>
      <c r="BL821" s="1" t="s">
        <v>74</v>
      </c>
      <c r="BM821" s="1" t="s">
        <v>74</v>
      </c>
      <c r="BN821" s="1" t="s">
        <v>74</v>
      </c>
      <c r="BO821" s="1" t="s">
        <v>74</v>
      </c>
      <c r="BP821" s="1" t="s">
        <v>74</v>
      </c>
      <c r="BQ821" s="1" t="s">
        <v>74</v>
      </c>
      <c r="BR821" s="1" t="s">
        <v>74</v>
      </c>
      <c r="BS821" s="1" t="s">
        <v>8265</v>
      </c>
      <c r="BT821" s="1" t="str">
        <f>HYPERLINK("https%3A%2F%2Fwww.webofscience.com%2Fwos%2Fwoscc%2Ffull-record%2FWOS:000600173600001","View Full Record in Web of Science")</f>
        <v>View Full Record in Web of Science</v>
      </c>
    </row>
    <row r="822" ht="12.75" customHeight="1">
      <c r="A822" s="1" t="s">
        <v>72</v>
      </c>
      <c r="B822" s="1" t="s">
        <v>8266</v>
      </c>
      <c r="C822" s="1" t="s">
        <v>74</v>
      </c>
      <c r="D822" s="1" t="s">
        <v>74</v>
      </c>
      <c r="E822" s="1" t="s">
        <v>74</v>
      </c>
      <c r="F822" s="1" t="s">
        <v>8267</v>
      </c>
      <c r="G822" s="1" t="s">
        <v>74</v>
      </c>
      <c r="H822" s="1" t="s">
        <v>74</v>
      </c>
      <c r="I822" s="1" t="s">
        <v>8268</v>
      </c>
      <c r="J822" s="1" t="s">
        <v>8269</v>
      </c>
      <c r="K822" s="1" t="s">
        <v>74</v>
      </c>
      <c r="L822" s="1" t="s">
        <v>74</v>
      </c>
      <c r="M822" s="1" t="s">
        <v>74</v>
      </c>
      <c r="N822" s="1" t="s">
        <v>74</v>
      </c>
      <c r="O822" s="1" t="s">
        <v>74</v>
      </c>
      <c r="P822" s="1" t="s">
        <v>74</v>
      </c>
      <c r="Q822" s="1" t="s">
        <v>74</v>
      </c>
      <c r="R822" s="1" t="s">
        <v>74</v>
      </c>
      <c r="S822" s="1" t="s">
        <v>74</v>
      </c>
      <c r="T822" s="1" t="s">
        <v>74</v>
      </c>
      <c r="U822" s="1" t="s">
        <v>74</v>
      </c>
      <c r="V822" s="1" t="s">
        <v>8270</v>
      </c>
      <c r="W822" s="1" t="s">
        <v>74</v>
      </c>
      <c r="X822" s="1" t="s">
        <v>74</v>
      </c>
      <c r="Y822" s="1" t="s">
        <v>74</v>
      </c>
      <c r="Z822" s="1" t="s">
        <v>74</v>
      </c>
      <c r="AA822" s="1" t="s">
        <v>8271</v>
      </c>
      <c r="AB822" s="1" t="s">
        <v>8272</v>
      </c>
      <c r="AC822" s="1" t="s">
        <v>74</v>
      </c>
      <c r="AD822" s="1" t="s">
        <v>74</v>
      </c>
      <c r="AE822" s="1" t="s">
        <v>74</v>
      </c>
      <c r="AF822" s="1" t="s">
        <v>74</v>
      </c>
      <c r="AG822" s="1" t="s">
        <v>74</v>
      </c>
      <c r="AH822" s="1" t="s">
        <v>74</v>
      </c>
      <c r="AI822" s="1" t="s">
        <v>74</v>
      </c>
      <c r="AJ822" s="1" t="s">
        <v>74</v>
      </c>
      <c r="AK822" s="1" t="s">
        <v>74</v>
      </c>
      <c r="AL822" s="1" t="s">
        <v>74</v>
      </c>
      <c r="AM822" s="1" t="s">
        <v>74</v>
      </c>
      <c r="AN822" s="1" t="s">
        <v>74</v>
      </c>
      <c r="AO822" s="1" t="s">
        <v>8273</v>
      </c>
      <c r="AP822" s="1" t="s">
        <v>8274</v>
      </c>
      <c r="AQ822" s="1" t="s">
        <v>74</v>
      </c>
      <c r="AR822" s="1" t="s">
        <v>74</v>
      </c>
      <c r="AS822" s="1" t="s">
        <v>74</v>
      </c>
      <c r="AT822" s="1" t="s">
        <v>74</v>
      </c>
      <c r="AU822" s="1">
        <v>2020.0</v>
      </c>
      <c r="AV822" s="1">
        <v>20.0</v>
      </c>
      <c r="AW822" s="1">
        <v>2.0</v>
      </c>
      <c r="AX822" s="1" t="s">
        <v>74</v>
      </c>
      <c r="AY822" s="1" t="s">
        <v>74</v>
      </c>
      <c r="AZ822" s="1" t="s">
        <v>74</v>
      </c>
      <c r="BA822" s="1" t="s">
        <v>74</v>
      </c>
      <c r="BB822" s="1">
        <v>24.0</v>
      </c>
      <c r="BC822" s="1">
        <v>32.0</v>
      </c>
      <c r="BD822" s="1" t="s">
        <v>74</v>
      </c>
      <c r="BE822" s="1" t="s">
        <v>8275</v>
      </c>
      <c r="BF822" s="2" t="str">
        <f>HYPERLINK("http://dx.doi.org/10.14589/ido.20.2.4","http://dx.doi.org/10.14589/ido.20.2.4")</f>
        <v>http://dx.doi.org/10.14589/ido.20.2.4</v>
      </c>
      <c r="BG822" s="1" t="s">
        <v>74</v>
      </c>
      <c r="BH822" s="1" t="s">
        <v>74</v>
      </c>
      <c r="BI822" s="1" t="s">
        <v>74</v>
      </c>
      <c r="BJ822" s="1" t="s">
        <v>74</v>
      </c>
      <c r="BK822" s="1" t="s">
        <v>74</v>
      </c>
      <c r="BL822" s="1" t="s">
        <v>74</v>
      </c>
      <c r="BM822" s="1" t="s">
        <v>74</v>
      </c>
      <c r="BN822" s="1" t="s">
        <v>74</v>
      </c>
      <c r="BO822" s="1" t="s">
        <v>74</v>
      </c>
      <c r="BP822" s="1" t="s">
        <v>74</v>
      </c>
      <c r="BQ822" s="1" t="s">
        <v>74</v>
      </c>
      <c r="BR822" s="1" t="s">
        <v>74</v>
      </c>
      <c r="BS822" s="1" t="s">
        <v>8276</v>
      </c>
      <c r="BT822" s="1" t="str">
        <f>HYPERLINK("https%3A%2F%2Fwww.webofscience.com%2Fwos%2Fwoscc%2Ffull-record%2FWOS:000523369400004","View Full Record in Web of Science")</f>
        <v>View Full Record in Web of Science</v>
      </c>
    </row>
    <row r="823" ht="12.75" customHeight="1">
      <c r="A823" s="1" t="s">
        <v>72</v>
      </c>
      <c r="B823" s="1" t="s">
        <v>8277</v>
      </c>
      <c r="C823" s="1" t="s">
        <v>74</v>
      </c>
      <c r="D823" s="1" t="s">
        <v>74</v>
      </c>
      <c r="E823" s="1" t="s">
        <v>74</v>
      </c>
      <c r="F823" s="1" t="s">
        <v>8278</v>
      </c>
      <c r="G823" s="1" t="s">
        <v>74</v>
      </c>
      <c r="H823" s="1" t="s">
        <v>74</v>
      </c>
      <c r="I823" s="1" t="s">
        <v>8279</v>
      </c>
      <c r="J823" s="1" t="s">
        <v>2114</v>
      </c>
      <c r="K823" s="1" t="s">
        <v>74</v>
      </c>
      <c r="L823" s="1" t="s">
        <v>74</v>
      </c>
      <c r="M823" s="1" t="s">
        <v>74</v>
      </c>
      <c r="N823" s="1" t="s">
        <v>74</v>
      </c>
      <c r="O823" s="1" t="s">
        <v>74</v>
      </c>
      <c r="P823" s="1" t="s">
        <v>74</v>
      </c>
      <c r="Q823" s="1" t="s">
        <v>74</v>
      </c>
      <c r="R823" s="1" t="s">
        <v>74</v>
      </c>
      <c r="S823" s="1" t="s">
        <v>74</v>
      </c>
      <c r="T823" s="1" t="s">
        <v>74</v>
      </c>
      <c r="U823" s="1" t="s">
        <v>74</v>
      </c>
      <c r="V823" s="1" t="s">
        <v>8280</v>
      </c>
      <c r="W823" s="1" t="s">
        <v>74</v>
      </c>
      <c r="X823" s="1" t="s">
        <v>74</v>
      </c>
      <c r="Y823" s="1" t="s">
        <v>74</v>
      </c>
      <c r="Z823" s="1" t="s">
        <v>74</v>
      </c>
      <c r="AA823" s="1" t="s">
        <v>8281</v>
      </c>
      <c r="AB823" s="1" t="s">
        <v>8282</v>
      </c>
      <c r="AC823" s="1" t="s">
        <v>74</v>
      </c>
      <c r="AD823" s="1" t="s">
        <v>74</v>
      </c>
      <c r="AE823" s="1" t="s">
        <v>74</v>
      </c>
      <c r="AF823" s="1" t="s">
        <v>74</v>
      </c>
      <c r="AG823" s="1" t="s">
        <v>74</v>
      </c>
      <c r="AH823" s="1" t="s">
        <v>74</v>
      </c>
      <c r="AI823" s="1" t="s">
        <v>74</v>
      </c>
      <c r="AJ823" s="1" t="s">
        <v>74</v>
      </c>
      <c r="AK823" s="1" t="s">
        <v>74</v>
      </c>
      <c r="AL823" s="1" t="s">
        <v>74</v>
      </c>
      <c r="AM823" s="1" t="s">
        <v>74</v>
      </c>
      <c r="AN823" s="1" t="s">
        <v>74</v>
      </c>
      <c r="AO823" s="1" t="s">
        <v>2117</v>
      </c>
      <c r="AP823" s="1" t="s">
        <v>74</v>
      </c>
      <c r="AQ823" s="1" t="s">
        <v>74</v>
      </c>
      <c r="AR823" s="1" t="s">
        <v>74</v>
      </c>
      <c r="AS823" s="1" t="s">
        <v>74</v>
      </c>
      <c r="AT823" s="1" t="s">
        <v>201</v>
      </c>
      <c r="AU823" s="1">
        <v>2019.0</v>
      </c>
      <c r="AV823" s="1" t="s">
        <v>74</v>
      </c>
      <c r="AW823" s="1">
        <v>10.0</v>
      </c>
      <c r="AX823" s="1" t="s">
        <v>74</v>
      </c>
      <c r="AY823" s="1" t="s">
        <v>74</v>
      </c>
      <c r="AZ823" s="1" t="s">
        <v>74</v>
      </c>
      <c r="BA823" s="1" t="s">
        <v>74</v>
      </c>
      <c r="BB823" s="1" t="s">
        <v>74</v>
      </c>
      <c r="BC823" s="1" t="s">
        <v>74</v>
      </c>
      <c r="BD823" s="1">
        <v>47.0</v>
      </c>
      <c r="BE823" s="1" t="s">
        <v>8283</v>
      </c>
      <c r="BF823" s="2" t="str">
        <f>HYPERLINK("http://dx.doi.org/10.1088/1475-7516/2019/10/047","http://dx.doi.org/10.1088/1475-7516/2019/10/047")</f>
        <v>http://dx.doi.org/10.1088/1475-7516/2019/10/047</v>
      </c>
      <c r="BG823" s="1" t="s">
        <v>74</v>
      </c>
      <c r="BH823" s="1" t="s">
        <v>74</v>
      </c>
      <c r="BI823" s="1" t="s">
        <v>74</v>
      </c>
      <c r="BJ823" s="1" t="s">
        <v>74</v>
      </c>
      <c r="BK823" s="1" t="s">
        <v>74</v>
      </c>
      <c r="BL823" s="1" t="s">
        <v>74</v>
      </c>
      <c r="BM823" s="1" t="s">
        <v>74</v>
      </c>
      <c r="BN823" s="1" t="s">
        <v>74</v>
      </c>
      <c r="BO823" s="1" t="s">
        <v>74</v>
      </c>
      <c r="BP823" s="1" t="s">
        <v>74</v>
      </c>
      <c r="BQ823" s="1" t="s">
        <v>74</v>
      </c>
      <c r="BR823" s="1" t="s">
        <v>74</v>
      </c>
      <c r="BS823" s="1" t="s">
        <v>8284</v>
      </c>
      <c r="BT823" s="1" t="str">
        <f>HYPERLINK("https%3A%2F%2Fwww.webofscience.com%2Fwos%2Fwoscc%2Ffull-record%2FWOS:000503491500015","View Full Record in Web of Science")</f>
        <v>View Full Record in Web of Science</v>
      </c>
    </row>
    <row r="824" ht="12.75" customHeight="1">
      <c r="A824" s="1" t="s">
        <v>72</v>
      </c>
      <c r="B824" s="1" t="s">
        <v>8285</v>
      </c>
      <c r="C824" s="1" t="s">
        <v>74</v>
      </c>
      <c r="D824" s="1" t="s">
        <v>74</v>
      </c>
      <c r="E824" s="1" t="s">
        <v>74</v>
      </c>
      <c r="F824" s="1" t="s">
        <v>8286</v>
      </c>
      <c r="G824" s="1" t="s">
        <v>74</v>
      </c>
      <c r="H824" s="1" t="s">
        <v>74</v>
      </c>
      <c r="I824" s="1" t="s">
        <v>8287</v>
      </c>
      <c r="J824" s="1" t="s">
        <v>6329</v>
      </c>
      <c r="K824" s="1" t="s">
        <v>74</v>
      </c>
      <c r="L824" s="1" t="s">
        <v>74</v>
      </c>
      <c r="M824" s="1" t="s">
        <v>74</v>
      </c>
      <c r="N824" s="1" t="s">
        <v>74</v>
      </c>
      <c r="O824" s="1" t="s">
        <v>74</v>
      </c>
      <c r="P824" s="1" t="s">
        <v>74</v>
      </c>
      <c r="Q824" s="1" t="s">
        <v>74</v>
      </c>
      <c r="R824" s="1" t="s">
        <v>74</v>
      </c>
      <c r="S824" s="1" t="s">
        <v>74</v>
      </c>
      <c r="T824" s="1" t="s">
        <v>74</v>
      </c>
      <c r="U824" s="1" t="s">
        <v>74</v>
      </c>
      <c r="V824" s="1" t="s">
        <v>8288</v>
      </c>
      <c r="W824" s="1" t="s">
        <v>74</v>
      </c>
      <c r="X824" s="1" t="s">
        <v>74</v>
      </c>
      <c r="Y824" s="1" t="s">
        <v>74</v>
      </c>
      <c r="Z824" s="1" t="s">
        <v>74</v>
      </c>
      <c r="AA824" s="1" t="s">
        <v>8289</v>
      </c>
      <c r="AB824" s="1" t="s">
        <v>8290</v>
      </c>
      <c r="AC824" s="1" t="s">
        <v>74</v>
      </c>
      <c r="AD824" s="1" t="s">
        <v>74</v>
      </c>
      <c r="AE824" s="1" t="s">
        <v>74</v>
      </c>
      <c r="AF824" s="1" t="s">
        <v>74</v>
      </c>
      <c r="AG824" s="1" t="s">
        <v>74</v>
      </c>
      <c r="AH824" s="1" t="s">
        <v>74</v>
      </c>
      <c r="AI824" s="1" t="s">
        <v>74</v>
      </c>
      <c r="AJ824" s="1" t="s">
        <v>74</v>
      </c>
      <c r="AK824" s="1" t="s">
        <v>74</v>
      </c>
      <c r="AL824" s="1" t="s">
        <v>74</v>
      </c>
      <c r="AM824" s="1" t="s">
        <v>74</v>
      </c>
      <c r="AN824" s="1" t="s">
        <v>74</v>
      </c>
      <c r="AO824" s="1" t="s">
        <v>6331</v>
      </c>
      <c r="AP824" s="1" t="s">
        <v>74</v>
      </c>
      <c r="AQ824" s="1" t="s">
        <v>74</v>
      </c>
      <c r="AR824" s="1" t="s">
        <v>74</v>
      </c>
      <c r="AS824" s="1" t="s">
        <v>74</v>
      </c>
      <c r="AT824" s="1" t="s">
        <v>1018</v>
      </c>
      <c r="AU824" s="1">
        <v>2019.0</v>
      </c>
      <c r="AV824" s="1">
        <v>16.0</v>
      </c>
      <c r="AW824" s="1" t="s">
        <v>74</v>
      </c>
      <c r="AX824" s="1" t="s">
        <v>74</v>
      </c>
      <c r="AY824" s="1" t="s">
        <v>74</v>
      </c>
      <c r="AZ824" s="1" t="s">
        <v>1416</v>
      </c>
      <c r="BA824" s="1" t="s">
        <v>74</v>
      </c>
      <c r="BB824" s="1">
        <v>42.0</v>
      </c>
      <c r="BC824" s="1">
        <v>49.0</v>
      </c>
      <c r="BD824" s="1" t="s">
        <v>74</v>
      </c>
      <c r="BE824" s="1" t="s">
        <v>8291</v>
      </c>
      <c r="BF824" s="2" t="str">
        <f>HYPERLINK("http://dx.doi.org/10.1016/j.coelec.2019.04.003","http://dx.doi.org/10.1016/j.coelec.2019.04.003")</f>
        <v>http://dx.doi.org/10.1016/j.coelec.2019.04.003</v>
      </c>
      <c r="BG824" s="1" t="s">
        <v>74</v>
      </c>
      <c r="BH824" s="1" t="s">
        <v>74</v>
      </c>
      <c r="BI824" s="1" t="s">
        <v>74</v>
      </c>
      <c r="BJ824" s="1" t="s">
        <v>74</v>
      </c>
      <c r="BK824" s="1" t="s">
        <v>74</v>
      </c>
      <c r="BL824" s="1" t="s">
        <v>74</v>
      </c>
      <c r="BM824" s="1" t="s">
        <v>74</v>
      </c>
      <c r="BN824" s="1" t="s">
        <v>74</v>
      </c>
      <c r="BO824" s="1" t="s">
        <v>74</v>
      </c>
      <c r="BP824" s="1" t="s">
        <v>74</v>
      </c>
      <c r="BQ824" s="1" t="s">
        <v>74</v>
      </c>
      <c r="BR824" s="1" t="s">
        <v>74</v>
      </c>
      <c r="BS824" s="1" t="s">
        <v>8292</v>
      </c>
      <c r="BT824" s="1" t="str">
        <f>HYPERLINK("https%3A%2F%2Fwww.webofscience.com%2Fwos%2Fwoscc%2Ffull-record%2FWOS:000485814400008","View Full Record in Web of Science")</f>
        <v>View Full Record in Web of Science</v>
      </c>
    </row>
    <row r="825" ht="12.75" customHeight="1">
      <c r="A825" s="1" t="s">
        <v>72</v>
      </c>
      <c r="B825" s="1" t="s">
        <v>4380</v>
      </c>
      <c r="C825" s="1" t="s">
        <v>74</v>
      </c>
      <c r="D825" s="1" t="s">
        <v>74</v>
      </c>
      <c r="E825" s="1" t="s">
        <v>74</v>
      </c>
      <c r="F825" s="1" t="s">
        <v>4381</v>
      </c>
      <c r="G825" s="1" t="s">
        <v>74</v>
      </c>
      <c r="H825" s="1" t="s">
        <v>74</v>
      </c>
      <c r="I825" s="1" t="s">
        <v>8293</v>
      </c>
      <c r="J825" s="1" t="s">
        <v>968</v>
      </c>
      <c r="K825" s="1" t="s">
        <v>74</v>
      </c>
      <c r="L825" s="1" t="s">
        <v>74</v>
      </c>
      <c r="M825" s="1" t="s">
        <v>74</v>
      </c>
      <c r="N825" s="1" t="s">
        <v>74</v>
      </c>
      <c r="O825" s="1" t="s">
        <v>74</v>
      </c>
      <c r="P825" s="1" t="s">
        <v>74</v>
      </c>
      <c r="Q825" s="1" t="s">
        <v>74</v>
      </c>
      <c r="R825" s="1" t="s">
        <v>74</v>
      </c>
      <c r="S825" s="1" t="s">
        <v>74</v>
      </c>
      <c r="T825" s="1" t="s">
        <v>74</v>
      </c>
      <c r="U825" s="1" t="s">
        <v>74</v>
      </c>
      <c r="V825" s="1" t="s">
        <v>8294</v>
      </c>
      <c r="W825" s="1" t="s">
        <v>74</v>
      </c>
      <c r="X825" s="1" t="s">
        <v>74</v>
      </c>
      <c r="Y825" s="1" t="s">
        <v>74</v>
      </c>
      <c r="Z825" s="1" t="s">
        <v>74</v>
      </c>
      <c r="AA825" s="1" t="s">
        <v>4385</v>
      </c>
      <c r="AB825" s="1" t="s">
        <v>8295</v>
      </c>
      <c r="AC825" s="1" t="s">
        <v>74</v>
      </c>
      <c r="AD825" s="1" t="s">
        <v>74</v>
      </c>
      <c r="AE825" s="1" t="s">
        <v>74</v>
      </c>
      <c r="AF825" s="1" t="s">
        <v>74</v>
      </c>
      <c r="AG825" s="1" t="s">
        <v>74</v>
      </c>
      <c r="AH825" s="1" t="s">
        <v>74</v>
      </c>
      <c r="AI825" s="1" t="s">
        <v>74</v>
      </c>
      <c r="AJ825" s="1" t="s">
        <v>74</v>
      </c>
      <c r="AK825" s="1" t="s">
        <v>74</v>
      </c>
      <c r="AL825" s="1" t="s">
        <v>74</v>
      </c>
      <c r="AM825" s="1" t="s">
        <v>74</v>
      </c>
      <c r="AN825" s="1" t="s">
        <v>74</v>
      </c>
      <c r="AO825" s="1" t="s">
        <v>972</v>
      </c>
      <c r="AP825" s="1" t="s">
        <v>74</v>
      </c>
      <c r="AQ825" s="1" t="s">
        <v>74</v>
      </c>
      <c r="AR825" s="1" t="s">
        <v>74</v>
      </c>
      <c r="AS825" s="1" t="s">
        <v>74</v>
      </c>
      <c r="AT825" s="1" t="s">
        <v>235</v>
      </c>
      <c r="AU825" s="1">
        <v>2018.0</v>
      </c>
      <c r="AV825" s="1">
        <v>6.0</v>
      </c>
      <c r="AW825" s="1">
        <v>4.0</v>
      </c>
      <c r="AX825" s="1" t="s">
        <v>74</v>
      </c>
      <c r="AY825" s="1" t="s">
        <v>74</v>
      </c>
      <c r="AZ825" s="1" t="s">
        <v>74</v>
      </c>
      <c r="BA825" s="1" t="s">
        <v>74</v>
      </c>
      <c r="BB825" s="1" t="s">
        <v>74</v>
      </c>
      <c r="BC825" s="1" t="s">
        <v>74</v>
      </c>
      <c r="BD825" s="1">
        <v>34.0</v>
      </c>
      <c r="BE825" s="1" t="s">
        <v>8296</v>
      </c>
      <c r="BF825" s="2" t="str">
        <f>HYPERLINK("http://dx.doi.org/10.3390/pr6040034","http://dx.doi.org/10.3390/pr6040034")</f>
        <v>http://dx.doi.org/10.3390/pr6040034</v>
      </c>
      <c r="BG825" s="1" t="s">
        <v>74</v>
      </c>
      <c r="BH825" s="1" t="s">
        <v>74</v>
      </c>
      <c r="BI825" s="1" t="s">
        <v>74</v>
      </c>
      <c r="BJ825" s="1" t="s">
        <v>74</v>
      </c>
      <c r="BK825" s="1" t="s">
        <v>74</v>
      </c>
      <c r="BL825" s="1" t="s">
        <v>74</v>
      </c>
      <c r="BM825" s="1" t="s">
        <v>74</v>
      </c>
      <c r="BN825" s="1" t="s">
        <v>74</v>
      </c>
      <c r="BO825" s="1" t="s">
        <v>74</v>
      </c>
      <c r="BP825" s="1" t="s">
        <v>74</v>
      </c>
      <c r="BQ825" s="1" t="s">
        <v>74</v>
      </c>
      <c r="BR825" s="1" t="s">
        <v>74</v>
      </c>
      <c r="BS825" s="1" t="s">
        <v>8297</v>
      </c>
      <c r="BT825" s="1" t="str">
        <f>HYPERLINK("https%3A%2F%2Fwww.webofscience.com%2Fwos%2Fwoscc%2Ffull-record%2FWOS:000435183300009","View Full Record in Web of Science")</f>
        <v>View Full Record in Web of Science</v>
      </c>
    </row>
    <row r="826" ht="12.75" customHeight="1">
      <c r="A826" s="1" t="s">
        <v>72</v>
      </c>
      <c r="B826" s="1" t="s">
        <v>8298</v>
      </c>
      <c r="C826" s="1" t="s">
        <v>74</v>
      </c>
      <c r="D826" s="1" t="s">
        <v>74</v>
      </c>
      <c r="E826" s="1" t="s">
        <v>74</v>
      </c>
      <c r="F826" s="1" t="s">
        <v>8299</v>
      </c>
      <c r="G826" s="1" t="s">
        <v>74</v>
      </c>
      <c r="H826" s="1" t="s">
        <v>74</v>
      </c>
      <c r="I826" s="1" t="s">
        <v>8300</v>
      </c>
      <c r="J826" s="1" t="s">
        <v>8301</v>
      </c>
      <c r="K826" s="1" t="s">
        <v>74</v>
      </c>
      <c r="L826" s="1" t="s">
        <v>74</v>
      </c>
      <c r="M826" s="1" t="s">
        <v>74</v>
      </c>
      <c r="N826" s="1" t="s">
        <v>74</v>
      </c>
      <c r="O826" s="1" t="s">
        <v>74</v>
      </c>
      <c r="P826" s="1" t="s">
        <v>74</v>
      </c>
      <c r="Q826" s="1" t="s">
        <v>74</v>
      </c>
      <c r="R826" s="1" t="s">
        <v>74</v>
      </c>
      <c r="S826" s="1" t="s">
        <v>74</v>
      </c>
      <c r="T826" s="1" t="s">
        <v>74</v>
      </c>
      <c r="U826" s="1" t="s">
        <v>74</v>
      </c>
      <c r="V826" s="1" t="s">
        <v>8302</v>
      </c>
      <c r="W826" s="1" t="s">
        <v>74</v>
      </c>
      <c r="X826" s="1" t="s">
        <v>74</v>
      </c>
      <c r="Y826" s="1" t="s">
        <v>74</v>
      </c>
      <c r="Z826" s="1" t="s">
        <v>74</v>
      </c>
      <c r="AA826" s="1" t="s">
        <v>8303</v>
      </c>
      <c r="AB826" s="1" t="s">
        <v>8304</v>
      </c>
      <c r="AC826" s="1" t="s">
        <v>74</v>
      </c>
      <c r="AD826" s="1" t="s">
        <v>74</v>
      </c>
      <c r="AE826" s="1" t="s">
        <v>74</v>
      </c>
      <c r="AF826" s="1" t="s">
        <v>74</v>
      </c>
      <c r="AG826" s="1" t="s">
        <v>74</v>
      </c>
      <c r="AH826" s="1" t="s">
        <v>74</v>
      </c>
      <c r="AI826" s="1" t="s">
        <v>74</v>
      </c>
      <c r="AJ826" s="1" t="s">
        <v>74</v>
      </c>
      <c r="AK826" s="1" t="s">
        <v>74</v>
      </c>
      <c r="AL826" s="1" t="s">
        <v>74</v>
      </c>
      <c r="AM826" s="1" t="s">
        <v>74</v>
      </c>
      <c r="AN826" s="1" t="s">
        <v>74</v>
      </c>
      <c r="AO826" s="1" t="s">
        <v>8305</v>
      </c>
      <c r="AP826" s="1" t="s">
        <v>8306</v>
      </c>
      <c r="AQ826" s="1" t="s">
        <v>74</v>
      </c>
      <c r="AR826" s="1" t="s">
        <v>74</v>
      </c>
      <c r="AS826" s="1" t="s">
        <v>74</v>
      </c>
      <c r="AT826" s="1" t="s">
        <v>939</v>
      </c>
      <c r="AU826" s="1">
        <v>2017.0</v>
      </c>
      <c r="AV826" s="1">
        <v>64.0</v>
      </c>
      <c r="AW826" s="1" t="s">
        <v>74</v>
      </c>
      <c r="AX826" s="1" t="s">
        <v>74</v>
      </c>
      <c r="AY826" s="1" t="s">
        <v>74</v>
      </c>
      <c r="AZ826" s="1" t="s">
        <v>74</v>
      </c>
      <c r="BA826" s="1" t="s">
        <v>74</v>
      </c>
      <c r="BB826" s="1">
        <v>7.0</v>
      </c>
      <c r="BC826" s="1">
        <v>14.0</v>
      </c>
      <c r="BD826" s="1" t="s">
        <v>74</v>
      </c>
      <c r="BE826" s="1" t="s">
        <v>8307</v>
      </c>
      <c r="BF826" s="2" t="str">
        <f>HYPERLINK("http://dx.doi.org/10.1016/j.fm.2016.11.017","http://dx.doi.org/10.1016/j.fm.2016.11.017")</f>
        <v>http://dx.doi.org/10.1016/j.fm.2016.11.017</v>
      </c>
      <c r="BG826" s="1" t="s">
        <v>74</v>
      </c>
      <c r="BH826" s="1" t="s">
        <v>74</v>
      </c>
      <c r="BI826" s="1" t="s">
        <v>74</v>
      </c>
      <c r="BJ826" s="1" t="s">
        <v>74</v>
      </c>
      <c r="BK826" s="1" t="s">
        <v>74</v>
      </c>
      <c r="BL826" s="1" t="s">
        <v>74</v>
      </c>
      <c r="BM826" s="1" t="s">
        <v>74</v>
      </c>
      <c r="BN826" s="1">
        <v>2.8213037E7</v>
      </c>
      <c r="BO826" s="1" t="s">
        <v>74</v>
      </c>
      <c r="BP826" s="1" t="s">
        <v>74</v>
      </c>
      <c r="BQ826" s="1" t="s">
        <v>74</v>
      </c>
      <c r="BR826" s="1" t="s">
        <v>74</v>
      </c>
      <c r="BS826" s="1" t="s">
        <v>8308</v>
      </c>
      <c r="BT826" s="1" t="str">
        <f>HYPERLINK("https%3A%2F%2Fwww.webofscience.com%2Fwos%2Fwoscc%2Ffull-record%2FWOS:000395842500002","View Full Record in Web of Science")</f>
        <v>View Full Record in Web of Science</v>
      </c>
    </row>
    <row r="827" ht="12.75" customHeight="1">
      <c r="A827" s="1" t="s">
        <v>72</v>
      </c>
      <c r="B827" s="1" t="s">
        <v>8309</v>
      </c>
      <c r="C827" s="1" t="s">
        <v>74</v>
      </c>
      <c r="D827" s="1" t="s">
        <v>74</v>
      </c>
      <c r="E827" s="1" t="s">
        <v>74</v>
      </c>
      <c r="F827" s="1" t="s">
        <v>8310</v>
      </c>
      <c r="G827" s="1" t="s">
        <v>74</v>
      </c>
      <c r="H827" s="1" t="s">
        <v>74</v>
      </c>
      <c r="I827" s="1" t="s">
        <v>8311</v>
      </c>
      <c r="J827" s="1" t="s">
        <v>8312</v>
      </c>
      <c r="K827" s="1" t="s">
        <v>74</v>
      </c>
      <c r="L827" s="1" t="s">
        <v>74</v>
      </c>
      <c r="M827" s="1" t="s">
        <v>74</v>
      </c>
      <c r="N827" s="1" t="s">
        <v>74</v>
      </c>
      <c r="O827" s="1" t="s">
        <v>74</v>
      </c>
      <c r="P827" s="1" t="s">
        <v>74</v>
      </c>
      <c r="Q827" s="1" t="s">
        <v>74</v>
      </c>
      <c r="R827" s="1" t="s">
        <v>74</v>
      </c>
      <c r="S827" s="1" t="s">
        <v>74</v>
      </c>
      <c r="T827" s="1" t="s">
        <v>74</v>
      </c>
      <c r="U827" s="1" t="s">
        <v>74</v>
      </c>
      <c r="V827" s="1" t="s">
        <v>8313</v>
      </c>
      <c r="W827" s="1" t="s">
        <v>74</v>
      </c>
      <c r="X827" s="1" t="s">
        <v>74</v>
      </c>
      <c r="Y827" s="1" t="s">
        <v>74</v>
      </c>
      <c r="Z827" s="1" t="s">
        <v>74</v>
      </c>
      <c r="AA827" s="1" t="s">
        <v>8314</v>
      </c>
      <c r="AB827" s="1" t="s">
        <v>8315</v>
      </c>
      <c r="AC827" s="1" t="s">
        <v>74</v>
      </c>
      <c r="AD827" s="1" t="s">
        <v>74</v>
      </c>
      <c r="AE827" s="1" t="s">
        <v>74</v>
      </c>
      <c r="AF827" s="1" t="s">
        <v>74</v>
      </c>
      <c r="AG827" s="1" t="s">
        <v>74</v>
      </c>
      <c r="AH827" s="1" t="s">
        <v>74</v>
      </c>
      <c r="AI827" s="1" t="s">
        <v>74</v>
      </c>
      <c r="AJ827" s="1" t="s">
        <v>74</v>
      </c>
      <c r="AK827" s="1" t="s">
        <v>74</v>
      </c>
      <c r="AL827" s="1" t="s">
        <v>74</v>
      </c>
      <c r="AM827" s="1" t="s">
        <v>74</v>
      </c>
      <c r="AN827" s="1" t="s">
        <v>74</v>
      </c>
      <c r="AO827" s="1" t="s">
        <v>8316</v>
      </c>
      <c r="AP827" s="1" t="s">
        <v>8317</v>
      </c>
      <c r="AQ827" s="1" t="s">
        <v>74</v>
      </c>
      <c r="AR827" s="1" t="s">
        <v>74</v>
      </c>
      <c r="AS827" s="1" t="s">
        <v>74</v>
      </c>
      <c r="AT827" s="1" t="s">
        <v>318</v>
      </c>
      <c r="AU827" s="1">
        <v>2017.0</v>
      </c>
      <c r="AV827" s="1">
        <v>23.0</v>
      </c>
      <c r="AW827" s="1">
        <v>12.0</v>
      </c>
      <c r="AX827" s="1" t="s">
        <v>74</v>
      </c>
      <c r="AY827" s="1" t="s">
        <v>74</v>
      </c>
      <c r="AZ827" s="1" t="s">
        <v>74</v>
      </c>
      <c r="BA827" s="1" t="s">
        <v>74</v>
      </c>
      <c r="BB827" s="1">
        <v>2867.0</v>
      </c>
      <c r="BC827" s="1">
        <v>2876.0</v>
      </c>
      <c r="BD827" s="1" t="s">
        <v>74</v>
      </c>
      <c r="BE827" s="1" t="s">
        <v>8318</v>
      </c>
      <c r="BF827" s="2" t="str">
        <f>HYPERLINK("http://dx.doi.org/10.1002/chem.201605064","http://dx.doi.org/10.1002/chem.201605064")</f>
        <v>http://dx.doi.org/10.1002/chem.201605064</v>
      </c>
      <c r="BG827" s="1" t="s">
        <v>74</v>
      </c>
      <c r="BH827" s="1" t="s">
        <v>74</v>
      </c>
      <c r="BI827" s="1" t="s">
        <v>74</v>
      </c>
      <c r="BJ827" s="1" t="s">
        <v>74</v>
      </c>
      <c r="BK827" s="1" t="s">
        <v>74</v>
      </c>
      <c r="BL827" s="1" t="s">
        <v>74</v>
      </c>
      <c r="BM827" s="1" t="s">
        <v>74</v>
      </c>
      <c r="BN827" s="1">
        <v>2.7992673E7</v>
      </c>
      <c r="BO827" s="1" t="s">
        <v>74</v>
      </c>
      <c r="BP827" s="1" t="s">
        <v>74</v>
      </c>
      <c r="BQ827" s="1" t="s">
        <v>74</v>
      </c>
      <c r="BR827" s="1" t="s">
        <v>74</v>
      </c>
      <c r="BS827" s="1" t="s">
        <v>8319</v>
      </c>
      <c r="BT827" s="1" t="str">
        <f>HYPERLINK("https%3A%2F%2Fwww.webofscience.com%2Fwos%2Fwoscc%2Ffull-record%2FWOS:000395774300019","View Full Record in Web of Science")</f>
        <v>View Full Record in Web of Science</v>
      </c>
    </row>
    <row r="828" ht="12.75" customHeight="1">
      <c r="A828" s="1" t="s">
        <v>72</v>
      </c>
      <c r="B828" s="1" t="s">
        <v>8320</v>
      </c>
      <c r="C828" s="1" t="s">
        <v>74</v>
      </c>
      <c r="D828" s="1" t="s">
        <v>74</v>
      </c>
      <c r="E828" s="1" t="s">
        <v>74</v>
      </c>
      <c r="F828" s="1" t="s">
        <v>8321</v>
      </c>
      <c r="G828" s="1" t="s">
        <v>74</v>
      </c>
      <c r="H828" s="1" t="s">
        <v>74</v>
      </c>
      <c r="I828" s="1" t="s">
        <v>8322</v>
      </c>
      <c r="J828" s="1" t="s">
        <v>8323</v>
      </c>
      <c r="K828" s="1" t="s">
        <v>74</v>
      </c>
      <c r="L828" s="1" t="s">
        <v>74</v>
      </c>
      <c r="M828" s="1" t="s">
        <v>74</v>
      </c>
      <c r="N828" s="1" t="s">
        <v>74</v>
      </c>
      <c r="O828" s="1" t="s">
        <v>8324</v>
      </c>
      <c r="P828" s="1" t="s">
        <v>8325</v>
      </c>
      <c r="Q828" s="1" t="s">
        <v>8326</v>
      </c>
      <c r="R828" s="1" t="s">
        <v>8327</v>
      </c>
      <c r="S828" s="1" t="s">
        <v>74</v>
      </c>
      <c r="T828" s="1" t="s">
        <v>74</v>
      </c>
      <c r="U828" s="1" t="s">
        <v>74</v>
      </c>
      <c r="V828" s="1" t="s">
        <v>74</v>
      </c>
      <c r="W828" s="1" t="s">
        <v>74</v>
      </c>
      <c r="X828" s="1" t="s">
        <v>74</v>
      </c>
      <c r="Y828" s="1" t="s">
        <v>74</v>
      </c>
      <c r="Z828" s="1" t="s">
        <v>74</v>
      </c>
      <c r="AA828" s="1" t="s">
        <v>8328</v>
      </c>
      <c r="AB828" s="1" t="s">
        <v>74</v>
      </c>
      <c r="AC828" s="1" t="s">
        <v>74</v>
      </c>
      <c r="AD828" s="1" t="s">
        <v>74</v>
      </c>
      <c r="AE828" s="1" t="s">
        <v>74</v>
      </c>
      <c r="AF828" s="1" t="s">
        <v>74</v>
      </c>
      <c r="AG828" s="1" t="s">
        <v>74</v>
      </c>
      <c r="AH828" s="1" t="s">
        <v>74</v>
      </c>
      <c r="AI828" s="1" t="s">
        <v>74</v>
      </c>
      <c r="AJ828" s="1" t="s">
        <v>74</v>
      </c>
      <c r="AK828" s="1" t="s">
        <v>74</v>
      </c>
      <c r="AL828" s="1" t="s">
        <v>74</v>
      </c>
      <c r="AM828" s="1" t="s">
        <v>74</v>
      </c>
      <c r="AN828" s="1" t="s">
        <v>74</v>
      </c>
      <c r="AO828" s="1" t="s">
        <v>8329</v>
      </c>
      <c r="AP828" s="1" t="s">
        <v>8330</v>
      </c>
      <c r="AQ828" s="1" t="s">
        <v>74</v>
      </c>
      <c r="AR828" s="1" t="s">
        <v>74</v>
      </c>
      <c r="AS828" s="1" t="s">
        <v>74</v>
      </c>
      <c r="AT828" s="1" t="s">
        <v>74</v>
      </c>
      <c r="AU828" s="1">
        <v>2017.0</v>
      </c>
      <c r="AV828" s="1">
        <v>28.0</v>
      </c>
      <c r="AW828" s="1" t="s">
        <v>74</v>
      </c>
      <c r="AX828" s="1" t="s">
        <v>74</v>
      </c>
      <c r="AY828" s="1" t="s">
        <v>74</v>
      </c>
      <c r="AZ828" s="1" t="s">
        <v>74</v>
      </c>
      <c r="BA828" s="1" t="s">
        <v>8331</v>
      </c>
      <c r="BB828" s="1" t="s">
        <v>74</v>
      </c>
      <c r="BC828" s="1" t="s">
        <v>74</v>
      </c>
      <c r="BD828" s="1" t="s">
        <v>74</v>
      </c>
      <c r="BE828" s="1" t="s">
        <v>74</v>
      </c>
      <c r="BF828" s="1" t="s">
        <v>74</v>
      </c>
      <c r="BG828" s="1" t="s">
        <v>74</v>
      </c>
      <c r="BH828" s="1" t="s">
        <v>74</v>
      </c>
      <c r="BI828" s="1" t="s">
        <v>74</v>
      </c>
      <c r="BJ828" s="1" t="s">
        <v>74</v>
      </c>
      <c r="BK828" s="1" t="s">
        <v>74</v>
      </c>
      <c r="BL828" s="1" t="s">
        <v>74</v>
      </c>
      <c r="BM828" s="1" t="s">
        <v>74</v>
      </c>
      <c r="BN828" s="1" t="s">
        <v>74</v>
      </c>
      <c r="BO828" s="1" t="s">
        <v>74</v>
      </c>
      <c r="BP828" s="1" t="s">
        <v>74</v>
      </c>
      <c r="BQ828" s="1" t="s">
        <v>74</v>
      </c>
      <c r="BR828" s="1" t="s">
        <v>74</v>
      </c>
      <c r="BS828" s="1" t="s">
        <v>8332</v>
      </c>
      <c r="BT828" s="1" t="str">
        <f>HYPERLINK("https%3A%2F%2Fwww.webofscience.com%2Fwos%2Fwoscc%2Ffull-record%2FWOS:000426664300432","View Full Record in Web of Science")</f>
        <v>View Full Record in Web of Science</v>
      </c>
    </row>
    <row r="829" ht="12.75" customHeight="1">
      <c r="A829" s="1" t="s">
        <v>86</v>
      </c>
      <c r="B829" s="1" t="s">
        <v>8333</v>
      </c>
      <c r="C829" s="1" t="s">
        <v>74</v>
      </c>
      <c r="D829" s="1" t="s">
        <v>74</v>
      </c>
      <c r="E829" s="1" t="s">
        <v>761</v>
      </c>
      <c r="F829" s="1" t="s">
        <v>8334</v>
      </c>
      <c r="G829" s="1" t="s">
        <v>74</v>
      </c>
      <c r="H829" s="1" t="s">
        <v>74</v>
      </c>
      <c r="I829" s="1" t="s">
        <v>8335</v>
      </c>
      <c r="J829" s="1" t="s">
        <v>764</v>
      </c>
      <c r="K829" s="1" t="s">
        <v>74</v>
      </c>
      <c r="L829" s="1" t="s">
        <v>74</v>
      </c>
      <c r="M829" s="1" t="s">
        <v>74</v>
      </c>
      <c r="N829" s="1" t="s">
        <v>74</v>
      </c>
      <c r="O829" s="1" t="s">
        <v>765</v>
      </c>
      <c r="P829" s="1" t="s">
        <v>766</v>
      </c>
      <c r="Q829" s="1" t="s">
        <v>767</v>
      </c>
      <c r="R829" s="1" t="s">
        <v>768</v>
      </c>
      <c r="S829" s="1" t="s">
        <v>74</v>
      </c>
      <c r="T829" s="1" t="s">
        <v>74</v>
      </c>
      <c r="U829" s="1" t="s">
        <v>74</v>
      </c>
      <c r="V829" s="1" t="s">
        <v>8336</v>
      </c>
      <c r="W829" s="1" t="s">
        <v>74</v>
      </c>
      <c r="X829" s="1" t="s">
        <v>74</v>
      </c>
      <c r="Y829" s="1" t="s">
        <v>74</v>
      </c>
      <c r="Z829" s="1" t="s">
        <v>74</v>
      </c>
      <c r="AA829" s="1" t="s">
        <v>8337</v>
      </c>
      <c r="AB829" s="1" t="s">
        <v>74</v>
      </c>
      <c r="AC829" s="1" t="s">
        <v>74</v>
      </c>
      <c r="AD829" s="1" t="s">
        <v>74</v>
      </c>
      <c r="AE829" s="1" t="s">
        <v>74</v>
      </c>
      <c r="AF829" s="1" t="s">
        <v>74</v>
      </c>
      <c r="AG829" s="1" t="s">
        <v>74</v>
      </c>
      <c r="AH829" s="1" t="s">
        <v>74</v>
      </c>
      <c r="AI829" s="1" t="s">
        <v>74</v>
      </c>
      <c r="AJ829" s="1" t="s">
        <v>74</v>
      </c>
      <c r="AK829" s="1" t="s">
        <v>74</v>
      </c>
      <c r="AL829" s="1" t="s">
        <v>74</v>
      </c>
      <c r="AM829" s="1" t="s">
        <v>74</v>
      </c>
      <c r="AN829" s="1" t="s">
        <v>74</v>
      </c>
      <c r="AO829" s="1" t="s">
        <v>74</v>
      </c>
      <c r="AP829" s="1" t="s">
        <v>74</v>
      </c>
      <c r="AQ829" s="1" t="s">
        <v>770</v>
      </c>
      <c r="AR829" s="1" t="s">
        <v>74</v>
      </c>
      <c r="AS829" s="1" t="s">
        <v>74</v>
      </c>
      <c r="AT829" s="1" t="s">
        <v>74</v>
      </c>
      <c r="AU829" s="1">
        <v>2017.0</v>
      </c>
      <c r="AV829" s="1" t="s">
        <v>74</v>
      </c>
      <c r="AW829" s="1" t="s">
        <v>74</v>
      </c>
      <c r="AX829" s="1" t="s">
        <v>74</v>
      </c>
      <c r="AY829" s="1" t="s">
        <v>74</v>
      </c>
      <c r="AZ829" s="1" t="s">
        <v>74</v>
      </c>
      <c r="BA829" s="1" t="s">
        <v>74</v>
      </c>
      <c r="BB829" s="1" t="s">
        <v>74</v>
      </c>
      <c r="BC829" s="1" t="s">
        <v>74</v>
      </c>
      <c r="BD829" s="1" t="s">
        <v>8338</v>
      </c>
      <c r="BE829" s="1" t="s">
        <v>74</v>
      </c>
      <c r="BF829" s="1" t="s">
        <v>74</v>
      </c>
      <c r="BG829" s="1" t="s">
        <v>74</v>
      </c>
      <c r="BH829" s="1" t="s">
        <v>74</v>
      </c>
      <c r="BI829" s="1" t="s">
        <v>74</v>
      </c>
      <c r="BJ829" s="1" t="s">
        <v>74</v>
      </c>
      <c r="BK829" s="1" t="s">
        <v>74</v>
      </c>
      <c r="BL829" s="1" t="s">
        <v>74</v>
      </c>
      <c r="BM829" s="1" t="s">
        <v>74</v>
      </c>
      <c r="BN829" s="1" t="s">
        <v>74</v>
      </c>
      <c r="BO829" s="1" t="s">
        <v>74</v>
      </c>
      <c r="BP829" s="1" t="s">
        <v>74</v>
      </c>
      <c r="BQ829" s="1" t="s">
        <v>74</v>
      </c>
      <c r="BR829" s="1" t="s">
        <v>74</v>
      </c>
      <c r="BS829" s="1" t="s">
        <v>8339</v>
      </c>
      <c r="BT829" s="1" t="str">
        <f>HYPERLINK("https%3A%2F%2Fwww.webofscience.com%2Fwos%2Fwoscc%2Ffull-record%2FWOS:000400877800009","View Full Record in Web of Science")</f>
        <v>View Full Record in Web of Science</v>
      </c>
    </row>
    <row r="830" ht="12.75" customHeight="1">
      <c r="A830" s="1" t="s">
        <v>1313</v>
      </c>
      <c r="B830" s="1" t="s">
        <v>8340</v>
      </c>
      <c r="C830" s="1" t="s">
        <v>74</v>
      </c>
      <c r="D830" s="1" t="s">
        <v>8341</v>
      </c>
      <c r="E830" s="1" t="s">
        <v>74</v>
      </c>
      <c r="F830" s="1" t="s">
        <v>8342</v>
      </c>
      <c r="G830" s="1" t="s">
        <v>74</v>
      </c>
      <c r="H830" s="1" t="s">
        <v>74</v>
      </c>
      <c r="I830" s="1" t="s">
        <v>8343</v>
      </c>
      <c r="J830" s="1" t="s">
        <v>8344</v>
      </c>
      <c r="K830" s="1" t="s">
        <v>8345</v>
      </c>
      <c r="L830" s="1" t="s">
        <v>74</v>
      </c>
      <c r="M830" s="1" t="s">
        <v>74</v>
      </c>
      <c r="N830" s="1" t="s">
        <v>74</v>
      </c>
      <c r="O830" s="1" t="s">
        <v>74</v>
      </c>
      <c r="P830" s="1" t="s">
        <v>74</v>
      </c>
      <c r="Q830" s="1" t="s">
        <v>74</v>
      </c>
      <c r="R830" s="1" t="s">
        <v>74</v>
      </c>
      <c r="S830" s="1" t="s">
        <v>74</v>
      </c>
      <c r="T830" s="1" t="s">
        <v>74</v>
      </c>
      <c r="U830" s="1" t="s">
        <v>74</v>
      </c>
      <c r="V830" s="1" t="s">
        <v>8346</v>
      </c>
      <c r="W830" s="1" t="s">
        <v>74</v>
      </c>
      <c r="X830" s="1" t="s">
        <v>74</v>
      </c>
      <c r="Y830" s="1" t="s">
        <v>74</v>
      </c>
      <c r="Z830" s="1" t="s">
        <v>74</v>
      </c>
      <c r="AA830" s="1" t="s">
        <v>8347</v>
      </c>
      <c r="AB830" s="1" t="s">
        <v>8348</v>
      </c>
      <c r="AC830" s="1" t="s">
        <v>74</v>
      </c>
      <c r="AD830" s="1" t="s">
        <v>74</v>
      </c>
      <c r="AE830" s="1" t="s">
        <v>74</v>
      </c>
      <c r="AF830" s="1" t="s">
        <v>74</v>
      </c>
      <c r="AG830" s="1" t="s">
        <v>74</v>
      </c>
      <c r="AH830" s="1" t="s">
        <v>74</v>
      </c>
      <c r="AI830" s="1" t="s">
        <v>74</v>
      </c>
      <c r="AJ830" s="1" t="s">
        <v>74</v>
      </c>
      <c r="AK830" s="1" t="s">
        <v>74</v>
      </c>
      <c r="AL830" s="1" t="s">
        <v>74</v>
      </c>
      <c r="AM830" s="1" t="s">
        <v>74</v>
      </c>
      <c r="AN830" s="1" t="s">
        <v>74</v>
      </c>
      <c r="AO830" s="1" t="s">
        <v>8349</v>
      </c>
      <c r="AP830" s="1" t="s">
        <v>8350</v>
      </c>
      <c r="AQ830" s="1" t="s">
        <v>8351</v>
      </c>
      <c r="AR830" s="1" t="s">
        <v>74</v>
      </c>
      <c r="AS830" s="1" t="s">
        <v>74</v>
      </c>
      <c r="AT830" s="1" t="s">
        <v>74</v>
      </c>
      <c r="AU830" s="1">
        <v>2017.0</v>
      </c>
      <c r="AV830" s="1">
        <v>1015.0</v>
      </c>
      <c r="AW830" s="1" t="s">
        <v>74</v>
      </c>
      <c r="AX830" s="1" t="s">
        <v>74</v>
      </c>
      <c r="AY830" s="1" t="s">
        <v>74</v>
      </c>
      <c r="AZ830" s="1" t="s">
        <v>74</v>
      </c>
      <c r="BA830" s="1" t="s">
        <v>74</v>
      </c>
      <c r="BB830" s="1">
        <v>1.0</v>
      </c>
      <c r="BC830" s="1">
        <v>15.0</v>
      </c>
      <c r="BD830" s="1" t="s">
        <v>74</v>
      </c>
      <c r="BE830" s="1" t="s">
        <v>8352</v>
      </c>
      <c r="BF830" s="2" t="str">
        <f>HYPERLINK("http://dx.doi.org/10.1007/978-3-319-62817-2_1","http://dx.doi.org/10.1007/978-3-319-62817-2_1")</f>
        <v>http://dx.doi.org/10.1007/978-3-319-62817-2_1</v>
      </c>
      <c r="BG830" s="1" t="s">
        <v>8353</v>
      </c>
      <c r="BH830" s="1" t="s">
        <v>74</v>
      </c>
      <c r="BI830" s="1" t="s">
        <v>74</v>
      </c>
      <c r="BJ830" s="1" t="s">
        <v>74</v>
      </c>
      <c r="BK830" s="1" t="s">
        <v>74</v>
      </c>
      <c r="BL830" s="1" t="s">
        <v>74</v>
      </c>
      <c r="BM830" s="1" t="s">
        <v>74</v>
      </c>
      <c r="BN830" s="1">
        <v>2.9080018E7</v>
      </c>
      <c r="BO830" s="1" t="s">
        <v>74</v>
      </c>
      <c r="BP830" s="1" t="s">
        <v>74</v>
      </c>
      <c r="BQ830" s="1" t="s">
        <v>74</v>
      </c>
      <c r="BR830" s="1" t="s">
        <v>74</v>
      </c>
      <c r="BS830" s="1" t="s">
        <v>8354</v>
      </c>
      <c r="BT830" s="1" t="str">
        <f>HYPERLINK("https%3A%2F%2Fwww.webofscience.com%2Fwos%2Fwoscc%2Ffull-record%2FWOS:000438289100001","View Full Record in Web of Science")</f>
        <v>View Full Record in Web of Science</v>
      </c>
    </row>
    <row r="831" ht="12.75" customHeight="1">
      <c r="A831" s="1" t="s">
        <v>72</v>
      </c>
      <c r="B831" s="1" t="s">
        <v>8355</v>
      </c>
      <c r="C831" s="1" t="s">
        <v>74</v>
      </c>
      <c r="D831" s="1" t="s">
        <v>74</v>
      </c>
      <c r="E831" s="1" t="s">
        <v>74</v>
      </c>
      <c r="F831" s="1" t="s">
        <v>8356</v>
      </c>
      <c r="G831" s="1" t="s">
        <v>74</v>
      </c>
      <c r="H831" s="1" t="s">
        <v>74</v>
      </c>
      <c r="I831" s="1" t="s">
        <v>8357</v>
      </c>
      <c r="J831" s="1" t="s">
        <v>8358</v>
      </c>
      <c r="K831" s="1" t="s">
        <v>74</v>
      </c>
      <c r="L831" s="1" t="s">
        <v>74</v>
      </c>
      <c r="M831" s="1" t="s">
        <v>74</v>
      </c>
      <c r="N831" s="1" t="s">
        <v>74</v>
      </c>
      <c r="O831" s="1" t="s">
        <v>74</v>
      </c>
      <c r="P831" s="1" t="s">
        <v>74</v>
      </c>
      <c r="Q831" s="1" t="s">
        <v>74</v>
      </c>
      <c r="R831" s="1" t="s">
        <v>74</v>
      </c>
      <c r="S831" s="1" t="s">
        <v>74</v>
      </c>
      <c r="T831" s="1" t="s">
        <v>74</v>
      </c>
      <c r="U831" s="1" t="s">
        <v>74</v>
      </c>
      <c r="V831" s="1" t="s">
        <v>8359</v>
      </c>
      <c r="W831" s="1" t="s">
        <v>74</v>
      </c>
      <c r="X831" s="1" t="s">
        <v>74</v>
      </c>
      <c r="Y831" s="1" t="s">
        <v>74</v>
      </c>
      <c r="Z831" s="1" t="s">
        <v>74</v>
      </c>
      <c r="AA831" s="1" t="s">
        <v>8360</v>
      </c>
      <c r="AB831" s="1" t="s">
        <v>8361</v>
      </c>
      <c r="AC831" s="1" t="s">
        <v>74</v>
      </c>
      <c r="AD831" s="1" t="s">
        <v>74</v>
      </c>
      <c r="AE831" s="1" t="s">
        <v>74</v>
      </c>
      <c r="AF831" s="1" t="s">
        <v>74</v>
      </c>
      <c r="AG831" s="1" t="s">
        <v>74</v>
      </c>
      <c r="AH831" s="1" t="s">
        <v>74</v>
      </c>
      <c r="AI831" s="1" t="s">
        <v>74</v>
      </c>
      <c r="AJ831" s="1" t="s">
        <v>74</v>
      </c>
      <c r="AK831" s="1" t="s">
        <v>74</v>
      </c>
      <c r="AL831" s="1" t="s">
        <v>74</v>
      </c>
      <c r="AM831" s="1" t="s">
        <v>74</v>
      </c>
      <c r="AN831" s="1" t="s">
        <v>74</v>
      </c>
      <c r="AO831" s="1" t="s">
        <v>8362</v>
      </c>
      <c r="AP831" s="1" t="s">
        <v>8363</v>
      </c>
      <c r="AQ831" s="1" t="s">
        <v>74</v>
      </c>
      <c r="AR831" s="1" t="s">
        <v>74</v>
      </c>
      <c r="AS831" s="1" t="s">
        <v>74</v>
      </c>
      <c r="AT831" s="1" t="s">
        <v>939</v>
      </c>
      <c r="AU831" s="1">
        <v>2015.0</v>
      </c>
      <c r="AV831" s="1">
        <v>56.0</v>
      </c>
      <c r="AW831" s="1">
        <v>3.0</v>
      </c>
      <c r="AX831" s="1" t="s">
        <v>74</v>
      </c>
      <c r="AY831" s="1" t="s">
        <v>74</v>
      </c>
      <c r="AZ831" s="1" t="s">
        <v>74</v>
      </c>
      <c r="BA831" s="1" t="s">
        <v>74</v>
      </c>
      <c r="BB831" s="1">
        <v>335.0</v>
      </c>
      <c r="BC831" s="1">
        <v>340.0</v>
      </c>
      <c r="BD831" s="1" t="s">
        <v>74</v>
      </c>
      <c r="BE831" s="1" t="s">
        <v>8364</v>
      </c>
      <c r="BF831" s="2" t="str">
        <f>HYPERLINK("http://dx.doi.org/10.1111/sjop.12209","http://dx.doi.org/10.1111/sjop.12209")</f>
        <v>http://dx.doi.org/10.1111/sjop.12209</v>
      </c>
      <c r="BG831" s="1" t="s">
        <v>74</v>
      </c>
      <c r="BH831" s="1" t="s">
        <v>74</v>
      </c>
      <c r="BI831" s="1" t="s">
        <v>74</v>
      </c>
      <c r="BJ831" s="1" t="s">
        <v>74</v>
      </c>
      <c r="BK831" s="1" t="s">
        <v>74</v>
      </c>
      <c r="BL831" s="1" t="s">
        <v>74</v>
      </c>
      <c r="BM831" s="1" t="s">
        <v>74</v>
      </c>
      <c r="BN831" s="1">
        <v>2.5786353E7</v>
      </c>
      <c r="BO831" s="1" t="s">
        <v>74</v>
      </c>
      <c r="BP831" s="1" t="s">
        <v>74</v>
      </c>
      <c r="BQ831" s="1" t="s">
        <v>74</v>
      </c>
      <c r="BR831" s="1" t="s">
        <v>74</v>
      </c>
      <c r="BS831" s="1" t="s">
        <v>8365</v>
      </c>
      <c r="BT831" s="1" t="str">
        <f>HYPERLINK("https%3A%2F%2Fwww.webofscience.com%2Fwos%2Fwoscc%2Ffull-record%2FWOS:000354185700011","View Full Record in Web of Science")</f>
        <v>View Full Record in Web of Science</v>
      </c>
    </row>
    <row r="832" ht="12.75" customHeight="1">
      <c r="A832" s="1" t="s">
        <v>72</v>
      </c>
      <c r="B832" s="1" t="s">
        <v>8366</v>
      </c>
      <c r="C832" s="1" t="s">
        <v>74</v>
      </c>
      <c r="D832" s="1" t="s">
        <v>74</v>
      </c>
      <c r="E832" s="1" t="s">
        <v>74</v>
      </c>
      <c r="F832" s="1" t="s">
        <v>8367</v>
      </c>
      <c r="G832" s="1" t="s">
        <v>74</v>
      </c>
      <c r="H832" s="1" t="s">
        <v>74</v>
      </c>
      <c r="I832" s="1" t="s">
        <v>8368</v>
      </c>
      <c r="J832" s="1" t="s">
        <v>2186</v>
      </c>
      <c r="K832" s="1" t="s">
        <v>74</v>
      </c>
      <c r="L832" s="1" t="s">
        <v>74</v>
      </c>
      <c r="M832" s="1" t="s">
        <v>74</v>
      </c>
      <c r="N832" s="1" t="s">
        <v>74</v>
      </c>
      <c r="O832" s="1" t="s">
        <v>74</v>
      </c>
      <c r="P832" s="1" t="s">
        <v>74</v>
      </c>
      <c r="Q832" s="1" t="s">
        <v>74</v>
      </c>
      <c r="R832" s="1" t="s">
        <v>74</v>
      </c>
      <c r="S832" s="1" t="s">
        <v>74</v>
      </c>
      <c r="T832" s="1" t="s">
        <v>74</v>
      </c>
      <c r="U832" s="1" t="s">
        <v>74</v>
      </c>
      <c r="V832" s="1" t="s">
        <v>8369</v>
      </c>
      <c r="W832" s="1" t="s">
        <v>74</v>
      </c>
      <c r="X832" s="1" t="s">
        <v>74</v>
      </c>
      <c r="Y832" s="1" t="s">
        <v>74</v>
      </c>
      <c r="Z832" s="1" t="s">
        <v>74</v>
      </c>
      <c r="AA832" s="1" t="s">
        <v>8370</v>
      </c>
      <c r="AB832" s="1" t="s">
        <v>8371</v>
      </c>
      <c r="AC832" s="1" t="s">
        <v>74</v>
      </c>
      <c r="AD832" s="1" t="s">
        <v>74</v>
      </c>
      <c r="AE832" s="1" t="s">
        <v>74</v>
      </c>
      <c r="AF832" s="1" t="s">
        <v>74</v>
      </c>
      <c r="AG832" s="1" t="s">
        <v>74</v>
      </c>
      <c r="AH832" s="1" t="s">
        <v>74</v>
      </c>
      <c r="AI832" s="1" t="s">
        <v>74</v>
      </c>
      <c r="AJ832" s="1" t="s">
        <v>74</v>
      </c>
      <c r="AK832" s="1" t="s">
        <v>74</v>
      </c>
      <c r="AL832" s="1" t="s">
        <v>74</v>
      </c>
      <c r="AM832" s="1" t="s">
        <v>74</v>
      </c>
      <c r="AN832" s="1" t="s">
        <v>74</v>
      </c>
      <c r="AO832" s="1" t="s">
        <v>2260</v>
      </c>
      <c r="AP832" s="1" t="s">
        <v>2261</v>
      </c>
      <c r="AQ832" s="1" t="s">
        <v>74</v>
      </c>
      <c r="AR832" s="1" t="s">
        <v>74</v>
      </c>
      <c r="AS832" s="1" t="s">
        <v>74</v>
      </c>
      <c r="AT832" s="1" t="s">
        <v>8372</v>
      </c>
      <c r="AU832" s="1">
        <v>2014.0</v>
      </c>
      <c r="AV832" s="1">
        <v>90.0</v>
      </c>
      <c r="AW832" s="1">
        <v>8.0</v>
      </c>
      <c r="AX832" s="1" t="s">
        <v>74</v>
      </c>
      <c r="AY832" s="1" t="s">
        <v>74</v>
      </c>
      <c r="AZ832" s="1" t="s">
        <v>74</v>
      </c>
      <c r="BA832" s="1" t="s">
        <v>74</v>
      </c>
      <c r="BB832" s="1" t="s">
        <v>74</v>
      </c>
      <c r="BC832" s="1" t="s">
        <v>74</v>
      </c>
      <c r="BD832" s="1">
        <v>83524.0</v>
      </c>
      <c r="BE832" s="1" t="s">
        <v>8373</v>
      </c>
      <c r="BF832" s="2" t="str">
        <f>HYPERLINK("http://dx.doi.org/10.1103/PhysRevD.90.083524","http://dx.doi.org/10.1103/PhysRevD.90.083524")</f>
        <v>http://dx.doi.org/10.1103/PhysRevD.90.083524</v>
      </c>
      <c r="BG832" s="1" t="s">
        <v>74</v>
      </c>
      <c r="BH832" s="1" t="s">
        <v>74</v>
      </c>
      <c r="BI832" s="1" t="s">
        <v>74</v>
      </c>
      <c r="BJ832" s="1" t="s">
        <v>74</v>
      </c>
      <c r="BK832" s="1" t="s">
        <v>74</v>
      </c>
      <c r="BL832" s="1" t="s">
        <v>74</v>
      </c>
      <c r="BM832" s="1" t="s">
        <v>74</v>
      </c>
      <c r="BN832" s="1" t="s">
        <v>74</v>
      </c>
      <c r="BO832" s="1" t="s">
        <v>74</v>
      </c>
      <c r="BP832" s="1" t="s">
        <v>74</v>
      </c>
      <c r="BQ832" s="1" t="s">
        <v>74</v>
      </c>
      <c r="BR832" s="1" t="s">
        <v>74</v>
      </c>
      <c r="BS832" s="1" t="s">
        <v>8374</v>
      </c>
      <c r="BT832" s="1" t="str">
        <f>HYPERLINK("https%3A%2F%2Fwww.webofscience.com%2Fwos%2Fwoscc%2Ffull-record%2FWOS:000344031500004","View Full Record in Web of Science")</f>
        <v>View Full Record in Web of Science</v>
      </c>
    </row>
    <row r="833" ht="12.75" customHeight="1">
      <c r="A833" s="1" t="s">
        <v>72</v>
      </c>
      <c r="B833" s="1" t="s">
        <v>8375</v>
      </c>
      <c r="C833" s="1" t="s">
        <v>74</v>
      </c>
      <c r="D833" s="1" t="s">
        <v>74</v>
      </c>
      <c r="E833" s="1" t="s">
        <v>74</v>
      </c>
      <c r="F833" s="1" t="s">
        <v>8376</v>
      </c>
      <c r="G833" s="1" t="s">
        <v>74</v>
      </c>
      <c r="H833" s="1" t="s">
        <v>74</v>
      </c>
      <c r="I833" s="1" t="s">
        <v>8377</v>
      </c>
      <c r="J833" s="1" t="s">
        <v>8378</v>
      </c>
      <c r="K833" s="1" t="s">
        <v>74</v>
      </c>
      <c r="L833" s="1" t="s">
        <v>74</v>
      </c>
      <c r="M833" s="1" t="s">
        <v>74</v>
      </c>
      <c r="N833" s="1" t="s">
        <v>74</v>
      </c>
      <c r="O833" s="1" t="s">
        <v>74</v>
      </c>
      <c r="P833" s="1" t="s">
        <v>74</v>
      </c>
      <c r="Q833" s="1" t="s">
        <v>74</v>
      </c>
      <c r="R833" s="1" t="s">
        <v>74</v>
      </c>
      <c r="S833" s="1" t="s">
        <v>74</v>
      </c>
      <c r="T833" s="1" t="s">
        <v>74</v>
      </c>
      <c r="U833" s="1" t="s">
        <v>74</v>
      </c>
      <c r="V833" s="1" t="s">
        <v>8379</v>
      </c>
      <c r="W833" s="1" t="s">
        <v>74</v>
      </c>
      <c r="X833" s="1" t="s">
        <v>74</v>
      </c>
      <c r="Y833" s="1" t="s">
        <v>74</v>
      </c>
      <c r="Z833" s="1" t="s">
        <v>74</v>
      </c>
      <c r="AA833" s="1" t="s">
        <v>8380</v>
      </c>
      <c r="AB833" s="1" t="s">
        <v>8381</v>
      </c>
      <c r="AC833" s="1" t="s">
        <v>74</v>
      </c>
      <c r="AD833" s="1" t="s">
        <v>74</v>
      </c>
      <c r="AE833" s="1" t="s">
        <v>74</v>
      </c>
      <c r="AF833" s="1" t="s">
        <v>74</v>
      </c>
      <c r="AG833" s="1" t="s">
        <v>74</v>
      </c>
      <c r="AH833" s="1" t="s">
        <v>74</v>
      </c>
      <c r="AI833" s="1" t="s">
        <v>74</v>
      </c>
      <c r="AJ833" s="1" t="s">
        <v>74</v>
      </c>
      <c r="AK833" s="1" t="s">
        <v>74</v>
      </c>
      <c r="AL833" s="1" t="s">
        <v>74</v>
      </c>
      <c r="AM833" s="1" t="s">
        <v>74</v>
      </c>
      <c r="AN833" s="1" t="s">
        <v>74</v>
      </c>
      <c r="AO833" s="1" t="s">
        <v>8382</v>
      </c>
      <c r="AP833" s="1" t="s">
        <v>8383</v>
      </c>
      <c r="AQ833" s="1" t="s">
        <v>74</v>
      </c>
      <c r="AR833" s="1" t="s">
        <v>74</v>
      </c>
      <c r="AS833" s="1" t="s">
        <v>74</v>
      </c>
      <c r="AT833" s="1" t="s">
        <v>485</v>
      </c>
      <c r="AU833" s="1">
        <v>2014.0</v>
      </c>
      <c r="AV833" s="1">
        <v>106.0</v>
      </c>
      <c r="AW833" s="1">
        <v>4.0</v>
      </c>
      <c r="AX833" s="1" t="s">
        <v>74</v>
      </c>
      <c r="AY833" s="1" t="s">
        <v>74</v>
      </c>
      <c r="AZ833" s="1" t="s">
        <v>74</v>
      </c>
      <c r="BA833" s="1" t="s">
        <v>74</v>
      </c>
      <c r="BB833" s="1" t="s">
        <v>74</v>
      </c>
      <c r="BC833" s="1" t="s">
        <v>74</v>
      </c>
      <c r="BD833" s="1">
        <v>47004.0</v>
      </c>
      <c r="BE833" s="1" t="s">
        <v>8384</v>
      </c>
      <c r="BF833" s="2" t="str">
        <f>HYPERLINK("http://dx.doi.org/10.1209/0295-5075/106/47004","http://dx.doi.org/10.1209/0295-5075/106/47004")</f>
        <v>http://dx.doi.org/10.1209/0295-5075/106/47004</v>
      </c>
      <c r="BG833" s="1" t="s">
        <v>74</v>
      </c>
      <c r="BH833" s="1" t="s">
        <v>74</v>
      </c>
      <c r="BI833" s="1" t="s">
        <v>74</v>
      </c>
      <c r="BJ833" s="1" t="s">
        <v>74</v>
      </c>
      <c r="BK833" s="1" t="s">
        <v>74</v>
      </c>
      <c r="BL833" s="1" t="s">
        <v>74</v>
      </c>
      <c r="BM833" s="1" t="s">
        <v>74</v>
      </c>
      <c r="BN833" s="1" t="s">
        <v>74</v>
      </c>
      <c r="BO833" s="1" t="s">
        <v>74</v>
      </c>
      <c r="BP833" s="1" t="s">
        <v>74</v>
      </c>
      <c r="BQ833" s="1" t="s">
        <v>74</v>
      </c>
      <c r="BR833" s="1" t="s">
        <v>74</v>
      </c>
      <c r="BS833" s="1" t="s">
        <v>8385</v>
      </c>
      <c r="BT833" s="1" t="str">
        <f>HYPERLINK("https%3A%2F%2Fwww.webofscience.com%2Fwos%2Fwoscc%2Ffull-record%2FWOS:000337348100022","View Full Record in Web of Science")</f>
        <v>View Full Record in Web of Science</v>
      </c>
    </row>
    <row r="834" ht="12.75" customHeight="1">
      <c r="A834" s="1" t="s">
        <v>72</v>
      </c>
      <c r="B834" s="1" t="s">
        <v>8386</v>
      </c>
      <c r="C834" s="1" t="s">
        <v>74</v>
      </c>
      <c r="D834" s="1" t="s">
        <v>74</v>
      </c>
      <c r="E834" s="1" t="s">
        <v>74</v>
      </c>
      <c r="F834" s="1" t="s">
        <v>8387</v>
      </c>
      <c r="G834" s="1" t="s">
        <v>74</v>
      </c>
      <c r="H834" s="1" t="s">
        <v>74</v>
      </c>
      <c r="I834" s="1" t="s">
        <v>8388</v>
      </c>
      <c r="J834" s="1" t="s">
        <v>7099</v>
      </c>
      <c r="K834" s="1" t="s">
        <v>74</v>
      </c>
      <c r="L834" s="1" t="s">
        <v>74</v>
      </c>
      <c r="M834" s="1" t="s">
        <v>74</v>
      </c>
      <c r="N834" s="1" t="s">
        <v>74</v>
      </c>
      <c r="O834" s="1" t="s">
        <v>74</v>
      </c>
      <c r="P834" s="1" t="s">
        <v>74</v>
      </c>
      <c r="Q834" s="1" t="s">
        <v>74</v>
      </c>
      <c r="R834" s="1" t="s">
        <v>74</v>
      </c>
      <c r="S834" s="1" t="s">
        <v>74</v>
      </c>
      <c r="T834" s="1" t="s">
        <v>74</v>
      </c>
      <c r="U834" s="1" t="s">
        <v>74</v>
      </c>
      <c r="V834" s="1" t="s">
        <v>8389</v>
      </c>
      <c r="W834" s="1" t="s">
        <v>74</v>
      </c>
      <c r="X834" s="1" t="s">
        <v>74</v>
      </c>
      <c r="Y834" s="1" t="s">
        <v>74</v>
      </c>
      <c r="Z834" s="1" t="s">
        <v>74</v>
      </c>
      <c r="AA834" s="1" t="s">
        <v>8390</v>
      </c>
      <c r="AB834" s="1" t="s">
        <v>8391</v>
      </c>
      <c r="AC834" s="1" t="s">
        <v>74</v>
      </c>
      <c r="AD834" s="1" t="s">
        <v>74</v>
      </c>
      <c r="AE834" s="1" t="s">
        <v>74</v>
      </c>
      <c r="AF834" s="1" t="s">
        <v>74</v>
      </c>
      <c r="AG834" s="1" t="s">
        <v>74</v>
      </c>
      <c r="AH834" s="1" t="s">
        <v>74</v>
      </c>
      <c r="AI834" s="1" t="s">
        <v>74</v>
      </c>
      <c r="AJ834" s="1" t="s">
        <v>74</v>
      </c>
      <c r="AK834" s="1" t="s">
        <v>74</v>
      </c>
      <c r="AL834" s="1" t="s">
        <v>74</v>
      </c>
      <c r="AM834" s="1" t="s">
        <v>74</v>
      </c>
      <c r="AN834" s="1" t="s">
        <v>74</v>
      </c>
      <c r="AO834" s="1" t="s">
        <v>7103</v>
      </c>
      <c r="AP834" s="1" t="s">
        <v>8392</v>
      </c>
      <c r="AQ834" s="1" t="s">
        <v>74</v>
      </c>
      <c r="AR834" s="1" t="s">
        <v>74</v>
      </c>
      <c r="AS834" s="1" t="s">
        <v>74</v>
      </c>
      <c r="AT834" s="1" t="s">
        <v>8393</v>
      </c>
      <c r="AU834" s="1">
        <v>2013.0</v>
      </c>
      <c r="AV834" s="1">
        <v>117.0</v>
      </c>
      <c r="AW834" s="1">
        <v>45.0</v>
      </c>
      <c r="AX834" s="1" t="s">
        <v>74</v>
      </c>
      <c r="AY834" s="1" t="s">
        <v>74</v>
      </c>
      <c r="AZ834" s="1" t="s">
        <v>74</v>
      </c>
      <c r="BA834" s="1" t="s">
        <v>74</v>
      </c>
      <c r="BB834" s="1">
        <v>23664.0</v>
      </c>
      <c r="BC834" s="1">
        <v>23675.0</v>
      </c>
      <c r="BD834" s="1" t="s">
        <v>74</v>
      </c>
      <c r="BE834" s="1" t="s">
        <v>8394</v>
      </c>
      <c r="BF834" s="2" t="str">
        <f>HYPERLINK("http://dx.doi.org/10.1021/jp405951p","http://dx.doi.org/10.1021/jp405951p")</f>
        <v>http://dx.doi.org/10.1021/jp405951p</v>
      </c>
      <c r="BG834" s="1" t="s">
        <v>74</v>
      </c>
      <c r="BH834" s="1" t="s">
        <v>74</v>
      </c>
      <c r="BI834" s="1" t="s">
        <v>74</v>
      </c>
      <c r="BJ834" s="1" t="s">
        <v>74</v>
      </c>
      <c r="BK834" s="1" t="s">
        <v>74</v>
      </c>
      <c r="BL834" s="1" t="s">
        <v>74</v>
      </c>
      <c r="BM834" s="1" t="s">
        <v>74</v>
      </c>
      <c r="BN834" s="1" t="s">
        <v>74</v>
      </c>
      <c r="BO834" s="1" t="s">
        <v>74</v>
      </c>
      <c r="BP834" s="1" t="s">
        <v>74</v>
      </c>
      <c r="BQ834" s="1" t="s">
        <v>74</v>
      </c>
      <c r="BR834" s="1" t="s">
        <v>74</v>
      </c>
      <c r="BS834" s="1" t="s">
        <v>8395</v>
      </c>
      <c r="BT834" s="1" t="str">
        <f>HYPERLINK("https%3A%2F%2Fwww.webofscience.com%2Fwos%2Fwoscc%2Ffull-record%2FWOS:000327110500026","View Full Record in Web of Science")</f>
        <v>View Full Record in Web of Science</v>
      </c>
    </row>
    <row r="835" ht="12.75" customHeight="1">
      <c r="A835" s="1" t="s">
        <v>72</v>
      </c>
      <c r="B835" s="1" t="s">
        <v>8396</v>
      </c>
      <c r="C835" s="1" t="s">
        <v>74</v>
      </c>
      <c r="D835" s="1" t="s">
        <v>74</v>
      </c>
      <c r="E835" s="1" t="s">
        <v>74</v>
      </c>
      <c r="F835" s="1" t="s">
        <v>8397</v>
      </c>
      <c r="G835" s="1" t="s">
        <v>74</v>
      </c>
      <c r="H835" s="1" t="s">
        <v>74</v>
      </c>
      <c r="I835" s="1" t="s">
        <v>8398</v>
      </c>
      <c r="J835" s="1" t="s">
        <v>847</v>
      </c>
      <c r="K835" s="1" t="s">
        <v>74</v>
      </c>
      <c r="L835" s="1" t="s">
        <v>74</v>
      </c>
      <c r="M835" s="1" t="s">
        <v>74</v>
      </c>
      <c r="N835" s="1" t="s">
        <v>74</v>
      </c>
      <c r="O835" s="1" t="s">
        <v>74</v>
      </c>
      <c r="P835" s="1" t="s">
        <v>74</v>
      </c>
      <c r="Q835" s="1" t="s">
        <v>74</v>
      </c>
      <c r="R835" s="1" t="s">
        <v>74</v>
      </c>
      <c r="S835" s="1" t="s">
        <v>74</v>
      </c>
      <c r="T835" s="1" t="s">
        <v>74</v>
      </c>
      <c r="U835" s="1" t="s">
        <v>74</v>
      </c>
      <c r="V835" s="1" t="s">
        <v>8399</v>
      </c>
      <c r="W835" s="1" t="s">
        <v>74</v>
      </c>
      <c r="X835" s="1" t="s">
        <v>74</v>
      </c>
      <c r="Y835" s="1" t="s">
        <v>74</v>
      </c>
      <c r="Z835" s="1" t="s">
        <v>74</v>
      </c>
      <c r="AA835" s="1" t="s">
        <v>8400</v>
      </c>
      <c r="AB835" s="1" t="s">
        <v>8401</v>
      </c>
      <c r="AC835" s="1" t="s">
        <v>74</v>
      </c>
      <c r="AD835" s="1" t="s">
        <v>74</v>
      </c>
      <c r="AE835" s="1" t="s">
        <v>74</v>
      </c>
      <c r="AF835" s="1" t="s">
        <v>74</v>
      </c>
      <c r="AG835" s="1" t="s">
        <v>74</v>
      </c>
      <c r="AH835" s="1" t="s">
        <v>74</v>
      </c>
      <c r="AI835" s="1" t="s">
        <v>74</v>
      </c>
      <c r="AJ835" s="1" t="s">
        <v>74</v>
      </c>
      <c r="AK835" s="1" t="s">
        <v>74</v>
      </c>
      <c r="AL835" s="1" t="s">
        <v>74</v>
      </c>
      <c r="AM835" s="1" t="s">
        <v>74</v>
      </c>
      <c r="AN835" s="1" t="s">
        <v>74</v>
      </c>
      <c r="AO835" s="1" t="s">
        <v>851</v>
      </c>
      <c r="AP835" s="1" t="s">
        <v>852</v>
      </c>
      <c r="AQ835" s="1" t="s">
        <v>74</v>
      </c>
      <c r="AR835" s="1" t="s">
        <v>74</v>
      </c>
      <c r="AS835" s="1" t="s">
        <v>74</v>
      </c>
      <c r="AT835" s="1" t="s">
        <v>537</v>
      </c>
      <c r="AU835" s="1">
        <v>2013.0</v>
      </c>
      <c r="AV835" s="1">
        <v>346.0</v>
      </c>
      <c r="AW835" s="1" t="s">
        <v>74</v>
      </c>
      <c r="AX835" s="1" t="s">
        <v>74</v>
      </c>
      <c r="AY835" s="1" t="s">
        <v>74</v>
      </c>
      <c r="AZ835" s="1" t="s">
        <v>74</v>
      </c>
      <c r="BA835" s="1" t="s">
        <v>74</v>
      </c>
      <c r="BB835" s="1">
        <v>171.0</v>
      </c>
      <c r="BC835" s="1">
        <v>174.0</v>
      </c>
      <c r="BD835" s="1" t="s">
        <v>74</v>
      </c>
      <c r="BE835" s="1" t="s">
        <v>8402</v>
      </c>
      <c r="BF835" s="2" t="str">
        <f>HYPERLINK("http://dx.doi.org/10.1016/j.jmmm.2013.07.030","http://dx.doi.org/10.1016/j.jmmm.2013.07.030")</f>
        <v>http://dx.doi.org/10.1016/j.jmmm.2013.07.030</v>
      </c>
      <c r="BG835" s="1" t="s">
        <v>74</v>
      </c>
      <c r="BH835" s="1" t="s">
        <v>74</v>
      </c>
      <c r="BI835" s="1" t="s">
        <v>74</v>
      </c>
      <c r="BJ835" s="1" t="s">
        <v>74</v>
      </c>
      <c r="BK835" s="1" t="s">
        <v>74</v>
      </c>
      <c r="BL835" s="1" t="s">
        <v>74</v>
      </c>
      <c r="BM835" s="1" t="s">
        <v>74</v>
      </c>
      <c r="BN835" s="1" t="s">
        <v>74</v>
      </c>
      <c r="BO835" s="1" t="s">
        <v>74</v>
      </c>
      <c r="BP835" s="1" t="s">
        <v>74</v>
      </c>
      <c r="BQ835" s="1" t="s">
        <v>74</v>
      </c>
      <c r="BR835" s="1" t="s">
        <v>74</v>
      </c>
      <c r="BS835" s="1" t="s">
        <v>8403</v>
      </c>
      <c r="BT835" s="1" t="str">
        <f>HYPERLINK("https%3A%2F%2Fwww.webofscience.com%2Fwos%2Fwoscc%2Ffull-record%2FWOS:000324311200029","View Full Record in Web of Science")</f>
        <v>View Full Record in Web of Science</v>
      </c>
    </row>
    <row r="836" ht="12.75" customHeight="1">
      <c r="A836" s="1" t="s">
        <v>72</v>
      </c>
      <c r="B836" s="1" t="s">
        <v>8404</v>
      </c>
      <c r="C836" s="1" t="s">
        <v>74</v>
      </c>
      <c r="D836" s="1" t="s">
        <v>74</v>
      </c>
      <c r="E836" s="1" t="s">
        <v>74</v>
      </c>
      <c r="F836" s="1" t="s">
        <v>8405</v>
      </c>
      <c r="G836" s="1" t="s">
        <v>74</v>
      </c>
      <c r="H836" s="1" t="s">
        <v>74</v>
      </c>
      <c r="I836" s="1" t="s">
        <v>8406</v>
      </c>
      <c r="J836" s="1" t="s">
        <v>8407</v>
      </c>
      <c r="K836" s="1" t="s">
        <v>74</v>
      </c>
      <c r="L836" s="1" t="s">
        <v>74</v>
      </c>
      <c r="M836" s="1" t="s">
        <v>74</v>
      </c>
      <c r="N836" s="1" t="s">
        <v>74</v>
      </c>
      <c r="O836" s="1" t="s">
        <v>74</v>
      </c>
      <c r="P836" s="1" t="s">
        <v>74</v>
      </c>
      <c r="Q836" s="1" t="s">
        <v>74</v>
      </c>
      <c r="R836" s="1" t="s">
        <v>74</v>
      </c>
      <c r="S836" s="1" t="s">
        <v>74</v>
      </c>
      <c r="T836" s="1" t="s">
        <v>74</v>
      </c>
      <c r="U836" s="1" t="s">
        <v>74</v>
      </c>
      <c r="V836" s="1" t="s">
        <v>8408</v>
      </c>
      <c r="W836" s="1" t="s">
        <v>74</v>
      </c>
      <c r="X836" s="1" t="s">
        <v>74</v>
      </c>
      <c r="Y836" s="1" t="s">
        <v>74</v>
      </c>
      <c r="Z836" s="1" t="s">
        <v>74</v>
      </c>
      <c r="AA836" s="1" t="s">
        <v>8409</v>
      </c>
      <c r="AB836" s="1" t="s">
        <v>8410</v>
      </c>
      <c r="AC836" s="1" t="s">
        <v>74</v>
      </c>
      <c r="AD836" s="1" t="s">
        <v>74</v>
      </c>
      <c r="AE836" s="1" t="s">
        <v>74</v>
      </c>
      <c r="AF836" s="1" t="s">
        <v>74</v>
      </c>
      <c r="AG836" s="1" t="s">
        <v>74</v>
      </c>
      <c r="AH836" s="1" t="s">
        <v>74</v>
      </c>
      <c r="AI836" s="1" t="s">
        <v>74</v>
      </c>
      <c r="AJ836" s="1" t="s">
        <v>74</v>
      </c>
      <c r="AK836" s="1" t="s">
        <v>74</v>
      </c>
      <c r="AL836" s="1" t="s">
        <v>74</v>
      </c>
      <c r="AM836" s="1" t="s">
        <v>74</v>
      </c>
      <c r="AN836" s="1" t="s">
        <v>74</v>
      </c>
      <c r="AO836" s="1" t="s">
        <v>8411</v>
      </c>
      <c r="AP836" s="1" t="s">
        <v>8412</v>
      </c>
      <c r="AQ836" s="1" t="s">
        <v>74</v>
      </c>
      <c r="AR836" s="1" t="s">
        <v>74</v>
      </c>
      <c r="AS836" s="1" t="s">
        <v>74</v>
      </c>
      <c r="AT836" s="1" t="s">
        <v>422</v>
      </c>
      <c r="AU836" s="1">
        <v>2013.0</v>
      </c>
      <c r="AV836" s="1">
        <v>12.0</v>
      </c>
      <c r="AW836" s="1">
        <v>1.0</v>
      </c>
      <c r="AX836" s="1" t="s">
        <v>74</v>
      </c>
      <c r="AY836" s="1" t="s">
        <v>74</v>
      </c>
      <c r="AZ836" s="1" t="s">
        <v>74</v>
      </c>
      <c r="BA836" s="1" t="s">
        <v>74</v>
      </c>
      <c r="BB836" s="1">
        <v>89.0</v>
      </c>
      <c r="BC836" s="1">
        <v>98.0</v>
      </c>
      <c r="BD836" s="1" t="s">
        <v>74</v>
      </c>
      <c r="BE836" s="1" t="s">
        <v>8413</v>
      </c>
      <c r="BF836" s="2" t="str">
        <f>HYPERLINK("http://dx.doi.org/10.3934/cpaa.2013.12.89","http://dx.doi.org/10.3934/cpaa.2013.12.89")</f>
        <v>http://dx.doi.org/10.3934/cpaa.2013.12.89</v>
      </c>
      <c r="BG836" s="1" t="s">
        <v>74</v>
      </c>
      <c r="BH836" s="1" t="s">
        <v>74</v>
      </c>
      <c r="BI836" s="1" t="s">
        <v>74</v>
      </c>
      <c r="BJ836" s="1" t="s">
        <v>74</v>
      </c>
      <c r="BK836" s="1" t="s">
        <v>74</v>
      </c>
      <c r="BL836" s="1" t="s">
        <v>74</v>
      </c>
      <c r="BM836" s="1" t="s">
        <v>74</v>
      </c>
      <c r="BN836" s="1" t="s">
        <v>74</v>
      </c>
      <c r="BO836" s="1" t="s">
        <v>74</v>
      </c>
      <c r="BP836" s="1" t="s">
        <v>74</v>
      </c>
      <c r="BQ836" s="1" t="s">
        <v>74</v>
      </c>
      <c r="BR836" s="1" t="s">
        <v>74</v>
      </c>
      <c r="BS836" s="1" t="s">
        <v>8414</v>
      </c>
      <c r="BT836" s="1" t="str">
        <f>HYPERLINK("https%3A%2F%2Fwww.webofscience.com%2Fwos%2Fwoscc%2Ffull-record%2FWOS:000310642800003","View Full Record in Web of Science")</f>
        <v>View Full Record in Web of Science</v>
      </c>
    </row>
    <row r="837" ht="12.75" customHeight="1">
      <c r="A837" s="1" t="s">
        <v>72</v>
      </c>
      <c r="B837" s="1" t="s">
        <v>8415</v>
      </c>
      <c r="C837" s="1" t="s">
        <v>74</v>
      </c>
      <c r="D837" s="1" t="s">
        <v>74</v>
      </c>
      <c r="E837" s="1" t="s">
        <v>74</v>
      </c>
      <c r="F837" s="1" t="s">
        <v>8416</v>
      </c>
      <c r="G837" s="1" t="s">
        <v>74</v>
      </c>
      <c r="H837" s="1" t="s">
        <v>74</v>
      </c>
      <c r="I837" s="1" t="s">
        <v>8417</v>
      </c>
      <c r="J837" s="1" t="s">
        <v>8418</v>
      </c>
      <c r="K837" s="1" t="s">
        <v>74</v>
      </c>
      <c r="L837" s="1" t="s">
        <v>74</v>
      </c>
      <c r="M837" s="1" t="s">
        <v>74</v>
      </c>
      <c r="N837" s="1" t="s">
        <v>74</v>
      </c>
      <c r="O837" s="1" t="s">
        <v>74</v>
      </c>
      <c r="P837" s="1" t="s">
        <v>74</v>
      </c>
      <c r="Q837" s="1" t="s">
        <v>74</v>
      </c>
      <c r="R837" s="1" t="s">
        <v>74</v>
      </c>
      <c r="S837" s="1" t="s">
        <v>74</v>
      </c>
      <c r="T837" s="1" t="s">
        <v>74</v>
      </c>
      <c r="U837" s="1" t="s">
        <v>74</v>
      </c>
      <c r="V837" s="1" t="s">
        <v>8419</v>
      </c>
      <c r="W837" s="1" t="s">
        <v>74</v>
      </c>
      <c r="X837" s="1" t="s">
        <v>74</v>
      </c>
      <c r="Y837" s="1" t="s">
        <v>74</v>
      </c>
      <c r="Z837" s="1" t="s">
        <v>74</v>
      </c>
      <c r="AA837" s="1" t="s">
        <v>8420</v>
      </c>
      <c r="AB837" s="1" t="s">
        <v>8421</v>
      </c>
      <c r="AC837" s="1" t="s">
        <v>74</v>
      </c>
      <c r="AD837" s="1" t="s">
        <v>74</v>
      </c>
      <c r="AE837" s="1" t="s">
        <v>74</v>
      </c>
      <c r="AF837" s="1" t="s">
        <v>74</v>
      </c>
      <c r="AG837" s="1" t="s">
        <v>74</v>
      </c>
      <c r="AH837" s="1" t="s">
        <v>74</v>
      </c>
      <c r="AI837" s="1" t="s">
        <v>74</v>
      </c>
      <c r="AJ837" s="1" t="s">
        <v>74</v>
      </c>
      <c r="AK837" s="1" t="s">
        <v>74</v>
      </c>
      <c r="AL837" s="1" t="s">
        <v>74</v>
      </c>
      <c r="AM837" s="1" t="s">
        <v>74</v>
      </c>
      <c r="AN837" s="1" t="s">
        <v>74</v>
      </c>
      <c r="AO837" s="1" t="s">
        <v>8422</v>
      </c>
      <c r="AP837" s="1" t="s">
        <v>8423</v>
      </c>
      <c r="AQ837" s="1" t="s">
        <v>74</v>
      </c>
      <c r="AR837" s="1" t="s">
        <v>74</v>
      </c>
      <c r="AS837" s="1" t="s">
        <v>74</v>
      </c>
      <c r="AT837" s="1" t="s">
        <v>537</v>
      </c>
      <c r="AU837" s="1">
        <v>2012.0</v>
      </c>
      <c r="AV837" s="1">
        <v>183.0</v>
      </c>
      <c r="AW837" s="1">
        <v>11.0</v>
      </c>
      <c r="AX837" s="1" t="s">
        <v>74</v>
      </c>
      <c r="AY837" s="1" t="s">
        <v>74</v>
      </c>
      <c r="AZ837" s="1" t="s">
        <v>74</v>
      </c>
      <c r="BA837" s="1" t="s">
        <v>74</v>
      </c>
      <c r="BB837" s="1">
        <v>2386.0</v>
      </c>
      <c r="BC837" s="1">
        <v>2391.0</v>
      </c>
      <c r="BD837" s="1" t="s">
        <v>74</v>
      </c>
      <c r="BE837" s="1" t="s">
        <v>8424</v>
      </c>
      <c r="BF837" s="2" t="str">
        <f>HYPERLINK("http://dx.doi.org/10.1016/j.cpc.2012.06.006","http://dx.doi.org/10.1016/j.cpc.2012.06.006")</f>
        <v>http://dx.doi.org/10.1016/j.cpc.2012.06.006</v>
      </c>
      <c r="BG837" s="1" t="s">
        <v>74</v>
      </c>
      <c r="BH837" s="1" t="s">
        <v>74</v>
      </c>
      <c r="BI837" s="1" t="s">
        <v>74</v>
      </c>
      <c r="BJ837" s="1" t="s">
        <v>74</v>
      </c>
      <c r="BK837" s="1" t="s">
        <v>74</v>
      </c>
      <c r="BL837" s="1" t="s">
        <v>74</v>
      </c>
      <c r="BM837" s="1" t="s">
        <v>74</v>
      </c>
      <c r="BN837" s="1" t="s">
        <v>74</v>
      </c>
      <c r="BO837" s="1" t="s">
        <v>74</v>
      </c>
      <c r="BP837" s="1" t="s">
        <v>74</v>
      </c>
      <c r="BQ837" s="1" t="s">
        <v>74</v>
      </c>
      <c r="BR837" s="1" t="s">
        <v>74</v>
      </c>
      <c r="BS837" s="1" t="s">
        <v>8425</v>
      </c>
      <c r="BT837" s="1" t="str">
        <f>HYPERLINK("https%3A%2F%2Fwww.webofscience.com%2Fwos%2Fwoscc%2Ffull-record%2FWOS:000308122000008","View Full Record in Web of Science")</f>
        <v>View Full Record in Web of Science</v>
      </c>
    </row>
    <row r="838" ht="12.75" customHeight="1">
      <c r="A838" s="1" t="s">
        <v>72</v>
      </c>
      <c r="B838" s="1" t="s">
        <v>8426</v>
      </c>
      <c r="C838" s="1" t="s">
        <v>74</v>
      </c>
      <c r="D838" s="1" t="s">
        <v>74</v>
      </c>
      <c r="E838" s="1" t="s">
        <v>74</v>
      </c>
      <c r="F838" s="1" t="s">
        <v>8427</v>
      </c>
      <c r="G838" s="1" t="s">
        <v>74</v>
      </c>
      <c r="H838" s="1" t="s">
        <v>74</v>
      </c>
      <c r="I838" s="1" t="s">
        <v>8428</v>
      </c>
      <c r="J838" s="1" t="s">
        <v>8429</v>
      </c>
      <c r="K838" s="1" t="s">
        <v>74</v>
      </c>
      <c r="L838" s="1" t="s">
        <v>74</v>
      </c>
      <c r="M838" s="1" t="s">
        <v>74</v>
      </c>
      <c r="N838" s="1" t="s">
        <v>74</v>
      </c>
      <c r="O838" s="1" t="s">
        <v>74</v>
      </c>
      <c r="P838" s="1" t="s">
        <v>74</v>
      </c>
      <c r="Q838" s="1" t="s">
        <v>74</v>
      </c>
      <c r="R838" s="1" t="s">
        <v>74</v>
      </c>
      <c r="S838" s="1" t="s">
        <v>74</v>
      </c>
      <c r="T838" s="1" t="s">
        <v>74</v>
      </c>
      <c r="U838" s="1" t="s">
        <v>74</v>
      </c>
      <c r="V838" s="1" t="s">
        <v>8430</v>
      </c>
      <c r="W838" s="1" t="s">
        <v>74</v>
      </c>
      <c r="X838" s="1" t="s">
        <v>74</v>
      </c>
      <c r="Y838" s="1" t="s">
        <v>74</v>
      </c>
      <c r="Z838" s="1" t="s">
        <v>74</v>
      </c>
      <c r="AA838" s="1" t="s">
        <v>8431</v>
      </c>
      <c r="AB838" s="1" t="s">
        <v>8432</v>
      </c>
      <c r="AC838" s="1" t="s">
        <v>74</v>
      </c>
      <c r="AD838" s="1" t="s">
        <v>74</v>
      </c>
      <c r="AE838" s="1" t="s">
        <v>74</v>
      </c>
      <c r="AF838" s="1" t="s">
        <v>74</v>
      </c>
      <c r="AG838" s="1" t="s">
        <v>74</v>
      </c>
      <c r="AH838" s="1" t="s">
        <v>74</v>
      </c>
      <c r="AI838" s="1" t="s">
        <v>74</v>
      </c>
      <c r="AJ838" s="1" t="s">
        <v>74</v>
      </c>
      <c r="AK838" s="1" t="s">
        <v>74</v>
      </c>
      <c r="AL838" s="1" t="s">
        <v>74</v>
      </c>
      <c r="AM838" s="1" t="s">
        <v>74</v>
      </c>
      <c r="AN838" s="1" t="s">
        <v>74</v>
      </c>
      <c r="AO838" s="1" t="s">
        <v>8433</v>
      </c>
      <c r="AP838" s="1" t="s">
        <v>74</v>
      </c>
      <c r="AQ838" s="1" t="s">
        <v>74</v>
      </c>
      <c r="AR838" s="1" t="s">
        <v>74</v>
      </c>
      <c r="AS838" s="1" t="s">
        <v>74</v>
      </c>
      <c r="AT838" s="1" t="s">
        <v>74</v>
      </c>
      <c r="AU838" s="1">
        <v>2011.0</v>
      </c>
      <c r="AV838" s="1" t="s">
        <v>74</v>
      </c>
      <c r="AW838" s="1">
        <v>503.0</v>
      </c>
      <c r="AX838" s="1" t="s">
        <v>74</v>
      </c>
      <c r="AY838" s="1" t="s">
        <v>74</v>
      </c>
      <c r="AZ838" s="1" t="s">
        <v>74</v>
      </c>
      <c r="BA838" s="1" t="s">
        <v>74</v>
      </c>
      <c r="BB838" s="1">
        <v>39.0</v>
      </c>
      <c r="BC838" s="1">
        <v>81.0</v>
      </c>
      <c r="BD838" s="1" t="s">
        <v>74</v>
      </c>
      <c r="BE838" s="1" t="s">
        <v>8434</v>
      </c>
      <c r="BF838" s="2" t="str">
        <f>HYPERLINK("http://dx.doi.org/10.4067/S0718-04622011000100003","http://dx.doi.org/10.4067/S0718-04622011000100003")</f>
        <v>http://dx.doi.org/10.4067/S0718-04622011000100003</v>
      </c>
      <c r="BG838" s="1" t="s">
        <v>74</v>
      </c>
      <c r="BH838" s="1" t="s">
        <v>74</v>
      </c>
      <c r="BI838" s="1" t="s">
        <v>74</v>
      </c>
      <c r="BJ838" s="1" t="s">
        <v>74</v>
      </c>
      <c r="BK838" s="1" t="s">
        <v>74</v>
      </c>
      <c r="BL838" s="1" t="s">
        <v>74</v>
      </c>
      <c r="BM838" s="1" t="s">
        <v>74</v>
      </c>
      <c r="BN838" s="1" t="s">
        <v>74</v>
      </c>
      <c r="BO838" s="1" t="s">
        <v>74</v>
      </c>
      <c r="BP838" s="1" t="s">
        <v>74</v>
      </c>
      <c r="BQ838" s="1" t="s">
        <v>74</v>
      </c>
      <c r="BR838" s="1" t="s">
        <v>74</v>
      </c>
      <c r="BS838" s="1" t="s">
        <v>8435</v>
      </c>
      <c r="BT838" s="1" t="str">
        <f>HYPERLINK("https%3A%2F%2Fwww.webofscience.com%2Fwos%2Fwoscc%2Ffull-record%2FWOS:000295347000003","View Full Record in Web of Science")</f>
        <v>View Full Record in Web of Science</v>
      </c>
    </row>
    <row r="839" ht="12.75" customHeight="1">
      <c r="A839" s="1" t="s">
        <v>86</v>
      </c>
      <c r="B839" s="1" t="s">
        <v>8436</v>
      </c>
      <c r="C839" s="1" t="s">
        <v>74</v>
      </c>
      <c r="D839" s="1" t="s">
        <v>8437</v>
      </c>
      <c r="E839" s="1" t="s">
        <v>74</v>
      </c>
      <c r="F839" s="1" t="s">
        <v>8438</v>
      </c>
      <c r="G839" s="1" t="s">
        <v>74</v>
      </c>
      <c r="H839" s="1" t="s">
        <v>74</v>
      </c>
      <c r="I839" s="1" t="s">
        <v>8439</v>
      </c>
      <c r="J839" s="1" t="s">
        <v>8440</v>
      </c>
      <c r="K839" s="1" t="s">
        <v>1222</v>
      </c>
      <c r="L839" s="1" t="s">
        <v>74</v>
      </c>
      <c r="M839" s="1" t="s">
        <v>74</v>
      </c>
      <c r="N839" s="1" t="s">
        <v>74</v>
      </c>
      <c r="O839" s="1" t="s">
        <v>8441</v>
      </c>
      <c r="P839" s="1" t="s">
        <v>8442</v>
      </c>
      <c r="Q839" s="1" t="s">
        <v>8443</v>
      </c>
      <c r="R839" s="1" t="s">
        <v>8444</v>
      </c>
      <c r="S839" s="1" t="s">
        <v>74</v>
      </c>
      <c r="T839" s="1" t="s">
        <v>74</v>
      </c>
      <c r="U839" s="1" t="s">
        <v>74</v>
      </c>
      <c r="V839" s="1" t="s">
        <v>8445</v>
      </c>
      <c r="W839" s="1" t="s">
        <v>74</v>
      </c>
      <c r="X839" s="1" t="s">
        <v>74</v>
      </c>
      <c r="Y839" s="1" t="s">
        <v>74</v>
      </c>
      <c r="Z839" s="1" t="s">
        <v>74</v>
      </c>
      <c r="AA839" s="1" t="s">
        <v>8446</v>
      </c>
      <c r="AB839" s="1" t="s">
        <v>8447</v>
      </c>
      <c r="AC839" s="1" t="s">
        <v>74</v>
      </c>
      <c r="AD839" s="1" t="s">
        <v>74</v>
      </c>
      <c r="AE839" s="1" t="s">
        <v>74</v>
      </c>
      <c r="AF839" s="1" t="s">
        <v>74</v>
      </c>
      <c r="AG839" s="1" t="s">
        <v>74</v>
      </c>
      <c r="AH839" s="1" t="s">
        <v>74</v>
      </c>
      <c r="AI839" s="1" t="s">
        <v>74</v>
      </c>
      <c r="AJ839" s="1" t="s">
        <v>74</v>
      </c>
      <c r="AK839" s="1" t="s">
        <v>74</v>
      </c>
      <c r="AL839" s="1" t="s">
        <v>74</v>
      </c>
      <c r="AM839" s="1" t="s">
        <v>74</v>
      </c>
      <c r="AN839" s="1" t="s">
        <v>74</v>
      </c>
      <c r="AO839" s="1" t="s">
        <v>1230</v>
      </c>
      <c r="AP839" s="1" t="s">
        <v>74</v>
      </c>
      <c r="AQ839" s="1" t="s">
        <v>8448</v>
      </c>
      <c r="AR839" s="1" t="s">
        <v>74</v>
      </c>
      <c r="AS839" s="1" t="s">
        <v>74</v>
      </c>
      <c r="AT839" s="1" t="s">
        <v>74</v>
      </c>
      <c r="AU839" s="1">
        <v>2011.0</v>
      </c>
      <c r="AV839" s="1">
        <v>8287.0</v>
      </c>
      <c r="AW839" s="1" t="s">
        <v>74</v>
      </c>
      <c r="AX839" s="1" t="s">
        <v>74</v>
      </c>
      <c r="AY839" s="1" t="s">
        <v>74</v>
      </c>
      <c r="AZ839" s="1" t="s">
        <v>74</v>
      </c>
      <c r="BA839" s="1" t="s">
        <v>74</v>
      </c>
      <c r="BB839" s="1" t="s">
        <v>74</v>
      </c>
      <c r="BC839" s="1" t="s">
        <v>74</v>
      </c>
      <c r="BD839" s="1" t="s">
        <v>8449</v>
      </c>
      <c r="BE839" s="1" t="s">
        <v>8450</v>
      </c>
      <c r="BF839" s="2" t="str">
        <f>HYPERLINK("http://dx.doi.org/10.1117/12.911891","http://dx.doi.org/10.1117/12.911891")</f>
        <v>http://dx.doi.org/10.1117/12.911891</v>
      </c>
      <c r="BG839" s="1" t="s">
        <v>74</v>
      </c>
      <c r="BH839" s="1" t="s">
        <v>74</v>
      </c>
      <c r="BI839" s="1" t="s">
        <v>74</v>
      </c>
      <c r="BJ839" s="1" t="s">
        <v>74</v>
      </c>
      <c r="BK839" s="1" t="s">
        <v>74</v>
      </c>
      <c r="BL839" s="1" t="s">
        <v>74</v>
      </c>
      <c r="BM839" s="1" t="s">
        <v>74</v>
      </c>
      <c r="BN839" s="1" t="s">
        <v>74</v>
      </c>
      <c r="BO839" s="1" t="s">
        <v>74</v>
      </c>
      <c r="BP839" s="1" t="s">
        <v>74</v>
      </c>
      <c r="BQ839" s="1" t="s">
        <v>74</v>
      </c>
      <c r="BR839" s="1" t="s">
        <v>74</v>
      </c>
      <c r="BS839" s="1" t="s">
        <v>8451</v>
      </c>
      <c r="BT839" s="1" t="str">
        <f>HYPERLINK("https%3A%2F%2Fwww.webofscience.com%2Fwos%2Fwoscc%2Ffull-record%2FWOS:000297496000013","View Full Record in Web of Science")</f>
        <v>View Full Record in Web of Science</v>
      </c>
    </row>
    <row r="840" ht="12.75" customHeight="1">
      <c r="A840" s="1" t="s">
        <v>72</v>
      </c>
      <c r="B840" s="1" t="s">
        <v>8452</v>
      </c>
      <c r="C840" s="1" t="s">
        <v>74</v>
      </c>
      <c r="D840" s="1" t="s">
        <v>74</v>
      </c>
      <c r="E840" s="1" t="s">
        <v>74</v>
      </c>
      <c r="F840" s="1" t="s">
        <v>8453</v>
      </c>
      <c r="G840" s="1" t="s">
        <v>74</v>
      </c>
      <c r="H840" s="1" t="s">
        <v>74</v>
      </c>
      <c r="I840" s="1" t="s">
        <v>8454</v>
      </c>
      <c r="J840" s="1" t="s">
        <v>491</v>
      </c>
      <c r="K840" s="1" t="s">
        <v>74</v>
      </c>
      <c r="L840" s="1" t="s">
        <v>74</v>
      </c>
      <c r="M840" s="1" t="s">
        <v>74</v>
      </c>
      <c r="N840" s="1" t="s">
        <v>74</v>
      </c>
      <c r="O840" s="1" t="s">
        <v>74</v>
      </c>
      <c r="P840" s="1" t="s">
        <v>74</v>
      </c>
      <c r="Q840" s="1" t="s">
        <v>74</v>
      </c>
      <c r="R840" s="1" t="s">
        <v>74</v>
      </c>
      <c r="S840" s="1" t="s">
        <v>74</v>
      </c>
      <c r="T840" s="1" t="s">
        <v>74</v>
      </c>
      <c r="U840" s="1" t="s">
        <v>74</v>
      </c>
      <c r="V840" s="1" t="s">
        <v>8455</v>
      </c>
      <c r="W840" s="1" t="s">
        <v>74</v>
      </c>
      <c r="X840" s="1" t="s">
        <v>74</v>
      </c>
      <c r="Y840" s="1" t="s">
        <v>74</v>
      </c>
      <c r="Z840" s="1" t="s">
        <v>74</v>
      </c>
      <c r="AA840" s="1" t="s">
        <v>74</v>
      </c>
      <c r="AB840" s="1" t="s">
        <v>8456</v>
      </c>
      <c r="AC840" s="1" t="s">
        <v>74</v>
      </c>
      <c r="AD840" s="1" t="s">
        <v>74</v>
      </c>
      <c r="AE840" s="1" t="s">
        <v>74</v>
      </c>
      <c r="AF840" s="1" t="s">
        <v>74</v>
      </c>
      <c r="AG840" s="1" t="s">
        <v>74</v>
      </c>
      <c r="AH840" s="1" t="s">
        <v>74</v>
      </c>
      <c r="AI840" s="1" t="s">
        <v>74</v>
      </c>
      <c r="AJ840" s="1" t="s">
        <v>74</v>
      </c>
      <c r="AK840" s="1" t="s">
        <v>74</v>
      </c>
      <c r="AL840" s="1" t="s">
        <v>74</v>
      </c>
      <c r="AM840" s="1" t="s">
        <v>74</v>
      </c>
      <c r="AN840" s="1" t="s">
        <v>74</v>
      </c>
      <c r="AO840" s="1" t="s">
        <v>495</v>
      </c>
      <c r="AP840" s="1" t="s">
        <v>8457</v>
      </c>
      <c r="AQ840" s="1" t="s">
        <v>74</v>
      </c>
      <c r="AR840" s="1" t="s">
        <v>74</v>
      </c>
      <c r="AS840" s="1" t="s">
        <v>74</v>
      </c>
      <c r="AT840" s="1" t="s">
        <v>4743</v>
      </c>
      <c r="AU840" s="1">
        <v>2010.0</v>
      </c>
      <c r="AV840" s="1">
        <v>38.0</v>
      </c>
      <c r="AW840" s="1">
        <v>4.0</v>
      </c>
      <c r="AX840" s="1" t="s">
        <v>74</v>
      </c>
      <c r="AY840" s="1" t="s">
        <v>74</v>
      </c>
      <c r="AZ840" s="1" t="s">
        <v>74</v>
      </c>
      <c r="BA840" s="1" t="s">
        <v>74</v>
      </c>
      <c r="BB840" s="1">
        <v>203.0</v>
      </c>
      <c r="BC840" s="1">
        <v>212.0</v>
      </c>
      <c r="BD840" s="1" t="s">
        <v>74</v>
      </c>
      <c r="BE840" s="1" t="s">
        <v>8458</v>
      </c>
      <c r="BF840" s="2" t="str">
        <f>HYPERLINK("http://dx.doi.org/10.1016/j.aller.2010.01.003","http://dx.doi.org/10.1016/j.aller.2010.01.003")</f>
        <v>http://dx.doi.org/10.1016/j.aller.2010.01.003</v>
      </c>
      <c r="BG840" s="1" t="s">
        <v>74</v>
      </c>
      <c r="BH840" s="1" t="s">
        <v>74</v>
      </c>
      <c r="BI840" s="1" t="s">
        <v>74</v>
      </c>
      <c r="BJ840" s="1" t="s">
        <v>74</v>
      </c>
      <c r="BK840" s="1" t="s">
        <v>74</v>
      </c>
      <c r="BL840" s="1" t="s">
        <v>74</v>
      </c>
      <c r="BM840" s="1" t="s">
        <v>74</v>
      </c>
      <c r="BN840" s="1">
        <v>2.0338682E7</v>
      </c>
      <c r="BO840" s="1" t="s">
        <v>74</v>
      </c>
      <c r="BP840" s="1" t="s">
        <v>74</v>
      </c>
      <c r="BQ840" s="1" t="s">
        <v>74</v>
      </c>
      <c r="BR840" s="1" t="s">
        <v>74</v>
      </c>
      <c r="BS840" s="1" t="s">
        <v>8459</v>
      </c>
      <c r="BT840" s="1" t="str">
        <f>HYPERLINK("https%3A%2F%2Fwww.webofscience.com%2Fwos%2Fwoscc%2Ffull-record%2FWOS:000280314800007","View Full Record in Web of Science")</f>
        <v>View Full Record in Web of Science</v>
      </c>
    </row>
    <row r="841" ht="12.75" customHeight="1">
      <c r="A841" s="1" t="s">
        <v>86</v>
      </c>
      <c r="B841" s="1" t="s">
        <v>8460</v>
      </c>
      <c r="C841" s="1" t="s">
        <v>74</v>
      </c>
      <c r="D841" s="1" t="s">
        <v>8461</v>
      </c>
      <c r="E841" s="1" t="s">
        <v>74</v>
      </c>
      <c r="F841" s="1" t="s">
        <v>8462</v>
      </c>
      <c r="G841" s="1" t="s">
        <v>74</v>
      </c>
      <c r="H841" s="1" t="s">
        <v>74</v>
      </c>
      <c r="I841" s="1" t="s">
        <v>8463</v>
      </c>
      <c r="J841" s="1" t="s">
        <v>8464</v>
      </c>
      <c r="K841" s="1" t="s">
        <v>7379</v>
      </c>
      <c r="L841" s="1" t="s">
        <v>74</v>
      </c>
      <c r="M841" s="1" t="s">
        <v>74</v>
      </c>
      <c r="N841" s="1" t="s">
        <v>74</v>
      </c>
      <c r="O841" s="1" t="s">
        <v>8465</v>
      </c>
      <c r="P841" s="1" t="s">
        <v>8466</v>
      </c>
      <c r="Q841" s="1" t="s">
        <v>6002</v>
      </c>
      <c r="R841" s="1" t="s">
        <v>8467</v>
      </c>
      <c r="S841" s="1" t="s">
        <v>74</v>
      </c>
      <c r="T841" s="1" t="s">
        <v>74</v>
      </c>
      <c r="U841" s="1" t="s">
        <v>74</v>
      </c>
      <c r="V841" s="1" t="s">
        <v>8468</v>
      </c>
      <c r="W841" s="1" t="s">
        <v>74</v>
      </c>
      <c r="X841" s="1" t="s">
        <v>74</v>
      </c>
      <c r="Y841" s="1" t="s">
        <v>74</v>
      </c>
      <c r="Z841" s="1" t="s">
        <v>74</v>
      </c>
      <c r="AA841" s="1" t="s">
        <v>5499</v>
      </c>
      <c r="AB841" s="1" t="s">
        <v>5500</v>
      </c>
      <c r="AC841" s="1" t="s">
        <v>74</v>
      </c>
      <c r="AD841" s="1" t="s">
        <v>74</v>
      </c>
      <c r="AE841" s="1" t="s">
        <v>74</v>
      </c>
      <c r="AF841" s="1" t="s">
        <v>74</v>
      </c>
      <c r="AG841" s="1" t="s">
        <v>74</v>
      </c>
      <c r="AH841" s="1" t="s">
        <v>74</v>
      </c>
      <c r="AI841" s="1" t="s">
        <v>74</v>
      </c>
      <c r="AJ841" s="1" t="s">
        <v>74</v>
      </c>
      <c r="AK841" s="1" t="s">
        <v>74</v>
      </c>
      <c r="AL841" s="1" t="s">
        <v>74</v>
      </c>
      <c r="AM841" s="1" t="s">
        <v>74</v>
      </c>
      <c r="AN841" s="1" t="s">
        <v>74</v>
      </c>
      <c r="AO841" s="1" t="s">
        <v>7385</v>
      </c>
      <c r="AP841" s="1" t="s">
        <v>74</v>
      </c>
      <c r="AQ841" s="1" t="s">
        <v>8469</v>
      </c>
      <c r="AR841" s="1" t="s">
        <v>74</v>
      </c>
      <c r="AS841" s="1" t="s">
        <v>74</v>
      </c>
      <c r="AT841" s="1" t="s">
        <v>74</v>
      </c>
      <c r="AU841" s="1">
        <v>2009.0</v>
      </c>
      <c r="AV841" s="1" t="s">
        <v>74</v>
      </c>
      <c r="AW841" s="1" t="s">
        <v>74</v>
      </c>
      <c r="AX841" s="1" t="s">
        <v>74</v>
      </c>
      <c r="AY841" s="1" t="s">
        <v>74</v>
      </c>
      <c r="AZ841" s="1" t="s">
        <v>74</v>
      </c>
      <c r="BA841" s="1" t="s">
        <v>74</v>
      </c>
      <c r="BB841" s="1">
        <v>2733.0</v>
      </c>
      <c r="BC841" s="1" t="s">
        <v>142</v>
      </c>
      <c r="BD841" s="1" t="s">
        <v>74</v>
      </c>
      <c r="BE841" s="1" t="s">
        <v>8470</v>
      </c>
      <c r="BF841" s="2" t="str">
        <f>HYPERLINK("http://dx.doi.org/10.1109/NSSMIC.2009.5401967","http://dx.doi.org/10.1109/NSSMIC.2009.5401967")</f>
        <v>http://dx.doi.org/10.1109/NSSMIC.2009.5401967</v>
      </c>
      <c r="BG841" s="1" t="s">
        <v>74</v>
      </c>
      <c r="BH841" s="1" t="s">
        <v>74</v>
      </c>
      <c r="BI841" s="1" t="s">
        <v>74</v>
      </c>
      <c r="BJ841" s="1" t="s">
        <v>74</v>
      </c>
      <c r="BK841" s="1" t="s">
        <v>74</v>
      </c>
      <c r="BL841" s="1" t="s">
        <v>74</v>
      </c>
      <c r="BM841" s="1" t="s">
        <v>74</v>
      </c>
      <c r="BN841" s="1" t="s">
        <v>74</v>
      </c>
      <c r="BO841" s="1" t="s">
        <v>74</v>
      </c>
      <c r="BP841" s="1" t="s">
        <v>74</v>
      </c>
      <c r="BQ841" s="1" t="s">
        <v>74</v>
      </c>
      <c r="BR841" s="1" t="s">
        <v>74</v>
      </c>
      <c r="BS841" s="1" t="s">
        <v>8471</v>
      </c>
      <c r="BT841" s="1" t="str">
        <f>HYPERLINK("https%3A%2F%2Fwww.webofscience.com%2Fwos%2Fwoscc%2Ffull-record%2FWOS:000280505101229","View Full Record in Web of Science")</f>
        <v>View Full Record in Web of Science</v>
      </c>
    </row>
    <row r="842" ht="12.75" customHeight="1">
      <c r="A842" s="1" t="s">
        <v>72</v>
      </c>
      <c r="B842" s="1" t="s">
        <v>8472</v>
      </c>
      <c r="C842" s="1" t="s">
        <v>74</v>
      </c>
      <c r="D842" s="1" t="s">
        <v>74</v>
      </c>
      <c r="E842" s="1" t="s">
        <v>74</v>
      </c>
      <c r="F842" s="1" t="s">
        <v>8473</v>
      </c>
      <c r="G842" s="1" t="s">
        <v>74</v>
      </c>
      <c r="H842" s="1" t="s">
        <v>74</v>
      </c>
      <c r="I842" s="1" t="s">
        <v>8474</v>
      </c>
      <c r="J842" s="1" t="s">
        <v>8475</v>
      </c>
      <c r="K842" s="1" t="s">
        <v>74</v>
      </c>
      <c r="L842" s="1" t="s">
        <v>74</v>
      </c>
      <c r="M842" s="1" t="s">
        <v>74</v>
      </c>
      <c r="N842" s="1" t="s">
        <v>74</v>
      </c>
      <c r="O842" s="1" t="s">
        <v>74</v>
      </c>
      <c r="P842" s="1" t="s">
        <v>74</v>
      </c>
      <c r="Q842" s="1" t="s">
        <v>74</v>
      </c>
      <c r="R842" s="1" t="s">
        <v>74</v>
      </c>
      <c r="S842" s="1" t="s">
        <v>74</v>
      </c>
      <c r="T842" s="1" t="s">
        <v>74</v>
      </c>
      <c r="U842" s="1" t="s">
        <v>74</v>
      </c>
      <c r="V842" s="1" t="s">
        <v>8476</v>
      </c>
      <c r="W842" s="1" t="s">
        <v>74</v>
      </c>
      <c r="X842" s="1" t="s">
        <v>74</v>
      </c>
      <c r="Y842" s="1" t="s">
        <v>74</v>
      </c>
      <c r="Z842" s="1" t="s">
        <v>74</v>
      </c>
      <c r="AA842" s="1" t="s">
        <v>8477</v>
      </c>
      <c r="AB842" s="1" t="s">
        <v>8478</v>
      </c>
      <c r="AC842" s="1" t="s">
        <v>74</v>
      </c>
      <c r="AD842" s="1" t="s">
        <v>74</v>
      </c>
      <c r="AE842" s="1" t="s">
        <v>74</v>
      </c>
      <c r="AF842" s="1" t="s">
        <v>74</v>
      </c>
      <c r="AG842" s="1" t="s">
        <v>74</v>
      </c>
      <c r="AH842" s="1" t="s">
        <v>74</v>
      </c>
      <c r="AI842" s="1" t="s">
        <v>74</v>
      </c>
      <c r="AJ842" s="1" t="s">
        <v>74</v>
      </c>
      <c r="AK842" s="1" t="s">
        <v>74</v>
      </c>
      <c r="AL842" s="1" t="s">
        <v>74</v>
      </c>
      <c r="AM842" s="1" t="s">
        <v>74</v>
      </c>
      <c r="AN842" s="1" t="s">
        <v>74</v>
      </c>
      <c r="AO842" s="1" t="s">
        <v>8479</v>
      </c>
      <c r="AP842" s="1" t="s">
        <v>74</v>
      </c>
      <c r="AQ842" s="1" t="s">
        <v>74</v>
      </c>
      <c r="AR842" s="1" t="s">
        <v>74</v>
      </c>
      <c r="AS842" s="1" t="s">
        <v>74</v>
      </c>
      <c r="AT842" s="1" t="s">
        <v>201</v>
      </c>
      <c r="AU842" s="1">
        <v>2006.0</v>
      </c>
      <c r="AV842" s="1">
        <v>85.0</v>
      </c>
      <c r="AW842" s="1">
        <v>2.0</v>
      </c>
      <c r="AX842" s="1" t="s">
        <v>74</v>
      </c>
      <c r="AY842" s="1" t="s">
        <v>74</v>
      </c>
      <c r="AZ842" s="1" t="s">
        <v>74</v>
      </c>
      <c r="BA842" s="1" t="s">
        <v>74</v>
      </c>
      <c r="BB842" s="1">
        <v>408.0</v>
      </c>
      <c r="BC842" s="1">
        <v>414.0</v>
      </c>
      <c r="BD842" s="1" t="s">
        <v>74</v>
      </c>
      <c r="BE842" s="1" t="s">
        <v>8480</v>
      </c>
      <c r="BF842" s="2" t="str">
        <f>HYPERLINK("http://dx.doi.org/10.1016/j.pbb.2006.09.009","http://dx.doi.org/10.1016/j.pbb.2006.09.009")</f>
        <v>http://dx.doi.org/10.1016/j.pbb.2006.09.009</v>
      </c>
      <c r="BG842" s="1" t="s">
        <v>74</v>
      </c>
      <c r="BH842" s="1" t="s">
        <v>74</v>
      </c>
      <c r="BI842" s="1" t="s">
        <v>74</v>
      </c>
      <c r="BJ842" s="1" t="s">
        <v>74</v>
      </c>
      <c r="BK842" s="1" t="s">
        <v>74</v>
      </c>
      <c r="BL842" s="1" t="s">
        <v>74</v>
      </c>
      <c r="BM842" s="1" t="s">
        <v>74</v>
      </c>
      <c r="BN842" s="1">
        <v>1.7067663E7</v>
      </c>
      <c r="BO842" s="1" t="s">
        <v>74</v>
      </c>
      <c r="BP842" s="1" t="s">
        <v>74</v>
      </c>
      <c r="BQ842" s="1" t="s">
        <v>74</v>
      </c>
      <c r="BR842" s="1" t="s">
        <v>74</v>
      </c>
      <c r="BS842" s="1" t="s">
        <v>8481</v>
      </c>
      <c r="BT842" s="1" t="str">
        <f>HYPERLINK("https%3A%2F%2Fwww.webofscience.com%2Fwos%2Fwoscc%2Ffull-record%2FWOS:000243621800017","View Full Record in Web of Science")</f>
        <v>View Full Record in Web of Science</v>
      </c>
    </row>
    <row r="843" ht="12.75" customHeight="1">
      <c r="A843" s="1" t="s">
        <v>72</v>
      </c>
      <c r="B843" s="1" t="s">
        <v>8482</v>
      </c>
      <c r="C843" s="1" t="s">
        <v>74</v>
      </c>
      <c r="D843" s="1" t="s">
        <v>74</v>
      </c>
      <c r="E843" s="1" t="s">
        <v>74</v>
      </c>
      <c r="F843" s="1" t="s">
        <v>8482</v>
      </c>
      <c r="G843" s="1" t="s">
        <v>74</v>
      </c>
      <c r="H843" s="1" t="s">
        <v>74</v>
      </c>
      <c r="I843" s="1" t="s">
        <v>8483</v>
      </c>
      <c r="J843" s="1" t="s">
        <v>616</v>
      </c>
      <c r="K843" s="1" t="s">
        <v>74</v>
      </c>
      <c r="L843" s="1" t="s">
        <v>74</v>
      </c>
      <c r="M843" s="1" t="s">
        <v>74</v>
      </c>
      <c r="N843" s="1" t="s">
        <v>74</v>
      </c>
      <c r="O843" s="1" t="s">
        <v>74</v>
      </c>
      <c r="P843" s="1" t="s">
        <v>74</v>
      </c>
      <c r="Q843" s="1" t="s">
        <v>74</v>
      </c>
      <c r="R843" s="1" t="s">
        <v>74</v>
      </c>
      <c r="S843" s="1" t="s">
        <v>74</v>
      </c>
      <c r="T843" s="1" t="s">
        <v>74</v>
      </c>
      <c r="U843" s="1" t="s">
        <v>74</v>
      </c>
      <c r="V843" s="1" t="s">
        <v>8484</v>
      </c>
      <c r="W843" s="1" t="s">
        <v>74</v>
      </c>
      <c r="X843" s="1" t="s">
        <v>74</v>
      </c>
      <c r="Y843" s="1" t="s">
        <v>74</v>
      </c>
      <c r="Z843" s="1" t="s">
        <v>74</v>
      </c>
      <c r="AA843" s="1" t="s">
        <v>8485</v>
      </c>
      <c r="AB843" s="1" t="s">
        <v>8486</v>
      </c>
      <c r="AC843" s="1" t="s">
        <v>74</v>
      </c>
      <c r="AD843" s="1" t="s">
        <v>74</v>
      </c>
      <c r="AE843" s="1" t="s">
        <v>74</v>
      </c>
      <c r="AF843" s="1" t="s">
        <v>74</v>
      </c>
      <c r="AG843" s="1" t="s">
        <v>74</v>
      </c>
      <c r="AH843" s="1" t="s">
        <v>74</v>
      </c>
      <c r="AI843" s="1" t="s">
        <v>74</v>
      </c>
      <c r="AJ843" s="1" t="s">
        <v>74</v>
      </c>
      <c r="AK843" s="1" t="s">
        <v>74</v>
      </c>
      <c r="AL843" s="1" t="s">
        <v>74</v>
      </c>
      <c r="AM843" s="1" t="s">
        <v>74</v>
      </c>
      <c r="AN843" s="1" t="s">
        <v>74</v>
      </c>
      <c r="AO843" s="1" t="s">
        <v>620</v>
      </c>
      <c r="AP843" s="1" t="s">
        <v>621</v>
      </c>
      <c r="AQ843" s="1" t="s">
        <v>74</v>
      </c>
      <c r="AR843" s="1" t="s">
        <v>74</v>
      </c>
      <c r="AS843" s="1" t="s">
        <v>74</v>
      </c>
      <c r="AT843" s="1" t="s">
        <v>553</v>
      </c>
      <c r="AU843" s="1">
        <v>2005.0</v>
      </c>
      <c r="AV843" s="1">
        <v>58.0</v>
      </c>
      <c r="AW843" s="1">
        <v>1.0</v>
      </c>
      <c r="AX843" s="1" t="s">
        <v>74</v>
      </c>
      <c r="AY843" s="1" t="s">
        <v>74</v>
      </c>
      <c r="AZ843" s="1" t="s">
        <v>74</v>
      </c>
      <c r="BA843" s="1" t="s">
        <v>74</v>
      </c>
      <c r="BB843" s="1">
        <v>89.0</v>
      </c>
      <c r="BC843" s="1">
        <v>109.0</v>
      </c>
      <c r="BD843" s="1" t="s">
        <v>74</v>
      </c>
      <c r="BE843" s="1" t="s">
        <v>8487</v>
      </c>
      <c r="BF843" s="2" t="str">
        <f>HYPERLINK("http://dx.doi.org/10.1080/00958970512331328635","http://dx.doi.org/10.1080/00958970512331328635")</f>
        <v>http://dx.doi.org/10.1080/00958970512331328635</v>
      </c>
      <c r="BG843" s="1" t="s">
        <v>74</v>
      </c>
      <c r="BH843" s="1" t="s">
        <v>74</v>
      </c>
      <c r="BI843" s="1" t="s">
        <v>74</v>
      </c>
      <c r="BJ843" s="1" t="s">
        <v>74</v>
      </c>
      <c r="BK843" s="1" t="s">
        <v>74</v>
      </c>
      <c r="BL843" s="1" t="s">
        <v>74</v>
      </c>
      <c r="BM843" s="1" t="s">
        <v>74</v>
      </c>
      <c r="BN843" s="1" t="s">
        <v>74</v>
      </c>
      <c r="BO843" s="1" t="s">
        <v>74</v>
      </c>
      <c r="BP843" s="1" t="s">
        <v>74</v>
      </c>
      <c r="BQ843" s="1" t="s">
        <v>74</v>
      </c>
      <c r="BR843" s="1" t="s">
        <v>74</v>
      </c>
      <c r="BS843" s="1" t="s">
        <v>8488</v>
      </c>
      <c r="BT843" s="1" t="str">
        <f>HYPERLINK("https%3A%2F%2Fwww.webofscience.com%2Fwos%2Fwoscc%2Ffull-record%2FWOS:000226665400007","View Full Record in Web of Science")</f>
        <v>View Full Record in Web of Science</v>
      </c>
    </row>
    <row r="844" ht="12.75" customHeight="1">
      <c r="A844" s="1" t="s">
        <v>72</v>
      </c>
      <c r="B844" s="1" t="s">
        <v>8489</v>
      </c>
      <c r="C844" s="1" t="s">
        <v>74</v>
      </c>
      <c r="D844" s="1" t="s">
        <v>74</v>
      </c>
      <c r="E844" s="1" t="s">
        <v>74</v>
      </c>
      <c r="F844" s="1" t="s">
        <v>8489</v>
      </c>
      <c r="G844" s="1" t="s">
        <v>74</v>
      </c>
      <c r="H844" s="1" t="s">
        <v>74</v>
      </c>
      <c r="I844" s="1" t="s">
        <v>8490</v>
      </c>
      <c r="J844" s="1" t="s">
        <v>2941</v>
      </c>
      <c r="K844" s="1" t="s">
        <v>74</v>
      </c>
      <c r="L844" s="1" t="s">
        <v>74</v>
      </c>
      <c r="M844" s="1" t="s">
        <v>74</v>
      </c>
      <c r="N844" s="1" t="s">
        <v>74</v>
      </c>
      <c r="O844" s="1" t="s">
        <v>74</v>
      </c>
      <c r="P844" s="1" t="s">
        <v>74</v>
      </c>
      <c r="Q844" s="1" t="s">
        <v>74</v>
      </c>
      <c r="R844" s="1" t="s">
        <v>74</v>
      </c>
      <c r="S844" s="1" t="s">
        <v>74</v>
      </c>
      <c r="T844" s="1" t="s">
        <v>74</v>
      </c>
      <c r="U844" s="1" t="s">
        <v>74</v>
      </c>
      <c r="V844" s="1" t="s">
        <v>8491</v>
      </c>
      <c r="W844" s="1" t="s">
        <v>74</v>
      </c>
      <c r="X844" s="1" t="s">
        <v>74</v>
      </c>
      <c r="Y844" s="1" t="s">
        <v>74</v>
      </c>
      <c r="Z844" s="1" t="s">
        <v>74</v>
      </c>
      <c r="AA844" s="1" t="s">
        <v>8492</v>
      </c>
      <c r="AB844" s="1" t="s">
        <v>8493</v>
      </c>
      <c r="AC844" s="1" t="s">
        <v>74</v>
      </c>
      <c r="AD844" s="1" t="s">
        <v>74</v>
      </c>
      <c r="AE844" s="1" t="s">
        <v>74</v>
      </c>
      <c r="AF844" s="1" t="s">
        <v>74</v>
      </c>
      <c r="AG844" s="1" t="s">
        <v>74</v>
      </c>
      <c r="AH844" s="1" t="s">
        <v>74</v>
      </c>
      <c r="AI844" s="1" t="s">
        <v>74</v>
      </c>
      <c r="AJ844" s="1" t="s">
        <v>74</v>
      </c>
      <c r="AK844" s="1" t="s">
        <v>74</v>
      </c>
      <c r="AL844" s="1" t="s">
        <v>74</v>
      </c>
      <c r="AM844" s="1" t="s">
        <v>74</v>
      </c>
      <c r="AN844" s="1" t="s">
        <v>74</v>
      </c>
      <c r="AO844" s="1" t="s">
        <v>2944</v>
      </c>
      <c r="AP844" s="1" t="s">
        <v>8494</v>
      </c>
      <c r="AQ844" s="1" t="s">
        <v>74</v>
      </c>
      <c r="AR844" s="1" t="s">
        <v>74</v>
      </c>
      <c r="AS844" s="1" t="s">
        <v>74</v>
      </c>
      <c r="AT844" s="1" t="s">
        <v>8495</v>
      </c>
      <c r="AU844" s="1">
        <v>2005.0</v>
      </c>
      <c r="AV844" s="1">
        <v>81.0</v>
      </c>
      <c r="AW844" s="1">
        <v>1.0</v>
      </c>
      <c r="AX844" s="1" t="s">
        <v>74</v>
      </c>
      <c r="AY844" s="1" t="s">
        <v>74</v>
      </c>
      <c r="AZ844" s="1" t="s">
        <v>74</v>
      </c>
      <c r="BA844" s="1" t="s">
        <v>74</v>
      </c>
      <c r="BB844" s="1">
        <v>206.0</v>
      </c>
      <c r="BC844" s="1">
        <v>211.0</v>
      </c>
      <c r="BD844" s="1" t="s">
        <v>74</v>
      </c>
      <c r="BE844" s="1" t="s">
        <v>8496</v>
      </c>
      <c r="BF844" s="2" t="str">
        <f>HYPERLINK("http://dx.doi.org/10.1562/2004-07-14-RA-233.1","http://dx.doi.org/10.1562/2004-07-14-RA-233.1")</f>
        <v>http://dx.doi.org/10.1562/2004-07-14-RA-233.1</v>
      </c>
      <c r="BG844" s="1" t="s">
        <v>74</v>
      </c>
      <c r="BH844" s="1" t="s">
        <v>74</v>
      </c>
      <c r="BI844" s="1" t="s">
        <v>74</v>
      </c>
      <c r="BJ844" s="1" t="s">
        <v>74</v>
      </c>
      <c r="BK844" s="1" t="s">
        <v>74</v>
      </c>
      <c r="BL844" s="1" t="s">
        <v>74</v>
      </c>
      <c r="BM844" s="1" t="s">
        <v>74</v>
      </c>
      <c r="BN844" s="1">
        <v>1.5504084E7</v>
      </c>
      <c r="BO844" s="1" t="s">
        <v>74</v>
      </c>
      <c r="BP844" s="1" t="s">
        <v>74</v>
      </c>
      <c r="BQ844" s="1" t="s">
        <v>74</v>
      </c>
      <c r="BR844" s="1" t="s">
        <v>74</v>
      </c>
      <c r="BS844" s="1" t="s">
        <v>8497</v>
      </c>
      <c r="BT844" s="1" t="str">
        <f>HYPERLINK("https%3A%2F%2Fwww.webofscience.com%2Fwos%2Fwoscc%2Ffull-record%2FWOS:000227106800030","View Full Record in Web of Science")</f>
        <v>View Full Record in Web of Science</v>
      </c>
    </row>
    <row r="845" ht="12.75" customHeight="1">
      <c r="A845" s="1" t="s">
        <v>72</v>
      </c>
      <c r="B845" s="1" t="s">
        <v>8498</v>
      </c>
      <c r="C845" s="1" t="s">
        <v>74</v>
      </c>
      <c r="D845" s="1" t="s">
        <v>74</v>
      </c>
      <c r="E845" s="1" t="s">
        <v>74</v>
      </c>
      <c r="F845" s="1" t="s">
        <v>8498</v>
      </c>
      <c r="G845" s="1" t="s">
        <v>74</v>
      </c>
      <c r="H845" s="1" t="s">
        <v>74</v>
      </c>
      <c r="I845" s="1" t="s">
        <v>8499</v>
      </c>
      <c r="J845" s="1" t="s">
        <v>2972</v>
      </c>
      <c r="K845" s="1" t="s">
        <v>74</v>
      </c>
      <c r="L845" s="1" t="s">
        <v>74</v>
      </c>
      <c r="M845" s="1" t="s">
        <v>74</v>
      </c>
      <c r="N845" s="1" t="s">
        <v>74</v>
      </c>
      <c r="O845" s="1" t="s">
        <v>74</v>
      </c>
      <c r="P845" s="1" t="s">
        <v>74</v>
      </c>
      <c r="Q845" s="1" t="s">
        <v>74</v>
      </c>
      <c r="R845" s="1" t="s">
        <v>74</v>
      </c>
      <c r="S845" s="1" t="s">
        <v>74</v>
      </c>
      <c r="T845" s="1" t="s">
        <v>74</v>
      </c>
      <c r="U845" s="1" t="s">
        <v>74</v>
      </c>
      <c r="V845" s="1" t="s">
        <v>8500</v>
      </c>
      <c r="W845" s="1" t="s">
        <v>74</v>
      </c>
      <c r="X845" s="1" t="s">
        <v>74</v>
      </c>
      <c r="Y845" s="1" t="s">
        <v>74</v>
      </c>
      <c r="Z845" s="1" t="s">
        <v>74</v>
      </c>
      <c r="AA845" s="1" t="s">
        <v>2549</v>
      </c>
      <c r="AB845" s="1" t="s">
        <v>8501</v>
      </c>
      <c r="AC845" s="1" t="s">
        <v>74</v>
      </c>
      <c r="AD845" s="1" t="s">
        <v>74</v>
      </c>
      <c r="AE845" s="1" t="s">
        <v>74</v>
      </c>
      <c r="AF845" s="1" t="s">
        <v>74</v>
      </c>
      <c r="AG845" s="1" t="s">
        <v>74</v>
      </c>
      <c r="AH845" s="1" t="s">
        <v>74</v>
      </c>
      <c r="AI845" s="1" t="s">
        <v>74</v>
      </c>
      <c r="AJ845" s="1" t="s">
        <v>74</v>
      </c>
      <c r="AK845" s="1" t="s">
        <v>74</v>
      </c>
      <c r="AL845" s="1" t="s">
        <v>74</v>
      </c>
      <c r="AM845" s="1" t="s">
        <v>74</v>
      </c>
      <c r="AN845" s="1" t="s">
        <v>74</v>
      </c>
      <c r="AO845" s="1" t="s">
        <v>2976</v>
      </c>
      <c r="AP845" s="1" t="s">
        <v>8502</v>
      </c>
      <c r="AQ845" s="1" t="s">
        <v>74</v>
      </c>
      <c r="AR845" s="1" t="s">
        <v>74</v>
      </c>
      <c r="AS845" s="1" t="s">
        <v>74</v>
      </c>
      <c r="AT845" s="1" t="s">
        <v>8503</v>
      </c>
      <c r="AU845" s="1">
        <v>2001.0</v>
      </c>
      <c r="AV845" s="1">
        <v>302.0</v>
      </c>
      <c r="AW845" s="1">
        <v>1.0</v>
      </c>
      <c r="AX845" s="1" t="s">
        <v>74</v>
      </c>
      <c r="AY845" s="1" t="s">
        <v>74</v>
      </c>
      <c r="AZ845" s="1" t="s">
        <v>74</v>
      </c>
      <c r="BA845" s="1" t="s">
        <v>74</v>
      </c>
      <c r="BB845" s="1">
        <v>1.0</v>
      </c>
      <c r="BC845" s="1">
        <v>4.0</v>
      </c>
      <c r="BD845" s="1" t="s">
        <v>74</v>
      </c>
      <c r="BE845" s="1" t="s">
        <v>8504</v>
      </c>
      <c r="BF845" s="2" t="str">
        <f>HYPERLINK("http://dx.doi.org/10.1016/S0304-3940(01)01544-0","http://dx.doi.org/10.1016/S0304-3940(01)01544-0")</f>
        <v>http://dx.doi.org/10.1016/S0304-3940(01)01544-0</v>
      </c>
      <c r="BG845" s="1" t="s">
        <v>74</v>
      </c>
      <c r="BH845" s="1" t="s">
        <v>74</v>
      </c>
      <c r="BI845" s="1" t="s">
        <v>74</v>
      </c>
      <c r="BJ845" s="1" t="s">
        <v>74</v>
      </c>
      <c r="BK845" s="1" t="s">
        <v>74</v>
      </c>
      <c r="BL845" s="1" t="s">
        <v>74</v>
      </c>
      <c r="BM845" s="1" t="s">
        <v>74</v>
      </c>
      <c r="BN845" s="1">
        <v>1.1278097E7</v>
      </c>
      <c r="BO845" s="1" t="s">
        <v>74</v>
      </c>
      <c r="BP845" s="1" t="s">
        <v>74</v>
      </c>
      <c r="BQ845" s="1" t="s">
        <v>74</v>
      </c>
      <c r="BR845" s="1" t="s">
        <v>74</v>
      </c>
      <c r="BS845" s="1" t="s">
        <v>8505</v>
      </c>
      <c r="BT845" s="1" t="str">
        <f>HYPERLINK("https%3A%2F%2Fwww.webofscience.com%2Fwos%2Fwoscc%2Ffull-record%2FWOS:000168031600001","View Full Record in Web of Science")</f>
        <v>View Full Record in Web of Science</v>
      </c>
    </row>
    <row r="846" ht="12.75" customHeight="1">
      <c r="A846" s="1" t="s">
        <v>72</v>
      </c>
      <c r="B846" s="1" t="s">
        <v>1669</v>
      </c>
      <c r="C846" s="1" t="s">
        <v>74</v>
      </c>
      <c r="D846" s="1" t="s">
        <v>74</v>
      </c>
      <c r="E846" s="1" t="s">
        <v>74</v>
      </c>
      <c r="F846" s="1" t="s">
        <v>1669</v>
      </c>
      <c r="G846" s="1" t="s">
        <v>74</v>
      </c>
      <c r="H846" s="1" t="s">
        <v>74</v>
      </c>
      <c r="I846" s="1" t="s">
        <v>8506</v>
      </c>
      <c r="J846" s="1" t="s">
        <v>1671</v>
      </c>
      <c r="K846" s="1" t="s">
        <v>74</v>
      </c>
      <c r="L846" s="1" t="s">
        <v>74</v>
      </c>
      <c r="M846" s="1" t="s">
        <v>74</v>
      </c>
      <c r="N846" s="1" t="s">
        <v>74</v>
      </c>
      <c r="O846" s="1" t="s">
        <v>74</v>
      </c>
      <c r="P846" s="1" t="s">
        <v>74</v>
      </c>
      <c r="Q846" s="1" t="s">
        <v>74</v>
      </c>
      <c r="R846" s="1" t="s">
        <v>74</v>
      </c>
      <c r="S846" s="1" t="s">
        <v>74</v>
      </c>
      <c r="T846" s="1" t="s">
        <v>74</v>
      </c>
      <c r="U846" s="1" t="s">
        <v>74</v>
      </c>
      <c r="V846" s="1" t="s">
        <v>8507</v>
      </c>
      <c r="W846" s="1" t="s">
        <v>74</v>
      </c>
      <c r="X846" s="1" t="s">
        <v>74</v>
      </c>
      <c r="Y846" s="1" t="s">
        <v>74</v>
      </c>
      <c r="Z846" s="1" t="s">
        <v>74</v>
      </c>
      <c r="AA846" s="1" t="s">
        <v>1673</v>
      </c>
      <c r="AB846" s="1" t="s">
        <v>74</v>
      </c>
      <c r="AC846" s="1" t="s">
        <v>74</v>
      </c>
      <c r="AD846" s="1" t="s">
        <v>74</v>
      </c>
      <c r="AE846" s="1" t="s">
        <v>74</v>
      </c>
      <c r="AF846" s="1" t="s">
        <v>74</v>
      </c>
      <c r="AG846" s="1" t="s">
        <v>74</v>
      </c>
      <c r="AH846" s="1" t="s">
        <v>74</v>
      </c>
      <c r="AI846" s="1" t="s">
        <v>74</v>
      </c>
      <c r="AJ846" s="1" t="s">
        <v>74</v>
      </c>
      <c r="AK846" s="1" t="s">
        <v>74</v>
      </c>
      <c r="AL846" s="1" t="s">
        <v>74</v>
      </c>
      <c r="AM846" s="1" t="s">
        <v>74</v>
      </c>
      <c r="AN846" s="1" t="s">
        <v>74</v>
      </c>
      <c r="AO846" s="1" t="s">
        <v>1674</v>
      </c>
      <c r="AP846" s="1" t="s">
        <v>74</v>
      </c>
      <c r="AQ846" s="1" t="s">
        <v>74</v>
      </c>
      <c r="AR846" s="1" t="s">
        <v>74</v>
      </c>
      <c r="AS846" s="1" t="s">
        <v>74</v>
      </c>
      <c r="AT846" s="1" t="s">
        <v>6323</v>
      </c>
      <c r="AU846" s="1">
        <v>2000.0</v>
      </c>
      <c r="AV846" s="1">
        <v>38.0</v>
      </c>
      <c r="AW846" s="1">
        <v>12.0</v>
      </c>
      <c r="AX846" s="1" t="s">
        <v>74</v>
      </c>
      <c r="AY846" s="1" t="s">
        <v>74</v>
      </c>
      <c r="AZ846" s="1" t="s">
        <v>74</v>
      </c>
      <c r="BA846" s="1" t="s">
        <v>74</v>
      </c>
      <c r="BB846" s="1">
        <v>2269.0</v>
      </c>
      <c r="BC846" s="1">
        <v>2273.0</v>
      </c>
      <c r="BD846" s="1" t="s">
        <v>74</v>
      </c>
      <c r="BE846" s="1" t="s">
        <v>8508</v>
      </c>
      <c r="BF846" s="2" t="str">
        <f>HYPERLINK("http://dx.doi.org/10.1002/(SICI)1099-0518(20000615)38:12&lt;2269::AID-POLA160&gt;3.0.CO;2-H","http://dx.doi.org/10.1002/(SICI)1099-0518(20000615)38:12&lt;2269::AID-POLA160&gt;3.0.CO;2-H")</f>
        <v>http://dx.doi.org/10.1002/(SICI)1099-0518(20000615)38:12&lt;2269::AID-POLA160&gt;3.0.CO;2-H</v>
      </c>
      <c r="BG846" s="1" t="s">
        <v>74</v>
      </c>
      <c r="BH846" s="1" t="s">
        <v>74</v>
      </c>
      <c r="BI846" s="1" t="s">
        <v>74</v>
      </c>
      <c r="BJ846" s="1" t="s">
        <v>74</v>
      </c>
      <c r="BK846" s="1" t="s">
        <v>74</v>
      </c>
      <c r="BL846" s="1" t="s">
        <v>74</v>
      </c>
      <c r="BM846" s="1" t="s">
        <v>74</v>
      </c>
      <c r="BN846" s="1" t="s">
        <v>74</v>
      </c>
      <c r="BO846" s="1" t="s">
        <v>74</v>
      </c>
      <c r="BP846" s="1" t="s">
        <v>74</v>
      </c>
      <c r="BQ846" s="1" t="s">
        <v>74</v>
      </c>
      <c r="BR846" s="1" t="s">
        <v>74</v>
      </c>
      <c r="BS846" s="1" t="s">
        <v>8509</v>
      </c>
      <c r="BT846" s="1" t="str">
        <f>HYPERLINK("https%3A%2F%2Fwww.webofscience.com%2Fwos%2Fwoscc%2Ffull-record%2FWOS:000087239700016","View Full Record in Web of Science")</f>
        <v>View Full Record in Web of Science</v>
      </c>
    </row>
    <row r="847" ht="12.75" customHeight="1">
      <c r="A847" s="1" t="s">
        <v>72</v>
      </c>
      <c r="B847" s="1" t="s">
        <v>8510</v>
      </c>
      <c r="C847" s="1" t="s">
        <v>74</v>
      </c>
      <c r="D847" s="1" t="s">
        <v>74</v>
      </c>
      <c r="E847" s="1" t="s">
        <v>74</v>
      </c>
      <c r="F847" s="1" t="s">
        <v>8510</v>
      </c>
      <c r="G847" s="1" t="s">
        <v>74</v>
      </c>
      <c r="H847" s="1" t="s">
        <v>74</v>
      </c>
      <c r="I847" s="1" t="s">
        <v>8511</v>
      </c>
      <c r="J847" s="1" t="s">
        <v>5048</v>
      </c>
      <c r="K847" s="1" t="s">
        <v>74</v>
      </c>
      <c r="L847" s="1" t="s">
        <v>74</v>
      </c>
      <c r="M847" s="1" t="s">
        <v>74</v>
      </c>
      <c r="N847" s="1" t="s">
        <v>74</v>
      </c>
      <c r="O847" s="1" t="s">
        <v>74</v>
      </c>
      <c r="P847" s="1" t="s">
        <v>74</v>
      </c>
      <c r="Q847" s="1" t="s">
        <v>74</v>
      </c>
      <c r="R847" s="1" t="s">
        <v>74</v>
      </c>
      <c r="S847" s="1" t="s">
        <v>74</v>
      </c>
      <c r="T847" s="1" t="s">
        <v>74</v>
      </c>
      <c r="U847" s="1" t="s">
        <v>74</v>
      </c>
      <c r="V847" s="1" t="s">
        <v>8512</v>
      </c>
      <c r="W847" s="1" t="s">
        <v>74</v>
      </c>
      <c r="X847" s="1" t="s">
        <v>74</v>
      </c>
      <c r="Y847" s="1" t="s">
        <v>74</v>
      </c>
      <c r="Z847" s="1" t="s">
        <v>74</v>
      </c>
      <c r="AA847" s="1" t="s">
        <v>8513</v>
      </c>
      <c r="AB847" s="1" t="s">
        <v>8514</v>
      </c>
      <c r="AC847" s="1" t="s">
        <v>74</v>
      </c>
      <c r="AD847" s="1" t="s">
        <v>74</v>
      </c>
      <c r="AE847" s="1" t="s">
        <v>74</v>
      </c>
      <c r="AF847" s="1" t="s">
        <v>74</v>
      </c>
      <c r="AG847" s="1" t="s">
        <v>74</v>
      </c>
      <c r="AH847" s="1" t="s">
        <v>74</v>
      </c>
      <c r="AI847" s="1" t="s">
        <v>74</v>
      </c>
      <c r="AJ847" s="1" t="s">
        <v>74</v>
      </c>
      <c r="AK847" s="1" t="s">
        <v>74</v>
      </c>
      <c r="AL847" s="1" t="s">
        <v>74</v>
      </c>
      <c r="AM847" s="1" t="s">
        <v>74</v>
      </c>
      <c r="AN847" s="1" t="s">
        <v>74</v>
      </c>
      <c r="AO847" s="1" t="s">
        <v>5052</v>
      </c>
      <c r="AP847" s="1" t="s">
        <v>74</v>
      </c>
      <c r="AQ847" s="1" t="s">
        <v>74</v>
      </c>
      <c r="AR847" s="1" t="s">
        <v>74</v>
      </c>
      <c r="AS847" s="1" t="s">
        <v>74</v>
      </c>
      <c r="AT847" s="1" t="s">
        <v>74</v>
      </c>
      <c r="AU847" s="1">
        <v>2000.0</v>
      </c>
      <c r="AV847" s="1">
        <v>33.0</v>
      </c>
      <c r="AW847" s="1">
        <v>2.0</v>
      </c>
      <c r="AX847" s="1" t="s">
        <v>74</v>
      </c>
      <c r="AY847" s="1" t="s">
        <v>74</v>
      </c>
      <c r="AZ847" s="1" t="s">
        <v>74</v>
      </c>
      <c r="BA847" s="1" t="s">
        <v>74</v>
      </c>
      <c r="BB847" s="1">
        <v>71.0</v>
      </c>
      <c r="BC847" s="1">
        <v>77.0</v>
      </c>
      <c r="BD847" s="1" t="s">
        <v>74</v>
      </c>
      <c r="BE847" s="1" t="s">
        <v>74</v>
      </c>
      <c r="BF847" s="1" t="s">
        <v>74</v>
      </c>
      <c r="BG847" s="1" t="s">
        <v>74</v>
      </c>
      <c r="BH847" s="1" t="s">
        <v>74</v>
      </c>
      <c r="BI847" s="1" t="s">
        <v>74</v>
      </c>
      <c r="BJ847" s="1" t="s">
        <v>74</v>
      </c>
      <c r="BK847" s="1" t="s">
        <v>74</v>
      </c>
      <c r="BL847" s="1" t="s">
        <v>74</v>
      </c>
      <c r="BM847" s="1" t="s">
        <v>74</v>
      </c>
      <c r="BN847" s="1">
        <v>1.5693273E7</v>
      </c>
      <c r="BO847" s="1" t="s">
        <v>74</v>
      </c>
      <c r="BP847" s="1" t="s">
        <v>74</v>
      </c>
      <c r="BQ847" s="1" t="s">
        <v>74</v>
      </c>
      <c r="BR847" s="1" t="s">
        <v>74</v>
      </c>
      <c r="BS847" s="1" t="s">
        <v>8515</v>
      </c>
      <c r="BT847" s="1" t="str">
        <f>HYPERLINK("https%3A%2F%2Fwww.webofscience.com%2Fwos%2Fwoscc%2Ffull-record%2FWOS:000165303700004","View Full Record in Web of Science")</f>
        <v>View Full Record in Web of Science</v>
      </c>
    </row>
    <row r="848" ht="12.75" customHeight="1">
      <c r="A848" s="1" t="s">
        <v>72</v>
      </c>
      <c r="B848" s="1" t="s">
        <v>3993</v>
      </c>
      <c r="C848" s="1" t="s">
        <v>74</v>
      </c>
      <c r="D848" s="1" t="s">
        <v>74</v>
      </c>
      <c r="E848" s="1" t="s">
        <v>74</v>
      </c>
      <c r="F848" s="1" t="s">
        <v>3993</v>
      </c>
      <c r="G848" s="1" t="s">
        <v>74</v>
      </c>
      <c r="H848" s="1" t="s">
        <v>74</v>
      </c>
      <c r="I848" s="1" t="s">
        <v>8516</v>
      </c>
      <c r="J848" s="1" t="s">
        <v>2186</v>
      </c>
      <c r="K848" s="1" t="s">
        <v>74</v>
      </c>
      <c r="L848" s="1" t="s">
        <v>74</v>
      </c>
      <c r="M848" s="1" t="s">
        <v>74</v>
      </c>
      <c r="N848" s="1" t="s">
        <v>74</v>
      </c>
      <c r="O848" s="1" t="s">
        <v>74</v>
      </c>
      <c r="P848" s="1" t="s">
        <v>74</v>
      </c>
      <c r="Q848" s="1" t="s">
        <v>74</v>
      </c>
      <c r="R848" s="1" t="s">
        <v>74</v>
      </c>
      <c r="S848" s="1" t="s">
        <v>74</v>
      </c>
      <c r="T848" s="1" t="s">
        <v>74</v>
      </c>
      <c r="U848" s="1" t="s">
        <v>74</v>
      </c>
      <c r="V848" s="1" t="s">
        <v>8517</v>
      </c>
      <c r="W848" s="1" t="s">
        <v>74</v>
      </c>
      <c r="X848" s="1" t="s">
        <v>74</v>
      </c>
      <c r="Y848" s="1" t="s">
        <v>74</v>
      </c>
      <c r="Z848" s="1" t="s">
        <v>74</v>
      </c>
      <c r="AA848" s="1" t="s">
        <v>8518</v>
      </c>
      <c r="AB848" s="1" t="s">
        <v>74</v>
      </c>
      <c r="AC848" s="1" t="s">
        <v>74</v>
      </c>
      <c r="AD848" s="1" t="s">
        <v>74</v>
      </c>
      <c r="AE848" s="1" t="s">
        <v>74</v>
      </c>
      <c r="AF848" s="1" t="s">
        <v>74</v>
      </c>
      <c r="AG848" s="1" t="s">
        <v>74</v>
      </c>
      <c r="AH848" s="1" t="s">
        <v>74</v>
      </c>
      <c r="AI848" s="1" t="s">
        <v>74</v>
      </c>
      <c r="AJ848" s="1" t="s">
        <v>74</v>
      </c>
      <c r="AK848" s="1" t="s">
        <v>74</v>
      </c>
      <c r="AL848" s="1" t="s">
        <v>74</v>
      </c>
      <c r="AM848" s="1" t="s">
        <v>74</v>
      </c>
      <c r="AN848" s="1" t="s">
        <v>74</v>
      </c>
      <c r="AO848" s="1" t="s">
        <v>8519</v>
      </c>
      <c r="AP848" s="1" t="s">
        <v>74</v>
      </c>
      <c r="AQ848" s="1" t="s">
        <v>74</v>
      </c>
      <c r="AR848" s="1" t="s">
        <v>74</v>
      </c>
      <c r="AS848" s="1" t="s">
        <v>74</v>
      </c>
      <c r="AT848" s="1" t="s">
        <v>153</v>
      </c>
      <c r="AU848" s="1">
        <v>1999.0</v>
      </c>
      <c r="AV848" s="1">
        <v>59.0</v>
      </c>
      <c r="AW848" s="1">
        <v>10.0</v>
      </c>
      <c r="AX848" s="1" t="s">
        <v>74</v>
      </c>
      <c r="AY848" s="1" t="s">
        <v>74</v>
      </c>
      <c r="AZ848" s="1" t="s">
        <v>74</v>
      </c>
      <c r="BA848" s="1" t="s">
        <v>74</v>
      </c>
      <c r="BB848" s="1" t="s">
        <v>74</v>
      </c>
      <c r="BC848" s="1" t="s">
        <v>74</v>
      </c>
      <c r="BD848" s="1">
        <v>105016.0</v>
      </c>
      <c r="BE848" s="1" t="s">
        <v>8520</v>
      </c>
      <c r="BF848" s="2" t="str">
        <f>HYPERLINK("http://dx.doi.org/10.1103/PhysRevD.59.105016","http://dx.doi.org/10.1103/PhysRevD.59.105016")</f>
        <v>http://dx.doi.org/10.1103/PhysRevD.59.105016</v>
      </c>
      <c r="BG848" s="1" t="s">
        <v>74</v>
      </c>
      <c r="BH848" s="1" t="s">
        <v>74</v>
      </c>
      <c r="BI848" s="1" t="s">
        <v>74</v>
      </c>
      <c r="BJ848" s="1" t="s">
        <v>74</v>
      </c>
      <c r="BK848" s="1" t="s">
        <v>74</v>
      </c>
      <c r="BL848" s="1" t="s">
        <v>74</v>
      </c>
      <c r="BM848" s="1" t="s">
        <v>74</v>
      </c>
      <c r="BN848" s="1" t="s">
        <v>74</v>
      </c>
      <c r="BO848" s="1" t="s">
        <v>74</v>
      </c>
      <c r="BP848" s="1" t="s">
        <v>74</v>
      </c>
      <c r="BQ848" s="1" t="s">
        <v>74</v>
      </c>
      <c r="BR848" s="1" t="s">
        <v>74</v>
      </c>
      <c r="BS848" s="1" t="s">
        <v>8521</v>
      </c>
      <c r="BT848" s="1" t="str">
        <f>HYPERLINK("https%3A%2F%2Fwww.webofscience.com%2Fwos%2Fwoscc%2Ffull-record%2FWOS:000080442000055","View Full Record in Web of Science")</f>
        <v>View Full Record in Web of Science</v>
      </c>
    </row>
    <row r="849" ht="12.75" customHeight="1">
      <c r="A849" s="1" t="s">
        <v>72</v>
      </c>
      <c r="B849" s="1" t="s">
        <v>8522</v>
      </c>
      <c r="C849" s="1" t="s">
        <v>74</v>
      </c>
      <c r="D849" s="1" t="s">
        <v>74</v>
      </c>
      <c r="E849" s="1" t="s">
        <v>74</v>
      </c>
      <c r="F849" s="1" t="s">
        <v>8522</v>
      </c>
      <c r="G849" s="1" t="s">
        <v>74</v>
      </c>
      <c r="H849" s="1" t="s">
        <v>74</v>
      </c>
      <c r="I849" s="1" t="s">
        <v>8523</v>
      </c>
      <c r="J849" s="1" t="s">
        <v>8524</v>
      </c>
      <c r="K849" s="1" t="s">
        <v>74</v>
      </c>
      <c r="L849" s="1" t="s">
        <v>74</v>
      </c>
      <c r="M849" s="1" t="s">
        <v>74</v>
      </c>
      <c r="N849" s="1" t="s">
        <v>74</v>
      </c>
      <c r="O849" s="1" t="s">
        <v>74</v>
      </c>
      <c r="P849" s="1" t="s">
        <v>74</v>
      </c>
      <c r="Q849" s="1" t="s">
        <v>74</v>
      </c>
      <c r="R849" s="1" t="s">
        <v>74</v>
      </c>
      <c r="S849" s="1" t="s">
        <v>74</v>
      </c>
      <c r="T849" s="1" t="s">
        <v>74</v>
      </c>
      <c r="U849" s="1" t="s">
        <v>74</v>
      </c>
      <c r="V849" s="1" t="s">
        <v>8525</v>
      </c>
      <c r="W849" s="1" t="s">
        <v>74</v>
      </c>
      <c r="X849" s="1" t="s">
        <v>74</v>
      </c>
      <c r="Y849" s="1" t="s">
        <v>74</v>
      </c>
      <c r="Z849" s="1" t="s">
        <v>74</v>
      </c>
      <c r="AA849" s="1" t="s">
        <v>8526</v>
      </c>
      <c r="AB849" s="1" t="s">
        <v>8527</v>
      </c>
      <c r="AC849" s="1" t="s">
        <v>74</v>
      </c>
      <c r="AD849" s="1" t="s">
        <v>74</v>
      </c>
      <c r="AE849" s="1" t="s">
        <v>74</v>
      </c>
      <c r="AF849" s="1" t="s">
        <v>74</v>
      </c>
      <c r="AG849" s="1" t="s">
        <v>74</v>
      </c>
      <c r="AH849" s="1" t="s">
        <v>74</v>
      </c>
      <c r="AI849" s="1" t="s">
        <v>74</v>
      </c>
      <c r="AJ849" s="1" t="s">
        <v>74</v>
      </c>
      <c r="AK849" s="1" t="s">
        <v>74</v>
      </c>
      <c r="AL849" s="1" t="s">
        <v>74</v>
      </c>
      <c r="AM849" s="1" t="s">
        <v>74</v>
      </c>
      <c r="AN849" s="1" t="s">
        <v>74</v>
      </c>
      <c r="AO849" s="1" t="s">
        <v>8528</v>
      </c>
      <c r="AP849" s="1" t="s">
        <v>74</v>
      </c>
      <c r="AQ849" s="1" t="s">
        <v>74</v>
      </c>
      <c r="AR849" s="1" t="s">
        <v>74</v>
      </c>
      <c r="AS849" s="1" t="s">
        <v>74</v>
      </c>
      <c r="AT849" s="1" t="s">
        <v>1213</v>
      </c>
      <c r="AU849" s="1">
        <v>1997.0</v>
      </c>
      <c r="AV849" s="1">
        <v>14.0</v>
      </c>
      <c r="AW849" s="1">
        <v>1.0</v>
      </c>
      <c r="AX849" s="1" t="s">
        <v>74</v>
      </c>
      <c r="AY849" s="1" t="s">
        <v>74</v>
      </c>
      <c r="AZ849" s="1" t="s">
        <v>74</v>
      </c>
      <c r="BA849" s="1" t="s">
        <v>74</v>
      </c>
      <c r="BB849" s="1">
        <v>71.0</v>
      </c>
      <c r="BC849" s="1">
        <v>78.0</v>
      </c>
      <c r="BD849" s="1" t="s">
        <v>74</v>
      </c>
      <c r="BE849" s="1" t="s">
        <v>8529</v>
      </c>
      <c r="BF849" s="2" t="str">
        <f>HYPERLINK("http://dx.doi.org/10.1016/S0924-2031(96)00064-1","http://dx.doi.org/10.1016/S0924-2031(96)00064-1")</f>
        <v>http://dx.doi.org/10.1016/S0924-2031(96)00064-1</v>
      </c>
      <c r="BG849" s="1" t="s">
        <v>74</v>
      </c>
      <c r="BH849" s="1" t="s">
        <v>74</v>
      </c>
      <c r="BI849" s="1" t="s">
        <v>74</v>
      </c>
      <c r="BJ849" s="1" t="s">
        <v>74</v>
      </c>
      <c r="BK849" s="1" t="s">
        <v>74</v>
      </c>
      <c r="BL849" s="1" t="s">
        <v>74</v>
      </c>
      <c r="BM849" s="1" t="s">
        <v>74</v>
      </c>
      <c r="BN849" s="1" t="s">
        <v>74</v>
      </c>
      <c r="BO849" s="1" t="s">
        <v>74</v>
      </c>
      <c r="BP849" s="1" t="s">
        <v>74</v>
      </c>
      <c r="BQ849" s="1" t="s">
        <v>74</v>
      </c>
      <c r="BR849" s="1" t="s">
        <v>74</v>
      </c>
      <c r="BS849" s="1" t="s">
        <v>8530</v>
      </c>
      <c r="BT849" s="1" t="str">
        <f>HYPERLINK("https%3A%2F%2Fwww.webofscience.com%2Fwos%2Fwoscc%2Ffull-record%2FWOS:A1997WR57400007","View Full Record in Web of Science")</f>
        <v>View Full Record in Web of Science</v>
      </c>
    </row>
    <row r="850" ht="12.75" customHeight="1">
      <c r="A850" s="1" t="s">
        <v>72</v>
      </c>
      <c r="B850" s="1" t="s">
        <v>8531</v>
      </c>
      <c r="C850" s="1" t="s">
        <v>74</v>
      </c>
      <c r="D850" s="1" t="s">
        <v>74</v>
      </c>
      <c r="E850" s="1" t="s">
        <v>74</v>
      </c>
      <c r="F850" s="1" t="s">
        <v>8532</v>
      </c>
      <c r="G850" s="1" t="s">
        <v>74</v>
      </c>
      <c r="H850" s="1" t="s">
        <v>74</v>
      </c>
      <c r="I850" s="1" t="s">
        <v>8533</v>
      </c>
      <c r="J850" s="1" t="s">
        <v>8534</v>
      </c>
      <c r="K850" s="1" t="s">
        <v>74</v>
      </c>
      <c r="L850" s="1" t="s">
        <v>74</v>
      </c>
      <c r="M850" s="1" t="s">
        <v>74</v>
      </c>
      <c r="N850" s="1" t="s">
        <v>74</v>
      </c>
      <c r="O850" s="1" t="s">
        <v>74</v>
      </c>
      <c r="P850" s="1" t="s">
        <v>74</v>
      </c>
      <c r="Q850" s="1" t="s">
        <v>74</v>
      </c>
      <c r="R850" s="1" t="s">
        <v>74</v>
      </c>
      <c r="S850" s="1" t="s">
        <v>74</v>
      </c>
      <c r="T850" s="1" t="s">
        <v>74</v>
      </c>
      <c r="U850" s="1" t="s">
        <v>74</v>
      </c>
      <c r="V850" s="1" t="s">
        <v>8535</v>
      </c>
      <c r="W850" s="1" t="s">
        <v>74</v>
      </c>
      <c r="X850" s="1" t="s">
        <v>74</v>
      </c>
      <c r="Y850" s="1" t="s">
        <v>74</v>
      </c>
      <c r="Z850" s="1" t="s">
        <v>74</v>
      </c>
      <c r="AA850" s="1" t="s">
        <v>8536</v>
      </c>
      <c r="AB850" s="1" t="s">
        <v>8537</v>
      </c>
      <c r="AC850" s="1" t="s">
        <v>74</v>
      </c>
      <c r="AD850" s="1" t="s">
        <v>74</v>
      </c>
      <c r="AE850" s="1" t="s">
        <v>74</v>
      </c>
      <c r="AF850" s="1" t="s">
        <v>74</v>
      </c>
      <c r="AG850" s="1" t="s">
        <v>74</v>
      </c>
      <c r="AH850" s="1" t="s">
        <v>74</v>
      </c>
      <c r="AI850" s="1" t="s">
        <v>74</v>
      </c>
      <c r="AJ850" s="1" t="s">
        <v>74</v>
      </c>
      <c r="AK850" s="1" t="s">
        <v>74</v>
      </c>
      <c r="AL850" s="1" t="s">
        <v>74</v>
      </c>
      <c r="AM850" s="1" t="s">
        <v>74</v>
      </c>
      <c r="AN850" s="1" t="s">
        <v>74</v>
      </c>
      <c r="AO850" s="1" t="s">
        <v>8538</v>
      </c>
      <c r="AP850" s="1" t="s">
        <v>8539</v>
      </c>
      <c r="AQ850" s="1" t="s">
        <v>74</v>
      </c>
      <c r="AR850" s="1" t="s">
        <v>74</v>
      </c>
      <c r="AS850" s="1" t="s">
        <v>74</v>
      </c>
      <c r="AT850" s="1" t="s">
        <v>74</v>
      </c>
      <c r="AU850" s="1">
        <v>2025.0</v>
      </c>
      <c r="AV850" s="1">
        <v>43.0</v>
      </c>
      <c r="AW850" s="1" t="s">
        <v>74</v>
      </c>
      <c r="AX850" s="1" t="s">
        <v>74</v>
      </c>
      <c r="AY850" s="1" t="s">
        <v>74</v>
      </c>
      <c r="AZ850" s="1" t="s">
        <v>74</v>
      </c>
      <c r="BA850" s="1" t="s">
        <v>74</v>
      </c>
      <c r="BB850" s="1" t="s">
        <v>74</v>
      </c>
      <c r="BC850" s="1" t="s">
        <v>74</v>
      </c>
      <c r="BD850" s="1" t="s">
        <v>8540</v>
      </c>
      <c r="BE850" s="1" t="s">
        <v>8541</v>
      </c>
      <c r="BF850" s="2" t="str">
        <f>HYPERLINK("http://dx.doi.org/10.1590/1984-0462/2025/43/2024080","http://dx.doi.org/10.1590/1984-0462/2025/43/2024080")</f>
        <v>http://dx.doi.org/10.1590/1984-0462/2025/43/2024080</v>
      </c>
      <c r="BG850" s="1" t="s">
        <v>74</v>
      </c>
      <c r="BH850" s="1" t="s">
        <v>74</v>
      </c>
      <c r="BI850" s="1" t="s">
        <v>74</v>
      </c>
      <c r="BJ850" s="1" t="s">
        <v>74</v>
      </c>
      <c r="BK850" s="1" t="s">
        <v>74</v>
      </c>
      <c r="BL850" s="1" t="s">
        <v>74</v>
      </c>
      <c r="BM850" s="1" t="s">
        <v>74</v>
      </c>
      <c r="BN850" s="1">
        <v>3.947606E7</v>
      </c>
      <c r="BO850" s="1" t="s">
        <v>74</v>
      </c>
      <c r="BP850" s="1" t="s">
        <v>74</v>
      </c>
      <c r="BQ850" s="1" t="s">
        <v>74</v>
      </c>
      <c r="BR850" s="1" t="s">
        <v>74</v>
      </c>
      <c r="BS850" s="1" t="s">
        <v>8542</v>
      </c>
      <c r="BT850" s="1" t="str">
        <f>HYPERLINK("https%3A%2F%2Fwww.webofscience.com%2Fwos%2Fwoscc%2Ffull-record%2FWOS:001376704400004","View Full Record in Web of Science")</f>
        <v>View Full Record in Web of Science</v>
      </c>
    </row>
    <row r="851" ht="12.75" customHeight="1">
      <c r="A851" s="1" t="s">
        <v>72</v>
      </c>
      <c r="B851" s="1" t="s">
        <v>8543</v>
      </c>
      <c r="C851" s="1" t="s">
        <v>74</v>
      </c>
      <c r="D851" s="1" t="s">
        <v>74</v>
      </c>
      <c r="E851" s="1" t="s">
        <v>74</v>
      </c>
      <c r="F851" s="1" t="s">
        <v>8544</v>
      </c>
      <c r="G851" s="1" t="s">
        <v>74</v>
      </c>
      <c r="H851" s="1" t="s">
        <v>74</v>
      </c>
      <c r="I851" s="1" t="s">
        <v>8545</v>
      </c>
      <c r="J851" s="1" t="s">
        <v>8546</v>
      </c>
      <c r="K851" s="1" t="s">
        <v>74</v>
      </c>
      <c r="L851" s="1" t="s">
        <v>74</v>
      </c>
      <c r="M851" s="1" t="s">
        <v>74</v>
      </c>
      <c r="N851" s="1" t="s">
        <v>74</v>
      </c>
      <c r="O851" s="1" t="s">
        <v>74</v>
      </c>
      <c r="P851" s="1" t="s">
        <v>74</v>
      </c>
      <c r="Q851" s="1" t="s">
        <v>74</v>
      </c>
      <c r="R851" s="1" t="s">
        <v>74</v>
      </c>
      <c r="S851" s="1" t="s">
        <v>74</v>
      </c>
      <c r="T851" s="1" t="s">
        <v>74</v>
      </c>
      <c r="U851" s="1" t="s">
        <v>74</v>
      </c>
      <c r="V851" s="1" t="s">
        <v>8547</v>
      </c>
      <c r="W851" s="1" t="s">
        <v>74</v>
      </c>
      <c r="X851" s="1" t="s">
        <v>74</v>
      </c>
      <c r="Y851" s="1" t="s">
        <v>74</v>
      </c>
      <c r="Z851" s="1" t="s">
        <v>74</v>
      </c>
      <c r="AA851" s="1" t="s">
        <v>8548</v>
      </c>
      <c r="AB851" s="1" t="s">
        <v>8549</v>
      </c>
      <c r="AC851" s="1" t="s">
        <v>74</v>
      </c>
      <c r="AD851" s="1" t="s">
        <v>74</v>
      </c>
      <c r="AE851" s="1" t="s">
        <v>74</v>
      </c>
      <c r="AF851" s="1" t="s">
        <v>74</v>
      </c>
      <c r="AG851" s="1" t="s">
        <v>74</v>
      </c>
      <c r="AH851" s="1" t="s">
        <v>74</v>
      </c>
      <c r="AI851" s="1" t="s">
        <v>74</v>
      </c>
      <c r="AJ851" s="1" t="s">
        <v>74</v>
      </c>
      <c r="AK851" s="1" t="s">
        <v>74</v>
      </c>
      <c r="AL851" s="1" t="s">
        <v>74</v>
      </c>
      <c r="AM851" s="1" t="s">
        <v>74</v>
      </c>
      <c r="AN851" s="1" t="s">
        <v>74</v>
      </c>
      <c r="AO851" s="1" t="s">
        <v>8550</v>
      </c>
      <c r="AP851" s="1" t="s">
        <v>8551</v>
      </c>
      <c r="AQ851" s="1" t="s">
        <v>74</v>
      </c>
      <c r="AR851" s="1" t="s">
        <v>74</v>
      </c>
      <c r="AS851" s="1" t="s">
        <v>74</v>
      </c>
      <c r="AT851" s="1" t="s">
        <v>8552</v>
      </c>
      <c r="AU851" s="1">
        <v>2024.0</v>
      </c>
      <c r="AV851" s="1">
        <v>160.0</v>
      </c>
      <c r="AW851" s="1">
        <v>4.0</v>
      </c>
      <c r="AX851" s="1" t="s">
        <v>74</v>
      </c>
      <c r="AY851" s="1" t="s">
        <v>74</v>
      </c>
      <c r="AZ851" s="1" t="s">
        <v>74</v>
      </c>
      <c r="BA851" s="1" t="s">
        <v>74</v>
      </c>
      <c r="BB851" s="1" t="s">
        <v>74</v>
      </c>
      <c r="BC851" s="1" t="s">
        <v>74</v>
      </c>
      <c r="BD851" s="1" t="s">
        <v>74</v>
      </c>
      <c r="BE851" s="1" t="s">
        <v>8553</v>
      </c>
      <c r="BF851" s="2" t="str">
        <f>HYPERLINK("http://dx.doi.org/10.1112/S0010437X23007704","http://dx.doi.org/10.1112/S0010437X23007704")</f>
        <v>http://dx.doi.org/10.1112/S0010437X23007704</v>
      </c>
      <c r="BG851" s="1" t="s">
        <v>74</v>
      </c>
      <c r="BH851" s="1" t="s">
        <v>74</v>
      </c>
      <c r="BI851" s="1" t="s">
        <v>74</v>
      </c>
      <c r="BJ851" s="1" t="s">
        <v>74</v>
      </c>
      <c r="BK851" s="1" t="s">
        <v>74</v>
      </c>
      <c r="BL851" s="1" t="s">
        <v>74</v>
      </c>
      <c r="BM851" s="1" t="s">
        <v>74</v>
      </c>
      <c r="BN851" s="1" t="s">
        <v>74</v>
      </c>
      <c r="BO851" s="1" t="s">
        <v>74</v>
      </c>
      <c r="BP851" s="1" t="s">
        <v>74</v>
      </c>
      <c r="BQ851" s="1" t="s">
        <v>74</v>
      </c>
      <c r="BR851" s="1" t="s">
        <v>74</v>
      </c>
      <c r="BS851" s="1" t="s">
        <v>8554</v>
      </c>
      <c r="BT851" s="1" t="str">
        <f>HYPERLINK("https%3A%2F%2Fwww.webofscience.com%2Fwos%2Fwoscc%2Ffull-record%2FWOS:001177910900001","View Full Record in Web of Science")</f>
        <v>View Full Record in Web of Science</v>
      </c>
    </row>
    <row r="852" ht="12.75" customHeight="1">
      <c r="A852" s="1" t="s">
        <v>72</v>
      </c>
      <c r="B852" s="1" t="s">
        <v>8555</v>
      </c>
      <c r="C852" s="1" t="s">
        <v>74</v>
      </c>
      <c r="D852" s="1" t="s">
        <v>74</v>
      </c>
      <c r="E852" s="1" t="s">
        <v>74</v>
      </c>
      <c r="F852" s="1" t="s">
        <v>8556</v>
      </c>
      <c r="G852" s="1" t="s">
        <v>74</v>
      </c>
      <c r="H852" s="1" t="s">
        <v>74</v>
      </c>
      <c r="I852" s="1" t="s">
        <v>8557</v>
      </c>
      <c r="J852" s="1" t="s">
        <v>8558</v>
      </c>
      <c r="K852" s="1" t="s">
        <v>74</v>
      </c>
      <c r="L852" s="1" t="s">
        <v>74</v>
      </c>
      <c r="M852" s="1" t="s">
        <v>74</v>
      </c>
      <c r="N852" s="1" t="s">
        <v>74</v>
      </c>
      <c r="O852" s="1" t="s">
        <v>74</v>
      </c>
      <c r="P852" s="1" t="s">
        <v>74</v>
      </c>
      <c r="Q852" s="1" t="s">
        <v>74</v>
      </c>
      <c r="R852" s="1" t="s">
        <v>74</v>
      </c>
      <c r="S852" s="1" t="s">
        <v>74</v>
      </c>
      <c r="T852" s="1" t="s">
        <v>74</v>
      </c>
      <c r="U852" s="1" t="s">
        <v>74</v>
      </c>
      <c r="V852" s="1" t="s">
        <v>8559</v>
      </c>
      <c r="W852" s="1" t="s">
        <v>74</v>
      </c>
      <c r="X852" s="1" t="s">
        <v>74</v>
      </c>
      <c r="Y852" s="1" t="s">
        <v>74</v>
      </c>
      <c r="Z852" s="1" t="s">
        <v>74</v>
      </c>
      <c r="AA852" s="1" t="s">
        <v>74</v>
      </c>
      <c r="AB852" s="1" t="s">
        <v>8560</v>
      </c>
      <c r="AC852" s="1" t="s">
        <v>74</v>
      </c>
      <c r="AD852" s="1" t="s">
        <v>74</v>
      </c>
      <c r="AE852" s="1" t="s">
        <v>74</v>
      </c>
      <c r="AF852" s="1" t="s">
        <v>74</v>
      </c>
      <c r="AG852" s="1" t="s">
        <v>74</v>
      </c>
      <c r="AH852" s="1" t="s">
        <v>74</v>
      </c>
      <c r="AI852" s="1" t="s">
        <v>74</v>
      </c>
      <c r="AJ852" s="1" t="s">
        <v>74</v>
      </c>
      <c r="AK852" s="1" t="s">
        <v>74</v>
      </c>
      <c r="AL852" s="1" t="s">
        <v>74</v>
      </c>
      <c r="AM852" s="1" t="s">
        <v>74</v>
      </c>
      <c r="AN852" s="1" t="s">
        <v>74</v>
      </c>
      <c r="AO852" s="1" t="s">
        <v>8561</v>
      </c>
      <c r="AP852" s="1" t="s">
        <v>8562</v>
      </c>
      <c r="AQ852" s="1" t="s">
        <v>74</v>
      </c>
      <c r="AR852" s="1" t="s">
        <v>74</v>
      </c>
      <c r="AS852" s="1" t="s">
        <v>74</v>
      </c>
      <c r="AT852" s="1" t="s">
        <v>348</v>
      </c>
      <c r="AU852" s="1">
        <v>2024.0</v>
      </c>
      <c r="AV852" s="1">
        <v>390.0</v>
      </c>
      <c r="AW852" s="1">
        <v>1.0</v>
      </c>
      <c r="AX852" s="1" t="s">
        <v>74</v>
      </c>
      <c r="AY852" s="1" t="s">
        <v>74</v>
      </c>
      <c r="AZ852" s="1" t="s">
        <v>74</v>
      </c>
      <c r="BA852" s="1" t="s">
        <v>74</v>
      </c>
      <c r="BB852" s="1">
        <v>45.0</v>
      </c>
      <c r="BC852" s="1">
        <v>94.0</v>
      </c>
      <c r="BD852" s="1" t="s">
        <v>74</v>
      </c>
      <c r="BE852" s="1" t="s">
        <v>8563</v>
      </c>
      <c r="BF852" s="2" t="str">
        <f>HYPERLINK("http://dx.doi.org/10.1007/s00208-023-02760-1","http://dx.doi.org/10.1007/s00208-023-02760-1")</f>
        <v>http://dx.doi.org/10.1007/s00208-023-02760-1</v>
      </c>
      <c r="BG852" s="1" t="s">
        <v>74</v>
      </c>
      <c r="BH852" s="1" t="s">
        <v>2385</v>
      </c>
      <c r="BI852" s="1" t="s">
        <v>74</v>
      </c>
      <c r="BJ852" s="1" t="s">
        <v>74</v>
      </c>
      <c r="BK852" s="1" t="s">
        <v>74</v>
      </c>
      <c r="BL852" s="1" t="s">
        <v>74</v>
      </c>
      <c r="BM852" s="1" t="s">
        <v>74</v>
      </c>
      <c r="BN852" s="1" t="s">
        <v>74</v>
      </c>
      <c r="BO852" s="1" t="s">
        <v>74</v>
      </c>
      <c r="BP852" s="1" t="s">
        <v>74</v>
      </c>
      <c r="BQ852" s="1" t="s">
        <v>74</v>
      </c>
      <c r="BR852" s="1" t="s">
        <v>74</v>
      </c>
      <c r="BS852" s="1" t="s">
        <v>8564</v>
      </c>
      <c r="BT852" s="1" t="str">
        <f>HYPERLINK("https%3A%2F%2Fwww.webofscience.com%2Fwos%2Fwoscc%2Ffull-record%2FWOS:001174064000001","View Full Record in Web of Science")</f>
        <v>View Full Record in Web of Science</v>
      </c>
    </row>
    <row r="853" ht="12.75" customHeight="1">
      <c r="A853" s="1" t="s">
        <v>72</v>
      </c>
      <c r="B853" s="1" t="s">
        <v>8565</v>
      </c>
      <c r="C853" s="1" t="s">
        <v>74</v>
      </c>
      <c r="D853" s="1" t="s">
        <v>74</v>
      </c>
      <c r="E853" s="1" t="s">
        <v>74</v>
      </c>
      <c r="F853" s="1" t="s">
        <v>8566</v>
      </c>
      <c r="G853" s="1" t="s">
        <v>74</v>
      </c>
      <c r="H853" s="1" t="s">
        <v>74</v>
      </c>
      <c r="I853" s="1" t="s">
        <v>8567</v>
      </c>
      <c r="J853" s="1" t="s">
        <v>8568</v>
      </c>
      <c r="K853" s="1" t="s">
        <v>74</v>
      </c>
      <c r="L853" s="1" t="s">
        <v>74</v>
      </c>
      <c r="M853" s="1" t="s">
        <v>74</v>
      </c>
      <c r="N853" s="1" t="s">
        <v>74</v>
      </c>
      <c r="O853" s="1" t="s">
        <v>74</v>
      </c>
      <c r="P853" s="1" t="s">
        <v>74</v>
      </c>
      <c r="Q853" s="1" t="s">
        <v>74</v>
      </c>
      <c r="R853" s="1" t="s">
        <v>74</v>
      </c>
      <c r="S853" s="1" t="s">
        <v>74</v>
      </c>
      <c r="T853" s="1" t="s">
        <v>74</v>
      </c>
      <c r="U853" s="1" t="s">
        <v>74</v>
      </c>
      <c r="V853" s="1" t="s">
        <v>8569</v>
      </c>
      <c r="W853" s="1" t="s">
        <v>74</v>
      </c>
      <c r="X853" s="1" t="s">
        <v>74</v>
      </c>
      <c r="Y853" s="1" t="s">
        <v>74</v>
      </c>
      <c r="Z853" s="1" t="s">
        <v>74</v>
      </c>
      <c r="AA853" s="1" t="s">
        <v>8570</v>
      </c>
      <c r="AB853" s="1" t="s">
        <v>8571</v>
      </c>
      <c r="AC853" s="1" t="s">
        <v>74</v>
      </c>
      <c r="AD853" s="1" t="s">
        <v>74</v>
      </c>
      <c r="AE853" s="1" t="s">
        <v>74</v>
      </c>
      <c r="AF853" s="1" t="s">
        <v>74</v>
      </c>
      <c r="AG853" s="1" t="s">
        <v>74</v>
      </c>
      <c r="AH853" s="1" t="s">
        <v>74</v>
      </c>
      <c r="AI853" s="1" t="s">
        <v>74</v>
      </c>
      <c r="AJ853" s="1" t="s">
        <v>74</v>
      </c>
      <c r="AK853" s="1" t="s">
        <v>74</v>
      </c>
      <c r="AL853" s="1" t="s">
        <v>74</v>
      </c>
      <c r="AM853" s="1" t="s">
        <v>74</v>
      </c>
      <c r="AN853" s="1" t="s">
        <v>74</v>
      </c>
      <c r="AO853" s="1" t="s">
        <v>8572</v>
      </c>
      <c r="AP853" s="1" t="s">
        <v>8573</v>
      </c>
      <c r="AQ853" s="1" t="s">
        <v>74</v>
      </c>
      <c r="AR853" s="1" t="s">
        <v>74</v>
      </c>
      <c r="AS853" s="1" t="s">
        <v>74</v>
      </c>
      <c r="AT853" s="1" t="s">
        <v>939</v>
      </c>
      <c r="AU853" s="1">
        <v>2023.0</v>
      </c>
      <c r="AV853" s="1">
        <v>137.0</v>
      </c>
      <c r="AW853" s="1" t="s">
        <v>74</v>
      </c>
      <c r="AX853" s="1" t="s">
        <v>74</v>
      </c>
      <c r="AY853" s="1" t="s">
        <v>74</v>
      </c>
      <c r="AZ853" s="1" t="s">
        <v>74</v>
      </c>
      <c r="BA853" s="1" t="s">
        <v>74</v>
      </c>
      <c r="BB853" s="1" t="s">
        <v>74</v>
      </c>
      <c r="BC853" s="1" t="s">
        <v>74</v>
      </c>
      <c r="BD853" s="1">
        <v>108759.0</v>
      </c>
      <c r="BE853" s="1" t="s">
        <v>8574</v>
      </c>
      <c r="BF853" s="2" t="str">
        <f>HYPERLINK("http://dx.doi.org/10.1016/j.fsi.2023.108759","http://dx.doi.org/10.1016/j.fsi.2023.108759")</f>
        <v>http://dx.doi.org/10.1016/j.fsi.2023.108759</v>
      </c>
      <c r="BG853" s="1" t="s">
        <v>74</v>
      </c>
      <c r="BH853" s="1" t="s">
        <v>8575</v>
      </c>
      <c r="BI853" s="1" t="s">
        <v>74</v>
      </c>
      <c r="BJ853" s="1" t="s">
        <v>74</v>
      </c>
      <c r="BK853" s="1" t="s">
        <v>74</v>
      </c>
      <c r="BL853" s="1" t="s">
        <v>74</v>
      </c>
      <c r="BM853" s="1" t="s">
        <v>74</v>
      </c>
      <c r="BN853" s="1">
        <v>3.7088347E7</v>
      </c>
      <c r="BO853" s="1" t="s">
        <v>74</v>
      </c>
      <c r="BP853" s="1" t="s">
        <v>74</v>
      </c>
      <c r="BQ853" s="1" t="s">
        <v>74</v>
      </c>
      <c r="BR853" s="1" t="s">
        <v>74</v>
      </c>
      <c r="BS853" s="1" t="s">
        <v>8576</v>
      </c>
      <c r="BT853" s="1" t="str">
        <f>HYPERLINK("https%3A%2F%2Fwww.webofscience.com%2Fwos%2Fwoscc%2Ffull-record%2FWOS:000993151600001","View Full Record in Web of Science")</f>
        <v>View Full Record in Web of Science</v>
      </c>
    </row>
    <row r="854" ht="12.75" customHeight="1">
      <c r="A854" s="1" t="s">
        <v>72</v>
      </c>
      <c r="B854" s="1" t="s">
        <v>8577</v>
      </c>
      <c r="C854" s="1" t="s">
        <v>74</v>
      </c>
      <c r="D854" s="1" t="s">
        <v>74</v>
      </c>
      <c r="E854" s="1" t="s">
        <v>74</v>
      </c>
      <c r="F854" s="1" t="s">
        <v>8578</v>
      </c>
      <c r="G854" s="1" t="s">
        <v>74</v>
      </c>
      <c r="H854" s="1" t="s">
        <v>74</v>
      </c>
      <c r="I854" s="1" t="s">
        <v>8579</v>
      </c>
      <c r="J854" s="1" t="s">
        <v>8580</v>
      </c>
      <c r="K854" s="1" t="s">
        <v>74</v>
      </c>
      <c r="L854" s="1" t="s">
        <v>74</v>
      </c>
      <c r="M854" s="1" t="s">
        <v>74</v>
      </c>
      <c r="N854" s="1" t="s">
        <v>74</v>
      </c>
      <c r="O854" s="1" t="s">
        <v>74</v>
      </c>
      <c r="P854" s="1" t="s">
        <v>74</v>
      </c>
      <c r="Q854" s="1" t="s">
        <v>74</v>
      </c>
      <c r="R854" s="1" t="s">
        <v>74</v>
      </c>
      <c r="S854" s="1" t="s">
        <v>74</v>
      </c>
      <c r="T854" s="1" t="s">
        <v>74</v>
      </c>
      <c r="U854" s="1" t="s">
        <v>74</v>
      </c>
      <c r="V854" s="1" t="s">
        <v>8581</v>
      </c>
      <c r="W854" s="1" t="s">
        <v>74</v>
      </c>
      <c r="X854" s="1" t="s">
        <v>74</v>
      </c>
      <c r="Y854" s="1" t="s">
        <v>74</v>
      </c>
      <c r="Z854" s="1" t="s">
        <v>74</v>
      </c>
      <c r="AA854" s="1" t="s">
        <v>8582</v>
      </c>
      <c r="AB854" s="1" t="s">
        <v>8583</v>
      </c>
      <c r="AC854" s="1" t="s">
        <v>74</v>
      </c>
      <c r="AD854" s="1" t="s">
        <v>74</v>
      </c>
      <c r="AE854" s="1" t="s">
        <v>74</v>
      </c>
      <c r="AF854" s="1" t="s">
        <v>74</v>
      </c>
      <c r="AG854" s="1" t="s">
        <v>74</v>
      </c>
      <c r="AH854" s="1" t="s">
        <v>74</v>
      </c>
      <c r="AI854" s="1" t="s">
        <v>74</v>
      </c>
      <c r="AJ854" s="1" t="s">
        <v>74</v>
      </c>
      <c r="AK854" s="1" t="s">
        <v>74</v>
      </c>
      <c r="AL854" s="1" t="s">
        <v>74</v>
      </c>
      <c r="AM854" s="1" t="s">
        <v>74</v>
      </c>
      <c r="AN854" s="1" t="s">
        <v>74</v>
      </c>
      <c r="AO854" s="1" t="s">
        <v>8584</v>
      </c>
      <c r="AP854" s="1" t="s">
        <v>8585</v>
      </c>
      <c r="AQ854" s="1" t="s">
        <v>74</v>
      </c>
      <c r="AR854" s="1" t="s">
        <v>74</v>
      </c>
      <c r="AS854" s="1" t="s">
        <v>74</v>
      </c>
      <c r="AT854" s="1" t="s">
        <v>2222</v>
      </c>
      <c r="AU854" s="1">
        <v>2023.0</v>
      </c>
      <c r="AV854" s="1">
        <v>39.0</v>
      </c>
      <c r="AW854" s="1">
        <v>3.0</v>
      </c>
      <c r="AX854" s="1" t="s">
        <v>74</v>
      </c>
      <c r="AY854" s="1" t="s">
        <v>74</v>
      </c>
      <c r="AZ854" s="1" t="s">
        <v>74</v>
      </c>
      <c r="BA854" s="1" t="s">
        <v>74</v>
      </c>
      <c r="BB854" s="1" t="s">
        <v>74</v>
      </c>
      <c r="BC854" s="1" t="s">
        <v>74</v>
      </c>
      <c r="BD854" s="1">
        <v>35001.0</v>
      </c>
      <c r="BE854" s="1" t="s">
        <v>8586</v>
      </c>
      <c r="BF854" s="2" t="str">
        <f>HYPERLINK("http://dx.doi.org/10.1088/1361-6420/acb0f8","http://dx.doi.org/10.1088/1361-6420/acb0f8")</f>
        <v>http://dx.doi.org/10.1088/1361-6420/acb0f8</v>
      </c>
      <c r="BG854" s="1" t="s">
        <v>74</v>
      </c>
      <c r="BH854" s="1" t="s">
        <v>74</v>
      </c>
      <c r="BI854" s="1" t="s">
        <v>74</v>
      </c>
      <c r="BJ854" s="1" t="s">
        <v>74</v>
      </c>
      <c r="BK854" s="1" t="s">
        <v>74</v>
      </c>
      <c r="BL854" s="1" t="s">
        <v>74</v>
      </c>
      <c r="BM854" s="1" t="s">
        <v>74</v>
      </c>
      <c r="BN854" s="1" t="s">
        <v>74</v>
      </c>
      <c r="BO854" s="1" t="s">
        <v>74</v>
      </c>
      <c r="BP854" s="1" t="s">
        <v>74</v>
      </c>
      <c r="BQ854" s="1" t="s">
        <v>74</v>
      </c>
      <c r="BR854" s="1" t="s">
        <v>74</v>
      </c>
      <c r="BS854" s="1" t="s">
        <v>8587</v>
      </c>
      <c r="BT854" s="1" t="str">
        <f>HYPERLINK("https%3A%2F%2Fwww.webofscience.com%2Fwos%2Fwoscc%2Ffull-record%2FWOS:000922182600001","View Full Record in Web of Science")</f>
        <v>View Full Record in Web of Science</v>
      </c>
    </row>
    <row r="855" ht="12.75" customHeight="1">
      <c r="A855" s="1" t="s">
        <v>72</v>
      </c>
      <c r="B855" s="1" t="s">
        <v>8588</v>
      </c>
      <c r="C855" s="1" t="s">
        <v>74</v>
      </c>
      <c r="D855" s="1" t="s">
        <v>74</v>
      </c>
      <c r="E855" s="1" t="s">
        <v>74</v>
      </c>
      <c r="F855" s="1" t="s">
        <v>8589</v>
      </c>
      <c r="G855" s="1" t="s">
        <v>74</v>
      </c>
      <c r="H855" s="1" t="s">
        <v>74</v>
      </c>
      <c r="I855" s="1" t="s">
        <v>8590</v>
      </c>
      <c r="J855" s="1" t="s">
        <v>3012</v>
      </c>
      <c r="K855" s="1" t="s">
        <v>74</v>
      </c>
      <c r="L855" s="1" t="s">
        <v>74</v>
      </c>
      <c r="M855" s="1" t="s">
        <v>74</v>
      </c>
      <c r="N855" s="1" t="s">
        <v>74</v>
      </c>
      <c r="O855" s="1" t="s">
        <v>74</v>
      </c>
      <c r="P855" s="1" t="s">
        <v>74</v>
      </c>
      <c r="Q855" s="1" t="s">
        <v>74</v>
      </c>
      <c r="R855" s="1" t="s">
        <v>74</v>
      </c>
      <c r="S855" s="1" t="s">
        <v>74</v>
      </c>
      <c r="T855" s="1" t="s">
        <v>74</v>
      </c>
      <c r="U855" s="1" t="s">
        <v>74</v>
      </c>
      <c r="V855" s="1" t="s">
        <v>8591</v>
      </c>
      <c r="W855" s="1" t="s">
        <v>74</v>
      </c>
      <c r="X855" s="1" t="s">
        <v>74</v>
      </c>
      <c r="Y855" s="1" t="s">
        <v>74</v>
      </c>
      <c r="Z855" s="1" t="s">
        <v>74</v>
      </c>
      <c r="AA855" s="1" t="s">
        <v>8592</v>
      </c>
      <c r="AB855" s="1" t="s">
        <v>8593</v>
      </c>
      <c r="AC855" s="1" t="s">
        <v>74</v>
      </c>
      <c r="AD855" s="1" t="s">
        <v>74</v>
      </c>
      <c r="AE855" s="1" t="s">
        <v>74</v>
      </c>
      <c r="AF855" s="1" t="s">
        <v>74</v>
      </c>
      <c r="AG855" s="1" t="s">
        <v>74</v>
      </c>
      <c r="AH855" s="1" t="s">
        <v>74</v>
      </c>
      <c r="AI855" s="1" t="s">
        <v>74</v>
      </c>
      <c r="AJ855" s="1" t="s">
        <v>74</v>
      </c>
      <c r="AK855" s="1" t="s">
        <v>74</v>
      </c>
      <c r="AL855" s="1" t="s">
        <v>74</v>
      </c>
      <c r="AM855" s="1" t="s">
        <v>74</v>
      </c>
      <c r="AN855" s="1" t="s">
        <v>74</v>
      </c>
      <c r="AO855" s="1" t="s">
        <v>74</v>
      </c>
      <c r="AP855" s="1" t="s">
        <v>3016</v>
      </c>
      <c r="AQ855" s="1" t="s">
        <v>74</v>
      </c>
      <c r="AR855" s="1" t="s">
        <v>74</v>
      </c>
      <c r="AS855" s="1" t="s">
        <v>74</v>
      </c>
      <c r="AT855" s="1" t="s">
        <v>537</v>
      </c>
      <c r="AU855" s="1">
        <v>2022.0</v>
      </c>
      <c r="AV855" s="1">
        <v>10.0</v>
      </c>
      <c r="AW855" s="1">
        <v>11.0</v>
      </c>
      <c r="AX855" s="1" t="s">
        <v>74</v>
      </c>
      <c r="AY855" s="1" t="s">
        <v>74</v>
      </c>
      <c r="AZ855" s="1" t="s">
        <v>74</v>
      </c>
      <c r="BA855" s="1" t="s">
        <v>74</v>
      </c>
      <c r="BB855" s="1" t="s">
        <v>74</v>
      </c>
      <c r="BC855" s="1" t="s">
        <v>74</v>
      </c>
      <c r="BD855" s="1">
        <v>2272.0</v>
      </c>
      <c r="BE855" s="1" t="s">
        <v>8594</v>
      </c>
      <c r="BF855" s="2" t="str">
        <f>HYPERLINK("http://dx.doi.org/10.3390/healthcare10112272","http://dx.doi.org/10.3390/healthcare10112272")</f>
        <v>http://dx.doi.org/10.3390/healthcare10112272</v>
      </c>
      <c r="BG855" s="1" t="s">
        <v>74</v>
      </c>
      <c r="BH855" s="1" t="s">
        <v>74</v>
      </c>
      <c r="BI855" s="1" t="s">
        <v>74</v>
      </c>
      <c r="BJ855" s="1" t="s">
        <v>74</v>
      </c>
      <c r="BK855" s="1" t="s">
        <v>74</v>
      </c>
      <c r="BL855" s="1" t="s">
        <v>74</v>
      </c>
      <c r="BM855" s="1" t="s">
        <v>74</v>
      </c>
      <c r="BN855" s="1">
        <v>3.6421596E7</v>
      </c>
      <c r="BO855" s="1" t="s">
        <v>74</v>
      </c>
      <c r="BP855" s="1" t="s">
        <v>74</v>
      </c>
      <c r="BQ855" s="1" t="s">
        <v>74</v>
      </c>
      <c r="BR855" s="1" t="s">
        <v>74</v>
      </c>
      <c r="BS855" s="1" t="s">
        <v>8595</v>
      </c>
      <c r="BT855" s="1" t="str">
        <f>HYPERLINK("https%3A%2F%2Fwww.webofscience.com%2Fwos%2Fwoscc%2Ffull-record%2FWOS:000912344100001","View Full Record in Web of Science")</f>
        <v>View Full Record in Web of Science</v>
      </c>
    </row>
    <row r="856" ht="12.75" customHeight="1">
      <c r="A856" s="1" t="s">
        <v>72</v>
      </c>
      <c r="B856" s="1" t="s">
        <v>8596</v>
      </c>
      <c r="C856" s="1" t="s">
        <v>74</v>
      </c>
      <c r="D856" s="1" t="s">
        <v>74</v>
      </c>
      <c r="E856" s="1" t="s">
        <v>74</v>
      </c>
      <c r="F856" s="1" t="s">
        <v>8597</v>
      </c>
      <c r="G856" s="1" t="s">
        <v>74</v>
      </c>
      <c r="H856" s="1" t="s">
        <v>74</v>
      </c>
      <c r="I856" s="1" t="s">
        <v>8598</v>
      </c>
      <c r="J856" s="1" t="s">
        <v>2012</v>
      </c>
      <c r="K856" s="1" t="s">
        <v>74</v>
      </c>
      <c r="L856" s="1" t="s">
        <v>74</v>
      </c>
      <c r="M856" s="1" t="s">
        <v>74</v>
      </c>
      <c r="N856" s="1" t="s">
        <v>74</v>
      </c>
      <c r="O856" s="1" t="s">
        <v>74</v>
      </c>
      <c r="P856" s="1" t="s">
        <v>74</v>
      </c>
      <c r="Q856" s="1" t="s">
        <v>74</v>
      </c>
      <c r="R856" s="1" t="s">
        <v>74</v>
      </c>
      <c r="S856" s="1" t="s">
        <v>74</v>
      </c>
      <c r="T856" s="1" t="s">
        <v>74</v>
      </c>
      <c r="U856" s="1" t="s">
        <v>74</v>
      </c>
      <c r="V856" s="1" t="s">
        <v>8599</v>
      </c>
      <c r="W856" s="1" t="s">
        <v>74</v>
      </c>
      <c r="X856" s="1" t="s">
        <v>74</v>
      </c>
      <c r="Y856" s="1" t="s">
        <v>74</v>
      </c>
      <c r="Z856" s="1" t="s">
        <v>74</v>
      </c>
      <c r="AA856" s="1" t="s">
        <v>8600</v>
      </c>
      <c r="AB856" s="1" t="s">
        <v>8601</v>
      </c>
      <c r="AC856" s="1" t="s">
        <v>74</v>
      </c>
      <c r="AD856" s="1" t="s">
        <v>74</v>
      </c>
      <c r="AE856" s="1" t="s">
        <v>74</v>
      </c>
      <c r="AF856" s="1" t="s">
        <v>74</v>
      </c>
      <c r="AG856" s="1" t="s">
        <v>74</v>
      </c>
      <c r="AH856" s="1" t="s">
        <v>74</v>
      </c>
      <c r="AI856" s="1" t="s">
        <v>74</v>
      </c>
      <c r="AJ856" s="1" t="s">
        <v>74</v>
      </c>
      <c r="AK856" s="1" t="s">
        <v>74</v>
      </c>
      <c r="AL856" s="1" t="s">
        <v>74</v>
      </c>
      <c r="AM856" s="1" t="s">
        <v>74</v>
      </c>
      <c r="AN856" s="1" t="s">
        <v>74</v>
      </c>
      <c r="AO856" s="1" t="s">
        <v>74</v>
      </c>
      <c r="AP856" s="1" t="s">
        <v>2015</v>
      </c>
      <c r="AQ856" s="1" t="s">
        <v>74</v>
      </c>
      <c r="AR856" s="1" t="s">
        <v>74</v>
      </c>
      <c r="AS856" s="1" t="s">
        <v>74</v>
      </c>
      <c r="AT856" s="1" t="s">
        <v>8602</v>
      </c>
      <c r="AU856" s="1">
        <v>2021.0</v>
      </c>
      <c r="AV856" s="1">
        <v>11.0</v>
      </c>
      <c r="AW856" s="1">
        <v>51.0</v>
      </c>
      <c r="AX856" s="1" t="s">
        <v>74</v>
      </c>
      <c r="AY856" s="1" t="s">
        <v>74</v>
      </c>
      <c r="AZ856" s="1" t="s">
        <v>74</v>
      </c>
      <c r="BA856" s="1" t="s">
        <v>74</v>
      </c>
      <c r="BB856" s="1">
        <v>31959.0</v>
      </c>
      <c r="BC856" s="1">
        <v>31966.0</v>
      </c>
      <c r="BD856" s="1" t="s">
        <v>74</v>
      </c>
      <c r="BE856" s="1" t="s">
        <v>8603</v>
      </c>
      <c r="BF856" s="2" t="str">
        <f>HYPERLINK("http://dx.doi.org/10.1039/d1ra06416a","http://dx.doi.org/10.1039/d1ra06416a")</f>
        <v>http://dx.doi.org/10.1039/d1ra06416a</v>
      </c>
      <c r="BG856" s="1" t="s">
        <v>74</v>
      </c>
      <c r="BH856" s="1" t="s">
        <v>74</v>
      </c>
      <c r="BI856" s="1" t="s">
        <v>74</v>
      </c>
      <c r="BJ856" s="1" t="s">
        <v>74</v>
      </c>
      <c r="BK856" s="1" t="s">
        <v>74</v>
      </c>
      <c r="BL856" s="1" t="s">
        <v>74</v>
      </c>
      <c r="BM856" s="1" t="s">
        <v>74</v>
      </c>
      <c r="BN856" s="1">
        <v>3.5495525E7</v>
      </c>
      <c r="BO856" s="1" t="s">
        <v>74</v>
      </c>
      <c r="BP856" s="1" t="s">
        <v>74</v>
      </c>
      <c r="BQ856" s="1" t="s">
        <v>74</v>
      </c>
      <c r="BR856" s="1" t="s">
        <v>74</v>
      </c>
      <c r="BS856" s="1" t="s">
        <v>8604</v>
      </c>
      <c r="BT856" s="1" t="str">
        <f>HYPERLINK("https%3A%2F%2Fwww.webofscience.com%2Fwos%2Fwoscc%2Ffull-record%2FWOS:000716063100001","View Full Record in Web of Science")</f>
        <v>View Full Record in Web of Science</v>
      </c>
    </row>
    <row r="857" ht="12.75" customHeight="1">
      <c r="A857" s="1" t="s">
        <v>72</v>
      </c>
      <c r="B857" s="1" t="s">
        <v>8605</v>
      </c>
      <c r="C857" s="1" t="s">
        <v>74</v>
      </c>
      <c r="D857" s="1" t="s">
        <v>74</v>
      </c>
      <c r="E857" s="1" t="s">
        <v>74</v>
      </c>
      <c r="F857" s="1" t="s">
        <v>8606</v>
      </c>
      <c r="G857" s="1" t="s">
        <v>74</v>
      </c>
      <c r="H857" s="1" t="s">
        <v>74</v>
      </c>
      <c r="I857" s="1" t="s">
        <v>8607</v>
      </c>
      <c r="J857" s="1" t="s">
        <v>8608</v>
      </c>
      <c r="K857" s="1" t="s">
        <v>74</v>
      </c>
      <c r="L857" s="1" t="s">
        <v>74</v>
      </c>
      <c r="M857" s="1" t="s">
        <v>74</v>
      </c>
      <c r="N857" s="1" t="s">
        <v>74</v>
      </c>
      <c r="O857" s="1" t="s">
        <v>74</v>
      </c>
      <c r="P857" s="1" t="s">
        <v>74</v>
      </c>
      <c r="Q857" s="1" t="s">
        <v>74</v>
      </c>
      <c r="R857" s="1" t="s">
        <v>74</v>
      </c>
      <c r="S857" s="1" t="s">
        <v>74</v>
      </c>
      <c r="T857" s="1" t="s">
        <v>74</v>
      </c>
      <c r="U857" s="1" t="s">
        <v>74</v>
      </c>
      <c r="V857" s="1" t="s">
        <v>8609</v>
      </c>
      <c r="W857" s="1" t="s">
        <v>74</v>
      </c>
      <c r="X857" s="1" t="s">
        <v>74</v>
      </c>
      <c r="Y857" s="1" t="s">
        <v>74</v>
      </c>
      <c r="Z857" s="1" t="s">
        <v>74</v>
      </c>
      <c r="AA857" s="1" t="s">
        <v>8610</v>
      </c>
      <c r="AB857" s="1" t="s">
        <v>8611</v>
      </c>
      <c r="AC857" s="1" t="s">
        <v>74</v>
      </c>
      <c r="AD857" s="1" t="s">
        <v>74</v>
      </c>
      <c r="AE857" s="1" t="s">
        <v>74</v>
      </c>
      <c r="AF857" s="1" t="s">
        <v>74</v>
      </c>
      <c r="AG857" s="1" t="s">
        <v>74</v>
      </c>
      <c r="AH857" s="1" t="s">
        <v>74</v>
      </c>
      <c r="AI857" s="1" t="s">
        <v>74</v>
      </c>
      <c r="AJ857" s="1" t="s">
        <v>74</v>
      </c>
      <c r="AK857" s="1" t="s">
        <v>74</v>
      </c>
      <c r="AL857" s="1" t="s">
        <v>74</v>
      </c>
      <c r="AM857" s="1" t="s">
        <v>74</v>
      </c>
      <c r="AN857" s="1" t="s">
        <v>74</v>
      </c>
      <c r="AO857" s="1" t="s">
        <v>8612</v>
      </c>
      <c r="AP857" s="1" t="s">
        <v>8613</v>
      </c>
      <c r="AQ857" s="1" t="s">
        <v>74</v>
      </c>
      <c r="AR857" s="1" t="s">
        <v>74</v>
      </c>
      <c r="AS857" s="1" t="s">
        <v>74</v>
      </c>
      <c r="AT857" s="1" t="s">
        <v>8614</v>
      </c>
      <c r="AU857" s="1">
        <v>2021.0</v>
      </c>
      <c r="AV857" s="1">
        <v>38.0</v>
      </c>
      <c r="AW857" s="1">
        <v>10.0</v>
      </c>
      <c r="AX857" s="1" t="s">
        <v>74</v>
      </c>
      <c r="AY857" s="1" t="s">
        <v>74</v>
      </c>
      <c r="AZ857" s="1" t="s">
        <v>74</v>
      </c>
      <c r="BA857" s="1" t="s">
        <v>74</v>
      </c>
      <c r="BB857" s="1">
        <v>859.0</v>
      </c>
      <c r="BC857" s="1">
        <v>868.0</v>
      </c>
      <c r="BD857" s="1" t="s">
        <v>74</v>
      </c>
      <c r="BE857" s="1" t="s">
        <v>8615</v>
      </c>
      <c r="BF857" s="2" t="str">
        <f>HYPERLINK("http://dx.doi.org/10.1080/01490451.2021.1966141","http://dx.doi.org/10.1080/01490451.2021.1966141")</f>
        <v>http://dx.doi.org/10.1080/01490451.2021.1966141</v>
      </c>
      <c r="BG857" s="1" t="s">
        <v>74</v>
      </c>
      <c r="BH857" s="1" t="s">
        <v>3928</v>
      </c>
      <c r="BI857" s="1" t="s">
        <v>74</v>
      </c>
      <c r="BJ857" s="1" t="s">
        <v>74</v>
      </c>
      <c r="BK857" s="1" t="s">
        <v>74</v>
      </c>
      <c r="BL857" s="1" t="s">
        <v>74</v>
      </c>
      <c r="BM857" s="1" t="s">
        <v>74</v>
      </c>
      <c r="BN857" s="1" t="s">
        <v>74</v>
      </c>
      <c r="BO857" s="1" t="s">
        <v>74</v>
      </c>
      <c r="BP857" s="1" t="s">
        <v>74</v>
      </c>
      <c r="BQ857" s="1" t="s">
        <v>74</v>
      </c>
      <c r="BR857" s="1" t="s">
        <v>74</v>
      </c>
      <c r="BS857" s="1" t="s">
        <v>8616</v>
      </c>
      <c r="BT857" s="1" t="str">
        <f>HYPERLINK("https%3A%2F%2Fwww.webofscience.com%2Fwos%2Fwoscc%2Ffull-record%2FWOS:000688351700001","View Full Record in Web of Science")</f>
        <v>View Full Record in Web of Science</v>
      </c>
    </row>
    <row r="858" ht="12.75" customHeight="1">
      <c r="A858" s="1" t="s">
        <v>72</v>
      </c>
      <c r="B858" s="1" t="s">
        <v>8617</v>
      </c>
      <c r="C858" s="1" t="s">
        <v>74</v>
      </c>
      <c r="D858" s="1" t="s">
        <v>74</v>
      </c>
      <c r="E858" s="1" t="s">
        <v>74</v>
      </c>
      <c r="F858" s="1" t="s">
        <v>8618</v>
      </c>
      <c r="G858" s="1" t="s">
        <v>74</v>
      </c>
      <c r="H858" s="1" t="s">
        <v>74</v>
      </c>
      <c r="I858" s="1" t="s">
        <v>8619</v>
      </c>
      <c r="J858" s="1" t="s">
        <v>8620</v>
      </c>
      <c r="K858" s="1" t="s">
        <v>74</v>
      </c>
      <c r="L858" s="1" t="s">
        <v>74</v>
      </c>
      <c r="M858" s="1" t="s">
        <v>74</v>
      </c>
      <c r="N858" s="1" t="s">
        <v>74</v>
      </c>
      <c r="O858" s="1" t="s">
        <v>74</v>
      </c>
      <c r="P858" s="1" t="s">
        <v>74</v>
      </c>
      <c r="Q858" s="1" t="s">
        <v>74</v>
      </c>
      <c r="R858" s="1" t="s">
        <v>74</v>
      </c>
      <c r="S858" s="1" t="s">
        <v>74</v>
      </c>
      <c r="T858" s="1" t="s">
        <v>74</v>
      </c>
      <c r="U858" s="1" t="s">
        <v>74</v>
      </c>
      <c r="V858" s="1" t="s">
        <v>8621</v>
      </c>
      <c r="W858" s="1" t="s">
        <v>74</v>
      </c>
      <c r="X858" s="1" t="s">
        <v>74</v>
      </c>
      <c r="Y858" s="1" t="s">
        <v>74</v>
      </c>
      <c r="Z858" s="1" t="s">
        <v>74</v>
      </c>
      <c r="AA858" s="1" t="s">
        <v>8622</v>
      </c>
      <c r="AB858" s="1" t="s">
        <v>8623</v>
      </c>
      <c r="AC858" s="1" t="s">
        <v>74</v>
      </c>
      <c r="AD858" s="1" t="s">
        <v>74</v>
      </c>
      <c r="AE858" s="1" t="s">
        <v>74</v>
      </c>
      <c r="AF858" s="1" t="s">
        <v>74</v>
      </c>
      <c r="AG858" s="1" t="s">
        <v>74</v>
      </c>
      <c r="AH858" s="1" t="s">
        <v>74</v>
      </c>
      <c r="AI858" s="1" t="s">
        <v>74</v>
      </c>
      <c r="AJ858" s="1" t="s">
        <v>74</v>
      </c>
      <c r="AK858" s="1" t="s">
        <v>74</v>
      </c>
      <c r="AL858" s="1" t="s">
        <v>74</v>
      </c>
      <c r="AM858" s="1" t="s">
        <v>74</v>
      </c>
      <c r="AN858" s="1" t="s">
        <v>74</v>
      </c>
      <c r="AO858" s="1" t="s">
        <v>8624</v>
      </c>
      <c r="AP858" s="1" t="s">
        <v>8625</v>
      </c>
      <c r="AQ858" s="1" t="s">
        <v>74</v>
      </c>
      <c r="AR858" s="1" t="s">
        <v>74</v>
      </c>
      <c r="AS858" s="1" t="s">
        <v>74</v>
      </c>
      <c r="AT858" s="1" t="s">
        <v>895</v>
      </c>
      <c r="AU858" s="1">
        <v>2021.0</v>
      </c>
      <c r="AV858" s="1">
        <v>183.0</v>
      </c>
      <c r="AW858" s="1" t="s">
        <v>74</v>
      </c>
      <c r="AX858" s="1" t="s">
        <v>74</v>
      </c>
      <c r="AY858" s="1" t="s">
        <v>74</v>
      </c>
      <c r="AZ858" s="1" t="s">
        <v>74</v>
      </c>
      <c r="BA858" s="1" t="s">
        <v>74</v>
      </c>
      <c r="BB858" s="1" t="s">
        <v>74</v>
      </c>
      <c r="BC858" s="1" t="s">
        <v>74</v>
      </c>
      <c r="BD858" s="1">
        <v>108404.0</v>
      </c>
      <c r="BE858" s="1" t="s">
        <v>8626</v>
      </c>
      <c r="BF858" s="2" t="str">
        <f>HYPERLINK("http://dx.doi.org/10.1016/j.neuropharm.2020.108404","http://dx.doi.org/10.1016/j.neuropharm.2020.108404")</f>
        <v>http://dx.doi.org/10.1016/j.neuropharm.2020.108404</v>
      </c>
      <c r="BG858" s="1" t="s">
        <v>74</v>
      </c>
      <c r="BH858" s="1" t="s">
        <v>74</v>
      </c>
      <c r="BI858" s="1" t="s">
        <v>74</v>
      </c>
      <c r="BJ858" s="1" t="s">
        <v>74</v>
      </c>
      <c r="BK858" s="1" t="s">
        <v>74</v>
      </c>
      <c r="BL858" s="1" t="s">
        <v>74</v>
      </c>
      <c r="BM858" s="1" t="s">
        <v>74</v>
      </c>
      <c r="BN858" s="1">
        <v>3.3197467E7</v>
      </c>
      <c r="BO858" s="1" t="s">
        <v>74</v>
      </c>
      <c r="BP858" s="1" t="s">
        <v>74</v>
      </c>
      <c r="BQ858" s="1" t="s">
        <v>74</v>
      </c>
      <c r="BR858" s="1" t="s">
        <v>74</v>
      </c>
      <c r="BS858" s="1" t="s">
        <v>8627</v>
      </c>
      <c r="BT858" s="1" t="str">
        <f>HYPERLINK("https%3A%2F%2Fwww.webofscience.com%2Fwos%2Fwoscc%2Ffull-record%2FWOS:000601149900009","View Full Record in Web of Science")</f>
        <v>View Full Record in Web of Science</v>
      </c>
    </row>
    <row r="859" ht="12.75" customHeight="1">
      <c r="A859" s="1" t="s">
        <v>72</v>
      </c>
      <c r="B859" s="1" t="s">
        <v>8628</v>
      </c>
      <c r="C859" s="1" t="s">
        <v>74</v>
      </c>
      <c r="D859" s="1" t="s">
        <v>74</v>
      </c>
      <c r="E859" s="1" t="s">
        <v>74</v>
      </c>
      <c r="F859" s="1" t="s">
        <v>8629</v>
      </c>
      <c r="G859" s="1" t="s">
        <v>74</v>
      </c>
      <c r="H859" s="1" t="s">
        <v>74</v>
      </c>
      <c r="I859" s="1" t="s">
        <v>8630</v>
      </c>
      <c r="J859" s="1" t="s">
        <v>8631</v>
      </c>
      <c r="K859" s="1" t="s">
        <v>74</v>
      </c>
      <c r="L859" s="1" t="s">
        <v>74</v>
      </c>
      <c r="M859" s="1" t="s">
        <v>74</v>
      </c>
      <c r="N859" s="1" t="s">
        <v>74</v>
      </c>
      <c r="O859" s="1" t="s">
        <v>74</v>
      </c>
      <c r="P859" s="1" t="s">
        <v>74</v>
      </c>
      <c r="Q859" s="1" t="s">
        <v>74</v>
      </c>
      <c r="R859" s="1" t="s">
        <v>74</v>
      </c>
      <c r="S859" s="1" t="s">
        <v>74</v>
      </c>
      <c r="T859" s="1" t="s">
        <v>74</v>
      </c>
      <c r="U859" s="1" t="s">
        <v>74</v>
      </c>
      <c r="V859" s="1" t="s">
        <v>74</v>
      </c>
      <c r="W859" s="1" t="s">
        <v>74</v>
      </c>
      <c r="X859" s="1" t="s">
        <v>74</v>
      </c>
      <c r="Y859" s="1" t="s">
        <v>74</v>
      </c>
      <c r="Z859" s="1" t="s">
        <v>74</v>
      </c>
      <c r="AA859" s="1" t="s">
        <v>8632</v>
      </c>
      <c r="AB859" s="1" t="s">
        <v>8633</v>
      </c>
      <c r="AC859" s="1" t="s">
        <v>74</v>
      </c>
      <c r="AD859" s="1" t="s">
        <v>74</v>
      </c>
      <c r="AE859" s="1" t="s">
        <v>74</v>
      </c>
      <c r="AF859" s="1" t="s">
        <v>74</v>
      </c>
      <c r="AG859" s="1" t="s">
        <v>74</v>
      </c>
      <c r="AH859" s="1" t="s">
        <v>74</v>
      </c>
      <c r="AI859" s="1" t="s">
        <v>74</v>
      </c>
      <c r="AJ859" s="1" t="s">
        <v>74</v>
      </c>
      <c r="AK859" s="1" t="s">
        <v>74</v>
      </c>
      <c r="AL859" s="1" t="s">
        <v>74</v>
      </c>
      <c r="AM859" s="1" t="s">
        <v>74</v>
      </c>
      <c r="AN859" s="1" t="s">
        <v>74</v>
      </c>
      <c r="AO859" s="1" t="s">
        <v>8634</v>
      </c>
      <c r="AP859" s="1" t="s">
        <v>8635</v>
      </c>
      <c r="AQ859" s="1" t="s">
        <v>74</v>
      </c>
      <c r="AR859" s="1" t="s">
        <v>74</v>
      </c>
      <c r="AS859" s="1" t="s">
        <v>74</v>
      </c>
      <c r="AT859" s="1" t="s">
        <v>4635</v>
      </c>
      <c r="AU859" s="1">
        <v>2020.0</v>
      </c>
      <c r="AV859" s="1">
        <v>24.0</v>
      </c>
      <c r="AW859" s="1">
        <v>4.0</v>
      </c>
      <c r="AX859" s="1" t="s">
        <v>74</v>
      </c>
      <c r="AY859" s="1" t="s">
        <v>74</v>
      </c>
      <c r="AZ859" s="1" t="s">
        <v>74</v>
      </c>
      <c r="BA859" s="1" t="s">
        <v>74</v>
      </c>
      <c r="BB859" s="1">
        <v>404.0</v>
      </c>
      <c r="BC859" s="1">
        <v>406.0</v>
      </c>
      <c r="BD859" s="1" t="s">
        <v>74</v>
      </c>
      <c r="BE859" s="1" t="s">
        <v>8636</v>
      </c>
      <c r="BF859" s="2" t="str">
        <f>HYPERLINK("http://dx.doi.org/10.14306/renhyd.24.4.1239","http://dx.doi.org/10.14306/renhyd.24.4.1239")</f>
        <v>http://dx.doi.org/10.14306/renhyd.24.4.1239</v>
      </c>
      <c r="BG859" s="1" t="s">
        <v>74</v>
      </c>
      <c r="BH859" s="1" t="s">
        <v>74</v>
      </c>
      <c r="BI859" s="1" t="s">
        <v>74</v>
      </c>
      <c r="BJ859" s="1" t="s">
        <v>74</v>
      </c>
      <c r="BK859" s="1" t="s">
        <v>74</v>
      </c>
      <c r="BL859" s="1" t="s">
        <v>74</v>
      </c>
      <c r="BM859" s="1" t="s">
        <v>74</v>
      </c>
      <c r="BN859" s="1" t="s">
        <v>74</v>
      </c>
      <c r="BO859" s="1" t="s">
        <v>74</v>
      </c>
      <c r="BP859" s="1" t="s">
        <v>74</v>
      </c>
      <c r="BQ859" s="1" t="s">
        <v>74</v>
      </c>
      <c r="BR859" s="1" t="s">
        <v>74</v>
      </c>
      <c r="BS859" s="1" t="s">
        <v>8637</v>
      </c>
      <c r="BT859" s="1" t="str">
        <f>HYPERLINK("https%3A%2F%2Fwww.webofscience.com%2Fwos%2Fwoscc%2Ffull-record%2FWOS:000605104100013","View Full Record in Web of Science")</f>
        <v>View Full Record in Web of Science</v>
      </c>
    </row>
    <row r="860" ht="12.75" customHeight="1">
      <c r="A860" s="1" t="s">
        <v>72</v>
      </c>
      <c r="B860" s="1" t="s">
        <v>8638</v>
      </c>
      <c r="C860" s="1" t="s">
        <v>74</v>
      </c>
      <c r="D860" s="1" t="s">
        <v>74</v>
      </c>
      <c r="E860" s="1" t="s">
        <v>74</v>
      </c>
      <c r="F860" s="1" t="s">
        <v>8639</v>
      </c>
      <c r="G860" s="1" t="s">
        <v>74</v>
      </c>
      <c r="H860" s="1" t="s">
        <v>74</v>
      </c>
      <c r="I860" s="1" t="s">
        <v>8640</v>
      </c>
      <c r="J860" s="1" t="s">
        <v>1564</v>
      </c>
      <c r="K860" s="1" t="s">
        <v>74</v>
      </c>
      <c r="L860" s="1" t="s">
        <v>74</v>
      </c>
      <c r="M860" s="1" t="s">
        <v>74</v>
      </c>
      <c r="N860" s="1" t="s">
        <v>74</v>
      </c>
      <c r="O860" s="1" t="s">
        <v>74</v>
      </c>
      <c r="P860" s="1" t="s">
        <v>74</v>
      </c>
      <c r="Q860" s="1" t="s">
        <v>74</v>
      </c>
      <c r="R860" s="1" t="s">
        <v>74</v>
      </c>
      <c r="S860" s="1" t="s">
        <v>74</v>
      </c>
      <c r="T860" s="1" t="s">
        <v>74</v>
      </c>
      <c r="U860" s="1" t="s">
        <v>74</v>
      </c>
      <c r="V860" s="1" t="s">
        <v>8641</v>
      </c>
      <c r="W860" s="1" t="s">
        <v>74</v>
      </c>
      <c r="X860" s="1" t="s">
        <v>74</v>
      </c>
      <c r="Y860" s="1" t="s">
        <v>74</v>
      </c>
      <c r="Z860" s="1" t="s">
        <v>74</v>
      </c>
      <c r="AA860" s="1" t="s">
        <v>8642</v>
      </c>
      <c r="AB860" s="1" t="s">
        <v>8643</v>
      </c>
      <c r="AC860" s="1" t="s">
        <v>74</v>
      </c>
      <c r="AD860" s="1" t="s">
        <v>74</v>
      </c>
      <c r="AE860" s="1" t="s">
        <v>74</v>
      </c>
      <c r="AF860" s="1" t="s">
        <v>74</v>
      </c>
      <c r="AG860" s="1" t="s">
        <v>74</v>
      </c>
      <c r="AH860" s="1" t="s">
        <v>74</v>
      </c>
      <c r="AI860" s="1" t="s">
        <v>74</v>
      </c>
      <c r="AJ860" s="1" t="s">
        <v>74</v>
      </c>
      <c r="AK860" s="1" t="s">
        <v>74</v>
      </c>
      <c r="AL860" s="1" t="s">
        <v>74</v>
      </c>
      <c r="AM860" s="1" t="s">
        <v>74</v>
      </c>
      <c r="AN860" s="1" t="s">
        <v>74</v>
      </c>
      <c r="AO860" s="1" t="s">
        <v>1567</v>
      </c>
      <c r="AP860" s="1" t="s">
        <v>1568</v>
      </c>
      <c r="AQ860" s="1" t="s">
        <v>74</v>
      </c>
      <c r="AR860" s="1" t="s">
        <v>74</v>
      </c>
      <c r="AS860" s="1" t="s">
        <v>74</v>
      </c>
      <c r="AT860" s="1" t="s">
        <v>895</v>
      </c>
      <c r="AU860" s="1">
        <v>2019.0</v>
      </c>
      <c r="AV860" s="1">
        <v>131.0</v>
      </c>
      <c r="AW860" s="1" t="s">
        <v>74</v>
      </c>
      <c r="AX860" s="1" t="s">
        <v>74</v>
      </c>
      <c r="AY860" s="1" t="s">
        <v>74</v>
      </c>
      <c r="AZ860" s="1" t="s">
        <v>74</v>
      </c>
      <c r="BA860" s="1" t="s">
        <v>74</v>
      </c>
      <c r="BB860" s="1">
        <v>133.0</v>
      </c>
      <c r="BC860" s="1">
        <v>143.0</v>
      </c>
      <c r="BD860" s="1" t="s">
        <v>74</v>
      </c>
      <c r="BE860" s="1" t="s">
        <v>8644</v>
      </c>
      <c r="BF860" s="2" t="str">
        <f>HYPERLINK("http://dx.doi.org/10.1016/j.freeradbiomed.2018.11.026","http://dx.doi.org/10.1016/j.freeradbiomed.2018.11.026")</f>
        <v>http://dx.doi.org/10.1016/j.freeradbiomed.2018.11.026</v>
      </c>
      <c r="BG860" s="1" t="s">
        <v>74</v>
      </c>
      <c r="BH860" s="1" t="s">
        <v>74</v>
      </c>
      <c r="BI860" s="1" t="s">
        <v>74</v>
      </c>
      <c r="BJ860" s="1" t="s">
        <v>74</v>
      </c>
      <c r="BK860" s="1" t="s">
        <v>74</v>
      </c>
      <c r="BL860" s="1" t="s">
        <v>74</v>
      </c>
      <c r="BM860" s="1" t="s">
        <v>74</v>
      </c>
      <c r="BN860" s="1">
        <v>3.0502456E7</v>
      </c>
      <c r="BO860" s="1" t="s">
        <v>74</v>
      </c>
      <c r="BP860" s="1" t="s">
        <v>74</v>
      </c>
      <c r="BQ860" s="1" t="s">
        <v>74</v>
      </c>
      <c r="BR860" s="1" t="s">
        <v>74</v>
      </c>
      <c r="BS860" s="1" t="s">
        <v>8645</v>
      </c>
      <c r="BT860" s="1" t="str">
        <f>HYPERLINK("https%3A%2F%2Fwww.webofscience.com%2Fwos%2Fwoscc%2Ffull-record%2FWOS:000455199300013","View Full Record in Web of Science")</f>
        <v>View Full Record in Web of Science</v>
      </c>
    </row>
    <row r="861" ht="12.75" customHeight="1">
      <c r="A861" s="1" t="s">
        <v>72</v>
      </c>
      <c r="B861" s="1" t="s">
        <v>8646</v>
      </c>
      <c r="C861" s="1" t="s">
        <v>74</v>
      </c>
      <c r="D861" s="1" t="s">
        <v>74</v>
      </c>
      <c r="E861" s="1" t="s">
        <v>74</v>
      </c>
      <c r="F861" s="1" t="s">
        <v>8647</v>
      </c>
      <c r="G861" s="1" t="s">
        <v>74</v>
      </c>
      <c r="H861" s="1" t="s">
        <v>74</v>
      </c>
      <c r="I861" s="1" t="s">
        <v>8648</v>
      </c>
      <c r="J861" s="1" t="s">
        <v>8649</v>
      </c>
      <c r="K861" s="1" t="s">
        <v>74</v>
      </c>
      <c r="L861" s="1" t="s">
        <v>74</v>
      </c>
      <c r="M861" s="1" t="s">
        <v>74</v>
      </c>
      <c r="N861" s="1" t="s">
        <v>74</v>
      </c>
      <c r="O861" s="1" t="s">
        <v>74</v>
      </c>
      <c r="P861" s="1" t="s">
        <v>74</v>
      </c>
      <c r="Q861" s="1" t="s">
        <v>74</v>
      </c>
      <c r="R861" s="1" t="s">
        <v>74</v>
      </c>
      <c r="S861" s="1" t="s">
        <v>74</v>
      </c>
      <c r="T861" s="1" t="s">
        <v>74</v>
      </c>
      <c r="U861" s="1" t="s">
        <v>74</v>
      </c>
      <c r="V861" s="1" t="s">
        <v>8650</v>
      </c>
      <c r="W861" s="1" t="s">
        <v>74</v>
      </c>
      <c r="X861" s="1" t="s">
        <v>74</v>
      </c>
      <c r="Y861" s="1" t="s">
        <v>74</v>
      </c>
      <c r="Z861" s="1" t="s">
        <v>74</v>
      </c>
      <c r="AA861" s="1" t="s">
        <v>8651</v>
      </c>
      <c r="AB861" s="1" t="s">
        <v>8652</v>
      </c>
      <c r="AC861" s="1" t="s">
        <v>74</v>
      </c>
      <c r="AD861" s="1" t="s">
        <v>74</v>
      </c>
      <c r="AE861" s="1" t="s">
        <v>74</v>
      </c>
      <c r="AF861" s="1" t="s">
        <v>74</v>
      </c>
      <c r="AG861" s="1" t="s">
        <v>74</v>
      </c>
      <c r="AH861" s="1" t="s">
        <v>74</v>
      </c>
      <c r="AI861" s="1" t="s">
        <v>74</v>
      </c>
      <c r="AJ861" s="1" t="s">
        <v>74</v>
      </c>
      <c r="AK861" s="1" t="s">
        <v>74</v>
      </c>
      <c r="AL861" s="1" t="s">
        <v>74</v>
      </c>
      <c r="AM861" s="1" t="s">
        <v>74</v>
      </c>
      <c r="AN861" s="1" t="s">
        <v>74</v>
      </c>
      <c r="AO861" s="1" t="s">
        <v>8653</v>
      </c>
      <c r="AP861" s="1" t="s">
        <v>8654</v>
      </c>
      <c r="AQ861" s="1" t="s">
        <v>74</v>
      </c>
      <c r="AR861" s="1" t="s">
        <v>74</v>
      </c>
      <c r="AS861" s="1" t="s">
        <v>74</v>
      </c>
      <c r="AT861" s="1" t="s">
        <v>1213</v>
      </c>
      <c r="AU861" s="1">
        <v>2018.0</v>
      </c>
      <c r="AV861" s="1">
        <v>35.0</v>
      </c>
      <c r="AW861" s="1">
        <v>1.0</v>
      </c>
      <c r="AX861" s="1" t="s">
        <v>74</v>
      </c>
      <c r="AY861" s="1" t="s">
        <v>74</v>
      </c>
      <c r="AZ861" s="1" t="s">
        <v>74</v>
      </c>
      <c r="BA861" s="1" t="s">
        <v>74</v>
      </c>
      <c r="BB861" s="1">
        <v>123.0</v>
      </c>
      <c r="BC861" s="1">
        <v>135.0</v>
      </c>
      <c r="BD861" s="1" t="s">
        <v>74</v>
      </c>
      <c r="BE861" s="1" t="s">
        <v>8655</v>
      </c>
      <c r="BF861" s="2" t="str">
        <f>HYPERLINK("http://dx.doi.org/10.1002/cjas.1393","http://dx.doi.org/10.1002/cjas.1393")</f>
        <v>http://dx.doi.org/10.1002/cjas.1393</v>
      </c>
      <c r="BG861" s="1" t="s">
        <v>74</v>
      </c>
      <c r="BH861" s="1" t="s">
        <v>74</v>
      </c>
      <c r="BI861" s="1" t="s">
        <v>74</v>
      </c>
      <c r="BJ861" s="1" t="s">
        <v>74</v>
      </c>
      <c r="BK861" s="1" t="s">
        <v>74</v>
      </c>
      <c r="BL861" s="1" t="s">
        <v>74</v>
      </c>
      <c r="BM861" s="1" t="s">
        <v>74</v>
      </c>
      <c r="BN861" s="1" t="s">
        <v>74</v>
      </c>
      <c r="BO861" s="1" t="s">
        <v>74</v>
      </c>
      <c r="BP861" s="1" t="s">
        <v>74</v>
      </c>
      <c r="BQ861" s="1" t="s">
        <v>74</v>
      </c>
      <c r="BR861" s="1" t="s">
        <v>74</v>
      </c>
      <c r="BS861" s="1" t="s">
        <v>8656</v>
      </c>
      <c r="BT861" s="1" t="str">
        <f>HYPERLINK("https%3A%2F%2Fwww.webofscience.com%2Fwos%2Fwoscc%2Ffull-record%2FWOS:000426608400009","View Full Record in Web of Science")</f>
        <v>View Full Record in Web of Science</v>
      </c>
    </row>
    <row r="862" ht="12.75" customHeight="1">
      <c r="A862" s="1" t="s">
        <v>72</v>
      </c>
      <c r="B862" s="1" t="s">
        <v>8657</v>
      </c>
      <c r="C862" s="1" t="s">
        <v>74</v>
      </c>
      <c r="D862" s="1" t="s">
        <v>74</v>
      </c>
      <c r="E862" s="1" t="s">
        <v>74</v>
      </c>
      <c r="F862" s="1" t="s">
        <v>8658</v>
      </c>
      <c r="G862" s="1" t="s">
        <v>74</v>
      </c>
      <c r="H862" s="1" t="s">
        <v>74</v>
      </c>
      <c r="I862" s="1" t="s">
        <v>8659</v>
      </c>
      <c r="J862" s="1" t="s">
        <v>8660</v>
      </c>
      <c r="K862" s="1" t="s">
        <v>74</v>
      </c>
      <c r="L862" s="1" t="s">
        <v>74</v>
      </c>
      <c r="M862" s="1" t="s">
        <v>74</v>
      </c>
      <c r="N862" s="1" t="s">
        <v>74</v>
      </c>
      <c r="O862" s="1" t="s">
        <v>74</v>
      </c>
      <c r="P862" s="1" t="s">
        <v>74</v>
      </c>
      <c r="Q862" s="1" t="s">
        <v>74</v>
      </c>
      <c r="R862" s="1" t="s">
        <v>74</v>
      </c>
      <c r="S862" s="1" t="s">
        <v>74</v>
      </c>
      <c r="T862" s="1" t="s">
        <v>74</v>
      </c>
      <c r="U862" s="1" t="s">
        <v>74</v>
      </c>
      <c r="V862" s="1" t="s">
        <v>8661</v>
      </c>
      <c r="W862" s="1" t="s">
        <v>74</v>
      </c>
      <c r="X862" s="1" t="s">
        <v>74</v>
      </c>
      <c r="Y862" s="1" t="s">
        <v>74</v>
      </c>
      <c r="Z862" s="1" t="s">
        <v>74</v>
      </c>
      <c r="AA862" s="1" t="s">
        <v>8662</v>
      </c>
      <c r="AB862" s="1" t="s">
        <v>8663</v>
      </c>
      <c r="AC862" s="1" t="s">
        <v>74</v>
      </c>
      <c r="AD862" s="1" t="s">
        <v>74</v>
      </c>
      <c r="AE862" s="1" t="s">
        <v>74</v>
      </c>
      <c r="AF862" s="1" t="s">
        <v>74</v>
      </c>
      <c r="AG862" s="1" t="s">
        <v>74</v>
      </c>
      <c r="AH862" s="1" t="s">
        <v>74</v>
      </c>
      <c r="AI862" s="1" t="s">
        <v>74</v>
      </c>
      <c r="AJ862" s="1" t="s">
        <v>74</v>
      </c>
      <c r="AK862" s="1" t="s">
        <v>74</v>
      </c>
      <c r="AL862" s="1" t="s">
        <v>74</v>
      </c>
      <c r="AM862" s="1" t="s">
        <v>74</v>
      </c>
      <c r="AN862" s="1" t="s">
        <v>74</v>
      </c>
      <c r="AO862" s="1" t="s">
        <v>8664</v>
      </c>
      <c r="AP862" s="1" t="s">
        <v>8665</v>
      </c>
      <c r="AQ862" s="1" t="s">
        <v>74</v>
      </c>
      <c r="AR862" s="1" t="s">
        <v>74</v>
      </c>
      <c r="AS862" s="1" t="s">
        <v>74</v>
      </c>
      <c r="AT862" s="1" t="s">
        <v>1213</v>
      </c>
      <c r="AU862" s="1">
        <v>2018.0</v>
      </c>
      <c r="AV862" s="1">
        <v>217.0</v>
      </c>
      <c r="AW862" s="1" t="s">
        <v>74</v>
      </c>
      <c r="AX862" s="1" t="s">
        <v>74</v>
      </c>
      <c r="AY862" s="1" t="s">
        <v>74</v>
      </c>
      <c r="AZ862" s="1" t="s">
        <v>74</v>
      </c>
      <c r="BA862" s="1" t="s">
        <v>74</v>
      </c>
      <c r="BB862" s="1">
        <v>55.0</v>
      </c>
      <c r="BC862" s="1">
        <v>62.0</v>
      </c>
      <c r="BD862" s="1" t="s">
        <v>74</v>
      </c>
      <c r="BE862" s="1" t="s">
        <v>8666</v>
      </c>
      <c r="BF862" s="2" t="str">
        <f>HYPERLINK("http://dx.doi.org/10.1016/j.cbpa.2018.01.001","http://dx.doi.org/10.1016/j.cbpa.2018.01.001")</f>
        <v>http://dx.doi.org/10.1016/j.cbpa.2018.01.001</v>
      </c>
      <c r="BG862" s="1" t="s">
        <v>74</v>
      </c>
      <c r="BH862" s="1" t="s">
        <v>74</v>
      </c>
      <c r="BI862" s="1" t="s">
        <v>74</v>
      </c>
      <c r="BJ862" s="1" t="s">
        <v>74</v>
      </c>
      <c r="BK862" s="1" t="s">
        <v>74</v>
      </c>
      <c r="BL862" s="1" t="s">
        <v>74</v>
      </c>
      <c r="BM862" s="1" t="s">
        <v>74</v>
      </c>
      <c r="BN862" s="1">
        <v>2.9317315E7</v>
      </c>
      <c r="BO862" s="1" t="s">
        <v>74</v>
      </c>
      <c r="BP862" s="1" t="s">
        <v>74</v>
      </c>
      <c r="BQ862" s="1" t="s">
        <v>74</v>
      </c>
      <c r="BR862" s="1" t="s">
        <v>74</v>
      </c>
      <c r="BS862" s="1" t="s">
        <v>8667</v>
      </c>
      <c r="BT862" s="1" t="str">
        <f>HYPERLINK("https%3A%2F%2Fwww.webofscience.com%2Fwos%2Fwoscc%2Ffull-record%2FWOS:000425204800007","View Full Record in Web of Science")</f>
        <v>View Full Record in Web of Science</v>
      </c>
    </row>
    <row r="863" ht="12.75" customHeight="1">
      <c r="A863" s="1" t="s">
        <v>72</v>
      </c>
      <c r="B863" s="1" t="s">
        <v>8668</v>
      </c>
      <c r="C863" s="1" t="s">
        <v>74</v>
      </c>
      <c r="D863" s="1" t="s">
        <v>74</v>
      </c>
      <c r="E863" s="1" t="s">
        <v>74</v>
      </c>
      <c r="F863" s="1" t="s">
        <v>8669</v>
      </c>
      <c r="G863" s="1" t="s">
        <v>74</v>
      </c>
      <c r="H863" s="1" t="s">
        <v>74</v>
      </c>
      <c r="I863" s="1" t="s">
        <v>8670</v>
      </c>
      <c r="J863" s="1" t="s">
        <v>8671</v>
      </c>
      <c r="K863" s="1" t="s">
        <v>74</v>
      </c>
      <c r="L863" s="1" t="s">
        <v>74</v>
      </c>
      <c r="M863" s="1" t="s">
        <v>74</v>
      </c>
      <c r="N863" s="1" t="s">
        <v>74</v>
      </c>
      <c r="O863" s="1" t="s">
        <v>74</v>
      </c>
      <c r="P863" s="1" t="s">
        <v>74</v>
      </c>
      <c r="Q863" s="1" t="s">
        <v>74</v>
      </c>
      <c r="R863" s="1" t="s">
        <v>74</v>
      </c>
      <c r="S863" s="1" t="s">
        <v>74</v>
      </c>
      <c r="T863" s="1" t="s">
        <v>74</v>
      </c>
      <c r="U863" s="1" t="s">
        <v>74</v>
      </c>
      <c r="V863" s="1" t="s">
        <v>8672</v>
      </c>
      <c r="W863" s="1" t="s">
        <v>74</v>
      </c>
      <c r="X863" s="1" t="s">
        <v>74</v>
      </c>
      <c r="Y863" s="1" t="s">
        <v>74</v>
      </c>
      <c r="Z863" s="1" t="s">
        <v>74</v>
      </c>
      <c r="AA863" s="1" t="s">
        <v>8673</v>
      </c>
      <c r="AB863" s="1" t="s">
        <v>8674</v>
      </c>
      <c r="AC863" s="1" t="s">
        <v>74</v>
      </c>
      <c r="AD863" s="1" t="s">
        <v>74</v>
      </c>
      <c r="AE863" s="1" t="s">
        <v>74</v>
      </c>
      <c r="AF863" s="1" t="s">
        <v>74</v>
      </c>
      <c r="AG863" s="1" t="s">
        <v>74</v>
      </c>
      <c r="AH863" s="1" t="s">
        <v>74</v>
      </c>
      <c r="AI863" s="1" t="s">
        <v>74</v>
      </c>
      <c r="AJ863" s="1" t="s">
        <v>74</v>
      </c>
      <c r="AK863" s="1" t="s">
        <v>74</v>
      </c>
      <c r="AL863" s="1" t="s">
        <v>74</v>
      </c>
      <c r="AM863" s="1" t="s">
        <v>74</v>
      </c>
      <c r="AN863" s="1" t="s">
        <v>74</v>
      </c>
      <c r="AO863" s="1" t="s">
        <v>8675</v>
      </c>
      <c r="AP863" s="1" t="s">
        <v>74</v>
      </c>
      <c r="AQ863" s="1" t="s">
        <v>74</v>
      </c>
      <c r="AR863" s="1" t="s">
        <v>74</v>
      </c>
      <c r="AS863" s="1" t="s">
        <v>74</v>
      </c>
      <c r="AT863" s="1" t="s">
        <v>201</v>
      </c>
      <c r="AU863" s="1">
        <v>2017.0</v>
      </c>
      <c r="AV863" s="1">
        <v>8.0</v>
      </c>
      <c r="AW863" s="1">
        <v>10.0</v>
      </c>
      <c r="AX863" s="1" t="s">
        <v>74</v>
      </c>
      <c r="AY863" s="1" t="s">
        <v>74</v>
      </c>
      <c r="AZ863" s="1" t="s">
        <v>74</v>
      </c>
      <c r="BA863" s="1" t="s">
        <v>74</v>
      </c>
      <c r="BB863" s="1">
        <v>2168.0</v>
      </c>
      <c r="BC863" s="1">
        <v>2179.0</v>
      </c>
      <c r="BD863" s="1" t="s">
        <v>74</v>
      </c>
      <c r="BE863" s="1" t="s">
        <v>8676</v>
      </c>
      <c r="BF863" s="2" t="str">
        <f>HYPERLINK("http://dx.doi.org/10.1021/acschemneuro.7b00089","http://dx.doi.org/10.1021/acschemneuro.7b00089")</f>
        <v>http://dx.doi.org/10.1021/acschemneuro.7b00089</v>
      </c>
      <c r="BG863" s="1" t="s">
        <v>74</v>
      </c>
      <c r="BH863" s="1" t="s">
        <v>74</v>
      </c>
      <c r="BI863" s="1" t="s">
        <v>74</v>
      </c>
      <c r="BJ863" s="1" t="s">
        <v>74</v>
      </c>
      <c r="BK863" s="1" t="s">
        <v>74</v>
      </c>
      <c r="BL863" s="1" t="s">
        <v>74</v>
      </c>
      <c r="BM863" s="1" t="s">
        <v>74</v>
      </c>
      <c r="BN863" s="1">
        <v>2.8665105E7</v>
      </c>
      <c r="BO863" s="1" t="s">
        <v>74</v>
      </c>
      <c r="BP863" s="1" t="s">
        <v>74</v>
      </c>
      <c r="BQ863" s="1" t="s">
        <v>74</v>
      </c>
      <c r="BR863" s="1" t="s">
        <v>74</v>
      </c>
      <c r="BS863" s="1" t="s">
        <v>8677</v>
      </c>
      <c r="BT863" s="1" t="str">
        <f>HYPERLINK("https%3A%2F%2Fwww.webofscience.com%2Fwos%2Fwoscc%2Ffull-record%2FWOS:000413502700012","View Full Record in Web of Science")</f>
        <v>View Full Record in Web of Science</v>
      </c>
    </row>
    <row r="864" ht="12.75" customHeight="1">
      <c r="A864" s="1" t="s">
        <v>72</v>
      </c>
      <c r="B864" s="1" t="s">
        <v>8678</v>
      </c>
      <c r="C864" s="1" t="s">
        <v>74</v>
      </c>
      <c r="D864" s="1" t="s">
        <v>74</v>
      </c>
      <c r="E864" s="1" t="s">
        <v>74</v>
      </c>
      <c r="F864" s="1" t="s">
        <v>8679</v>
      </c>
      <c r="G864" s="1" t="s">
        <v>74</v>
      </c>
      <c r="H864" s="1" t="s">
        <v>74</v>
      </c>
      <c r="I864" s="1" t="s">
        <v>8680</v>
      </c>
      <c r="J864" s="1" t="s">
        <v>2573</v>
      </c>
      <c r="K864" s="1" t="s">
        <v>74</v>
      </c>
      <c r="L864" s="1" t="s">
        <v>74</v>
      </c>
      <c r="M864" s="1" t="s">
        <v>74</v>
      </c>
      <c r="N864" s="1" t="s">
        <v>74</v>
      </c>
      <c r="O864" s="1" t="s">
        <v>74</v>
      </c>
      <c r="P864" s="1" t="s">
        <v>74</v>
      </c>
      <c r="Q864" s="1" t="s">
        <v>74</v>
      </c>
      <c r="R864" s="1" t="s">
        <v>74</v>
      </c>
      <c r="S864" s="1" t="s">
        <v>74</v>
      </c>
      <c r="T864" s="1" t="s">
        <v>74</v>
      </c>
      <c r="U864" s="1" t="s">
        <v>74</v>
      </c>
      <c r="V864" s="1" t="s">
        <v>8681</v>
      </c>
      <c r="W864" s="1" t="s">
        <v>74</v>
      </c>
      <c r="X864" s="1" t="s">
        <v>74</v>
      </c>
      <c r="Y864" s="1" t="s">
        <v>74</v>
      </c>
      <c r="Z864" s="1" t="s">
        <v>74</v>
      </c>
      <c r="AA864" s="1" t="s">
        <v>8682</v>
      </c>
      <c r="AB864" s="1" t="s">
        <v>74</v>
      </c>
      <c r="AC864" s="1" t="s">
        <v>74</v>
      </c>
      <c r="AD864" s="1" t="s">
        <v>74</v>
      </c>
      <c r="AE864" s="1" t="s">
        <v>74</v>
      </c>
      <c r="AF864" s="1" t="s">
        <v>74</v>
      </c>
      <c r="AG864" s="1" t="s">
        <v>74</v>
      </c>
      <c r="AH864" s="1" t="s">
        <v>74</v>
      </c>
      <c r="AI864" s="1" t="s">
        <v>74</v>
      </c>
      <c r="AJ864" s="1" t="s">
        <v>74</v>
      </c>
      <c r="AK864" s="1" t="s">
        <v>74</v>
      </c>
      <c r="AL864" s="1" t="s">
        <v>74</v>
      </c>
      <c r="AM864" s="1" t="s">
        <v>74</v>
      </c>
      <c r="AN864" s="1" t="s">
        <v>74</v>
      </c>
      <c r="AO864" s="1" t="s">
        <v>2577</v>
      </c>
      <c r="AP864" s="1" t="s">
        <v>74</v>
      </c>
      <c r="AQ864" s="1" t="s">
        <v>74</v>
      </c>
      <c r="AR864" s="1" t="s">
        <v>74</v>
      </c>
      <c r="AS864" s="1" t="s">
        <v>74</v>
      </c>
      <c r="AT864" s="1" t="s">
        <v>74</v>
      </c>
      <c r="AU864" s="1">
        <v>2016.0</v>
      </c>
      <c r="AV864" s="1">
        <v>15.0</v>
      </c>
      <c r="AW864" s="1">
        <v>2.0</v>
      </c>
      <c r="AX864" s="1" t="s">
        <v>74</v>
      </c>
      <c r="AY864" s="1" t="s">
        <v>74</v>
      </c>
      <c r="AZ864" s="1" t="s">
        <v>74</v>
      </c>
      <c r="BA864" s="1" t="s">
        <v>74</v>
      </c>
      <c r="BB864" s="1">
        <v>94.0</v>
      </c>
      <c r="BC864" s="1">
        <v>98.0</v>
      </c>
      <c r="BD864" s="1" t="s">
        <v>74</v>
      </c>
      <c r="BE864" s="1" t="s">
        <v>74</v>
      </c>
      <c r="BF864" s="1" t="s">
        <v>74</v>
      </c>
      <c r="BG864" s="1" t="s">
        <v>74</v>
      </c>
      <c r="BH864" s="1" t="s">
        <v>74</v>
      </c>
      <c r="BI864" s="1" t="s">
        <v>74</v>
      </c>
      <c r="BJ864" s="1" t="s">
        <v>74</v>
      </c>
      <c r="BK864" s="1" t="s">
        <v>74</v>
      </c>
      <c r="BL864" s="1" t="s">
        <v>74</v>
      </c>
      <c r="BM864" s="1" t="s">
        <v>74</v>
      </c>
      <c r="BN864" s="1" t="s">
        <v>74</v>
      </c>
      <c r="BO864" s="1" t="s">
        <v>74</v>
      </c>
      <c r="BP864" s="1" t="s">
        <v>74</v>
      </c>
      <c r="BQ864" s="1" t="s">
        <v>74</v>
      </c>
      <c r="BR864" s="1" t="s">
        <v>74</v>
      </c>
      <c r="BS864" s="1" t="s">
        <v>8683</v>
      </c>
      <c r="BT864" s="1" t="str">
        <f>HYPERLINK("https%3A%2F%2Fwww.webofscience.com%2Fwos%2Fwoscc%2Ffull-record%2FWOS:000377958400003","View Full Record in Web of Science")</f>
        <v>View Full Record in Web of Science</v>
      </c>
    </row>
    <row r="865" ht="12.75" customHeight="1">
      <c r="A865" s="1" t="s">
        <v>72</v>
      </c>
      <c r="B865" s="1" t="s">
        <v>8684</v>
      </c>
      <c r="C865" s="1" t="s">
        <v>74</v>
      </c>
      <c r="D865" s="1" t="s">
        <v>74</v>
      </c>
      <c r="E865" s="1" t="s">
        <v>74</v>
      </c>
      <c r="F865" s="1" t="s">
        <v>8685</v>
      </c>
      <c r="G865" s="1" t="s">
        <v>74</v>
      </c>
      <c r="H865" s="1" t="s">
        <v>74</v>
      </c>
      <c r="I865" s="1" t="s">
        <v>8686</v>
      </c>
      <c r="J865" s="1" t="s">
        <v>8687</v>
      </c>
      <c r="K865" s="1" t="s">
        <v>74</v>
      </c>
      <c r="L865" s="1" t="s">
        <v>74</v>
      </c>
      <c r="M865" s="1" t="s">
        <v>74</v>
      </c>
      <c r="N865" s="1" t="s">
        <v>74</v>
      </c>
      <c r="O865" s="1" t="s">
        <v>74</v>
      </c>
      <c r="P865" s="1" t="s">
        <v>74</v>
      </c>
      <c r="Q865" s="1" t="s">
        <v>74</v>
      </c>
      <c r="R865" s="1" t="s">
        <v>74</v>
      </c>
      <c r="S865" s="1" t="s">
        <v>74</v>
      </c>
      <c r="T865" s="1" t="s">
        <v>74</v>
      </c>
      <c r="U865" s="1" t="s">
        <v>74</v>
      </c>
      <c r="V865" s="1" t="s">
        <v>8688</v>
      </c>
      <c r="W865" s="1" t="s">
        <v>74</v>
      </c>
      <c r="X865" s="1" t="s">
        <v>74</v>
      </c>
      <c r="Y865" s="1" t="s">
        <v>74</v>
      </c>
      <c r="Z865" s="1" t="s">
        <v>74</v>
      </c>
      <c r="AA865" s="1" t="s">
        <v>8689</v>
      </c>
      <c r="AB865" s="1" t="s">
        <v>8690</v>
      </c>
      <c r="AC865" s="1" t="s">
        <v>74</v>
      </c>
      <c r="AD865" s="1" t="s">
        <v>74</v>
      </c>
      <c r="AE865" s="1" t="s">
        <v>74</v>
      </c>
      <c r="AF865" s="1" t="s">
        <v>74</v>
      </c>
      <c r="AG865" s="1" t="s">
        <v>74</v>
      </c>
      <c r="AH865" s="1" t="s">
        <v>74</v>
      </c>
      <c r="AI865" s="1" t="s">
        <v>74</v>
      </c>
      <c r="AJ865" s="1" t="s">
        <v>74</v>
      </c>
      <c r="AK865" s="1" t="s">
        <v>74</v>
      </c>
      <c r="AL865" s="1" t="s">
        <v>74</v>
      </c>
      <c r="AM865" s="1" t="s">
        <v>74</v>
      </c>
      <c r="AN865" s="1" t="s">
        <v>74</v>
      </c>
      <c r="AO865" s="1" t="s">
        <v>8691</v>
      </c>
      <c r="AP865" s="1" t="s">
        <v>8692</v>
      </c>
      <c r="AQ865" s="1" t="s">
        <v>74</v>
      </c>
      <c r="AR865" s="1" t="s">
        <v>74</v>
      </c>
      <c r="AS865" s="1" t="s">
        <v>74</v>
      </c>
      <c r="AT865" s="1" t="s">
        <v>348</v>
      </c>
      <c r="AU865" s="1">
        <v>2015.0</v>
      </c>
      <c r="AV865" s="1">
        <v>26.0</v>
      </c>
      <c r="AW865" s="1" t="s">
        <v>74</v>
      </c>
      <c r="AX865" s="1" t="s">
        <v>74</v>
      </c>
      <c r="AY865" s="1" t="s">
        <v>74</v>
      </c>
      <c r="AZ865" s="1" t="s">
        <v>74</v>
      </c>
      <c r="BA865" s="1" t="s">
        <v>74</v>
      </c>
      <c r="BB865" s="1">
        <v>147.0</v>
      </c>
      <c r="BC865" s="1">
        <v>152.0</v>
      </c>
      <c r="BD865" s="1" t="s">
        <v>74</v>
      </c>
      <c r="BE865" s="1" t="s">
        <v>8693</v>
      </c>
      <c r="BF865" s="2" t="str">
        <f>HYPERLINK("http://dx.doi.org/10.1016/j.jretconser.2015.06.005","http://dx.doi.org/10.1016/j.jretconser.2015.06.005")</f>
        <v>http://dx.doi.org/10.1016/j.jretconser.2015.06.005</v>
      </c>
      <c r="BG865" s="1" t="s">
        <v>74</v>
      </c>
      <c r="BH865" s="1" t="s">
        <v>74</v>
      </c>
      <c r="BI865" s="1" t="s">
        <v>74</v>
      </c>
      <c r="BJ865" s="1" t="s">
        <v>74</v>
      </c>
      <c r="BK865" s="1" t="s">
        <v>74</v>
      </c>
      <c r="BL865" s="1" t="s">
        <v>74</v>
      </c>
      <c r="BM865" s="1" t="s">
        <v>74</v>
      </c>
      <c r="BN865" s="1" t="s">
        <v>74</v>
      </c>
      <c r="BO865" s="1" t="s">
        <v>74</v>
      </c>
      <c r="BP865" s="1" t="s">
        <v>74</v>
      </c>
      <c r="BQ865" s="1" t="s">
        <v>74</v>
      </c>
      <c r="BR865" s="1" t="s">
        <v>74</v>
      </c>
      <c r="BS865" s="1" t="s">
        <v>8694</v>
      </c>
      <c r="BT865" s="1" t="str">
        <f>HYPERLINK("https%3A%2F%2Fwww.webofscience.com%2Fwos%2Fwoscc%2Ffull-record%2FWOS:000358088800016","View Full Record in Web of Science")</f>
        <v>View Full Record in Web of Science</v>
      </c>
    </row>
    <row r="866" ht="12.75" customHeight="1">
      <c r="A866" s="1" t="s">
        <v>72</v>
      </c>
      <c r="B866" s="1" t="s">
        <v>8695</v>
      </c>
      <c r="C866" s="1" t="s">
        <v>74</v>
      </c>
      <c r="D866" s="1" t="s">
        <v>74</v>
      </c>
      <c r="E866" s="1" t="s">
        <v>74</v>
      </c>
      <c r="F866" s="1" t="s">
        <v>8696</v>
      </c>
      <c r="G866" s="1" t="s">
        <v>74</v>
      </c>
      <c r="H866" s="1" t="s">
        <v>74</v>
      </c>
      <c r="I866" s="1" t="s">
        <v>8697</v>
      </c>
      <c r="J866" s="1" t="s">
        <v>1869</v>
      </c>
      <c r="K866" s="1" t="s">
        <v>74</v>
      </c>
      <c r="L866" s="1" t="s">
        <v>74</v>
      </c>
      <c r="M866" s="1" t="s">
        <v>74</v>
      </c>
      <c r="N866" s="1" t="s">
        <v>74</v>
      </c>
      <c r="O866" s="1" t="s">
        <v>74</v>
      </c>
      <c r="P866" s="1" t="s">
        <v>74</v>
      </c>
      <c r="Q866" s="1" t="s">
        <v>74</v>
      </c>
      <c r="R866" s="1" t="s">
        <v>74</v>
      </c>
      <c r="S866" s="1" t="s">
        <v>74</v>
      </c>
      <c r="T866" s="1" t="s">
        <v>74</v>
      </c>
      <c r="U866" s="1" t="s">
        <v>74</v>
      </c>
      <c r="V866" s="1" t="s">
        <v>8698</v>
      </c>
      <c r="W866" s="1" t="s">
        <v>74</v>
      </c>
      <c r="X866" s="1" t="s">
        <v>74</v>
      </c>
      <c r="Y866" s="1" t="s">
        <v>74</v>
      </c>
      <c r="Z866" s="1" t="s">
        <v>74</v>
      </c>
      <c r="AA866" s="1" t="s">
        <v>8699</v>
      </c>
      <c r="AB866" s="1" t="s">
        <v>8700</v>
      </c>
      <c r="AC866" s="1" t="s">
        <v>74</v>
      </c>
      <c r="AD866" s="1" t="s">
        <v>74</v>
      </c>
      <c r="AE866" s="1" t="s">
        <v>74</v>
      </c>
      <c r="AF866" s="1" t="s">
        <v>74</v>
      </c>
      <c r="AG866" s="1" t="s">
        <v>74</v>
      </c>
      <c r="AH866" s="1" t="s">
        <v>74</v>
      </c>
      <c r="AI866" s="1" t="s">
        <v>74</v>
      </c>
      <c r="AJ866" s="1" t="s">
        <v>74</v>
      </c>
      <c r="AK866" s="1" t="s">
        <v>74</v>
      </c>
      <c r="AL866" s="1" t="s">
        <v>74</v>
      </c>
      <c r="AM866" s="1" t="s">
        <v>74</v>
      </c>
      <c r="AN866" s="1" t="s">
        <v>74</v>
      </c>
      <c r="AO866" s="1" t="s">
        <v>1873</v>
      </c>
      <c r="AP866" s="1" t="s">
        <v>74</v>
      </c>
      <c r="AQ866" s="1" t="s">
        <v>74</v>
      </c>
      <c r="AR866" s="1" t="s">
        <v>74</v>
      </c>
      <c r="AS866" s="1" t="s">
        <v>74</v>
      </c>
      <c r="AT866" s="1" t="s">
        <v>74</v>
      </c>
      <c r="AU866" s="1">
        <v>2015.0</v>
      </c>
      <c r="AV866" s="1">
        <v>28.0</v>
      </c>
      <c r="AW866" s="1">
        <v>3.0</v>
      </c>
      <c r="AX866" s="1" t="s">
        <v>74</v>
      </c>
      <c r="AY866" s="1" t="s">
        <v>74</v>
      </c>
      <c r="AZ866" s="1" t="s">
        <v>74</v>
      </c>
      <c r="BA866" s="1" t="s">
        <v>74</v>
      </c>
      <c r="BB866" s="1">
        <v>396.0</v>
      </c>
      <c r="BC866" s="1">
        <v>418.0</v>
      </c>
      <c r="BD866" s="1" t="s">
        <v>74</v>
      </c>
      <c r="BE866" s="1" t="s">
        <v>8701</v>
      </c>
      <c r="BF866" s="2" t="str">
        <f>HYPERLINK("http://dx.doi.org/10.1108/ARLA-10-2014-0168","http://dx.doi.org/10.1108/ARLA-10-2014-0168")</f>
        <v>http://dx.doi.org/10.1108/ARLA-10-2014-0168</v>
      </c>
      <c r="BG866" s="1" t="s">
        <v>74</v>
      </c>
      <c r="BH866" s="1" t="s">
        <v>74</v>
      </c>
      <c r="BI866" s="1" t="s">
        <v>74</v>
      </c>
      <c r="BJ866" s="1" t="s">
        <v>74</v>
      </c>
      <c r="BK866" s="1" t="s">
        <v>74</v>
      </c>
      <c r="BL866" s="1" t="s">
        <v>74</v>
      </c>
      <c r="BM866" s="1" t="s">
        <v>74</v>
      </c>
      <c r="BN866" s="1" t="s">
        <v>74</v>
      </c>
      <c r="BO866" s="1" t="s">
        <v>74</v>
      </c>
      <c r="BP866" s="1" t="s">
        <v>74</v>
      </c>
      <c r="BQ866" s="1" t="s">
        <v>74</v>
      </c>
      <c r="BR866" s="1" t="s">
        <v>74</v>
      </c>
      <c r="BS866" s="1" t="s">
        <v>8702</v>
      </c>
      <c r="BT866" s="1" t="str">
        <f>HYPERLINK("https%3A%2F%2Fwww.webofscience.com%2Fwos%2Fwoscc%2Ffull-record%2FWOS:000359044900007","View Full Record in Web of Science")</f>
        <v>View Full Record in Web of Science</v>
      </c>
    </row>
    <row r="867" ht="12.75" customHeight="1">
      <c r="A867" s="1" t="s">
        <v>72</v>
      </c>
      <c r="B867" s="1" t="s">
        <v>8703</v>
      </c>
      <c r="C867" s="1" t="s">
        <v>74</v>
      </c>
      <c r="D867" s="1" t="s">
        <v>74</v>
      </c>
      <c r="E867" s="1" t="s">
        <v>74</v>
      </c>
      <c r="F867" s="1" t="s">
        <v>8704</v>
      </c>
      <c r="G867" s="1" t="s">
        <v>74</v>
      </c>
      <c r="H867" s="1" t="s">
        <v>74</v>
      </c>
      <c r="I867" s="1" t="s">
        <v>8705</v>
      </c>
      <c r="J867" s="1" t="s">
        <v>7742</v>
      </c>
      <c r="K867" s="1" t="s">
        <v>74</v>
      </c>
      <c r="L867" s="1" t="s">
        <v>74</v>
      </c>
      <c r="M867" s="1" t="s">
        <v>74</v>
      </c>
      <c r="N867" s="1" t="s">
        <v>74</v>
      </c>
      <c r="O867" s="1" t="s">
        <v>74</v>
      </c>
      <c r="P867" s="1" t="s">
        <v>74</v>
      </c>
      <c r="Q867" s="1" t="s">
        <v>74</v>
      </c>
      <c r="R867" s="1" t="s">
        <v>74</v>
      </c>
      <c r="S867" s="1" t="s">
        <v>74</v>
      </c>
      <c r="T867" s="1" t="s">
        <v>74</v>
      </c>
      <c r="U867" s="1" t="s">
        <v>74</v>
      </c>
      <c r="V867" s="1" t="s">
        <v>8706</v>
      </c>
      <c r="W867" s="1" t="s">
        <v>74</v>
      </c>
      <c r="X867" s="1" t="s">
        <v>74</v>
      </c>
      <c r="Y867" s="1" t="s">
        <v>74</v>
      </c>
      <c r="Z867" s="1" t="s">
        <v>74</v>
      </c>
      <c r="AA867" s="1" t="s">
        <v>74</v>
      </c>
      <c r="AB867" s="1" t="s">
        <v>8707</v>
      </c>
      <c r="AC867" s="1" t="s">
        <v>74</v>
      </c>
      <c r="AD867" s="1" t="s">
        <v>74</v>
      </c>
      <c r="AE867" s="1" t="s">
        <v>74</v>
      </c>
      <c r="AF867" s="1" t="s">
        <v>74</v>
      </c>
      <c r="AG867" s="1" t="s">
        <v>74</v>
      </c>
      <c r="AH867" s="1" t="s">
        <v>74</v>
      </c>
      <c r="AI867" s="1" t="s">
        <v>74</v>
      </c>
      <c r="AJ867" s="1" t="s">
        <v>74</v>
      </c>
      <c r="AK867" s="1" t="s">
        <v>74</v>
      </c>
      <c r="AL867" s="1" t="s">
        <v>74</v>
      </c>
      <c r="AM867" s="1" t="s">
        <v>74</v>
      </c>
      <c r="AN867" s="1" t="s">
        <v>74</v>
      </c>
      <c r="AO867" s="1" t="s">
        <v>7746</v>
      </c>
      <c r="AP867" s="1" t="s">
        <v>7747</v>
      </c>
      <c r="AQ867" s="1" t="s">
        <v>74</v>
      </c>
      <c r="AR867" s="1" t="s">
        <v>74</v>
      </c>
      <c r="AS867" s="1" t="s">
        <v>74</v>
      </c>
      <c r="AT867" s="1" t="s">
        <v>485</v>
      </c>
      <c r="AU867" s="1">
        <v>2014.0</v>
      </c>
      <c r="AV867" s="1">
        <v>29.0</v>
      </c>
      <c r="AW867" s="1">
        <v>3.0</v>
      </c>
      <c r="AX867" s="1" t="s">
        <v>74</v>
      </c>
      <c r="AY867" s="1" t="s">
        <v>74</v>
      </c>
      <c r="AZ867" s="1" t="s">
        <v>74</v>
      </c>
      <c r="BA867" s="1" t="s">
        <v>74</v>
      </c>
      <c r="BB867" s="1">
        <v>1481.0</v>
      </c>
      <c r="BC867" s="1">
        <v>1488.0</v>
      </c>
      <c r="BD867" s="1" t="s">
        <v>74</v>
      </c>
      <c r="BE867" s="1" t="s">
        <v>8708</v>
      </c>
      <c r="BF867" s="2" t="str">
        <f>HYPERLINK("http://dx.doi.org/10.1109/TPWRS.2013.2285727","http://dx.doi.org/10.1109/TPWRS.2013.2285727")</f>
        <v>http://dx.doi.org/10.1109/TPWRS.2013.2285727</v>
      </c>
      <c r="BG867" s="1" t="s">
        <v>74</v>
      </c>
      <c r="BH867" s="1" t="s">
        <v>74</v>
      </c>
      <c r="BI867" s="1" t="s">
        <v>74</v>
      </c>
      <c r="BJ867" s="1" t="s">
        <v>74</v>
      </c>
      <c r="BK867" s="1" t="s">
        <v>74</v>
      </c>
      <c r="BL867" s="1" t="s">
        <v>74</v>
      </c>
      <c r="BM867" s="1" t="s">
        <v>74</v>
      </c>
      <c r="BN867" s="1" t="s">
        <v>74</v>
      </c>
      <c r="BO867" s="1" t="s">
        <v>74</v>
      </c>
      <c r="BP867" s="1" t="s">
        <v>74</v>
      </c>
      <c r="BQ867" s="1" t="s">
        <v>74</v>
      </c>
      <c r="BR867" s="1" t="s">
        <v>74</v>
      </c>
      <c r="BS867" s="1" t="s">
        <v>8709</v>
      </c>
      <c r="BT867" s="1" t="str">
        <f>HYPERLINK("https%3A%2F%2Fwww.webofscience.com%2Fwos%2Fwoscc%2Ffull-record%2FWOS:000335399100056","View Full Record in Web of Science")</f>
        <v>View Full Record in Web of Science</v>
      </c>
    </row>
    <row r="868" ht="12.75" customHeight="1">
      <c r="A868" s="1" t="s">
        <v>72</v>
      </c>
      <c r="B868" s="1" t="s">
        <v>8710</v>
      </c>
      <c r="C868" s="1" t="s">
        <v>74</v>
      </c>
      <c r="D868" s="1" t="s">
        <v>74</v>
      </c>
      <c r="E868" s="1" t="s">
        <v>74</v>
      </c>
      <c r="F868" s="1" t="s">
        <v>8711</v>
      </c>
      <c r="G868" s="1" t="s">
        <v>74</v>
      </c>
      <c r="H868" s="1" t="s">
        <v>74</v>
      </c>
      <c r="I868" s="1" t="s">
        <v>8712</v>
      </c>
      <c r="J868" s="1" t="s">
        <v>8713</v>
      </c>
      <c r="K868" s="1" t="s">
        <v>74</v>
      </c>
      <c r="L868" s="1" t="s">
        <v>74</v>
      </c>
      <c r="M868" s="1" t="s">
        <v>74</v>
      </c>
      <c r="N868" s="1" t="s">
        <v>74</v>
      </c>
      <c r="O868" s="1" t="s">
        <v>74</v>
      </c>
      <c r="P868" s="1" t="s">
        <v>74</v>
      </c>
      <c r="Q868" s="1" t="s">
        <v>74</v>
      </c>
      <c r="R868" s="1" t="s">
        <v>74</v>
      </c>
      <c r="S868" s="1" t="s">
        <v>74</v>
      </c>
      <c r="T868" s="1" t="s">
        <v>74</v>
      </c>
      <c r="U868" s="1" t="s">
        <v>74</v>
      </c>
      <c r="V868" s="1" t="s">
        <v>8714</v>
      </c>
      <c r="W868" s="1" t="s">
        <v>74</v>
      </c>
      <c r="X868" s="1" t="s">
        <v>74</v>
      </c>
      <c r="Y868" s="1" t="s">
        <v>74</v>
      </c>
      <c r="Z868" s="1" t="s">
        <v>74</v>
      </c>
      <c r="AA868" s="1" t="s">
        <v>8715</v>
      </c>
      <c r="AB868" s="1" t="s">
        <v>8716</v>
      </c>
      <c r="AC868" s="1" t="s">
        <v>74</v>
      </c>
      <c r="AD868" s="1" t="s">
        <v>74</v>
      </c>
      <c r="AE868" s="1" t="s">
        <v>74</v>
      </c>
      <c r="AF868" s="1" t="s">
        <v>74</v>
      </c>
      <c r="AG868" s="1" t="s">
        <v>74</v>
      </c>
      <c r="AH868" s="1" t="s">
        <v>74</v>
      </c>
      <c r="AI868" s="1" t="s">
        <v>74</v>
      </c>
      <c r="AJ868" s="1" t="s">
        <v>74</v>
      </c>
      <c r="AK868" s="1" t="s">
        <v>74</v>
      </c>
      <c r="AL868" s="1" t="s">
        <v>74</v>
      </c>
      <c r="AM868" s="1" t="s">
        <v>74</v>
      </c>
      <c r="AN868" s="1" t="s">
        <v>74</v>
      </c>
      <c r="AO868" s="1" t="s">
        <v>8717</v>
      </c>
      <c r="AP868" s="1" t="s">
        <v>74</v>
      </c>
      <c r="AQ868" s="1" t="s">
        <v>74</v>
      </c>
      <c r="AR868" s="1" t="s">
        <v>74</v>
      </c>
      <c r="AS868" s="1" t="s">
        <v>74</v>
      </c>
      <c r="AT868" s="1" t="s">
        <v>441</v>
      </c>
      <c r="AU868" s="1">
        <v>2013.0</v>
      </c>
      <c r="AV868" s="1">
        <v>24.0</v>
      </c>
      <c r="AW868" s="1">
        <v>1.0</v>
      </c>
      <c r="AX868" s="1" t="s">
        <v>74</v>
      </c>
      <c r="AY868" s="1" t="s">
        <v>74</v>
      </c>
      <c r="AZ868" s="1" t="s">
        <v>74</v>
      </c>
      <c r="BA868" s="1" t="s">
        <v>74</v>
      </c>
      <c r="BB868" s="1">
        <v>56.0</v>
      </c>
      <c r="BC868" s="1">
        <v>61.0</v>
      </c>
      <c r="BD868" s="1" t="s">
        <v>74</v>
      </c>
      <c r="BE868" s="1" t="s">
        <v>8718</v>
      </c>
      <c r="BF868" s="2" t="str">
        <f>HYPERLINK("http://dx.doi.org/10.1016/j.tetasy.2012.11.017","http://dx.doi.org/10.1016/j.tetasy.2012.11.017")</f>
        <v>http://dx.doi.org/10.1016/j.tetasy.2012.11.017</v>
      </c>
      <c r="BG868" s="1" t="s">
        <v>74</v>
      </c>
      <c r="BH868" s="1" t="s">
        <v>74</v>
      </c>
      <c r="BI868" s="1" t="s">
        <v>74</v>
      </c>
      <c r="BJ868" s="1" t="s">
        <v>74</v>
      </c>
      <c r="BK868" s="1" t="s">
        <v>74</v>
      </c>
      <c r="BL868" s="1" t="s">
        <v>74</v>
      </c>
      <c r="BM868" s="1" t="s">
        <v>74</v>
      </c>
      <c r="BN868" s="1" t="s">
        <v>74</v>
      </c>
      <c r="BO868" s="1" t="s">
        <v>74</v>
      </c>
      <c r="BP868" s="1" t="s">
        <v>74</v>
      </c>
      <c r="BQ868" s="1" t="s">
        <v>74</v>
      </c>
      <c r="BR868" s="1" t="s">
        <v>74</v>
      </c>
      <c r="BS868" s="1" t="s">
        <v>8719</v>
      </c>
      <c r="BT868" s="1" t="str">
        <f>HYPERLINK("https%3A%2F%2Fwww.webofscience.com%2Fwos%2Fwoscc%2Ffull-record%2FWOS:000314488700008","View Full Record in Web of Science")</f>
        <v>View Full Record in Web of Science</v>
      </c>
    </row>
    <row r="869" ht="12.75" customHeight="1">
      <c r="A869" s="1" t="s">
        <v>72</v>
      </c>
      <c r="B869" s="1" t="s">
        <v>8720</v>
      </c>
      <c r="C869" s="1" t="s">
        <v>74</v>
      </c>
      <c r="D869" s="1" t="s">
        <v>74</v>
      </c>
      <c r="E869" s="1" t="s">
        <v>74</v>
      </c>
      <c r="F869" s="1" t="s">
        <v>8721</v>
      </c>
      <c r="G869" s="1" t="s">
        <v>74</v>
      </c>
      <c r="H869" s="1" t="s">
        <v>74</v>
      </c>
      <c r="I869" s="1" t="s">
        <v>8722</v>
      </c>
      <c r="J869" s="1" t="s">
        <v>354</v>
      </c>
      <c r="K869" s="1" t="s">
        <v>74</v>
      </c>
      <c r="L869" s="1" t="s">
        <v>74</v>
      </c>
      <c r="M869" s="1" t="s">
        <v>74</v>
      </c>
      <c r="N869" s="1" t="s">
        <v>74</v>
      </c>
      <c r="O869" s="1" t="s">
        <v>74</v>
      </c>
      <c r="P869" s="1" t="s">
        <v>74</v>
      </c>
      <c r="Q869" s="1" t="s">
        <v>74</v>
      </c>
      <c r="R869" s="1" t="s">
        <v>74</v>
      </c>
      <c r="S869" s="1" t="s">
        <v>74</v>
      </c>
      <c r="T869" s="1" t="s">
        <v>74</v>
      </c>
      <c r="U869" s="1" t="s">
        <v>74</v>
      </c>
      <c r="V869" s="1" t="s">
        <v>8723</v>
      </c>
      <c r="W869" s="1" t="s">
        <v>74</v>
      </c>
      <c r="X869" s="1" t="s">
        <v>74</v>
      </c>
      <c r="Y869" s="1" t="s">
        <v>74</v>
      </c>
      <c r="Z869" s="1" t="s">
        <v>74</v>
      </c>
      <c r="AA869" s="1" t="s">
        <v>8724</v>
      </c>
      <c r="AB869" s="1" t="s">
        <v>8725</v>
      </c>
      <c r="AC869" s="1" t="s">
        <v>74</v>
      </c>
      <c r="AD869" s="1" t="s">
        <v>74</v>
      </c>
      <c r="AE869" s="1" t="s">
        <v>74</v>
      </c>
      <c r="AF869" s="1" t="s">
        <v>74</v>
      </c>
      <c r="AG869" s="1" t="s">
        <v>74</v>
      </c>
      <c r="AH869" s="1" t="s">
        <v>74</v>
      </c>
      <c r="AI869" s="1" t="s">
        <v>74</v>
      </c>
      <c r="AJ869" s="1" t="s">
        <v>74</v>
      </c>
      <c r="AK869" s="1" t="s">
        <v>74</v>
      </c>
      <c r="AL869" s="1" t="s">
        <v>74</v>
      </c>
      <c r="AM869" s="1" t="s">
        <v>74</v>
      </c>
      <c r="AN869" s="1" t="s">
        <v>74</v>
      </c>
      <c r="AO869" s="1" t="s">
        <v>358</v>
      </c>
      <c r="AP869" s="1" t="s">
        <v>359</v>
      </c>
      <c r="AQ869" s="1" t="s">
        <v>74</v>
      </c>
      <c r="AR869" s="1" t="s">
        <v>74</v>
      </c>
      <c r="AS869" s="1" t="s">
        <v>74</v>
      </c>
      <c r="AT869" s="1" t="s">
        <v>3308</v>
      </c>
      <c r="AU869" s="1">
        <v>2012.0</v>
      </c>
      <c r="AV869" s="1">
        <v>80.0</v>
      </c>
      <c r="AW869" s="1" t="s">
        <v>74</v>
      </c>
      <c r="AX869" s="1" t="s">
        <v>74</v>
      </c>
      <c r="AY869" s="1" t="s">
        <v>74</v>
      </c>
      <c r="AZ869" s="1" t="s">
        <v>74</v>
      </c>
      <c r="BA869" s="1" t="s">
        <v>74</v>
      </c>
      <c r="BB869" s="1">
        <v>390.0</v>
      </c>
      <c r="BC869" s="1">
        <v>398.0</v>
      </c>
      <c r="BD869" s="1" t="s">
        <v>74</v>
      </c>
      <c r="BE869" s="1" t="s">
        <v>8726</v>
      </c>
      <c r="BF869" s="2" t="str">
        <f>HYPERLINK("http://dx.doi.org/10.1016/j.electacta.2012.07.039","http://dx.doi.org/10.1016/j.electacta.2012.07.039")</f>
        <v>http://dx.doi.org/10.1016/j.electacta.2012.07.039</v>
      </c>
      <c r="BG869" s="1" t="s">
        <v>74</v>
      </c>
      <c r="BH869" s="1" t="s">
        <v>74</v>
      </c>
      <c r="BI869" s="1" t="s">
        <v>74</v>
      </c>
      <c r="BJ869" s="1" t="s">
        <v>74</v>
      </c>
      <c r="BK869" s="1" t="s">
        <v>74</v>
      </c>
      <c r="BL869" s="1" t="s">
        <v>74</v>
      </c>
      <c r="BM869" s="1" t="s">
        <v>74</v>
      </c>
      <c r="BN869" s="1" t="s">
        <v>74</v>
      </c>
      <c r="BO869" s="1" t="s">
        <v>74</v>
      </c>
      <c r="BP869" s="1" t="s">
        <v>74</v>
      </c>
      <c r="BQ869" s="1" t="s">
        <v>74</v>
      </c>
      <c r="BR869" s="1" t="s">
        <v>74</v>
      </c>
      <c r="BS869" s="1" t="s">
        <v>8727</v>
      </c>
      <c r="BT869" s="1" t="str">
        <f>HYPERLINK("https%3A%2F%2Fwww.webofscience.com%2Fwos%2Fwoscc%2Ffull-record%2FWOS:000309307200051","View Full Record in Web of Science")</f>
        <v>View Full Record in Web of Science</v>
      </c>
    </row>
    <row r="870" ht="12.75" customHeight="1">
      <c r="A870" s="1" t="s">
        <v>72</v>
      </c>
      <c r="B870" s="1" t="s">
        <v>8728</v>
      </c>
      <c r="C870" s="1" t="s">
        <v>74</v>
      </c>
      <c r="D870" s="1" t="s">
        <v>74</v>
      </c>
      <c r="E870" s="1" t="s">
        <v>74</v>
      </c>
      <c r="F870" s="1" t="s">
        <v>8729</v>
      </c>
      <c r="G870" s="1" t="s">
        <v>74</v>
      </c>
      <c r="H870" s="1" t="s">
        <v>74</v>
      </c>
      <c r="I870" s="1" t="s">
        <v>8730</v>
      </c>
      <c r="J870" s="1" t="s">
        <v>8731</v>
      </c>
      <c r="K870" s="1" t="s">
        <v>74</v>
      </c>
      <c r="L870" s="1" t="s">
        <v>74</v>
      </c>
      <c r="M870" s="1" t="s">
        <v>74</v>
      </c>
      <c r="N870" s="1" t="s">
        <v>74</v>
      </c>
      <c r="O870" s="1" t="s">
        <v>74</v>
      </c>
      <c r="P870" s="1" t="s">
        <v>74</v>
      </c>
      <c r="Q870" s="1" t="s">
        <v>74</v>
      </c>
      <c r="R870" s="1" t="s">
        <v>74</v>
      </c>
      <c r="S870" s="1" t="s">
        <v>74</v>
      </c>
      <c r="T870" s="1" t="s">
        <v>74</v>
      </c>
      <c r="U870" s="1" t="s">
        <v>74</v>
      </c>
      <c r="V870" s="1" t="s">
        <v>8732</v>
      </c>
      <c r="W870" s="1" t="s">
        <v>74</v>
      </c>
      <c r="X870" s="1" t="s">
        <v>74</v>
      </c>
      <c r="Y870" s="1" t="s">
        <v>74</v>
      </c>
      <c r="Z870" s="1" t="s">
        <v>74</v>
      </c>
      <c r="AA870" s="1" t="s">
        <v>6814</v>
      </c>
      <c r="AB870" s="1" t="s">
        <v>6815</v>
      </c>
      <c r="AC870" s="1" t="s">
        <v>74</v>
      </c>
      <c r="AD870" s="1" t="s">
        <v>74</v>
      </c>
      <c r="AE870" s="1" t="s">
        <v>74</v>
      </c>
      <c r="AF870" s="1" t="s">
        <v>74</v>
      </c>
      <c r="AG870" s="1" t="s">
        <v>74</v>
      </c>
      <c r="AH870" s="1" t="s">
        <v>74</v>
      </c>
      <c r="AI870" s="1" t="s">
        <v>74</v>
      </c>
      <c r="AJ870" s="1" t="s">
        <v>74</v>
      </c>
      <c r="AK870" s="1" t="s">
        <v>74</v>
      </c>
      <c r="AL870" s="1" t="s">
        <v>74</v>
      </c>
      <c r="AM870" s="1" t="s">
        <v>74</v>
      </c>
      <c r="AN870" s="1" t="s">
        <v>74</v>
      </c>
      <c r="AO870" s="1" t="s">
        <v>8733</v>
      </c>
      <c r="AP870" s="1" t="s">
        <v>8734</v>
      </c>
      <c r="AQ870" s="1" t="s">
        <v>74</v>
      </c>
      <c r="AR870" s="1" t="s">
        <v>74</v>
      </c>
      <c r="AS870" s="1" t="s">
        <v>74</v>
      </c>
      <c r="AT870" s="1" t="s">
        <v>318</v>
      </c>
      <c r="AU870" s="1">
        <v>2012.0</v>
      </c>
      <c r="AV870" s="1">
        <v>80.0</v>
      </c>
      <c r="AW870" s="1">
        <v>2.0</v>
      </c>
      <c r="AX870" s="1" t="s">
        <v>74</v>
      </c>
      <c r="AY870" s="1" t="s">
        <v>74</v>
      </c>
      <c r="AZ870" s="1" t="s">
        <v>74</v>
      </c>
      <c r="BA870" s="1" t="s">
        <v>74</v>
      </c>
      <c r="BB870" s="1">
        <v>113.0</v>
      </c>
      <c r="BC870" s="1">
        <v>121.0</v>
      </c>
      <c r="BD870" s="1" t="s">
        <v>74</v>
      </c>
      <c r="BE870" s="1" t="s">
        <v>8735</v>
      </c>
      <c r="BF870" s="2" t="str">
        <f>HYPERLINK("http://dx.doi.org/10.1119/1.3664605","http://dx.doi.org/10.1119/1.3664605")</f>
        <v>http://dx.doi.org/10.1119/1.3664605</v>
      </c>
      <c r="BG870" s="1" t="s">
        <v>74</v>
      </c>
      <c r="BH870" s="1" t="s">
        <v>74</v>
      </c>
      <c r="BI870" s="1" t="s">
        <v>74</v>
      </c>
      <c r="BJ870" s="1" t="s">
        <v>74</v>
      </c>
      <c r="BK870" s="1" t="s">
        <v>74</v>
      </c>
      <c r="BL870" s="1" t="s">
        <v>74</v>
      </c>
      <c r="BM870" s="1" t="s">
        <v>74</v>
      </c>
      <c r="BN870" s="1" t="s">
        <v>74</v>
      </c>
      <c r="BO870" s="1" t="s">
        <v>74</v>
      </c>
      <c r="BP870" s="1" t="s">
        <v>74</v>
      </c>
      <c r="BQ870" s="1" t="s">
        <v>74</v>
      </c>
      <c r="BR870" s="1" t="s">
        <v>74</v>
      </c>
      <c r="BS870" s="1" t="s">
        <v>8736</v>
      </c>
      <c r="BT870" s="1" t="str">
        <f>HYPERLINK("https%3A%2F%2Fwww.webofscience.com%2Fwos%2Fwoscc%2Ffull-record%2FWOS:000299386200003","View Full Record in Web of Science")</f>
        <v>View Full Record in Web of Science</v>
      </c>
    </row>
    <row r="871" ht="12.75" customHeight="1">
      <c r="A871" s="1" t="s">
        <v>72</v>
      </c>
      <c r="B871" s="1" t="s">
        <v>8737</v>
      </c>
      <c r="C871" s="1" t="s">
        <v>74</v>
      </c>
      <c r="D871" s="1" t="s">
        <v>74</v>
      </c>
      <c r="E871" s="1" t="s">
        <v>74</v>
      </c>
      <c r="F871" s="1" t="s">
        <v>8738</v>
      </c>
      <c r="G871" s="1" t="s">
        <v>74</v>
      </c>
      <c r="H871" s="1" t="s">
        <v>74</v>
      </c>
      <c r="I871" s="1" t="s">
        <v>8739</v>
      </c>
      <c r="J871" s="1" t="s">
        <v>870</v>
      </c>
      <c r="K871" s="1" t="s">
        <v>74</v>
      </c>
      <c r="L871" s="1" t="s">
        <v>74</v>
      </c>
      <c r="M871" s="1" t="s">
        <v>74</v>
      </c>
      <c r="N871" s="1" t="s">
        <v>74</v>
      </c>
      <c r="O871" s="1" t="s">
        <v>8740</v>
      </c>
      <c r="P871" s="1" t="s">
        <v>8741</v>
      </c>
      <c r="Q871" s="1" t="s">
        <v>8742</v>
      </c>
      <c r="R871" s="1" t="s">
        <v>8743</v>
      </c>
      <c r="S871" s="1" t="s">
        <v>74</v>
      </c>
      <c r="T871" s="1" t="s">
        <v>74</v>
      </c>
      <c r="U871" s="1" t="s">
        <v>74</v>
      </c>
      <c r="V871" s="1" t="s">
        <v>8744</v>
      </c>
      <c r="W871" s="1" t="s">
        <v>74</v>
      </c>
      <c r="X871" s="1" t="s">
        <v>74</v>
      </c>
      <c r="Y871" s="1" t="s">
        <v>74</v>
      </c>
      <c r="Z871" s="1" t="s">
        <v>74</v>
      </c>
      <c r="AA871" s="1" t="s">
        <v>8745</v>
      </c>
      <c r="AB871" s="1" t="s">
        <v>8746</v>
      </c>
      <c r="AC871" s="1" t="s">
        <v>74</v>
      </c>
      <c r="AD871" s="1" t="s">
        <v>74</v>
      </c>
      <c r="AE871" s="1" t="s">
        <v>74</v>
      </c>
      <c r="AF871" s="1" t="s">
        <v>74</v>
      </c>
      <c r="AG871" s="1" t="s">
        <v>74</v>
      </c>
      <c r="AH871" s="1" t="s">
        <v>74</v>
      </c>
      <c r="AI871" s="1" t="s">
        <v>74</v>
      </c>
      <c r="AJ871" s="1" t="s">
        <v>74</v>
      </c>
      <c r="AK871" s="1" t="s">
        <v>74</v>
      </c>
      <c r="AL871" s="1" t="s">
        <v>74</v>
      </c>
      <c r="AM871" s="1" t="s">
        <v>74</v>
      </c>
      <c r="AN871" s="1" t="s">
        <v>74</v>
      </c>
      <c r="AO871" s="1" t="s">
        <v>874</v>
      </c>
      <c r="AP871" s="1" t="s">
        <v>5177</v>
      </c>
      <c r="AQ871" s="1" t="s">
        <v>74</v>
      </c>
      <c r="AR871" s="1" t="s">
        <v>74</v>
      </c>
      <c r="AS871" s="1" t="s">
        <v>74</v>
      </c>
      <c r="AT871" s="1" t="s">
        <v>307</v>
      </c>
      <c r="AU871" s="1">
        <v>2010.0</v>
      </c>
      <c r="AV871" s="1">
        <v>3.0</v>
      </c>
      <c r="AW871" s="1">
        <v>6.0</v>
      </c>
      <c r="AX871" s="1" t="s">
        <v>74</v>
      </c>
      <c r="AY871" s="1" t="s">
        <v>74</v>
      </c>
      <c r="AZ871" s="1" t="s">
        <v>74</v>
      </c>
      <c r="BA871" s="1" t="s">
        <v>74</v>
      </c>
      <c r="BB871" s="1">
        <v>791.0</v>
      </c>
      <c r="BC871" s="1">
        <v>796.0</v>
      </c>
      <c r="BD871" s="1" t="s">
        <v>74</v>
      </c>
      <c r="BE871" s="1" t="s">
        <v>8747</v>
      </c>
      <c r="BF871" s="2" t="str">
        <f>HYPERLINK("http://dx.doi.org/10.1007/s11947-010-0345-1","http://dx.doi.org/10.1007/s11947-010-0345-1")</f>
        <v>http://dx.doi.org/10.1007/s11947-010-0345-1</v>
      </c>
      <c r="BG871" s="1" t="s">
        <v>74</v>
      </c>
      <c r="BH871" s="1" t="s">
        <v>74</v>
      </c>
      <c r="BI871" s="1" t="s">
        <v>74</v>
      </c>
      <c r="BJ871" s="1" t="s">
        <v>74</v>
      </c>
      <c r="BK871" s="1" t="s">
        <v>74</v>
      </c>
      <c r="BL871" s="1" t="s">
        <v>74</v>
      </c>
      <c r="BM871" s="1" t="s">
        <v>74</v>
      </c>
      <c r="BN871" s="1" t="s">
        <v>74</v>
      </c>
      <c r="BO871" s="1" t="s">
        <v>74</v>
      </c>
      <c r="BP871" s="1" t="s">
        <v>74</v>
      </c>
      <c r="BQ871" s="1" t="s">
        <v>74</v>
      </c>
      <c r="BR871" s="1" t="s">
        <v>74</v>
      </c>
      <c r="BS871" s="1" t="s">
        <v>8748</v>
      </c>
      <c r="BT871" s="1" t="str">
        <f>HYPERLINK("https%3A%2F%2Fwww.webofscience.com%2Fwos%2Fwoscc%2Ffull-record%2FWOS:000284069700002","View Full Record in Web of Science")</f>
        <v>View Full Record in Web of Science</v>
      </c>
    </row>
    <row r="872" ht="12.75" customHeight="1">
      <c r="A872" s="1" t="s">
        <v>72</v>
      </c>
      <c r="B872" s="1" t="s">
        <v>8749</v>
      </c>
      <c r="C872" s="1" t="s">
        <v>74</v>
      </c>
      <c r="D872" s="1" t="s">
        <v>74</v>
      </c>
      <c r="E872" s="1" t="s">
        <v>74</v>
      </c>
      <c r="F872" s="1" t="s">
        <v>8750</v>
      </c>
      <c r="G872" s="1" t="s">
        <v>74</v>
      </c>
      <c r="H872" s="1" t="s">
        <v>74</v>
      </c>
      <c r="I872" s="1" t="s">
        <v>8751</v>
      </c>
      <c r="J872" s="1" t="s">
        <v>847</v>
      </c>
      <c r="K872" s="1" t="s">
        <v>74</v>
      </c>
      <c r="L872" s="1" t="s">
        <v>74</v>
      </c>
      <c r="M872" s="1" t="s">
        <v>74</v>
      </c>
      <c r="N872" s="1" t="s">
        <v>74</v>
      </c>
      <c r="O872" s="1" t="s">
        <v>74</v>
      </c>
      <c r="P872" s="1" t="s">
        <v>74</v>
      </c>
      <c r="Q872" s="1" t="s">
        <v>74</v>
      </c>
      <c r="R872" s="1" t="s">
        <v>74</v>
      </c>
      <c r="S872" s="1" t="s">
        <v>74</v>
      </c>
      <c r="T872" s="1" t="s">
        <v>74</v>
      </c>
      <c r="U872" s="1" t="s">
        <v>74</v>
      </c>
      <c r="V872" s="1" t="s">
        <v>8752</v>
      </c>
      <c r="W872" s="1" t="s">
        <v>74</v>
      </c>
      <c r="X872" s="1" t="s">
        <v>74</v>
      </c>
      <c r="Y872" s="1" t="s">
        <v>74</v>
      </c>
      <c r="Z872" s="1" t="s">
        <v>74</v>
      </c>
      <c r="AA872" s="1" t="s">
        <v>8753</v>
      </c>
      <c r="AB872" s="1" t="s">
        <v>8754</v>
      </c>
      <c r="AC872" s="1" t="s">
        <v>74</v>
      </c>
      <c r="AD872" s="1" t="s">
        <v>74</v>
      </c>
      <c r="AE872" s="1" t="s">
        <v>74</v>
      </c>
      <c r="AF872" s="1" t="s">
        <v>74</v>
      </c>
      <c r="AG872" s="1" t="s">
        <v>74</v>
      </c>
      <c r="AH872" s="1" t="s">
        <v>74</v>
      </c>
      <c r="AI872" s="1" t="s">
        <v>74</v>
      </c>
      <c r="AJ872" s="1" t="s">
        <v>74</v>
      </c>
      <c r="AK872" s="1" t="s">
        <v>74</v>
      </c>
      <c r="AL872" s="1" t="s">
        <v>74</v>
      </c>
      <c r="AM872" s="1" t="s">
        <v>74</v>
      </c>
      <c r="AN872" s="1" t="s">
        <v>74</v>
      </c>
      <c r="AO872" s="1" t="s">
        <v>851</v>
      </c>
      <c r="AP872" s="1" t="s">
        <v>852</v>
      </c>
      <c r="AQ872" s="1" t="s">
        <v>74</v>
      </c>
      <c r="AR872" s="1" t="s">
        <v>74</v>
      </c>
      <c r="AS872" s="1" t="s">
        <v>74</v>
      </c>
      <c r="AT872" s="1" t="s">
        <v>537</v>
      </c>
      <c r="AU872" s="1">
        <v>2010.0</v>
      </c>
      <c r="AV872" s="1">
        <v>322.0</v>
      </c>
      <c r="AW872" s="1">
        <v>21.0</v>
      </c>
      <c r="AX872" s="1" t="s">
        <v>74</v>
      </c>
      <c r="AY872" s="1" t="s">
        <v>74</v>
      </c>
      <c r="AZ872" s="1" t="s">
        <v>74</v>
      </c>
      <c r="BA872" s="1" t="s">
        <v>74</v>
      </c>
      <c r="BB872" s="1">
        <v>3576.0</v>
      </c>
      <c r="BC872" s="1">
        <v>3583.0</v>
      </c>
      <c r="BD872" s="1" t="s">
        <v>74</v>
      </c>
      <c r="BE872" s="1" t="s">
        <v>8755</v>
      </c>
      <c r="BF872" s="2" t="str">
        <f>HYPERLINK("http://dx.doi.org/10.1016/j.jmmm.2010.07.010","http://dx.doi.org/10.1016/j.jmmm.2010.07.010")</f>
        <v>http://dx.doi.org/10.1016/j.jmmm.2010.07.010</v>
      </c>
      <c r="BG872" s="1" t="s">
        <v>74</v>
      </c>
      <c r="BH872" s="1" t="s">
        <v>74</v>
      </c>
      <c r="BI872" s="1" t="s">
        <v>74</v>
      </c>
      <c r="BJ872" s="1" t="s">
        <v>74</v>
      </c>
      <c r="BK872" s="1" t="s">
        <v>74</v>
      </c>
      <c r="BL872" s="1" t="s">
        <v>74</v>
      </c>
      <c r="BM872" s="1" t="s">
        <v>74</v>
      </c>
      <c r="BN872" s="1" t="s">
        <v>74</v>
      </c>
      <c r="BO872" s="1" t="s">
        <v>74</v>
      </c>
      <c r="BP872" s="1" t="s">
        <v>74</v>
      </c>
      <c r="BQ872" s="1" t="s">
        <v>74</v>
      </c>
      <c r="BR872" s="1" t="s">
        <v>74</v>
      </c>
      <c r="BS872" s="1" t="s">
        <v>8756</v>
      </c>
      <c r="BT872" s="1" t="str">
        <f>HYPERLINK("https%3A%2F%2Fwww.webofscience.com%2Fwos%2Fwoscc%2Ffull-record%2FWOS:000281061400064","View Full Record in Web of Science")</f>
        <v>View Full Record in Web of Science</v>
      </c>
    </row>
    <row r="873" ht="12.75" customHeight="1">
      <c r="A873" s="1" t="s">
        <v>72</v>
      </c>
      <c r="B873" s="1" t="s">
        <v>8757</v>
      </c>
      <c r="C873" s="1" t="s">
        <v>74</v>
      </c>
      <c r="D873" s="1" t="s">
        <v>74</v>
      </c>
      <c r="E873" s="1" t="s">
        <v>74</v>
      </c>
      <c r="F873" s="1" t="s">
        <v>8758</v>
      </c>
      <c r="G873" s="1" t="s">
        <v>74</v>
      </c>
      <c r="H873" s="1" t="s">
        <v>74</v>
      </c>
      <c r="I873" s="1" t="s">
        <v>8759</v>
      </c>
      <c r="J873" s="1" t="s">
        <v>8760</v>
      </c>
      <c r="K873" s="1" t="s">
        <v>74</v>
      </c>
      <c r="L873" s="1" t="s">
        <v>74</v>
      </c>
      <c r="M873" s="1" t="s">
        <v>74</v>
      </c>
      <c r="N873" s="1" t="s">
        <v>74</v>
      </c>
      <c r="O873" s="1" t="s">
        <v>74</v>
      </c>
      <c r="P873" s="1" t="s">
        <v>74</v>
      </c>
      <c r="Q873" s="1" t="s">
        <v>74</v>
      </c>
      <c r="R873" s="1" t="s">
        <v>74</v>
      </c>
      <c r="S873" s="1" t="s">
        <v>74</v>
      </c>
      <c r="T873" s="1" t="s">
        <v>74</v>
      </c>
      <c r="U873" s="1" t="s">
        <v>74</v>
      </c>
      <c r="V873" s="1" t="s">
        <v>8761</v>
      </c>
      <c r="W873" s="1" t="s">
        <v>74</v>
      </c>
      <c r="X873" s="1" t="s">
        <v>74</v>
      </c>
      <c r="Y873" s="1" t="s">
        <v>74</v>
      </c>
      <c r="Z873" s="1" t="s">
        <v>74</v>
      </c>
      <c r="AA873" s="1" t="s">
        <v>1927</v>
      </c>
      <c r="AB873" s="1" t="s">
        <v>8762</v>
      </c>
      <c r="AC873" s="1" t="s">
        <v>74</v>
      </c>
      <c r="AD873" s="1" t="s">
        <v>74</v>
      </c>
      <c r="AE873" s="1" t="s">
        <v>74</v>
      </c>
      <c r="AF873" s="1" t="s">
        <v>74</v>
      </c>
      <c r="AG873" s="1" t="s">
        <v>74</v>
      </c>
      <c r="AH873" s="1" t="s">
        <v>74</v>
      </c>
      <c r="AI873" s="1" t="s">
        <v>74</v>
      </c>
      <c r="AJ873" s="1" t="s">
        <v>74</v>
      </c>
      <c r="AK873" s="1" t="s">
        <v>74</v>
      </c>
      <c r="AL873" s="1" t="s">
        <v>74</v>
      </c>
      <c r="AM873" s="1" t="s">
        <v>74</v>
      </c>
      <c r="AN873" s="1" t="s">
        <v>74</v>
      </c>
      <c r="AO873" s="1" t="s">
        <v>8763</v>
      </c>
      <c r="AP873" s="1" t="s">
        <v>8764</v>
      </c>
      <c r="AQ873" s="1" t="s">
        <v>74</v>
      </c>
      <c r="AR873" s="1" t="s">
        <v>74</v>
      </c>
      <c r="AS873" s="1" t="s">
        <v>74</v>
      </c>
      <c r="AT873" s="1" t="s">
        <v>7456</v>
      </c>
      <c r="AU873" s="1">
        <v>2008.0</v>
      </c>
      <c r="AV873" s="1">
        <v>63.0</v>
      </c>
      <c r="AW873" s="1" t="s">
        <v>8765</v>
      </c>
      <c r="AX873" s="1" t="s">
        <v>74</v>
      </c>
      <c r="AY873" s="1" t="s">
        <v>74</v>
      </c>
      <c r="AZ873" s="1" t="s">
        <v>74</v>
      </c>
      <c r="BA873" s="1" t="s">
        <v>74</v>
      </c>
      <c r="BB873" s="1">
        <v>837.0</v>
      </c>
      <c r="BC873" s="1">
        <v>842.0</v>
      </c>
      <c r="BD873" s="1" t="s">
        <v>74</v>
      </c>
      <c r="BE873" s="1" t="s">
        <v>74</v>
      </c>
      <c r="BF873" s="1" t="s">
        <v>74</v>
      </c>
      <c r="BG873" s="1" t="s">
        <v>74</v>
      </c>
      <c r="BH873" s="1" t="s">
        <v>74</v>
      </c>
      <c r="BI873" s="1" t="s">
        <v>74</v>
      </c>
      <c r="BJ873" s="1" t="s">
        <v>74</v>
      </c>
      <c r="BK873" s="1" t="s">
        <v>74</v>
      </c>
      <c r="BL873" s="1" t="s">
        <v>74</v>
      </c>
      <c r="BM873" s="1" t="s">
        <v>74</v>
      </c>
      <c r="BN873" s="1">
        <v>1.9227831E7</v>
      </c>
      <c r="BO873" s="1" t="s">
        <v>74</v>
      </c>
      <c r="BP873" s="1" t="s">
        <v>74</v>
      </c>
      <c r="BQ873" s="1" t="s">
        <v>74</v>
      </c>
      <c r="BR873" s="1" t="s">
        <v>74</v>
      </c>
      <c r="BS873" s="1" t="s">
        <v>8766</v>
      </c>
      <c r="BT873" s="1" t="str">
        <f>HYPERLINK("https%3A%2F%2Fwww.webofscience.com%2Fwos%2Fwoscc%2Ffull-record%2FWOS:000262677000009","View Full Record in Web of Science")</f>
        <v>View Full Record in Web of Science</v>
      </c>
    </row>
    <row r="874" ht="12.75" customHeight="1">
      <c r="A874" s="1" t="s">
        <v>72</v>
      </c>
      <c r="B874" s="1" t="s">
        <v>8767</v>
      </c>
      <c r="C874" s="1" t="s">
        <v>74</v>
      </c>
      <c r="D874" s="1" t="s">
        <v>74</v>
      </c>
      <c r="E874" s="1" t="s">
        <v>74</v>
      </c>
      <c r="F874" s="1" t="s">
        <v>8768</v>
      </c>
      <c r="G874" s="1" t="s">
        <v>74</v>
      </c>
      <c r="H874" s="1" t="s">
        <v>74</v>
      </c>
      <c r="I874" s="1" t="s">
        <v>8769</v>
      </c>
      <c r="J874" s="1" t="s">
        <v>8770</v>
      </c>
      <c r="K874" s="1" t="s">
        <v>74</v>
      </c>
      <c r="L874" s="1" t="s">
        <v>74</v>
      </c>
      <c r="M874" s="1" t="s">
        <v>74</v>
      </c>
      <c r="N874" s="1" t="s">
        <v>74</v>
      </c>
      <c r="O874" s="1" t="s">
        <v>74</v>
      </c>
      <c r="P874" s="1" t="s">
        <v>74</v>
      </c>
      <c r="Q874" s="1" t="s">
        <v>74</v>
      </c>
      <c r="R874" s="1" t="s">
        <v>74</v>
      </c>
      <c r="S874" s="1" t="s">
        <v>74</v>
      </c>
      <c r="T874" s="1" t="s">
        <v>74</v>
      </c>
      <c r="U874" s="1" t="s">
        <v>74</v>
      </c>
      <c r="V874" s="1" t="s">
        <v>74</v>
      </c>
      <c r="W874" s="1" t="s">
        <v>74</v>
      </c>
      <c r="X874" s="1" t="s">
        <v>74</v>
      </c>
      <c r="Y874" s="1" t="s">
        <v>74</v>
      </c>
      <c r="Z874" s="1" t="s">
        <v>74</v>
      </c>
      <c r="AA874" s="1" t="s">
        <v>8771</v>
      </c>
      <c r="AB874" s="1" t="s">
        <v>74</v>
      </c>
      <c r="AC874" s="1" t="s">
        <v>74</v>
      </c>
      <c r="AD874" s="1" t="s">
        <v>74</v>
      </c>
      <c r="AE874" s="1" t="s">
        <v>74</v>
      </c>
      <c r="AF874" s="1" t="s">
        <v>74</v>
      </c>
      <c r="AG874" s="1" t="s">
        <v>74</v>
      </c>
      <c r="AH874" s="1" t="s">
        <v>74</v>
      </c>
      <c r="AI874" s="1" t="s">
        <v>74</v>
      </c>
      <c r="AJ874" s="1" t="s">
        <v>74</v>
      </c>
      <c r="AK874" s="1" t="s">
        <v>74</v>
      </c>
      <c r="AL874" s="1" t="s">
        <v>74</v>
      </c>
      <c r="AM874" s="1" t="s">
        <v>74</v>
      </c>
      <c r="AN874" s="1" t="s">
        <v>74</v>
      </c>
      <c r="AO874" s="1" t="s">
        <v>8772</v>
      </c>
      <c r="AP874" s="1" t="s">
        <v>74</v>
      </c>
      <c r="AQ874" s="1" t="s">
        <v>74</v>
      </c>
      <c r="AR874" s="1" t="s">
        <v>74</v>
      </c>
      <c r="AS874" s="1" t="s">
        <v>74</v>
      </c>
      <c r="AT874" s="1" t="s">
        <v>74</v>
      </c>
      <c r="AU874" s="1">
        <v>2008.0</v>
      </c>
      <c r="AV874" s="1">
        <v>70.0</v>
      </c>
      <c r="AW874" s="1" t="s">
        <v>74</v>
      </c>
      <c r="AX874" s="1" t="s">
        <v>74</v>
      </c>
      <c r="AY874" s="1" t="s">
        <v>74</v>
      </c>
      <c r="AZ874" s="1" t="s">
        <v>74</v>
      </c>
      <c r="BA874" s="1" t="s">
        <v>74</v>
      </c>
      <c r="BB874" s="1">
        <v>71.0</v>
      </c>
      <c r="BC874" s="1">
        <v>71.0</v>
      </c>
      <c r="BD874" s="1" t="s">
        <v>74</v>
      </c>
      <c r="BE874" s="1" t="s">
        <v>74</v>
      </c>
      <c r="BF874" s="1" t="s">
        <v>74</v>
      </c>
      <c r="BG874" s="1" t="s">
        <v>74</v>
      </c>
      <c r="BH874" s="1" t="s">
        <v>74</v>
      </c>
      <c r="BI874" s="1" t="s">
        <v>74</v>
      </c>
      <c r="BJ874" s="1" t="s">
        <v>74</v>
      </c>
      <c r="BK874" s="1" t="s">
        <v>74</v>
      </c>
      <c r="BL874" s="1" t="s">
        <v>74</v>
      </c>
      <c r="BM874" s="1" t="s">
        <v>74</v>
      </c>
      <c r="BN874" s="1" t="s">
        <v>74</v>
      </c>
      <c r="BO874" s="1" t="s">
        <v>74</v>
      </c>
      <c r="BP874" s="1" t="s">
        <v>74</v>
      </c>
      <c r="BQ874" s="1" t="s">
        <v>74</v>
      </c>
      <c r="BR874" s="1" t="s">
        <v>74</v>
      </c>
      <c r="BS874" s="1" t="s">
        <v>8773</v>
      </c>
      <c r="BT874" s="1" t="str">
        <f>HYPERLINK("https%3A%2F%2Fwww.webofscience.com%2Fwos%2Fwoscc%2Ffull-record%2FWOS:000259785600229","View Full Record in Web of Science")</f>
        <v>View Full Record in Web of Science</v>
      </c>
    </row>
    <row r="875" ht="12.75" customHeight="1">
      <c r="A875" s="1" t="s">
        <v>86</v>
      </c>
      <c r="B875" s="1" t="s">
        <v>8774</v>
      </c>
      <c r="C875" s="1" t="s">
        <v>74</v>
      </c>
      <c r="D875" s="1" t="s">
        <v>74</v>
      </c>
      <c r="E875" s="1" t="s">
        <v>248</v>
      </c>
      <c r="F875" s="1" t="s">
        <v>8775</v>
      </c>
      <c r="G875" s="1" t="s">
        <v>74</v>
      </c>
      <c r="H875" s="1" t="s">
        <v>74</v>
      </c>
      <c r="I875" s="1" t="s">
        <v>8776</v>
      </c>
      <c r="J875" s="1" t="s">
        <v>8777</v>
      </c>
      <c r="K875" s="1" t="s">
        <v>8778</v>
      </c>
      <c r="L875" s="1" t="s">
        <v>74</v>
      </c>
      <c r="M875" s="1" t="s">
        <v>74</v>
      </c>
      <c r="N875" s="1" t="s">
        <v>74</v>
      </c>
      <c r="O875" s="1" t="s">
        <v>8779</v>
      </c>
      <c r="P875" s="1" t="s">
        <v>8780</v>
      </c>
      <c r="Q875" s="1" t="s">
        <v>8781</v>
      </c>
      <c r="R875" s="1" t="s">
        <v>248</v>
      </c>
      <c r="S875" s="1" t="s">
        <v>74</v>
      </c>
      <c r="T875" s="1" t="s">
        <v>74</v>
      </c>
      <c r="U875" s="1" t="s">
        <v>74</v>
      </c>
      <c r="V875" s="1" t="s">
        <v>8782</v>
      </c>
      <c r="W875" s="1" t="s">
        <v>74</v>
      </c>
      <c r="X875" s="1" t="s">
        <v>74</v>
      </c>
      <c r="Y875" s="1" t="s">
        <v>74</v>
      </c>
      <c r="Z875" s="1" t="s">
        <v>74</v>
      </c>
      <c r="AA875" s="1" t="s">
        <v>8783</v>
      </c>
      <c r="AB875" s="1" t="s">
        <v>8784</v>
      </c>
      <c r="AC875" s="1" t="s">
        <v>74</v>
      </c>
      <c r="AD875" s="1" t="s">
        <v>74</v>
      </c>
      <c r="AE875" s="1" t="s">
        <v>74</v>
      </c>
      <c r="AF875" s="1" t="s">
        <v>74</v>
      </c>
      <c r="AG875" s="1" t="s">
        <v>74</v>
      </c>
      <c r="AH875" s="1" t="s">
        <v>74</v>
      </c>
      <c r="AI875" s="1" t="s">
        <v>74</v>
      </c>
      <c r="AJ875" s="1" t="s">
        <v>74</v>
      </c>
      <c r="AK875" s="1" t="s">
        <v>74</v>
      </c>
      <c r="AL875" s="1" t="s">
        <v>74</v>
      </c>
      <c r="AM875" s="1" t="s">
        <v>74</v>
      </c>
      <c r="AN875" s="1" t="s">
        <v>74</v>
      </c>
      <c r="AO875" s="1" t="s">
        <v>8785</v>
      </c>
      <c r="AP875" s="1" t="s">
        <v>74</v>
      </c>
      <c r="AQ875" s="1" t="s">
        <v>8786</v>
      </c>
      <c r="AR875" s="1" t="s">
        <v>74</v>
      </c>
      <c r="AS875" s="1" t="s">
        <v>74</v>
      </c>
      <c r="AT875" s="1" t="s">
        <v>74</v>
      </c>
      <c r="AU875" s="1">
        <v>2008.0</v>
      </c>
      <c r="AV875" s="1" t="s">
        <v>74</v>
      </c>
      <c r="AW875" s="1" t="s">
        <v>74</v>
      </c>
      <c r="AX875" s="1" t="s">
        <v>74</v>
      </c>
      <c r="AY875" s="1" t="s">
        <v>74</v>
      </c>
      <c r="AZ875" s="1" t="s">
        <v>74</v>
      </c>
      <c r="BA875" s="1" t="s">
        <v>74</v>
      </c>
      <c r="BB875" s="1">
        <v>2541.0</v>
      </c>
      <c r="BC875" s="1" t="s">
        <v>142</v>
      </c>
      <c r="BD875" s="1" t="s">
        <v>74</v>
      </c>
      <c r="BE875" s="1" t="s">
        <v>74</v>
      </c>
      <c r="BF875" s="1" t="s">
        <v>74</v>
      </c>
      <c r="BG875" s="1" t="s">
        <v>74</v>
      </c>
      <c r="BH875" s="1" t="s">
        <v>74</v>
      </c>
      <c r="BI875" s="1" t="s">
        <v>74</v>
      </c>
      <c r="BJ875" s="1" t="s">
        <v>74</v>
      </c>
      <c r="BK875" s="1" t="s">
        <v>74</v>
      </c>
      <c r="BL875" s="1" t="s">
        <v>74</v>
      </c>
      <c r="BM875" s="1" t="s">
        <v>74</v>
      </c>
      <c r="BN875" s="1" t="s">
        <v>74</v>
      </c>
      <c r="BO875" s="1" t="s">
        <v>74</v>
      </c>
      <c r="BP875" s="1" t="s">
        <v>74</v>
      </c>
      <c r="BQ875" s="1" t="s">
        <v>74</v>
      </c>
      <c r="BR875" s="1" t="s">
        <v>74</v>
      </c>
      <c r="BS875" s="1" t="s">
        <v>8787</v>
      </c>
      <c r="BT875" s="1" t="str">
        <f>HYPERLINK("https%3A%2F%2Fwww.webofscience.com%2Fwos%2Fwoscc%2Ffull-record%2FWOS:000266702101099","View Full Record in Web of Science")</f>
        <v>View Full Record in Web of Science</v>
      </c>
    </row>
    <row r="876" ht="12.75" customHeight="1">
      <c r="A876" s="1" t="s">
        <v>72</v>
      </c>
      <c r="B876" s="1" t="s">
        <v>8788</v>
      </c>
      <c r="C876" s="1" t="s">
        <v>74</v>
      </c>
      <c r="D876" s="1" t="s">
        <v>74</v>
      </c>
      <c r="E876" s="1" t="s">
        <v>74</v>
      </c>
      <c r="F876" s="1" t="s">
        <v>8789</v>
      </c>
      <c r="G876" s="1" t="s">
        <v>74</v>
      </c>
      <c r="H876" s="1" t="s">
        <v>74</v>
      </c>
      <c r="I876" s="1" t="s">
        <v>8790</v>
      </c>
      <c r="J876" s="1" t="s">
        <v>8791</v>
      </c>
      <c r="K876" s="1" t="s">
        <v>74</v>
      </c>
      <c r="L876" s="1" t="s">
        <v>74</v>
      </c>
      <c r="M876" s="1" t="s">
        <v>74</v>
      </c>
      <c r="N876" s="1" t="s">
        <v>74</v>
      </c>
      <c r="O876" s="1" t="s">
        <v>74</v>
      </c>
      <c r="P876" s="1" t="s">
        <v>74</v>
      </c>
      <c r="Q876" s="1" t="s">
        <v>74</v>
      </c>
      <c r="R876" s="1" t="s">
        <v>74</v>
      </c>
      <c r="S876" s="1" t="s">
        <v>74</v>
      </c>
      <c r="T876" s="1" t="s">
        <v>74</v>
      </c>
      <c r="U876" s="1" t="s">
        <v>74</v>
      </c>
      <c r="V876" s="1" t="s">
        <v>8792</v>
      </c>
      <c r="W876" s="1" t="s">
        <v>74</v>
      </c>
      <c r="X876" s="1" t="s">
        <v>74</v>
      </c>
      <c r="Y876" s="1" t="s">
        <v>74</v>
      </c>
      <c r="Z876" s="1" t="s">
        <v>74</v>
      </c>
      <c r="AA876" s="1" t="s">
        <v>8793</v>
      </c>
      <c r="AB876" s="1" t="s">
        <v>8794</v>
      </c>
      <c r="AC876" s="1" t="s">
        <v>74</v>
      </c>
      <c r="AD876" s="1" t="s">
        <v>74</v>
      </c>
      <c r="AE876" s="1" t="s">
        <v>74</v>
      </c>
      <c r="AF876" s="1" t="s">
        <v>74</v>
      </c>
      <c r="AG876" s="1" t="s">
        <v>74</v>
      </c>
      <c r="AH876" s="1" t="s">
        <v>74</v>
      </c>
      <c r="AI876" s="1" t="s">
        <v>74</v>
      </c>
      <c r="AJ876" s="1" t="s">
        <v>74</v>
      </c>
      <c r="AK876" s="1" t="s">
        <v>74</v>
      </c>
      <c r="AL876" s="1" t="s">
        <v>74</v>
      </c>
      <c r="AM876" s="1" t="s">
        <v>74</v>
      </c>
      <c r="AN876" s="1" t="s">
        <v>74</v>
      </c>
      <c r="AO876" s="1" t="s">
        <v>8795</v>
      </c>
      <c r="AP876" s="1" t="s">
        <v>8796</v>
      </c>
      <c r="AQ876" s="1" t="s">
        <v>74</v>
      </c>
      <c r="AR876" s="1" t="s">
        <v>74</v>
      </c>
      <c r="AS876" s="1" t="s">
        <v>74</v>
      </c>
      <c r="AT876" s="1" t="s">
        <v>939</v>
      </c>
      <c r="AU876" s="1">
        <v>2007.0</v>
      </c>
      <c r="AV876" s="1">
        <v>1.0</v>
      </c>
      <c r="AW876" s="1">
        <v>2.0</v>
      </c>
      <c r="AX876" s="1" t="s">
        <v>74</v>
      </c>
      <c r="AY876" s="1" t="s">
        <v>74</v>
      </c>
      <c r="AZ876" s="1" t="s">
        <v>74</v>
      </c>
      <c r="BA876" s="1" t="s">
        <v>74</v>
      </c>
      <c r="BB876" s="1">
        <v>55.0</v>
      </c>
      <c r="BC876" s="1">
        <v>65.0</v>
      </c>
      <c r="BD876" s="1" t="s">
        <v>74</v>
      </c>
      <c r="BE876" s="1" t="s">
        <v>8797</v>
      </c>
      <c r="BF876" s="2" t="str">
        <f>HYPERLINK("http://dx.doi.org/10.1049/iet-cvi:20060168","http://dx.doi.org/10.1049/iet-cvi:20060168")</f>
        <v>http://dx.doi.org/10.1049/iet-cvi:20060168</v>
      </c>
      <c r="BG876" s="1" t="s">
        <v>74</v>
      </c>
      <c r="BH876" s="1" t="s">
        <v>74</v>
      </c>
      <c r="BI876" s="1" t="s">
        <v>74</v>
      </c>
      <c r="BJ876" s="1" t="s">
        <v>74</v>
      </c>
      <c r="BK876" s="1" t="s">
        <v>74</v>
      </c>
      <c r="BL876" s="1" t="s">
        <v>74</v>
      </c>
      <c r="BM876" s="1" t="s">
        <v>74</v>
      </c>
      <c r="BN876" s="1" t="s">
        <v>74</v>
      </c>
      <c r="BO876" s="1" t="s">
        <v>74</v>
      </c>
      <c r="BP876" s="1" t="s">
        <v>74</v>
      </c>
      <c r="BQ876" s="1" t="s">
        <v>74</v>
      </c>
      <c r="BR876" s="1" t="s">
        <v>74</v>
      </c>
      <c r="BS876" s="1" t="s">
        <v>8798</v>
      </c>
      <c r="BT876" s="1" t="str">
        <f>HYPERLINK("https%3A%2F%2Fwww.webofscience.com%2Fwos%2Fwoscc%2Ffull-record%2FWOS:000249965800002","View Full Record in Web of Science")</f>
        <v>View Full Record in Web of Science</v>
      </c>
    </row>
    <row r="877" ht="12.75" customHeight="1">
      <c r="A877" s="1" t="s">
        <v>72</v>
      </c>
      <c r="B877" s="1" t="s">
        <v>8799</v>
      </c>
      <c r="C877" s="1" t="s">
        <v>74</v>
      </c>
      <c r="D877" s="1" t="s">
        <v>74</v>
      </c>
      <c r="E877" s="1" t="s">
        <v>74</v>
      </c>
      <c r="F877" s="1" t="s">
        <v>8800</v>
      </c>
      <c r="G877" s="1" t="s">
        <v>74</v>
      </c>
      <c r="H877" s="1" t="s">
        <v>74</v>
      </c>
      <c r="I877" s="1" t="s">
        <v>8801</v>
      </c>
      <c r="J877" s="1" t="s">
        <v>2311</v>
      </c>
      <c r="K877" s="1" t="s">
        <v>74</v>
      </c>
      <c r="L877" s="1" t="s">
        <v>74</v>
      </c>
      <c r="M877" s="1" t="s">
        <v>74</v>
      </c>
      <c r="N877" s="1" t="s">
        <v>74</v>
      </c>
      <c r="O877" s="1" t="s">
        <v>74</v>
      </c>
      <c r="P877" s="1" t="s">
        <v>74</v>
      </c>
      <c r="Q877" s="1" t="s">
        <v>74</v>
      </c>
      <c r="R877" s="1" t="s">
        <v>74</v>
      </c>
      <c r="S877" s="1" t="s">
        <v>74</v>
      </c>
      <c r="T877" s="1" t="s">
        <v>74</v>
      </c>
      <c r="U877" s="1" t="s">
        <v>74</v>
      </c>
      <c r="V877" s="1" t="s">
        <v>8802</v>
      </c>
      <c r="W877" s="1" t="s">
        <v>74</v>
      </c>
      <c r="X877" s="1" t="s">
        <v>74</v>
      </c>
      <c r="Y877" s="1" t="s">
        <v>74</v>
      </c>
      <c r="Z877" s="1" t="s">
        <v>74</v>
      </c>
      <c r="AA877" s="1" t="s">
        <v>8803</v>
      </c>
      <c r="AB877" s="1" t="s">
        <v>8804</v>
      </c>
      <c r="AC877" s="1" t="s">
        <v>74</v>
      </c>
      <c r="AD877" s="1" t="s">
        <v>74</v>
      </c>
      <c r="AE877" s="1" t="s">
        <v>74</v>
      </c>
      <c r="AF877" s="1" t="s">
        <v>74</v>
      </c>
      <c r="AG877" s="1" t="s">
        <v>74</v>
      </c>
      <c r="AH877" s="1" t="s">
        <v>74</v>
      </c>
      <c r="AI877" s="1" t="s">
        <v>74</v>
      </c>
      <c r="AJ877" s="1" t="s">
        <v>74</v>
      </c>
      <c r="AK877" s="1" t="s">
        <v>74</v>
      </c>
      <c r="AL877" s="1" t="s">
        <v>74</v>
      </c>
      <c r="AM877" s="1" t="s">
        <v>74</v>
      </c>
      <c r="AN877" s="1" t="s">
        <v>74</v>
      </c>
      <c r="AO877" s="1" t="s">
        <v>2315</v>
      </c>
      <c r="AP877" s="1" t="s">
        <v>2316</v>
      </c>
      <c r="AQ877" s="1" t="s">
        <v>74</v>
      </c>
      <c r="AR877" s="1" t="s">
        <v>74</v>
      </c>
      <c r="AS877" s="1" t="s">
        <v>74</v>
      </c>
      <c r="AT877" s="1" t="s">
        <v>2222</v>
      </c>
      <c r="AU877" s="1">
        <v>2007.0</v>
      </c>
      <c r="AV877" s="1">
        <v>319.0</v>
      </c>
      <c r="AW877" s="1" t="s">
        <v>74</v>
      </c>
      <c r="AX877" s="1" t="s">
        <v>74</v>
      </c>
      <c r="AY877" s="1" t="s">
        <v>74</v>
      </c>
      <c r="AZ877" s="1" t="s">
        <v>74</v>
      </c>
      <c r="BA877" s="1" t="s">
        <v>74</v>
      </c>
      <c r="BB877" s="1">
        <v>218.0</v>
      </c>
      <c r="BC877" s="1">
        <v>229.0</v>
      </c>
      <c r="BD877" s="1" t="s">
        <v>74</v>
      </c>
      <c r="BE877" s="1" t="s">
        <v>8805</v>
      </c>
      <c r="BF877" s="2" t="str">
        <f>HYPERLINK("http://dx.doi.org/10.1016/j.apcata.2006.12.007","http://dx.doi.org/10.1016/j.apcata.2006.12.007")</f>
        <v>http://dx.doi.org/10.1016/j.apcata.2006.12.007</v>
      </c>
      <c r="BG877" s="1" t="s">
        <v>74</v>
      </c>
      <c r="BH877" s="1" t="s">
        <v>74</v>
      </c>
      <c r="BI877" s="1" t="s">
        <v>74</v>
      </c>
      <c r="BJ877" s="1" t="s">
        <v>74</v>
      </c>
      <c r="BK877" s="1" t="s">
        <v>74</v>
      </c>
      <c r="BL877" s="1" t="s">
        <v>74</v>
      </c>
      <c r="BM877" s="1" t="s">
        <v>74</v>
      </c>
      <c r="BN877" s="1" t="s">
        <v>74</v>
      </c>
      <c r="BO877" s="1" t="s">
        <v>74</v>
      </c>
      <c r="BP877" s="1" t="s">
        <v>74</v>
      </c>
      <c r="BQ877" s="1" t="s">
        <v>74</v>
      </c>
      <c r="BR877" s="1" t="s">
        <v>74</v>
      </c>
      <c r="BS877" s="1" t="s">
        <v>8806</v>
      </c>
      <c r="BT877" s="1" t="str">
        <f>HYPERLINK("https%3A%2F%2Fwww.webofscience.com%2Fwos%2Fwoscc%2Ffull-record%2FWOS:000245029100025","View Full Record in Web of Science")</f>
        <v>View Full Record in Web of Science</v>
      </c>
    </row>
    <row r="878" ht="12.75" customHeight="1">
      <c r="A878" s="1" t="s">
        <v>72</v>
      </c>
      <c r="B878" s="1" t="s">
        <v>8807</v>
      </c>
      <c r="C878" s="1" t="s">
        <v>74</v>
      </c>
      <c r="D878" s="1" t="s">
        <v>74</v>
      </c>
      <c r="E878" s="1" t="s">
        <v>74</v>
      </c>
      <c r="F878" s="1" t="s">
        <v>8807</v>
      </c>
      <c r="G878" s="1" t="s">
        <v>74</v>
      </c>
      <c r="H878" s="1" t="s">
        <v>74</v>
      </c>
      <c r="I878" s="1" t="s">
        <v>8808</v>
      </c>
      <c r="J878" s="1" t="s">
        <v>2644</v>
      </c>
      <c r="K878" s="1" t="s">
        <v>74</v>
      </c>
      <c r="L878" s="1" t="s">
        <v>74</v>
      </c>
      <c r="M878" s="1" t="s">
        <v>74</v>
      </c>
      <c r="N878" s="1" t="s">
        <v>74</v>
      </c>
      <c r="O878" s="1" t="s">
        <v>74</v>
      </c>
      <c r="P878" s="1" t="s">
        <v>74</v>
      </c>
      <c r="Q878" s="1" t="s">
        <v>74</v>
      </c>
      <c r="R878" s="1" t="s">
        <v>74</v>
      </c>
      <c r="S878" s="1" t="s">
        <v>74</v>
      </c>
      <c r="T878" s="1" t="s">
        <v>74</v>
      </c>
      <c r="U878" s="1" t="s">
        <v>74</v>
      </c>
      <c r="V878" s="1" t="s">
        <v>8809</v>
      </c>
      <c r="W878" s="1" t="s">
        <v>74</v>
      </c>
      <c r="X878" s="1" t="s">
        <v>74</v>
      </c>
      <c r="Y878" s="1" t="s">
        <v>74</v>
      </c>
      <c r="Z878" s="1" t="s">
        <v>74</v>
      </c>
      <c r="AA878" s="1" t="s">
        <v>74</v>
      </c>
      <c r="AB878" s="1" t="s">
        <v>74</v>
      </c>
      <c r="AC878" s="1" t="s">
        <v>74</v>
      </c>
      <c r="AD878" s="1" t="s">
        <v>74</v>
      </c>
      <c r="AE878" s="1" t="s">
        <v>74</v>
      </c>
      <c r="AF878" s="1" t="s">
        <v>74</v>
      </c>
      <c r="AG878" s="1" t="s">
        <v>74</v>
      </c>
      <c r="AH878" s="1" t="s">
        <v>74</v>
      </c>
      <c r="AI878" s="1" t="s">
        <v>74</v>
      </c>
      <c r="AJ878" s="1" t="s">
        <v>74</v>
      </c>
      <c r="AK878" s="1" t="s">
        <v>74</v>
      </c>
      <c r="AL878" s="1" t="s">
        <v>74</v>
      </c>
      <c r="AM878" s="1" t="s">
        <v>74</v>
      </c>
      <c r="AN878" s="1" t="s">
        <v>74</v>
      </c>
      <c r="AO878" s="1" t="s">
        <v>2645</v>
      </c>
      <c r="AP878" s="1" t="s">
        <v>5776</v>
      </c>
      <c r="AQ878" s="1" t="s">
        <v>74</v>
      </c>
      <c r="AR878" s="1" t="s">
        <v>74</v>
      </c>
      <c r="AS878" s="1" t="s">
        <v>74</v>
      </c>
      <c r="AT878" s="1" t="s">
        <v>1018</v>
      </c>
      <c r="AU878" s="1">
        <v>2003.0</v>
      </c>
      <c r="AV878" s="1">
        <v>22.0</v>
      </c>
      <c r="AW878" s="1">
        <v>8.0</v>
      </c>
      <c r="AX878" s="1" t="s">
        <v>74</v>
      </c>
      <c r="AY878" s="1" t="s">
        <v>74</v>
      </c>
      <c r="AZ878" s="1" t="s">
        <v>74</v>
      </c>
      <c r="BA878" s="1" t="s">
        <v>74</v>
      </c>
      <c r="BB878" s="1">
        <v>841.0</v>
      </c>
      <c r="BC878" s="1">
        <v>844.0</v>
      </c>
      <c r="BD878" s="1" t="s">
        <v>74</v>
      </c>
      <c r="BE878" s="1" t="s">
        <v>8810</v>
      </c>
      <c r="BF878" s="2" t="str">
        <f>HYPERLINK("http://dx.doi.org/10.7863/jum.2003.22.8.841","http://dx.doi.org/10.7863/jum.2003.22.8.841")</f>
        <v>http://dx.doi.org/10.7863/jum.2003.22.8.841</v>
      </c>
      <c r="BG878" s="1" t="s">
        <v>74</v>
      </c>
      <c r="BH878" s="1" t="s">
        <v>74</v>
      </c>
      <c r="BI878" s="1" t="s">
        <v>74</v>
      </c>
      <c r="BJ878" s="1" t="s">
        <v>74</v>
      </c>
      <c r="BK878" s="1" t="s">
        <v>74</v>
      </c>
      <c r="BL878" s="1" t="s">
        <v>74</v>
      </c>
      <c r="BM878" s="1" t="s">
        <v>74</v>
      </c>
      <c r="BN878" s="1">
        <v>1.2901414E7</v>
      </c>
      <c r="BO878" s="1" t="s">
        <v>74</v>
      </c>
      <c r="BP878" s="1" t="s">
        <v>74</v>
      </c>
      <c r="BQ878" s="1" t="s">
        <v>74</v>
      </c>
      <c r="BR878" s="1" t="s">
        <v>74</v>
      </c>
      <c r="BS878" s="1" t="s">
        <v>8811</v>
      </c>
      <c r="BT878" s="1" t="str">
        <f>HYPERLINK("https%3A%2F%2Fwww.webofscience.com%2Fwos%2Fwoscc%2Ffull-record%2FWOS:000184351700014","View Full Record in Web of Science")</f>
        <v>View Full Record in Web of Science</v>
      </c>
    </row>
    <row r="879" ht="12.75" customHeight="1">
      <c r="A879" s="1" t="s">
        <v>72</v>
      </c>
      <c r="B879" s="1" t="s">
        <v>8812</v>
      </c>
      <c r="C879" s="1" t="s">
        <v>74</v>
      </c>
      <c r="D879" s="1" t="s">
        <v>74</v>
      </c>
      <c r="E879" s="1" t="s">
        <v>74</v>
      </c>
      <c r="F879" s="1" t="s">
        <v>8812</v>
      </c>
      <c r="G879" s="1" t="s">
        <v>74</v>
      </c>
      <c r="H879" s="1" t="s">
        <v>74</v>
      </c>
      <c r="I879" s="1" t="s">
        <v>8813</v>
      </c>
      <c r="J879" s="1" t="s">
        <v>8524</v>
      </c>
      <c r="K879" s="1" t="s">
        <v>74</v>
      </c>
      <c r="L879" s="1" t="s">
        <v>74</v>
      </c>
      <c r="M879" s="1" t="s">
        <v>74</v>
      </c>
      <c r="N879" s="1" t="s">
        <v>74</v>
      </c>
      <c r="O879" s="1" t="s">
        <v>74</v>
      </c>
      <c r="P879" s="1" t="s">
        <v>74</v>
      </c>
      <c r="Q879" s="1" t="s">
        <v>74</v>
      </c>
      <c r="R879" s="1" t="s">
        <v>74</v>
      </c>
      <c r="S879" s="1" t="s">
        <v>74</v>
      </c>
      <c r="T879" s="1" t="s">
        <v>74</v>
      </c>
      <c r="U879" s="1" t="s">
        <v>74</v>
      </c>
      <c r="V879" s="1" t="s">
        <v>8814</v>
      </c>
      <c r="W879" s="1" t="s">
        <v>74</v>
      </c>
      <c r="X879" s="1" t="s">
        <v>74</v>
      </c>
      <c r="Y879" s="1" t="s">
        <v>74</v>
      </c>
      <c r="Z879" s="1" t="s">
        <v>74</v>
      </c>
      <c r="AA879" s="1" t="s">
        <v>8526</v>
      </c>
      <c r="AB879" s="1" t="s">
        <v>8527</v>
      </c>
      <c r="AC879" s="1" t="s">
        <v>74</v>
      </c>
      <c r="AD879" s="1" t="s">
        <v>74</v>
      </c>
      <c r="AE879" s="1" t="s">
        <v>74</v>
      </c>
      <c r="AF879" s="1" t="s">
        <v>74</v>
      </c>
      <c r="AG879" s="1" t="s">
        <v>74</v>
      </c>
      <c r="AH879" s="1" t="s">
        <v>74</v>
      </c>
      <c r="AI879" s="1" t="s">
        <v>74</v>
      </c>
      <c r="AJ879" s="1" t="s">
        <v>74</v>
      </c>
      <c r="AK879" s="1" t="s">
        <v>74</v>
      </c>
      <c r="AL879" s="1" t="s">
        <v>74</v>
      </c>
      <c r="AM879" s="1" t="s">
        <v>74</v>
      </c>
      <c r="AN879" s="1" t="s">
        <v>74</v>
      </c>
      <c r="AO879" s="1" t="s">
        <v>8528</v>
      </c>
      <c r="AP879" s="1" t="s">
        <v>74</v>
      </c>
      <c r="AQ879" s="1" t="s">
        <v>74</v>
      </c>
      <c r="AR879" s="1" t="s">
        <v>74</v>
      </c>
      <c r="AS879" s="1" t="s">
        <v>74</v>
      </c>
      <c r="AT879" s="1" t="s">
        <v>235</v>
      </c>
      <c r="AU879" s="1">
        <v>2000.0</v>
      </c>
      <c r="AV879" s="1">
        <v>23.0</v>
      </c>
      <c r="AW879" s="1">
        <v>1.0</v>
      </c>
      <c r="AX879" s="1" t="s">
        <v>74</v>
      </c>
      <c r="AY879" s="1" t="s">
        <v>74</v>
      </c>
      <c r="AZ879" s="1" t="s">
        <v>74</v>
      </c>
      <c r="BA879" s="1" t="s">
        <v>74</v>
      </c>
      <c r="BB879" s="1">
        <v>39.0</v>
      </c>
      <c r="BC879" s="1">
        <v>49.0</v>
      </c>
      <c r="BD879" s="1" t="s">
        <v>74</v>
      </c>
      <c r="BE879" s="1" t="s">
        <v>8815</v>
      </c>
      <c r="BF879" s="2" t="str">
        <f>HYPERLINK("http://dx.doi.org/10.1016/S0924-2031(99)00073-9","http://dx.doi.org/10.1016/S0924-2031(99)00073-9")</f>
        <v>http://dx.doi.org/10.1016/S0924-2031(99)00073-9</v>
      </c>
      <c r="BG879" s="1" t="s">
        <v>74</v>
      </c>
      <c r="BH879" s="1" t="s">
        <v>74</v>
      </c>
      <c r="BI879" s="1" t="s">
        <v>74</v>
      </c>
      <c r="BJ879" s="1" t="s">
        <v>74</v>
      </c>
      <c r="BK879" s="1" t="s">
        <v>74</v>
      </c>
      <c r="BL879" s="1" t="s">
        <v>74</v>
      </c>
      <c r="BM879" s="1" t="s">
        <v>74</v>
      </c>
      <c r="BN879" s="1" t="s">
        <v>74</v>
      </c>
      <c r="BO879" s="1" t="s">
        <v>74</v>
      </c>
      <c r="BP879" s="1" t="s">
        <v>74</v>
      </c>
      <c r="BQ879" s="1" t="s">
        <v>74</v>
      </c>
      <c r="BR879" s="1" t="s">
        <v>74</v>
      </c>
      <c r="BS879" s="1" t="s">
        <v>8816</v>
      </c>
      <c r="BT879" s="1" t="str">
        <f>HYPERLINK("https%3A%2F%2Fwww.webofscience.com%2Fwos%2Fwoscc%2Ffull-record%2FWOS:000086054800005","View Full Record in Web of Science")</f>
        <v>View Full Record in Web of Science</v>
      </c>
    </row>
    <row r="880" ht="12.75" customHeight="1">
      <c r="A880" s="1" t="s">
        <v>72</v>
      </c>
      <c r="B880" s="1" t="s">
        <v>8817</v>
      </c>
      <c r="C880" s="1" t="s">
        <v>74</v>
      </c>
      <c r="D880" s="1" t="s">
        <v>74</v>
      </c>
      <c r="E880" s="1" t="s">
        <v>74</v>
      </c>
      <c r="F880" s="1" t="s">
        <v>8817</v>
      </c>
      <c r="G880" s="1" t="s">
        <v>74</v>
      </c>
      <c r="H880" s="1" t="s">
        <v>74</v>
      </c>
      <c r="I880" s="1" t="s">
        <v>8818</v>
      </c>
      <c r="J880" s="1" t="s">
        <v>8819</v>
      </c>
      <c r="K880" s="1" t="s">
        <v>74</v>
      </c>
      <c r="L880" s="1" t="s">
        <v>74</v>
      </c>
      <c r="M880" s="1" t="s">
        <v>74</v>
      </c>
      <c r="N880" s="1" t="s">
        <v>74</v>
      </c>
      <c r="O880" s="1" t="s">
        <v>74</v>
      </c>
      <c r="P880" s="1" t="s">
        <v>74</v>
      </c>
      <c r="Q880" s="1" t="s">
        <v>74</v>
      </c>
      <c r="R880" s="1" t="s">
        <v>74</v>
      </c>
      <c r="S880" s="1" t="s">
        <v>74</v>
      </c>
      <c r="T880" s="1" t="s">
        <v>74</v>
      </c>
      <c r="U880" s="1" t="s">
        <v>74</v>
      </c>
      <c r="V880" s="1" t="s">
        <v>8820</v>
      </c>
      <c r="W880" s="1" t="s">
        <v>74</v>
      </c>
      <c r="X880" s="1" t="s">
        <v>74</v>
      </c>
      <c r="Y880" s="1" t="s">
        <v>74</v>
      </c>
      <c r="Z880" s="1" t="s">
        <v>74</v>
      </c>
      <c r="AA880" s="1" t="s">
        <v>74</v>
      </c>
      <c r="AB880" s="1" t="s">
        <v>74</v>
      </c>
      <c r="AC880" s="1" t="s">
        <v>74</v>
      </c>
      <c r="AD880" s="1" t="s">
        <v>74</v>
      </c>
      <c r="AE880" s="1" t="s">
        <v>74</v>
      </c>
      <c r="AF880" s="1" t="s">
        <v>74</v>
      </c>
      <c r="AG880" s="1" t="s">
        <v>74</v>
      </c>
      <c r="AH880" s="1" t="s">
        <v>74</v>
      </c>
      <c r="AI880" s="1" t="s">
        <v>74</v>
      </c>
      <c r="AJ880" s="1" t="s">
        <v>74</v>
      </c>
      <c r="AK880" s="1" t="s">
        <v>74</v>
      </c>
      <c r="AL880" s="1" t="s">
        <v>74</v>
      </c>
      <c r="AM880" s="1" t="s">
        <v>74</v>
      </c>
      <c r="AN880" s="1" t="s">
        <v>74</v>
      </c>
      <c r="AO880" s="1" t="s">
        <v>8821</v>
      </c>
      <c r="AP880" s="1" t="s">
        <v>74</v>
      </c>
      <c r="AQ880" s="1" t="s">
        <v>74</v>
      </c>
      <c r="AR880" s="1" t="s">
        <v>74</v>
      </c>
      <c r="AS880" s="1" t="s">
        <v>74</v>
      </c>
      <c r="AT880" s="1" t="s">
        <v>164</v>
      </c>
      <c r="AU880" s="1">
        <v>1999.0</v>
      </c>
      <c r="AV880" s="1">
        <v>1.0</v>
      </c>
      <c r="AW880" s="1">
        <v>5.0</v>
      </c>
      <c r="AX880" s="1" t="s">
        <v>74</v>
      </c>
      <c r="AY880" s="1" t="s">
        <v>74</v>
      </c>
      <c r="AZ880" s="1" t="s">
        <v>74</v>
      </c>
      <c r="BA880" s="1" t="s">
        <v>74</v>
      </c>
      <c r="BB880" s="1">
        <v>267.0</v>
      </c>
      <c r="BC880" s="1">
        <v>277.0</v>
      </c>
      <c r="BD880" s="1" t="s">
        <v>74</v>
      </c>
      <c r="BE880" s="1" t="s">
        <v>8822</v>
      </c>
      <c r="BF880" s="2" t="str">
        <f>HYPERLINK("http://dx.doi.org/10.1016/S1293-2558(00)80081-3","http://dx.doi.org/10.1016/S1293-2558(00)80081-3")</f>
        <v>http://dx.doi.org/10.1016/S1293-2558(00)80081-3</v>
      </c>
      <c r="BG880" s="1" t="s">
        <v>74</v>
      </c>
      <c r="BH880" s="1" t="s">
        <v>74</v>
      </c>
      <c r="BI880" s="1" t="s">
        <v>74</v>
      </c>
      <c r="BJ880" s="1" t="s">
        <v>74</v>
      </c>
      <c r="BK880" s="1" t="s">
        <v>74</v>
      </c>
      <c r="BL880" s="1" t="s">
        <v>74</v>
      </c>
      <c r="BM880" s="1" t="s">
        <v>74</v>
      </c>
      <c r="BN880" s="1" t="s">
        <v>74</v>
      </c>
      <c r="BO880" s="1" t="s">
        <v>74</v>
      </c>
      <c r="BP880" s="1" t="s">
        <v>74</v>
      </c>
      <c r="BQ880" s="1" t="s">
        <v>74</v>
      </c>
      <c r="BR880" s="1" t="s">
        <v>74</v>
      </c>
      <c r="BS880" s="1" t="s">
        <v>8823</v>
      </c>
      <c r="BT880" s="1" t="str">
        <f>HYPERLINK("https%3A%2F%2Fwww.webofscience.com%2Fwos%2Fwoscc%2Ffull-record%2FWOS:000082925100003","View Full Record in Web of Science")</f>
        <v>View Full Record in Web of Science</v>
      </c>
    </row>
    <row r="881" ht="12.75" customHeight="1">
      <c r="A881" s="1" t="s">
        <v>72</v>
      </c>
      <c r="B881" s="1" t="s">
        <v>8824</v>
      </c>
      <c r="C881" s="1" t="s">
        <v>74</v>
      </c>
      <c r="D881" s="1" t="s">
        <v>74</v>
      </c>
      <c r="E881" s="1" t="s">
        <v>74</v>
      </c>
      <c r="F881" s="1" t="s">
        <v>8825</v>
      </c>
      <c r="G881" s="1" t="s">
        <v>74</v>
      </c>
      <c r="H881" s="1" t="s">
        <v>74</v>
      </c>
      <c r="I881" s="1" t="s">
        <v>8826</v>
      </c>
      <c r="J881" s="1" t="s">
        <v>4223</v>
      </c>
      <c r="K881" s="1" t="s">
        <v>74</v>
      </c>
      <c r="L881" s="1" t="s">
        <v>74</v>
      </c>
      <c r="M881" s="1" t="s">
        <v>74</v>
      </c>
      <c r="N881" s="1" t="s">
        <v>74</v>
      </c>
      <c r="O881" s="1" t="s">
        <v>74</v>
      </c>
      <c r="P881" s="1" t="s">
        <v>74</v>
      </c>
      <c r="Q881" s="1" t="s">
        <v>74</v>
      </c>
      <c r="R881" s="1" t="s">
        <v>74</v>
      </c>
      <c r="S881" s="1" t="s">
        <v>74</v>
      </c>
      <c r="T881" s="1" t="s">
        <v>74</v>
      </c>
      <c r="U881" s="1" t="s">
        <v>74</v>
      </c>
      <c r="V881" s="1" t="s">
        <v>8827</v>
      </c>
      <c r="W881" s="1" t="s">
        <v>74</v>
      </c>
      <c r="X881" s="1" t="s">
        <v>74</v>
      </c>
      <c r="Y881" s="1" t="s">
        <v>74</v>
      </c>
      <c r="Z881" s="1" t="s">
        <v>74</v>
      </c>
      <c r="AA881" s="1" t="s">
        <v>8828</v>
      </c>
      <c r="AB881" s="1" t="s">
        <v>8829</v>
      </c>
      <c r="AC881" s="1" t="s">
        <v>74</v>
      </c>
      <c r="AD881" s="1" t="s">
        <v>74</v>
      </c>
      <c r="AE881" s="1" t="s">
        <v>74</v>
      </c>
      <c r="AF881" s="1" t="s">
        <v>74</v>
      </c>
      <c r="AG881" s="1" t="s">
        <v>74</v>
      </c>
      <c r="AH881" s="1" t="s">
        <v>74</v>
      </c>
      <c r="AI881" s="1" t="s">
        <v>74</v>
      </c>
      <c r="AJ881" s="1" t="s">
        <v>74</v>
      </c>
      <c r="AK881" s="1" t="s">
        <v>74</v>
      </c>
      <c r="AL881" s="1" t="s">
        <v>74</v>
      </c>
      <c r="AM881" s="1" t="s">
        <v>74</v>
      </c>
      <c r="AN881" s="1" t="s">
        <v>74</v>
      </c>
      <c r="AO881" s="1" t="s">
        <v>4227</v>
      </c>
      <c r="AP881" s="1" t="s">
        <v>4228</v>
      </c>
      <c r="AQ881" s="1" t="s">
        <v>74</v>
      </c>
      <c r="AR881" s="1" t="s">
        <v>74</v>
      </c>
      <c r="AS881" s="1" t="s">
        <v>74</v>
      </c>
      <c r="AT881" s="1" t="s">
        <v>8830</v>
      </c>
      <c r="AU881" s="1">
        <v>2025.0</v>
      </c>
      <c r="AV881" s="1">
        <v>101.0</v>
      </c>
      <c r="AW881" s="1" t="s">
        <v>74</v>
      </c>
      <c r="AX881" s="1" t="s">
        <v>74</v>
      </c>
      <c r="AY881" s="1" t="s">
        <v>74</v>
      </c>
      <c r="AZ881" s="1" t="s">
        <v>74</v>
      </c>
      <c r="BA881" s="1" t="s">
        <v>74</v>
      </c>
      <c r="BB881" s="1">
        <v>605.0</v>
      </c>
      <c r="BC881" s="1">
        <v>616.0</v>
      </c>
      <c r="BD881" s="1" t="s">
        <v>74</v>
      </c>
      <c r="BE881" s="1" t="s">
        <v>8831</v>
      </c>
      <c r="BF881" s="2" t="str">
        <f>HYPERLINK("http://dx.doi.org/10.1016/j.ijhydene.2024.12.385","http://dx.doi.org/10.1016/j.ijhydene.2024.12.385")</f>
        <v>http://dx.doi.org/10.1016/j.ijhydene.2024.12.385</v>
      </c>
      <c r="BG881" s="1" t="s">
        <v>74</v>
      </c>
      <c r="BH881" s="1" t="s">
        <v>1372</v>
      </c>
      <c r="BI881" s="1" t="s">
        <v>74</v>
      </c>
      <c r="BJ881" s="1" t="s">
        <v>74</v>
      </c>
      <c r="BK881" s="1" t="s">
        <v>74</v>
      </c>
      <c r="BL881" s="1" t="s">
        <v>74</v>
      </c>
      <c r="BM881" s="1" t="s">
        <v>74</v>
      </c>
      <c r="BN881" s="1" t="s">
        <v>74</v>
      </c>
      <c r="BO881" s="1" t="s">
        <v>74</v>
      </c>
      <c r="BP881" s="1" t="s">
        <v>74</v>
      </c>
      <c r="BQ881" s="1" t="s">
        <v>74</v>
      </c>
      <c r="BR881" s="1" t="s">
        <v>74</v>
      </c>
      <c r="BS881" s="1" t="s">
        <v>8832</v>
      </c>
      <c r="BT881" s="1" t="str">
        <f>HYPERLINK("https%3A%2F%2Fwww.webofscience.com%2Fwos%2Fwoscc%2Ffull-record%2FWOS:001399844000001","View Full Record in Web of Science")</f>
        <v>View Full Record in Web of Science</v>
      </c>
    </row>
    <row r="882" ht="12.75" customHeight="1">
      <c r="A882" s="1" t="s">
        <v>72</v>
      </c>
      <c r="B882" s="1" t="s">
        <v>8833</v>
      </c>
      <c r="C882" s="1" t="s">
        <v>74</v>
      </c>
      <c r="D882" s="1" t="s">
        <v>74</v>
      </c>
      <c r="E882" s="1" t="s">
        <v>74</v>
      </c>
      <c r="F882" s="1" t="s">
        <v>8834</v>
      </c>
      <c r="G882" s="1" t="s">
        <v>74</v>
      </c>
      <c r="H882" s="1" t="s">
        <v>74</v>
      </c>
      <c r="I882" s="1" t="s">
        <v>8835</v>
      </c>
      <c r="J882" s="1" t="s">
        <v>1586</v>
      </c>
      <c r="K882" s="1" t="s">
        <v>74</v>
      </c>
      <c r="L882" s="1" t="s">
        <v>74</v>
      </c>
      <c r="M882" s="1" t="s">
        <v>74</v>
      </c>
      <c r="N882" s="1" t="s">
        <v>74</v>
      </c>
      <c r="O882" s="1" t="s">
        <v>74</v>
      </c>
      <c r="P882" s="1" t="s">
        <v>74</v>
      </c>
      <c r="Q882" s="1" t="s">
        <v>74</v>
      </c>
      <c r="R882" s="1" t="s">
        <v>74</v>
      </c>
      <c r="S882" s="1" t="s">
        <v>74</v>
      </c>
      <c r="T882" s="1" t="s">
        <v>74</v>
      </c>
      <c r="U882" s="1" t="s">
        <v>74</v>
      </c>
      <c r="V882" s="1" t="s">
        <v>8836</v>
      </c>
      <c r="W882" s="1" t="s">
        <v>74</v>
      </c>
      <c r="X882" s="1" t="s">
        <v>74</v>
      </c>
      <c r="Y882" s="1" t="s">
        <v>74</v>
      </c>
      <c r="Z882" s="1" t="s">
        <v>74</v>
      </c>
      <c r="AA882" s="1" t="s">
        <v>74</v>
      </c>
      <c r="AB882" s="1" t="s">
        <v>74</v>
      </c>
      <c r="AC882" s="1" t="s">
        <v>74</v>
      </c>
      <c r="AD882" s="1" t="s">
        <v>74</v>
      </c>
      <c r="AE882" s="1" t="s">
        <v>74</v>
      </c>
      <c r="AF882" s="1" t="s">
        <v>74</v>
      </c>
      <c r="AG882" s="1" t="s">
        <v>74</v>
      </c>
      <c r="AH882" s="1" t="s">
        <v>74</v>
      </c>
      <c r="AI882" s="1" t="s">
        <v>74</v>
      </c>
      <c r="AJ882" s="1" t="s">
        <v>74</v>
      </c>
      <c r="AK882" s="1" t="s">
        <v>74</v>
      </c>
      <c r="AL882" s="1" t="s">
        <v>74</v>
      </c>
      <c r="AM882" s="1" t="s">
        <v>74</v>
      </c>
      <c r="AN882" s="1" t="s">
        <v>74</v>
      </c>
      <c r="AO882" s="1" t="s">
        <v>1589</v>
      </c>
      <c r="AP882" s="1" t="s">
        <v>1590</v>
      </c>
      <c r="AQ882" s="1" t="s">
        <v>74</v>
      </c>
      <c r="AR882" s="1" t="s">
        <v>74</v>
      </c>
      <c r="AS882" s="1" t="s">
        <v>74</v>
      </c>
      <c r="AT882" s="1" t="s">
        <v>201</v>
      </c>
      <c r="AU882" s="1">
        <v>2024.0</v>
      </c>
      <c r="AV882" s="1">
        <v>154.0</v>
      </c>
      <c r="AW882" s="1">
        <v>5.0</v>
      </c>
      <c r="AX882" s="1" t="s">
        <v>74</v>
      </c>
      <c r="AY882" s="1" t="s">
        <v>74</v>
      </c>
      <c r="AZ882" s="1" t="s">
        <v>74</v>
      </c>
      <c r="BA882" s="1" t="s">
        <v>74</v>
      </c>
      <c r="BB882" s="1">
        <v>1313.0</v>
      </c>
      <c r="BC882" s="1">
        <v>1335.0</v>
      </c>
      <c r="BD882" s="1" t="s">
        <v>8837</v>
      </c>
      <c r="BE882" s="1" t="s">
        <v>8838</v>
      </c>
      <c r="BF882" s="2" t="str">
        <f>HYPERLINK("http://dx.doi.org/10.1017/prm.2023.59","http://dx.doi.org/10.1017/prm.2023.59")</f>
        <v>http://dx.doi.org/10.1017/prm.2023.59</v>
      </c>
      <c r="BG882" s="1" t="s">
        <v>74</v>
      </c>
      <c r="BH882" s="1" t="s">
        <v>2403</v>
      </c>
      <c r="BI882" s="1" t="s">
        <v>74</v>
      </c>
      <c r="BJ882" s="1" t="s">
        <v>74</v>
      </c>
      <c r="BK882" s="1" t="s">
        <v>74</v>
      </c>
      <c r="BL882" s="1" t="s">
        <v>74</v>
      </c>
      <c r="BM882" s="1" t="s">
        <v>74</v>
      </c>
      <c r="BN882" s="1" t="s">
        <v>74</v>
      </c>
      <c r="BO882" s="1" t="s">
        <v>74</v>
      </c>
      <c r="BP882" s="1" t="s">
        <v>74</v>
      </c>
      <c r="BQ882" s="1" t="s">
        <v>74</v>
      </c>
      <c r="BR882" s="1" t="s">
        <v>74</v>
      </c>
      <c r="BS882" s="1" t="s">
        <v>8839</v>
      </c>
      <c r="BT882" s="1" t="str">
        <f>HYPERLINK("https%3A%2F%2Fwww.webofscience.com%2Fwos%2Fwoscc%2Ffull-record%2FWOS:001026511200001","View Full Record in Web of Science")</f>
        <v>View Full Record in Web of Science</v>
      </c>
    </row>
    <row r="883" ht="12.75" customHeight="1">
      <c r="A883" s="1" t="s">
        <v>72</v>
      </c>
      <c r="B883" s="1" t="s">
        <v>8840</v>
      </c>
      <c r="C883" s="1" t="s">
        <v>74</v>
      </c>
      <c r="D883" s="1" t="s">
        <v>74</v>
      </c>
      <c r="E883" s="1" t="s">
        <v>74</v>
      </c>
      <c r="F883" s="1" t="s">
        <v>8841</v>
      </c>
      <c r="G883" s="1" t="s">
        <v>74</v>
      </c>
      <c r="H883" s="1" t="s">
        <v>74</v>
      </c>
      <c r="I883" s="1" t="s">
        <v>8842</v>
      </c>
      <c r="J883" s="1" t="s">
        <v>8843</v>
      </c>
      <c r="K883" s="1" t="s">
        <v>74</v>
      </c>
      <c r="L883" s="1" t="s">
        <v>74</v>
      </c>
      <c r="M883" s="1" t="s">
        <v>74</v>
      </c>
      <c r="N883" s="1" t="s">
        <v>74</v>
      </c>
      <c r="O883" s="1" t="s">
        <v>74</v>
      </c>
      <c r="P883" s="1" t="s">
        <v>74</v>
      </c>
      <c r="Q883" s="1" t="s">
        <v>74</v>
      </c>
      <c r="R883" s="1" t="s">
        <v>74</v>
      </c>
      <c r="S883" s="1" t="s">
        <v>74</v>
      </c>
      <c r="T883" s="1" t="s">
        <v>74</v>
      </c>
      <c r="U883" s="1" t="s">
        <v>74</v>
      </c>
      <c r="V883" s="1" t="s">
        <v>8844</v>
      </c>
      <c r="W883" s="1" t="s">
        <v>74</v>
      </c>
      <c r="X883" s="1" t="s">
        <v>74</v>
      </c>
      <c r="Y883" s="1" t="s">
        <v>74</v>
      </c>
      <c r="Z883" s="1" t="s">
        <v>74</v>
      </c>
      <c r="AA883" s="1" t="s">
        <v>74</v>
      </c>
      <c r="AB883" s="1" t="s">
        <v>8845</v>
      </c>
      <c r="AC883" s="1" t="s">
        <v>74</v>
      </c>
      <c r="AD883" s="1" t="s">
        <v>74</v>
      </c>
      <c r="AE883" s="1" t="s">
        <v>74</v>
      </c>
      <c r="AF883" s="1" t="s">
        <v>74</v>
      </c>
      <c r="AG883" s="1" t="s">
        <v>74</v>
      </c>
      <c r="AH883" s="1" t="s">
        <v>74</v>
      </c>
      <c r="AI883" s="1" t="s">
        <v>74</v>
      </c>
      <c r="AJ883" s="1" t="s">
        <v>74</v>
      </c>
      <c r="AK883" s="1" t="s">
        <v>74</v>
      </c>
      <c r="AL883" s="1" t="s">
        <v>74</v>
      </c>
      <c r="AM883" s="1" t="s">
        <v>74</v>
      </c>
      <c r="AN883" s="1" t="s">
        <v>74</v>
      </c>
      <c r="AO883" s="1" t="s">
        <v>8846</v>
      </c>
      <c r="AP883" s="1" t="s">
        <v>8847</v>
      </c>
      <c r="AQ883" s="1" t="s">
        <v>74</v>
      </c>
      <c r="AR883" s="1" t="s">
        <v>74</v>
      </c>
      <c r="AS883" s="1" t="s">
        <v>74</v>
      </c>
      <c r="AT883" s="1" t="s">
        <v>537</v>
      </c>
      <c r="AU883" s="1">
        <v>2023.0</v>
      </c>
      <c r="AV883" s="1">
        <v>159.0</v>
      </c>
      <c r="AW883" s="1" t="s">
        <v>74</v>
      </c>
      <c r="AX883" s="1" t="s">
        <v>74</v>
      </c>
      <c r="AY883" s="1" t="s">
        <v>74</v>
      </c>
      <c r="AZ883" s="1" t="s">
        <v>74</v>
      </c>
      <c r="BA883" s="1" t="s">
        <v>74</v>
      </c>
      <c r="BB883" s="1" t="s">
        <v>74</v>
      </c>
      <c r="BC883" s="1" t="s">
        <v>74</v>
      </c>
      <c r="BD883" s="1">
        <v>106334.0</v>
      </c>
      <c r="BE883" s="1" t="s">
        <v>8848</v>
      </c>
      <c r="BF883" s="2" t="str">
        <f>HYPERLINK("http://dx.doi.org/10.1016/j.cor.2023.106334","http://dx.doi.org/10.1016/j.cor.2023.106334")</f>
        <v>http://dx.doi.org/10.1016/j.cor.2023.106334</v>
      </c>
      <c r="BG883" s="1" t="s">
        <v>74</v>
      </c>
      <c r="BH883" s="1" t="s">
        <v>2403</v>
      </c>
      <c r="BI883" s="1" t="s">
        <v>74</v>
      </c>
      <c r="BJ883" s="1" t="s">
        <v>74</v>
      </c>
      <c r="BK883" s="1" t="s">
        <v>74</v>
      </c>
      <c r="BL883" s="1" t="s">
        <v>74</v>
      </c>
      <c r="BM883" s="1" t="s">
        <v>74</v>
      </c>
      <c r="BN883" s="1" t="s">
        <v>74</v>
      </c>
      <c r="BO883" s="1" t="s">
        <v>74</v>
      </c>
      <c r="BP883" s="1" t="s">
        <v>74</v>
      </c>
      <c r="BQ883" s="1" t="s">
        <v>74</v>
      </c>
      <c r="BR883" s="1" t="s">
        <v>74</v>
      </c>
      <c r="BS883" s="1" t="s">
        <v>8849</v>
      </c>
      <c r="BT883" s="1" t="str">
        <f>HYPERLINK("https%3A%2F%2Fwww.webofscience.com%2Fwos%2Fwoscc%2Ffull-record%2FWOS:001039982300001","View Full Record in Web of Science")</f>
        <v>View Full Record in Web of Science</v>
      </c>
    </row>
    <row r="884" ht="12.75" customHeight="1">
      <c r="A884" s="1" t="s">
        <v>72</v>
      </c>
      <c r="B884" s="1" t="s">
        <v>8850</v>
      </c>
      <c r="C884" s="1" t="s">
        <v>74</v>
      </c>
      <c r="D884" s="1" t="s">
        <v>74</v>
      </c>
      <c r="E884" s="1" t="s">
        <v>74</v>
      </c>
      <c r="F884" s="1" t="s">
        <v>8851</v>
      </c>
      <c r="G884" s="1" t="s">
        <v>74</v>
      </c>
      <c r="H884" s="1" t="s">
        <v>74</v>
      </c>
      <c r="I884" s="1" t="s">
        <v>8852</v>
      </c>
      <c r="J884" s="1" t="s">
        <v>1689</v>
      </c>
      <c r="K884" s="1" t="s">
        <v>74</v>
      </c>
      <c r="L884" s="1" t="s">
        <v>74</v>
      </c>
      <c r="M884" s="1" t="s">
        <v>74</v>
      </c>
      <c r="N884" s="1" t="s">
        <v>74</v>
      </c>
      <c r="O884" s="1" t="s">
        <v>74</v>
      </c>
      <c r="P884" s="1" t="s">
        <v>74</v>
      </c>
      <c r="Q884" s="1" t="s">
        <v>74</v>
      </c>
      <c r="R884" s="1" t="s">
        <v>74</v>
      </c>
      <c r="S884" s="1" t="s">
        <v>74</v>
      </c>
      <c r="T884" s="1" t="s">
        <v>74</v>
      </c>
      <c r="U884" s="1" t="s">
        <v>74</v>
      </c>
      <c r="V884" s="1" t="s">
        <v>8853</v>
      </c>
      <c r="W884" s="1" t="s">
        <v>74</v>
      </c>
      <c r="X884" s="1" t="s">
        <v>74</v>
      </c>
      <c r="Y884" s="1" t="s">
        <v>74</v>
      </c>
      <c r="Z884" s="1" t="s">
        <v>74</v>
      </c>
      <c r="AA884" s="1" t="s">
        <v>8854</v>
      </c>
      <c r="AB884" s="1" t="s">
        <v>8855</v>
      </c>
      <c r="AC884" s="1" t="s">
        <v>74</v>
      </c>
      <c r="AD884" s="1" t="s">
        <v>74</v>
      </c>
      <c r="AE884" s="1" t="s">
        <v>74</v>
      </c>
      <c r="AF884" s="1" t="s">
        <v>74</v>
      </c>
      <c r="AG884" s="1" t="s">
        <v>74</v>
      </c>
      <c r="AH884" s="1" t="s">
        <v>74</v>
      </c>
      <c r="AI884" s="1" t="s">
        <v>74</v>
      </c>
      <c r="AJ884" s="1" t="s">
        <v>74</v>
      </c>
      <c r="AK884" s="1" t="s">
        <v>74</v>
      </c>
      <c r="AL884" s="1" t="s">
        <v>74</v>
      </c>
      <c r="AM884" s="1" t="s">
        <v>74</v>
      </c>
      <c r="AN884" s="1" t="s">
        <v>74</v>
      </c>
      <c r="AO884" s="1" t="s">
        <v>74</v>
      </c>
      <c r="AP884" s="1" t="s">
        <v>1693</v>
      </c>
      <c r="AQ884" s="1" t="s">
        <v>74</v>
      </c>
      <c r="AR884" s="1" t="s">
        <v>74</v>
      </c>
      <c r="AS884" s="1" t="s">
        <v>74</v>
      </c>
      <c r="AT884" s="1" t="s">
        <v>318</v>
      </c>
      <c r="AU884" s="1">
        <v>2023.0</v>
      </c>
      <c r="AV884" s="1">
        <v>11.0</v>
      </c>
      <c r="AW884" s="1">
        <v>4.0</v>
      </c>
      <c r="AX884" s="1" t="s">
        <v>74</v>
      </c>
      <c r="AY884" s="1" t="s">
        <v>74</v>
      </c>
      <c r="AZ884" s="1" t="s">
        <v>74</v>
      </c>
      <c r="BA884" s="1" t="s">
        <v>74</v>
      </c>
      <c r="BB884" s="1" t="s">
        <v>74</v>
      </c>
      <c r="BC884" s="1" t="s">
        <v>74</v>
      </c>
      <c r="BD884" s="1">
        <v>922.0</v>
      </c>
      <c r="BE884" s="1" t="s">
        <v>8856</v>
      </c>
      <c r="BF884" s="2" t="str">
        <f>HYPERLINK("http://dx.doi.org/10.3390/math11040922","http://dx.doi.org/10.3390/math11040922")</f>
        <v>http://dx.doi.org/10.3390/math11040922</v>
      </c>
      <c r="BG884" s="1" t="s">
        <v>74</v>
      </c>
      <c r="BH884" s="1" t="s">
        <v>74</v>
      </c>
      <c r="BI884" s="1" t="s">
        <v>74</v>
      </c>
      <c r="BJ884" s="1" t="s">
        <v>74</v>
      </c>
      <c r="BK884" s="1" t="s">
        <v>74</v>
      </c>
      <c r="BL884" s="1" t="s">
        <v>74</v>
      </c>
      <c r="BM884" s="1" t="s">
        <v>74</v>
      </c>
      <c r="BN884" s="1" t="s">
        <v>74</v>
      </c>
      <c r="BO884" s="1" t="s">
        <v>74</v>
      </c>
      <c r="BP884" s="1" t="s">
        <v>74</v>
      </c>
      <c r="BQ884" s="1" t="s">
        <v>74</v>
      </c>
      <c r="BR884" s="1" t="s">
        <v>74</v>
      </c>
      <c r="BS884" s="1" t="s">
        <v>8857</v>
      </c>
      <c r="BT884" s="1" t="str">
        <f>HYPERLINK("https%3A%2F%2Fwww.webofscience.com%2Fwos%2Fwoscc%2Ffull-record%2FWOS:000941574700001","View Full Record in Web of Science")</f>
        <v>View Full Record in Web of Science</v>
      </c>
    </row>
    <row r="885" ht="12.75" customHeight="1">
      <c r="A885" s="1" t="s">
        <v>72</v>
      </c>
      <c r="B885" s="1" t="s">
        <v>8858</v>
      </c>
      <c r="C885" s="1" t="s">
        <v>74</v>
      </c>
      <c r="D885" s="1" t="s">
        <v>74</v>
      </c>
      <c r="E885" s="1" t="s">
        <v>74</v>
      </c>
      <c r="F885" s="1" t="s">
        <v>8859</v>
      </c>
      <c r="G885" s="1" t="s">
        <v>74</v>
      </c>
      <c r="H885" s="1" t="s">
        <v>74</v>
      </c>
      <c r="I885" s="1" t="s">
        <v>8860</v>
      </c>
      <c r="J885" s="1" t="s">
        <v>5048</v>
      </c>
      <c r="K885" s="1" t="s">
        <v>74</v>
      </c>
      <c r="L885" s="1" t="s">
        <v>74</v>
      </c>
      <c r="M885" s="1" t="s">
        <v>74</v>
      </c>
      <c r="N885" s="1" t="s">
        <v>74</v>
      </c>
      <c r="O885" s="1" t="s">
        <v>74</v>
      </c>
      <c r="P885" s="1" t="s">
        <v>74</v>
      </c>
      <c r="Q885" s="1" t="s">
        <v>74</v>
      </c>
      <c r="R885" s="1" t="s">
        <v>74</v>
      </c>
      <c r="S885" s="1" t="s">
        <v>74</v>
      </c>
      <c r="T885" s="1" t="s">
        <v>74</v>
      </c>
      <c r="U885" s="1" t="s">
        <v>74</v>
      </c>
      <c r="V885" s="1" t="s">
        <v>8861</v>
      </c>
      <c r="W885" s="1" t="s">
        <v>74</v>
      </c>
      <c r="X885" s="1" t="s">
        <v>74</v>
      </c>
      <c r="Y885" s="1" t="s">
        <v>74</v>
      </c>
      <c r="Z885" s="1" t="s">
        <v>74</v>
      </c>
      <c r="AA885" s="1" t="s">
        <v>74</v>
      </c>
      <c r="AB885" s="1" t="s">
        <v>8862</v>
      </c>
      <c r="AC885" s="1" t="s">
        <v>74</v>
      </c>
      <c r="AD885" s="1" t="s">
        <v>74</v>
      </c>
      <c r="AE885" s="1" t="s">
        <v>74</v>
      </c>
      <c r="AF885" s="1" t="s">
        <v>74</v>
      </c>
      <c r="AG885" s="1" t="s">
        <v>74</v>
      </c>
      <c r="AH885" s="1" t="s">
        <v>74</v>
      </c>
      <c r="AI885" s="1" t="s">
        <v>74</v>
      </c>
      <c r="AJ885" s="1" t="s">
        <v>74</v>
      </c>
      <c r="AK885" s="1" t="s">
        <v>74</v>
      </c>
      <c r="AL885" s="1" t="s">
        <v>74</v>
      </c>
      <c r="AM885" s="1" t="s">
        <v>74</v>
      </c>
      <c r="AN885" s="1" t="s">
        <v>74</v>
      </c>
      <c r="AO885" s="1" t="s">
        <v>5052</v>
      </c>
      <c r="AP885" s="1" t="s">
        <v>5053</v>
      </c>
      <c r="AQ885" s="1" t="s">
        <v>74</v>
      </c>
      <c r="AR885" s="1" t="s">
        <v>74</v>
      </c>
      <c r="AS885" s="1" t="s">
        <v>74</v>
      </c>
      <c r="AT885" s="1" t="s">
        <v>8863</v>
      </c>
      <c r="AU885" s="1">
        <v>2022.0</v>
      </c>
      <c r="AV885" s="1">
        <v>55.0</v>
      </c>
      <c r="AW885" s="1">
        <v>1.0</v>
      </c>
      <c r="AX885" s="1" t="s">
        <v>74</v>
      </c>
      <c r="AY885" s="1" t="s">
        <v>74</v>
      </c>
      <c r="AZ885" s="1" t="s">
        <v>74</v>
      </c>
      <c r="BA885" s="1" t="s">
        <v>74</v>
      </c>
      <c r="BB885" s="1" t="s">
        <v>74</v>
      </c>
      <c r="BC885" s="1" t="s">
        <v>74</v>
      </c>
      <c r="BD885" s="1">
        <v>39.0</v>
      </c>
      <c r="BE885" s="1" t="s">
        <v>8864</v>
      </c>
      <c r="BF885" s="2" t="str">
        <f>HYPERLINK("http://dx.doi.org/10.1186/s40659-022-00404-3","http://dx.doi.org/10.1186/s40659-022-00404-3")</f>
        <v>http://dx.doi.org/10.1186/s40659-022-00404-3</v>
      </c>
      <c r="BG885" s="1" t="s">
        <v>74</v>
      </c>
      <c r="BH885" s="1" t="s">
        <v>74</v>
      </c>
      <c r="BI885" s="1" t="s">
        <v>74</v>
      </c>
      <c r="BJ885" s="1" t="s">
        <v>74</v>
      </c>
      <c r="BK885" s="1" t="s">
        <v>74</v>
      </c>
      <c r="BL885" s="1" t="s">
        <v>74</v>
      </c>
      <c r="BM885" s="1" t="s">
        <v>74</v>
      </c>
      <c r="BN885" s="1">
        <v>3.6550479E7</v>
      </c>
      <c r="BO885" s="1" t="s">
        <v>74</v>
      </c>
      <c r="BP885" s="1" t="s">
        <v>74</v>
      </c>
      <c r="BQ885" s="1" t="s">
        <v>74</v>
      </c>
      <c r="BR885" s="1" t="s">
        <v>74</v>
      </c>
      <c r="BS885" s="1" t="s">
        <v>8865</v>
      </c>
      <c r="BT885" s="1" t="str">
        <f>HYPERLINK("https%3A%2F%2Fwww.webofscience.com%2Fwos%2Fwoscc%2Ffull-record%2FWOS:000903240900001","View Full Record in Web of Science")</f>
        <v>View Full Record in Web of Science</v>
      </c>
    </row>
    <row r="886" ht="12.75" customHeight="1">
      <c r="A886" s="1" t="s">
        <v>72</v>
      </c>
      <c r="B886" s="1" t="s">
        <v>8866</v>
      </c>
      <c r="C886" s="1" t="s">
        <v>74</v>
      </c>
      <c r="D886" s="1" t="s">
        <v>74</v>
      </c>
      <c r="E886" s="1" t="s">
        <v>74</v>
      </c>
      <c r="F886" s="1" t="s">
        <v>8867</v>
      </c>
      <c r="G886" s="1" t="s">
        <v>74</v>
      </c>
      <c r="H886" s="1" t="s">
        <v>74</v>
      </c>
      <c r="I886" s="1" t="s">
        <v>8868</v>
      </c>
      <c r="J886" s="1" t="s">
        <v>8869</v>
      </c>
      <c r="K886" s="1" t="s">
        <v>74</v>
      </c>
      <c r="L886" s="1" t="s">
        <v>74</v>
      </c>
      <c r="M886" s="1" t="s">
        <v>74</v>
      </c>
      <c r="N886" s="1" t="s">
        <v>74</v>
      </c>
      <c r="O886" s="1" t="s">
        <v>74</v>
      </c>
      <c r="P886" s="1" t="s">
        <v>74</v>
      </c>
      <c r="Q886" s="1" t="s">
        <v>74</v>
      </c>
      <c r="R886" s="1" t="s">
        <v>74</v>
      </c>
      <c r="S886" s="1" t="s">
        <v>74</v>
      </c>
      <c r="T886" s="1" t="s">
        <v>74</v>
      </c>
      <c r="U886" s="1" t="s">
        <v>74</v>
      </c>
      <c r="V886" s="1" t="s">
        <v>8870</v>
      </c>
      <c r="W886" s="1" t="s">
        <v>74</v>
      </c>
      <c r="X886" s="1" t="s">
        <v>74</v>
      </c>
      <c r="Y886" s="1" t="s">
        <v>74</v>
      </c>
      <c r="Z886" s="1" t="s">
        <v>74</v>
      </c>
      <c r="AA886" s="1" t="s">
        <v>8871</v>
      </c>
      <c r="AB886" s="1" t="s">
        <v>8872</v>
      </c>
      <c r="AC886" s="1" t="s">
        <v>74</v>
      </c>
      <c r="AD886" s="1" t="s">
        <v>74</v>
      </c>
      <c r="AE886" s="1" t="s">
        <v>74</v>
      </c>
      <c r="AF886" s="1" t="s">
        <v>74</v>
      </c>
      <c r="AG886" s="1" t="s">
        <v>74</v>
      </c>
      <c r="AH886" s="1" t="s">
        <v>74</v>
      </c>
      <c r="AI886" s="1" t="s">
        <v>74</v>
      </c>
      <c r="AJ886" s="1" t="s">
        <v>74</v>
      </c>
      <c r="AK886" s="1" t="s">
        <v>74</v>
      </c>
      <c r="AL886" s="1" t="s">
        <v>74</v>
      </c>
      <c r="AM886" s="1" t="s">
        <v>74</v>
      </c>
      <c r="AN886" s="1" t="s">
        <v>74</v>
      </c>
      <c r="AO886" s="1" t="s">
        <v>8873</v>
      </c>
      <c r="AP886" s="1" t="s">
        <v>8874</v>
      </c>
      <c r="AQ886" s="1" t="s">
        <v>74</v>
      </c>
      <c r="AR886" s="1" t="s">
        <v>74</v>
      </c>
      <c r="AS886" s="1" t="s">
        <v>74</v>
      </c>
      <c r="AT886" s="1" t="s">
        <v>441</v>
      </c>
      <c r="AU886" s="1">
        <v>2023.0</v>
      </c>
      <c r="AV886" s="1">
        <v>284.0</v>
      </c>
      <c r="AW886" s="1">
        <v>2.0</v>
      </c>
      <c r="AX886" s="1" t="s">
        <v>74</v>
      </c>
      <c r="AY886" s="1" t="s">
        <v>74</v>
      </c>
      <c r="AZ886" s="1" t="s">
        <v>74</v>
      </c>
      <c r="BA886" s="1" t="s">
        <v>74</v>
      </c>
      <c r="BB886" s="1" t="s">
        <v>74</v>
      </c>
      <c r="BC886" s="1" t="s">
        <v>74</v>
      </c>
      <c r="BD886" s="1">
        <v>109743.0</v>
      </c>
      <c r="BE886" s="1" t="s">
        <v>8875</v>
      </c>
      <c r="BF886" s="2" t="str">
        <f>HYPERLINK("http://dx.doi.org/10.1016/j.jfa.2022.109743","http://dx.doi.org/10.1016/j.jfa.2022.109743")</f>
        <v>http://dx.doi.org/10.1016/j.jfa.2022.109743</v>
      </c>
      <c r="BG886" s="1" t="s">
        <v>74</v>
      </c>
      <c r="BH886" s="1" t="s">
        <v>579</v>
      </c>
      <c r="BI886" s="1" t="s">
        <v>74</v>
      </c>
      <c r="BJ886" s="1" t="s">
        <v>74</v>
      </c>
      <c r="BK886" s="1" t="s">
        <v>74</v>
      </c>
      <c r="BL886" s="1" t="s">
        <v>74</v>
      </c>
      <c r="BM886" s="1" t="s">
        <v>74</v>
      </c>
      <c r="BN886" s="1" t="s">
        <v>74</v>
      </c>
      <c r="BO886" s="1" t="s">
        <v>74</v>
      </c>
      <c r="BP886" s="1" t="s">
        <v>74</v>
      </c>
      <c r="BQ886" s="1" t="s">
        <v>74</v>
      </c>
      <c r="BR886" s="1" t="s">
        <v>74</v>
      </c>
      <c r="BS886" s="1" t="s">
        <v>8876</v>
      </c>
      <c r="BT886" s="1" t="str">
        <f>HYPERLINK("https%3A%2F%2Fwww.webofscience.com%2Fwos%2Fwoscc%2Ffull-record%2FWOS:000908409500004","View Full Record in Web of Science")</f>
        <v>View Full Record in Web of Science</v>
      </c>
    </row>
    <row r="887" ht="12.75" customHeight="1">
      <c r="A887" s="1" t="s">
        <v>72</v>
      </c>
      <c r="B887" s="1" t="s">
        <v>8877</v>
      </c>
      <c r="C887" s="1" t="s">
        <v>74</v>
      </c>
      <c r="D887" s="1" t="s">
        <v>74</v>
      </c>
      <c r="E887" s="1" t="s">
        <v>74</v>
      </c>
      <c r="F887" s="1" t="s">
        <v>8878</v>
      </c>
      <c r="G887" s="1" t="s">
        <v>74</v>
      </c>
      <c r="H887" s="1" t="s">
        <v>74</v>
      </c>
      <c r="I887" s="1" t="s">
        <v>8879</v>
      </c>
      <c r="J887" s="1" t="s">
        <v>8880</v>
      </c>
      <c r="K887" s="1" t="s">
        <v>74</v>
      </c>
      <c r="L887" s="1" t="s">
        <v>74</v>
      </c>
      <c r="M887" s="1" t="s">
        <v>74</v>
      </c>
      <c r="N887" s="1" t="s">
        <v>74</v>
      </c>
      <c r="O887" s="1" t="s">
        <v>74</v>
      </c>
      <c r="P887" s="1" t="s">
        <v>74</v>
      </c>
      <c r="Q887" s="1" t="s">
        <v>74</v>
      </c>
      <c r="R887" s="1" t="s">
        <v>74</v>
      </c>
      <c r="S887" s="1" t="s">
        <v>74</v>
      </c>
      <c r="T887" s="1" t="s">
        <v>74</v>
      </c>
      <c r="U887" s="1" t="s">
        <v>74</v>
      </c>
      <c r="V887" s="1" t="s">
        <v>8881</v>
      </c>
      <c r="W887" s="1" t="s">
        <v>74</v>
      </c>
      <c r="X887" s="1" t="s">
        <v>74</v>
      </c>
      <c r="Y887" s="1" t="s">
        <v>74</v>
      </c>
      <c r="Z887" s="1" t="s">
        <v>74</v>
      </c>
      <c r="AA887" s="1" t="s">
        <v>1615</v>
      </c>
      <c r="AB887" s="1" t="s">
        <v>1616</v>
      </c>
      <c r="AC887" s="1" t="s">
        <v>74</v>
      </c>
      <c r="AD887" s="1" t="s">
        <v>74</v>
      </c>
      <c r="AE887" s="1" t="s">
        <v>74</v>
      </c>
      <c r="AF887" s="1" t="s">
        <v>74</v>
      </c>
      <c r="AG887" s="1" t="s">
        <v>74</v>
      </c>
      <c r="AH887" s="1" t="s">
        <v>74</v>
      </c>
      <c r="AI887" s="1" t="s">
        <v>74</v>
      </c>
      <c r="AJ887" s="1" t="s">
        <v>74</v>
      </c>
      <c r="AK887" s="1" t="s">
        <v>74</v>
      </c>
      <c r="AL887" s="1" t="s">
        <v>74</v>
      </c>
      <c r="AM887" s="1" t="s">
        <v>74</v>
      </c>
      <c r="AN887" s="1" t="s">
        <v>74</v>
      </c>
      <c r="AO887" s="1" t="s">
        <v>8882</v>
      </c>
      <c r="AP887" s="1" t="s">
        <v>8883</v>
      </c>
      <c r="AQ887" s="1" t="s">
        <v>74</v>
      </c>
      <c r="AR887" s="1" t="s">
        <v>74</v>
      </c>
      <c r="AS887" s="1" t="s">
        <v>74</v>
      </c>
      <c r="AT887" s="1" t="s">
        <v>2871</v>
      </c>
      <c r="AU887" s="1">
        <v>2022.0</v>
      </c>
      <c r="AV887" s="1">
        <v>591.0</v>
      </c>
      <c r="AW887" s="1" t="s">
        <v>74</v>
      </c>
      <c r="AX887" s="1" t="s">
        <v>74</v>
      </c>
      <c r="AY887" s="1" t="s">
        <v>74</v>
      </c>
      <c r="AZ887" s="1" t="s">
        <v>74</v>
      </c>
      <c r="BA887" s="1" t="s">
        <v>74</v>
      </c>
      <c r="BB887" s="1" t="s">
        <v>74</v>
      </c>
      <c r="BC887" s="1" t="s">
        <v>74</v>
      </c>
      <c r="BD887" s="1">
        <v>126729.0</v>
      </c>
      <c r="BE887" s="1" t="s">
        <v>8884</v>
      </c>
      <c r="BF887" s="2" t="str">
        <f>HYPERLINK("http://dx.doi.org/10.1016/j.physa.2021.126729","http://dx.doi.org/10.1016/j.physa.2021.126729")</f>
        <v>http://dx.doi.org/10.1016/j.physa.2021.126729</v>
      </c>
      <c r="BG887" s="1" t="s">
        <v>74</v>
      </c>
      <c r="BH887" s="1" t="s">
        <v>297</v>
      </c>
      <c r="BI887" s="1" t="s">
        <v>74</v>
      </c>
      <c r="BJ887" s="1" t="s">
        <v>74</v>
      </c>
      <c r="BK887" s="1" t="s">
        <v>74</v>
      </c>
      <c r="BL887" s="1" t="s">
        <v>74</v>
      </c>
      <c r="BM887" s="1" t="s">
        <v>74</v>
      </c>
      <c r="BN887" s="1" t="s">
        <v>74</v>
      </c>
      <c r="BO887" s="1" t="s">
        <v>74</v>
      </c>
      <c r="BP887" s="1" t="s">
        <v>74</v>
      </c>
      <c r="BQ887" s="1" t="s">
        <v>74</v>
      </c>
      <c r="BR887" s="1" t="s">
        <v>74</v>
      </c>
      <c r="BS887" s="1" t="s">
        <v>8885</v>
      </c>
      <c r="BT887" s="1" t="str">
        <f>HYPERLINK("https%3A%2F%2Fwww.webofscience.com%2Fwos%2Fwoscc%2Ffull-record%2FWOS:000806158000019","View Full Record in Web of Science")</f>
        <v>View Full Record in Web of Science</v>
      </c>
    </row>
    <row r="888" ht="12.75" customHeight="1">
      <c r="A888" s="1" t="s">
        <v>86</v>
      </c>
      <c r="B888" s="1" t="s">
        <v>8886</v>
      </c>
      <c r="C888" s="1" t="s">
        <v>74</v>
      </c>
      <c r="D888" s="1" t="s">
        <v>74</v>
      </c>
      <c r="E888" s="1" t="s">
        <v>8887</v>
      </c>
      <c r="F888" s="1" t="s">
        <v>8888</v>
      </c>
      <c r="G888" s="1" t="s">
        <v>74</v>
      </c>
      <c r="H888" s="1" t="s">
        <v>74</v>
      </c>
      <c r="I888" s="1" t="s">
        <v>8889</v>
      </c>
      <c r="J888" s="1" t="s">
        <v>8890</v>
      </c>
      <c r="K888" s="1" t="s">
        <v>74</v>
      </c>
      <c r="L888" s="1" t="s">
        <v>74</v>
      </c>
      <c r="M888" s="1" t="s">
        <v>74</v>
      </c>
      <c r="N888" s="1" t="s">
        <v>74</v>
      </c>
      <c r="O888" s="1" t="s">
        <v>6027</v>
      </c>
      <c r="P888" s="1" t="s">
        <v>8891</v>
      </c>
      <c r="Q888" s="1" t="s">
        <v>8892</v>
      </c>
      <c r="R888" s="1" t="s">
        <v>768</v>
      </c>
      <c r="S888" s="1" t="s">
        <v>74</v>
      </c>
      <c r="T888" s="1" t="s">
        <v>74</v>
      </c>
      <c r="U888" s="1" t="s">
        <v>74</v>
      </c>
      <c r="V888" s="1" t="s">
        <v>8893</v>
      </c>
      <c r="W888" s="1" t="s">
        <v>74</v>
      </c>
      <c r="X888" s="1" t="s">
        <v>74</v>
      </c>
      <c r="Y888" s="1" t="s">
        <v>74</v>
      </c>
      <c r="Z888" s="1" t="s">
        <v>74</v>
      </c>
      <c r="AA888" s="1" t="s">
        <v>74</v>
      </c>
      <c r="AB888" s="1" t="s">
        <v>74</v>
      </c>
      <c r="AC888" s="1" t="s">
        <v>74</v>
      </c>
      <c r="AD888" s="1" t="s">
        <v>74</v>
      </c>
      <c r="AE888" s="1" t="s">
        <v>74</v>
      </c>
      <c r="AF888" s="1" t="s">
        <v>74</v>
      </c>
      <c r="AG888" s="1" t="s">
        <v>74</v>
      </c>
      <c r="AH888" s="1" t="s">
        <v>74</v>
      </c>
      <c r="AI888" s="1" t="s">
        <v>74</v>
      </c>
      <c r="AJ888" s="1" t="s">
        <v>74</v>
      </c>
      <c r="AK888" s="1" t="s">
        <v>74</v>
      </c>
      <c r="AL888" s="1" t="s">
        <v>74</v>
      </c>
      <c r="AM888" s="1" t="s">
        <v>74</v>
      </c>
      <c r="AN888" s="1" t="s">
        <v>74</v>
      </c>
      <c r="AO888" s="1" t="s">
        <v>74</v>
      </c>
      <c r="AP888" s="1" t="s">
        <v>74</v>
      </c>
      <c r="AQ888" s="1" t="s">
        <v>8894</v>
      </c>
      <c r="AR888" s="1" t="s">
        <v>74</v>
      </c>
      <c r="AS888" s="1" t="s">
        <v>74</v>
      </c>
      <c r="AT888" s="1" t="s">
        <v>74</v>
      </c>
      <c r="AU888" s="1">
        <v>2022.0</v>
      </c>
      <c r="AV888" s="1" t="s">
        <v>74</v>
      </c>
      <c r="AW888" s="1" t="s">
        <v>74</v>
      </c>
      <c r="AX888" s="1" t="s">
        <v>74</v>
      </c>
      <c r="AY888" s="1" t="s">
        <v>74</v>
      </c>
      <c r="AZ888" s="1" t="s">
        <v>74</v>
      </c>
      <c r="BA888" s="1" t="s">
        <v>74</v>
      </c>
      <c r="BB888" s="1" t="s">
        <v>74</v>
      </c>
      <c r="BC888" s="1" t="s">
        <v>74</v>
      </c>
      <c r="BD888" s="1" t="s">
        <v>74</v>
      </c>
      <c r="BE888" s="1" t="s">
        <v>74</v>
      </c>
      <c r="BF888" s="1" t="s">
        <v>74</v>
      </c>
      <c r="BG888" s="1" t="s">
        <v>74</v>
      </c>
      <c r="BH888" s="1" t="s">
        <v>74</v>
      </c>
      <c r="BI888" s="1" t="s">
        <v>74</v>
      </c>
      <c r="BJ888" s="1" t="s">
        <v>74</v>
      </c>
      <c r="BK888" s="1" t="s">
        <v>74</v>
      </c>
      <c r="BL888" s="1" t="s">
        <v>74</v>
      </c>
      <c r="BM888" s="1" t="s">
        <v>74</v>
      </c>
      <c r="BN888" s="1" t="s">
        <v>74</v>
      </c>
      <c r="BO888" s="1" t="s">
        <v>74</v>
      </c>
      <c r="BP888" s="1" t="s">
        <v>74</v>
      </c>
      <c r="BQ888" s="1" t="s">
        <v>74</v>
      </c>
      <c r="BR888" s="1" t="s">
        <v>74</v>
      </c>
      <c r="BS888" s="1" t="s">
        <v>8895</v>
      </c>
      <c r="BT888" s="1" t="str">
        <f>HYPERLINK("https%3A%2F%2Fwww.webofscience.com%2Fwos%2Fwoscc%2Ffull-record%2FWOS:001215439200021","View Full Record in Web of Science")</f>
        <v>View Full Record in Web of Science</v>
      </c>
    </row>
    <row r="889" ht="12.75" customHeight="1">
      <c r="A889" s="1" t="s">
        <v>72</v>
      </c>
      <c r="B889" s="1" t="s">
        <v>8896</v>
      </c>
      <c r="C889" s="1" t="s">
        <v>74</v>
      </c>
      <c r="D889" s="1" t="s">
        <v>74</v>
      </c>
      <c r="E889" s="1" t="s">
        <v>74</v>
      </c>
      <c r="F889" s="1" t="s">
        <v>8897</v>
      </c>
      <c r="G889" s="1" t="s">
        <v>74</v>
      </c>
      <c r="H889" s="1" t="s">
        <v>74</v>
      </c>
      <c r="I889" s="1" t="s">
        <v>8898</v>
      </c>
      <c r="J889" s="1" t="s">
        <v>8899</v>
      </c>
      <c r="K889" s="1" t="s">
        <v>74</v>
      </c>
      <c r="L889" s="1" t="s">
        <v>74</v>
      </c>
      <c r="M889" s="1" t="s">
        <v>74</v>
      </c>
      <c r="N889" s="1" t="s">
        <v>74</v>
      </c>
      <c r="O889" s="1" t="s">
        <v>74</v>
      </c>
      <c r="P889" s="1" t="s">
        <v>74</v>
      </c>
      <c r="Q889" s="1" t="s">
        <v>74</v>
      </c>
      <c r="R889" s="1" t="s">
        <v>74</v>
      </c>
      <c r="S889" s="1" t="s">
        <v>74</v>
      </c>
      <c r="T889" s="1" t="s">
        <v>74</v>
      </c>
      <c r="U889" s="1" t="s">
        <v>74</v>
      </c>
      <c r="V889" s="1" t="s">
        <v>8900</v>
      </c>
      <c r="W889" s="1" t="s">
        <v>74</v>
      </c>
      <c r="X889" s="1" t="s">
        <v>74</v>
      </c>
      <c r="Y889" s="1" t="s">
        <v>74</v>
      </c>
      <c r="Z889" s="1" t="s">
        <v>74</v>
      </c>
      <c r="AA889" s="1" t="s">
        <v>74</v>
      </c>
      <c r="AB889" s="1" t="s">
        <v>8901</v>
      </c>
      <c r="AC889" s="1" t="s">
        <v>74</v>
      </c>
      <c r="AD889" s="1" t="s">
        <v>74</v>
      </c>
      <c r="AE889" s="1" t="s">
        <v>74</v>
      </c>
      <c r="AF889" s="1" t="s">
        <v>74</v>
      </c>
      <c r="AG889" s="1" t="s">
        <v>74</v>
      </c>
      <c r="AH889" s="1" t="s">
        <v>74</v>
      </c>
      <c r="AI889" s="1" t="s">
        <v>74</v>
      </c>
      <c r="AJ889" s="1" t="s">
        <v>74</v>
      </c>
      <c r="AK889" s="1" t="s">
        <v>74</v>
      </c>
      <c r="AL889" s="1" t="s">
        <v>74</v>
      </c>
      <c r="AM889" s="1" t="s">
        <v>74</v>
      </c>
      <c r="AN889" s="1" t="s">
        <v>74</v>
      </c>
      <c r="AO889" s="1" t="s">
        <v>8902</v>
      </c>
      <c r="AP889" s="1" t="s">
        <v>74</v>
      </c>
      <c r="AQ889" s="1" t="s">
        <v>74</v>
      </c>
      <c r="AR889" s="1" t="s">
        <v>74</v>
      </c>
      <c r="AS889" s="1" t="s">
        <v>74</v>
      </c>
      <c r="AT889" s="1" t="s">
        <v>422</v>
      </c>
      <c r="AU889" s="1">
        <v>2021.0</v>
      </c>
      <c r="AV889" s="1">
        <v>48.0</v>
      </c>
      <c r="AW889" s="1">
        <v>1.0</v>
      </c>
      <c r="AX889" s="1" t="s">
        <v>74</v>
      </c>
      <c r="AY889" s="1" t="s">
        <v>74</v>
      </c>
      <c r="AZ889" s="1" t="s">
        <v>74</v>
      </c>
      <c r="BA889" s="1" t="s">
        <v>74</v>
      </c>
      <c r="BB889" s="1">
        <v>153.0</v>
      </c>
      <c r="BC889" s="1">
        <v>174.0</v>
      </c>
      <c r="BD889" s="1" t="s">
        <v>74</v>
      </c>
      <c r="BE889" s="1" t="s">
        <v>8903</v>
      </c>
      <c r="BF889" s="2" t="str">
        <f>HYPERLINK("http://dx.doi.org/10.5027/andgeoV48n1-3280","http://dx.doi.org/10.5027/andgeoV48n1-3280")</f>
        <v>http://dx.doi.org/10.5027/andgeoV48n1-3280</v>
      </c>
      <c r="BG889" s="1" t="s">
        <v>74</v>
      </c>
      <c r="BH889" s="1" t="s">
        <v>74</v>
      </c>
      <c r="BI889" s="1" t="s">
        <v>74</v>
      </c>
      <c r="BJ889" s="1" t="s">
        <v>74</v>
      </c>
      <c r="BK889" s="1" t="s">
        <v>74</v>
      </c>
      <c r="BL889" s="1" t="s">
        <v>74</v>
      </c>
      <c r="BM889" s="1" t="s">
        <v>74</v>
      </c>
      <c r="BN889" s="1" t="s">
        <v>74</v>
      </c>
      <c r="BO889" s="1" t="s">
        <v>74</v>
      </c>
      <c r="BP889" s="1" t="s">
        <v>74</v>
      </c>
      <c r="BQ889" s="1" t="s">
        <v>74</v>
      </c>
      <c r="BR889" s="1" t="s">
        <v>74</v>
      </c>
      <c r="BS889" s="1" t="s">
        <v>8904</v>
      </c>
      <c r="BT889" s="1" t="str">
        <f>HYPERLINK("https%3A%2F%2Fwww.webofscience.com%2Fwos%2Fwoscc%2Ffull-record%2FWOS:000619023700008","View Full Record in Web of Science")</f>
        <v>View Full Record in Web of Science</v>
      </c>
    </row>
    <row r="890" ht="12.75" customHeight="1">
      <c r="A890" s="1" t="s">
        <v>72</v>
      </c>
      <c r="B890" s="1" t="s">
        <v>8905</v>
      </c>
      <c r="C890" s="1" t="s">
        <v>74</v>
      </c>
      <c r="D890" s="1" t="s">
        <v>74</v>
      </c>
      <c r="E890" s="1" t="s">
        <v>74</v>
      </c>
      <c r="F890" s="1" t="s">
        <v>8906</v>
      </c>
      <c r="G890" s="1" t="s">
        <v>74</v>
      </c>
      <c r="H890" s="1" t="s">
        <v>74</v>
      </c>
      <c r="I890" s="1" t="s">
        <v>8907</v>
      </c>
      <c r="J890" s="1" t="s">
        <v>8908</v>
      </c>
      <c r="K890" s="1" t="s">
        <v>74</v>
      </c>
      <c r="L890" s="1" t="s">
        <v>74</v>
      </c>
      <c r="M890" s="1" t="s">
        <v>74</v>
      </c>
      <c r="N890" s="1" t="s">
        <v>74</v>
      </c>
      <c r="O890" s="1" t="s">
        <v>74</v>
      </c>
      <c r="P890" s="1" t="s">
        <v>74</v>
      </c>
      <c r="Q890" s="1" t="s">
        <v>74</v>
      </c>
      <c r="R890" s="1" t="s">
        <v>74</v>
      </c>
      <c r="S890" s="1" t="s">
        <v>74</v>
      </c>
      <c r="T890" s="1" t="s">
        <v>74</v>
      </c>
      <c r="U890" s="1" t="s">
        <v>74</v>
      </c>
      <c r="V890" s="1" t="s">
        <v>8909</v>
      </c>
      <c r="W890" s="1" t="s">
        <v>74</v>
      </c>
      <c r="X890" s="1" t="s">
        <v>74</v>
      </c>
      <c r="Y890" s="1" t="s">
        <v>74</v>
      </c>
      <c r="Z890" s="1" t="s">
        <v>74</v>
      </c>
      <c r="AA890" s="1" t="s">
        <v>8910</v>
      </c>
      <c r="AB890" s="1" t="s">
        <v>8911</v>
      </c>
      <c r="AC890" s="1" t="s">
        <v>74</v>
      </c>
      <c r="AD890" s="1" t="s">
        <v>74</v>
      </c>
      <c r="AE890" s="1" t="s">
        <v>74</v>
      </c>
      <c r="AF890" s="1" t="s">
        <v>74</v>
      </c>
      <c r="AG890" s="1" t="s">
        <v>74</v>
      </c>
      <c r="AH890" s="1" t="s">
        <v>74</v>
      </c>
      <c r="AI890" s="1" t="s">
        <v>74</v>
      </c>
      <c r="AJ890" s="1" t="s">
        <v>74</v>
      </c>
      <c r="AK890" s="1" t="s">
        <v>74</v>
      </c>
      <c r="AL890" s="1" t="s">
        <v>74</v>
      </c>
      <c r="AM890" s="1" t="s">
        <v>74</v>
      </c>
      <c r="AN890" s="1" t="s">
        <v>74</v>
      </c>
      <c r="AO890" s="1" t="s">
        <v>8912</v>
      </c>
      <c r="AP890" s="1" t="s">
        <v>8913</v>
      </c>
      <c r="AQ890" s="1" t="s">
        <v>74</v>
      </c>
      <c r="AR890" s="1" t="s">
        <v>74</v>
      </c>
      <c r="AS890" s="1" t="s">
        <v>74</v>
      </c>
      <c r="AT890" s="1" t="s">
        <v>8914</v>
      </c>
      <c r="AU890" s="1">
        <v>2020.0</v>
      </c>
      <c r="AV890" s="1">
        <v>46.0</v>
      </c>
      <c r="AW890" s="1">
        <v>3.0</v>
      </c>
      <c r="AX890" s="1" t="s">
        <v>74</v>
      </c>
      <c r="AY890" s="1" t="s">
        <v>74</v>
      </c>
      <c r="AZ890" s="1" t="s">
        <v>74</v>
      </c>
      <c r="BA890" s="1" t="s">
        <v>74</v>
      </c>
      <c r="BB890" s="1">
        <v>547.0</v>
      </c>
      <c r="BC890" s="1">
        <v>572.0</v>
      </c>
      <c r="BD890" s="1" t="s">
        <v>74</v>
      </c>
      <c r="BE890" s="1" t="s">
        <v>8915</v>
      </c>
      <c r="BF890" s="2" t="str">
        <f>HYPERLINK("http://dx.doi.org/10.1080/03605302.2020.1846561","http://dx.doi.org/10.1080/03605302.2020.1846561")</f>
        <v>http://dx.doi.org/10.1080/03605302.2020.1846561</v>
      </c>
      <c r="BG890" s="1" t="s">
        <v>74</v>
      </c>
      <c r="BH890" s="1" t="s">
        <v>8264</v>
      </c>
      <c r="BI890" s="1" t="s">
        <v>74</v>
      </c>
      <c r="BJ890" s="1" t="s">
        <v>74</v>
      </c>
      <c r="BK890" s="1" t="s">
        <v>74</v>
      </c>
      <c r="BL890" s="1" t="s">
        <v>74</v>
      </c>
      <c r="BM890" s="1" t="s">
        <v>74</v>
      </c>
      <c r="BN890" s="1" t="s">
        <v>74</v>
      </c>
      <c r="BO890" s="1" t="s">
        <v>74</v>
      </c>
      <c r="BP890" s="1" t="s">
        <v>74</v>
      </c>
      <c r="BQ890" s="1" t="s">
        <v>74</v>
      </c>
      <c r="BR890" s="1" t="s">
        <v>74</v>
      </c>
      <c r="BS890" s="1" t="s">
        <v>8916</v>
      </c>
      <c r="BT890" s="1" t="str">
        <f>HYPERLINK("https%3A%2F%2Fwww.webofscience.com%2Fwos%2Fwoscc%2Ffull-record%2FWOS:000590640000001","View Full Record in Web of Science")</f>
        <v>View Full Record in Web of Science</v>
      </c>
    </row>
    <row r="891" ht="12.75" customHeight="1">
      <c r="A891" s="1" t="s">
        <v>72</v>
      </c>
      <c r="B891" s="1" t="s">
        <v>8917</v>
      </c>
      <c r="C891" s="1" t="s">
        <v>74</v>
      </c>
      <c r="D891" s="1" t="s">
        <v>74</v>
      </c>
      <c r="E891" s="1" t="s">
        <v>74</v>
      </c>
      <c r="F891" s="1" t="s">
        <v>8918</v>
      </c>
      <c r="G891" s="1" t="s">
        <v>74</v>
      </c>
      <c r="H891" s="1" t="s">
        <v>74</v>
      </c>
      <c r="I891" s="1" t="s">
        <v>8919</v>
      </c>
      <c r="J891" s="1" t="s">
        <v>8920</v>
      </c>
      <c r="K891" s="1" t="s">
        <v>74</v>
      </c>
      <c r="L891" s="1" t="s">
        <v>74</v>
      </c>
      <c r="M891" s="1" t="s">
        <v>74</v>
      </c>
      <c r="N891" s="1" t="s">
        <v>74</v>
      </c>
      <c r="O891" s="1" t="s">
        <v>74</v>
      </c>
      <c r="P891" s="1" t="s">
        <v>74</v>
      </c>
      <c r="Q891" s="1" t="s">
        <v>74</v>
      </c>
      <c r="R891" s="1" t="s">
        <v>74</v>
      </c>
      <c r="S891" s="1" t="s">
        <v>74</v>
      </c>
      <c r="T891" s="1" t="s">
        <v>74</v>
      </c>
      <c r="U891" s="1" t="s">
        <v>74</v>
      </c>
      <c r="V891" s="1" t="s">
        <v>8921</v>
      </c>
      <c r="W891" s="1" t="s">
        <v>74</v>
      </c>
      <c r="X891" s="1" t="s">
        <v>74</v>
      </c>
      <c r="Y891" s="1" t="s">
        <v>74</v>
      </c>
      <c r="Z891" s="1" t="s">
        <v>74</v>
      </c>
      <c r="AA891" s="1" t="s">
        <v>8922</v>
      </c>
      <c r="AB891" s="1" t="s">
        <v>8923</v>
      </c>
      <c r="AC891" s="1" t="s">
        <v>74</v>
      </c>
      <c r="AD891" s="1" t="s">
        <v>74</v>
      </c>
      <c r="AE891" s="1" t="s">
        <v>74</v>
      </c>
      <c r="AF891" s="1" t="s">
        <v>74</v>
      </c>
      <c r="AG891" s="1" t="s">
        <v>74</v>
      </c>
      <c r="AH891" s="1" t="s">
        <v>74</v>
      </c>
      <c r="AI891" s="1" t="s">
        <v>74</v>
      </c>
      <c r="AJ891" s="1" t="s">
        <v>74</v>
      </c>
      <c r="AK891" s="1" t="s">
        <v>74</v>
      </c>
      <c r="AL891" s="1" t="s">
        <v>74</v>
      </c>
      <c r="AM891" s="1" t="s">
        <v>74</v>
      </c>
      <c r="AN891" s="1" t="s">
        <v>74</v>
      </c>
      <c r="AO891" s="1" t="s">
        <v>8924</v>
      </c>
      <c r="AP891" s="1" t="s">
        <v>74</v>
      </c>
      <c r="AQ891" s="1" t="s">
        <v>74</v>
      </c>
      <c r="AR891" s="1" t="s">
        <v>74</v>
      </c>
      <c r="AS891" s="1" t="s">
        <v>74</v>
      </c>
      <c r="AT891" s="1" t="s">
        <v>2898</v>
      </c>
      <c r="AU891" s="1">
        <v>2020.0</v>
      </c>
      <c r="AV891" s="1">
        <v>3.0</v>
      </c>
      <c r="AW891" s="1">
        <v>8.0</v>
      </c>
      <c r="AX891" s="1" t="s">
        <v>74</v>
      </c>
      <c r="AY891" s="1" t="s">
        <v>74</v>
      </c>
      <c r="AZ891" s="1" t="s">
        <v>74</v>
      </c>
      <c r="BA891" s="1" t="s">
        <v>74</v>
      </c>
      <c r="BB891" s="1">
        <v>7680.0</v>
      </c>
      <c r="BC891" s="1">
        <v>7688.0</v>
      </c>
      <c r="BD891" s="1" t="s">
        <v>74</v>
      </c>
      <c r="BE891" s="1" t="s">
        <v>8925</v>
      </c>
      <c r="BF891" s="2" t="str">
        <f>HYPERLINK("http://dx.doi.org/10.1021/acsaem.0c01094","http://dx.doi.org/10.1021/acsaem.0c01094")</f>
        <v>http://dx.doi.org/10.1021/acsaem.0c01094</v>
      </c>
      <c r="BG891" s="1" t="s">
        <v>74</v>
      </c>
      <c r="BH891" s="1" t="s">
        <v>74</v>
      </c>
      <c r="BI891" s="1" t="s">
        <v>74</v>
      </c>
      <c r="BJ891" s="1" t="s">
        <v>74</v>
      </c>
      <c r="BK891" s="1" t="s">
        <v>74</v>
      </c>
      <c r="BL891" s="1" t="s">
        <v>74</v>
      </c>
      <c r="BM891" s="1" t="s">
        <v>74</v>
      </c>
      <c r="BN891" s="1" t="s">
        <v>74</v>
      </c>
      <c r="BO891" s="1" t="s">
        <v>74</v>
      </c>
      <c r="BP891" s="1" t="s">
        <v>74</v>
      </c>
      <c r="BQ891" s="1" t="s">
        <v>74</v>
      </c>
      <c r="BR891" s="1" t="s">
        <v>74</v>
      </c>
      <c r="BS891" s="1" t="s">
        <v>8926</v>
      </c>
      <c r="BT891" s="1" t="str">
        <f>HYPERLINK("https%3A%2F%2Fwww.webofscience.com%2Fwos%2Fwoscc%2Ffull-record%2FWOS:000563784400048","View Full Record in Web of Science")</f>
        <v>View Full Record in Web of Science</v>
      </c>
    </row>
    <row r="892" ht="12.75" customHeight="1">
      <c r="A892" s="1" t="s">
        <v>72</v>
      </c>
      <c r="B892" s="1" t="s">
        <v>8927</v>
      </c>
      <c r="C892" s="1" t="s">
        <v>74</v>
      </c>
      <c r="D892" s="1" t="s">
        <v>74</v>
      </c>
      <c r="E892" s="1" t="s">
        <v>74</v>
      </c>
      <c r="F892" s="1" t="s">
        <v>8928</v>
      </c>
      <c r="G892" s="1" t="s">
        <v>74</v>
      </c>
      <c r="H892" s="1" t="s">
        <v>74</v>
      </c>
      <c r="I892" s="1" t="s">
        <v>8929</v>
      </c>
      <c r="J892" s="1" t="s">
        <v>8930</v>
      </c>
      <c r="K892" s="1" t="s">
        <v>74</v>
      </c>
      <c r="L892" s="1" t="s">
        <v>74</v>
      </c>
      <c r="M892" s="1" t="s">
        <v>74</v>
      </c>
      <c r="N892" s="1" t="s">
        <v>74</v>
      </c>
      <c r="O892" s="1" t="s">
        <v>74</v>
      </c>
      <c r="P892" s="1" t="s">
        <v>74</v>
      </c>
      <c r="Q892" s="1" t="s">
        <v>74</v>
      </c>
      <c r="R892" s="1" t="s">
        <v>74</v>
      </c>
      <c r="S892" s="1" t="s">
        <v>74</v>
      </c>
      <c r="T892" s="1" t="s">
        <v>74</v>
      </c>
      <c r="U892" s="1" t="s">
        <v>74</v>
      </c>
      <c r="V892" s="1" t="s">
        <v>8931</v>
      </c>
      <c r="W892" s="1" t="s">
        <v>74</v>
      </c>
      <c r="X892" s="1" t="s">
        <v>74</v>
      </c>
      <c r="Y892" s="1" t="s">
        <v>74</v>
      </c>
      <c r="Z892" s="1" t="s">
        <v>74</v>
      </c>
      <c r="AA892" s="1" t="s">
        <v>8932</v>
      </c>
      <c r="AB892" s="1" t="s">
        <v>8933</v>
      </c>
      <c r="AC892" s="1" t="s">
        <v>74</v>
      </c>
      <c r="AD892" s="1" t="s">
        <v>74</v>
      </c>
      <c r="AE892" s="1" t="s">
        <v>74</v>
      </c>
      <c r="AF892" s="1" t="s">
        <v>74</v>
      </c>
      <c r="AG892" s="1" t="s">
        <v>74</v>
      </c>
      <c r="AH892" s="1" t="s">
        <v>74</v>
      </c>
      <c r="AI892" s="1" t="s">
        <v>74</v>
      </c>
      <c r="AJ892" s="1" t="s">
        <v>74</v>
      </c>
      <c r="AK892" s="1" t="s">
        <v>74</v>
      </c>
      <c r="AL892" s="1" t="s">
        <v>74</v>
      </c>
      <c r="AM892" s="1" t="s">
        <v>74</v>
      </c>
      <c r="AN892" s="1" t="s">
        <v>74</v>
      </c>
      <c r="AO892" s="1" t="s">
        <v>8934</v>
      </c>
      <c r="AP892" s="1" t="s">
        <v>8935</v>
      </c>
      <c r="AQ892" s="1" t="s">
        <v>74</v>
      </c>
      <c r="AR892" s="1" t="s">
        <v>74</v>
      </c>
      <c r="AS892" s="1" t="s">
        <v>74</v>
      </c>
      <c r="AT892" s="1" t="s">
        <v>8936</v>
      </c>
      <c r="AU892" s="1">
        <v>2020.0</v>
      </c>
      <c r="AV892" s="1">
        <v>25.0</v>
      </c>
      <c r="AW892" s="1">
        <v>3.0</v>
      </c>
      <c r="AX892" s="1" t="s">
        <v>74</v>
      </c>
      <c r="AY892" s="1" t="s">
        <v>74</v>
      </c>
      <c r="AZ892" s="1" t="s">
        <v>74</v>
      </c>
      <c r="BA892" s="1" t="s">
        <v>74</v>
      </c>
      <c r="BB892" s="1">
        <v>453.0</v>
      </c>
      <c r="BC892" s="1">
        <v>464.0</v>
      </c>
      <c r="BD892" s="1" t="s">
        <v>74</v>
      </c>
      <c r="BE892" s="1" t="s">
        <v>8937</v>
      </c>
      <c r="BF892" s="2" t="str">
        <f>HYPERLINK("http://dx.doi.org/10.1080/13557858.2018.1427702","http://dx.doi.org/10.1080/13557858.2018.1427702")</f>
        <v>http://dx.doi.org/10.1080/13557858.2018.1427702</v>
      </c>
      <c r="BG892" s="1" t="s">
        <v>74</v>
      </c>
      <c r="BH892" s="1" t="s">
        <v>74</v>
      </c>
      <c r="BI892" s="1" t="s">
        <v>74</v>
      </c>
      <c r="BJ892" s="1" t="s">
        <v>74</v>
      </c>
      <c r="BK892" s="1" t="s">
        <v>74</v>
      </c>
      <c r="BL892" s="1" t="s">
        <v>74</v>
      </c>
      <c r="BM892" s="1" t="s">
        <v>74</v>
      </c>
      <c r="BN892" s="1">
        <v>2.9488784E7</v>
      </c>
      <c r="BO892" s="1" t="s">
        <v>74</v>
      </c>
      <c r="BP892" s="1" t="s">
        <v>74</v>
      </c>
      <c r="BQ892" s="1" t="s">
        <v>74</v>
      </c>
      <c r="BR892" s="1" t="s">
        <v>74</v>
      </c>
      <c r="BS892" s="1" t="s">
        <v>8938</v>
      </c>
      <c r="BT892" s="1" t="str">
        <f>HYPERLINK("https%3A%2F%2Fwww.webofscience.com%2Fwos%2Fwoscc%2Ffull-record%2FWOS:000526423600009","View Full Record in Web of Science")</f>
        <v>View Full Record in Web of Science</v>
      </c>
    </row>
    <row r="893" ht="12.75" customHeight="1">
      <c r="A893" s="1" t="s">
        <v>72</v>
      </c>
      <c r="B893" s="1" t="s">
        <v>8939</v>
      </c>
      <c r="C893" s="1" t="s">
        <v>74</v>
      </c>
      <c r="D893" s="1" t="s">
        <v>74</v>
      </c>
      <c r="E893" s="1" t="s">
        <v>74</v>
      </c>
      <c r="F893" s="1" t="s">
        <v>8940</v>
      </c>
      <c r="G893" s="1" t="s">
        <v>74</v>
      </c>
      <c r="H893" s="1" t="s">
        <v>74</v>
      </c>
      <c r="I893" s="1" t="s">
        <v>8941</v>
      </c>
      <c r="J893" s="1" t="s">
        <v>2103</v>
      </c>
      <c r="K893" s="1" t="s">
        <v>74</v>
      </c>
      <c r="L893" s="1" t="s">
        <v>74</v>
      </c>
      <c r="M893" s="1" t="s">
        <v>74</v>
      </c>
      <c r="N893" s="1" t="s">
        <v>74</v>
      </c>
      <c r="O893" s="1" t="s">
        <v>74</v>
      </c>
      <c r="P893" s="1" t="s">
        <v>74</v>
      </c>
      <c r="Q893" s="1" t="s">
        <v>74</v>
      </c>
      <c r="R893" s="1" t="s">
        <v>74</v>
      </c>
      <c r="S893" s="1" t="s">
        <v>74</v>
      </c>
      <c r="T893" s="1" t="s">
        <v>74</v>
      </c>
      <c r="U893" s="1" t="s">
        <v>74</v>
      </c>
      <c r="V893" s="1" t="s">
        <v>8942</v>
      </c>
      <c r="W893" s="1" t="s">
        <v>74</v>
      </c>
      <c r="X893" s="1" t="s">
        <v>74</v>
      </c>
      <c r="Y893" s="1" t="s">
        <v>74</v>
      </c>
      <c r="Z893" s="1" t="s">
        <v>74</v>
      </c>
      <c r="AA893" s="1" t="s">
        <v>8943</v>
      </c>
      <c r="AB893" s="1" t="s">
        <v>8944</v>
      </c>
      <c r="AC893" s="1" t="s">
        <v>74</v>
      </c>
      <c r="AD893" s="1" t="s">
        <v>74</v>
      </c>
      <c r="AE893" s="1" t="s">
        <v>74</v>
      </c>
      <c r="AF893" s="1" t="s">
        <v>74</v>
      </c>
      <c r="AG893" s="1" t="s">
        <v>74</v>
      </c>
      <c r="AH893" s="1" t="s">
        <v>74</v>
      </c>
      <c r="AI893" s="1" t="s">
        <v>74</v>
      </c>
      <c r="AJ893" s="1" t="s">
        <v>74</v>
      </c>
      <c r="AK893" s="1" t="s">
        <v>74</v>
      </c>
      <c r="AL893" s="1" t="s">
        <v>74</v>
      </c>
      <c r="AM893" s="1" t="s">
        <v>74</v>
      </c>
      <c r="AN893" s="1" t="s">
        <v>74</v>
      </c>
      <c r="AO893" s="1" t="s">
        <v>74</v>
      </c>
      <c r="AP893" s="1" t="s">
        <v>2107</v>
      </c>
      <c r="AQ893" s="1" t="s">
        <v>74</v>
      </c>
      <c r="AR893" s="1" t="s">
        <v>74</v>
      </c>
      <c r="AS893" s="1" t="s">
        <v>74</v>
      </c>
      <c r="AT893" s="1" t="s">
        <v>8945</v>
      </c>
      <c r="AU893" s="1">
        <v>2020.0</v>
      </c>
      <c r="AV893" s="1">
        <v>11.0</v>
      </c>
      <c r="AW893" s="1" t="s">
        <v>74</v>
      </c>
      <c r="AX893" s="1" t="s">
        <v>74</v>
      </c>
      <c r="AY893" s="1" t="s">
        <v>74</v>
      </c>
      <c r="AZ893" s="1" t="s">
        <v>74</v>
      </c>
      <c r="BA893" s="1" t="s">
        <v>74</v>
      </c>
      <c r="BB893" s="1" t="s">
        <v>74</v>
      </c>
      <c r="BC893" s="1" t="s">
        <v>74</v>
      </c>
      <c r="BD893" s="1">
        <v>41.0</v>
      </c>
      <c r="BE893" s="1" t="s">
        <v>8946</v>
      </c>
      <c r="BF893" s="2" t="str">
        <f>HYPERLINK("http://dx.doi.org/10.3389/fphar.2020.00041","http://dx.doi.org/10.3389/fphar.2020.00041")</f>
        <v>http://dx.doi.org/10.3389/fphar.2020.00041</v>
      </c>
      <c r="BG893" s="1" t="s">
        <v>74</v>
      </c>
      <c r="BH893" s="1" t="s">
        <v>74</v>
      </c>
      <c r="BI893" s="1" t="s">
        <v>74</v>
      </c>
      <c r="BJ893" s="1" t="s">
        <v>74</v>
      </c>
      <c r="BK893" s="1" t="s">
        <v>74</v>
      </c>
      <c r="BL893" s="1" t="s">
        <v>74</v>
      </c>
      <c r="BM893" s="1" t="s">
        <v>74</v>
      </c>
      <c r="BN893" s="1">
        <v>3.2132921E7</v>
      </c>
      <c r="BO893" s="1" t="s">
        <v>74</v>
      </c>
      <c r="BP893" s="1" t="s">
        <v>74</v>
      </c>
      <c r="BQ893" s="1" t="s">
        <v>74</v>
      </c>
      <c r="BR893" s="1" t="s">
        <v>74</v>
      </c>
      <c r="BS893" s="1" t="s">
        <v>8947</v>
      </c>
      <c r="BT893" s="1" t="str">
        <f>HYPERLINK("https%3A%2F%2Fwww.webofscience.com%2Fwos%2Fwoscc%2Ffull-record%2FWOS:000518932500001","View Full Record in Web of Science")</f>
        <v>View Full Record in Web of Science</v>
      </c>
    </row>
    <row r="894" ht="12.75" customHeight="1">
      <c r="A894" s="1" t="s">
        <v>72</v>
      </c>
      <c r="B894" s="1" t="s">
        <v>8948</v>
      </c>
      <c r="C894" s="1" t="s">
        <v>74</v>
      </c>
      <c r="D894" s="1" t="s">
        <v>74</v>
      </c>
      <c r="E894" s="1" t="s">
        <v>74</v>
      </c>
      <c r="F894" s="1" t="s">
        <v>8949</v>
      </c>
      <c r="G894" s="1" t="s">
        <v>74</v>
      </c>
      <c r="H894" s="1" t="s">
        <v>74</v>
      </c>
      <c r="I894" s="1" t="s">
        <v>8950</v>
      </c>
      <c r="J894" s="1" t="s">
        <v>8951</v>
      </c>
      <c r="K894" s="1" t="s">
        <v>74</v>
      </c>
      <c r="L894" s="1" t="s">
        <v>74</v>
      </c>
      <c r="M894" s="1" t="s">
        <v>74</v>
      </c>
      <c r="N894" s="1" t="s">
        <v>74</v>
      </c>
      <c r="O894" s="1" t="s">
        <v>74</v>
      </c>
      <c r="P894" s="1" t="s">
        <v>74</v>
      </c>
      <c r="Q894" s="1" t="s">
        <v>74</v>
      </c>
      <c r="R894" s="1" t="s">
        <v>74</v>
      </c>
      <c r="S894" s="1" t="s">
        <v>74</v>
      </c>
      <c r="T894" s="1" t="s">
        <v>74</v>
      </c>
      <c r="U894" s="1" t="s">
        <v>74</v>
      </c>
      <c r="V894" s="1" t="s">
        <v>8952</v>
      </c>
      <c r="W894" s="1" t="s">
        <v>74</v>
      </c>
      <c r="X894" s="1" t="s">
        <v>74</v>
      </c>
      <c r="Y894" s="1" t="s">
        <v>74</v>
      </c>
      <c r="Z894" s="1" t="s">
        <v>74</v>
      </c>
      <c r="AA894" s="1" t="s">
        <v>74</v>
      </c>
      <c r="AB894" s="1" t="s">
        <v>8953</v>
      </c>
      <c r="AC894" s="1" t="s">
        <v>74</v>
      </c>
      <c r="AD894" s="1" t="s">
        <v>74</v>
      </c>
      <c r="AE894" s="1" t="s">
        <v>74</v>
      </c>
      <c r="AF894" s="1" t="s">
        <v>74</v>
      </c>
      <c r="AG894" s="1" t="s">
        <v>74</v>
      </c>
      <c r="AH894" s="1" t="s">
        <v>74</v>
      </c>
      <c r="AI894" s="1" t="s">
        <v>74</v>
      </c>
      <c r="AJ894" s="1" t="s">
        <v>74</v>
      </c>
      <c r="AK894" s="1" t="s">
        <v>74</v>
      </c>
      <c r="AL894" s="1" t="s">
        <v>74</v>
      </c>
      <c r="AM894" s="1" t="s">
        <v>74</v>
      </c>
      <c r="AN894" s="1" t="s">
        <v>74</v>
      </c>
      <c r="AO894" s="1" t="s">
        <v>8954</v>
      </c>
      <c r="AP894" s="1" t="s">
        <v>8955</v>
      </c>
      <c r="AQ894" s="1" t="s">
        <v>74</v>
      </c>
      <c r="AR894" s="1" t="s">
        <v>74</v>
      </c>
      <c r="AS894" s="1" t="s">
        <v>74</v>
      </c>
      <c r="AT894" s="1" t="s">
        <v>422</v>
      </c>
      <c r="AU894" s="1">
        <v>2021.0</v>
      </c>
      <c r="AV894" s="1">
        <v>26.0</v>
      </c>
      <c r="AW894" s="1">
        <v>1.0</v>
      </c>
      <c r="AX894" s="1" t="s">
        <v>74</v>
      </c>
      <c r="AY894" s="1" t="s">
        <v>74</v>
      </c>
      <c r="AZ894" s="1" t="s">
        <v>74</v>
      </c>
      <c r="BA894" s="1" t="s">
        <v>74</v>
      </c>
      <c r="BB894" s="1" t="s">
        <v>74</v>
      </c>
      <c r="BC894" s="1" t="s">
        <v>74</v>
      </c>
      <c r="BD894" s="1" t="s">
        <v>8956</v>
      </c>
      <c r="BE894" s="1" t="s">
        <v>8957</v>
      </c>
      <c r="BF894" s="2" t="str">
        <f>HYPERLINK("http://dx.doi.org/10.1111/adb.12851","http://dx.doi.org/10.1111/adb.12851")</f>
        <v>http://dx.doi.org/10.1111/adb.12851</v>
      </c>
      <c r="BG894" s="1" t="s">
        <v>74</v>
      </c>
      <c r="BH894" s="1" t="s">
        <v>4040</v>
      </c>
      <c r="BI894" s="1" t="s">
        <v>74</v>
      </c>
      <c r="BJ894" s="1" t="s">
        <v>74</v>
      </c>
      <c r="BK894" s="1" t="s">
        <v>74</v>
      </c>
      <c r="BL894" s="1" t="s">
        <v>74</v>
      </c>
      <c r="BM894" s="1" t="s">
        <v>74</v>
      </c>
      <c r="BN894" s="1">
        <v>3.1691406E7</v>
      </c>
      <c r="BO894" s="1" t="s">
        <v>74</v>
      </c>
      <c r="BP894" s="1" t="s">
        <v>74</v>
      </c>
      <c r="BQ894" s="1" t="s">
        <v>74</v>
      </c>
      <c r="BR894" s="1" t="s">
        <v>74</v>
      </c>
      <c r="BS894" s="1" t="s">
        <v>8958</v>
      </c>
      <c r="BT894" s="1" t="str">
        <f>HYPERLINK("https%3A%2F%2Fwww.webofscience.com%2Fwos%2Fwoscc%2Ffull-record%2FWOS:000494507100001","View Full Record in Web of Science")</f>
        <v>View Full Record in Web of Science</v>
      </c>
    </row>
    <row r="895" ht="12.75" customHeight="1">
      <c r="A895" s="1" t="s">
        <v>72</v>
      </c>
      <c r="B895" s="1" t="s">
        <v>8959</v>
      </c>
      <c r="C895" s="1" t="s">
        <v>74</v>
      </c>
      <c r="D895" s="1" t="s">
        <v>74</v>
      </c>
      <c r="E895" s="1" t="s">
        <v>74</v>
      </c>
      <c r="F895" s="1" t="s">
        <v>8960</v>
      </c>
      <c r="G895" s="1" t="s">
        <v>74</v>
      </c>
      <c r="H895" s="1" t="s">
        <v>74</v>
      </c>
      <c r="I895" s="1" t="s">
        <v>8961</v>
      </c>
      <c r="J895" s="1" t="s">
        <v>5866</v>
      </c>
      <c r="K895" s="1" t="s">
        <v>74</v>
      </c>
      <c r="L895" s="1" t="s">
        <v>74</v>
      </c>
      <c r="M895" s="1" t="s">
        <v>74</v>
      </c>
      <c r="N895" s="1" t="s">
        <v>74</v>
      </c>
      <c r="O895" s="1" t="s">
        <v>74</v>
      </c>
      <c r="P895" s="1" t="s">
        <v>74</v>
      </c>
      <c r="Q895" s="1" t="s">
        <v>74</v>
      </c>
      <c r="R895" s="1" t="s">
        <v>74</v>
      </c>
      <c r="S895" s="1" t="s">
        <v>74</v>
      </c>
      <c r="T895" s="1" t="s">
        <v>74</v>
      </c>
      <c r="U895" s="1" t="s">
        <v>74</v>
      </c>
      <c r="V895" s="1" t="s">
        <v>8962</v>
      </c>
      <c r="W895" s="1" t="s">
        <v>74</v>
      </c>
      <c r="X895" s="1" t="s">
        <v>74</v>
      </c>
      <c r="Y895" s="1" t="s">
        <v>74</v>
      </c>
      <c r="Z895" s="1" t="s">
        <v>74</v>
      </c>
      <c r="AA895" s="1" t="s">
        <v>8963</v>
      </c>
      <c r="AB895" s="1" t="s">
        <v>8964</v>
      </c>
      <c r="AC895" s="1" t="s">
        <v>74</v>
      </c>
      <c r="AD895" s="1" t="s">
        <v>74</v>
      </c>
      <c r="AE895" s="1" t="s">
        <v>74</v>
      </c>
      <c r="AF895" s="1" t="s">
        <v>74</v>
      </c>
      <c r="AG895" s="1" t="s">
        <v>74</v>
      </c>
      <c r="AH895" s="1" t="s">
        <v>74</v>
      </c>
      <c r="AI895" s="1" t="s">
        <v>74</v>
      </c>
      <c r="AJ895" s="1" t="s">
        <v>74</v>
      </c>
      <c r="AK895" s="1" t="s">
        <v>74</v>
      </c>
      <c r="AL895" s="1" t="s">
        <v>74</v>
      </c>
      <c r="AM895" s="1" t="s">
        <v>74</v>
      </c>
      <c r="AN895" s="1" t="s">
        <v>74</v>
      </c>
      <c r="AO895" s="1" t="s">
        <v>5869</v>
      </c>
      <c r="AP895" s="1" t="s">
        <v>5870</v>
      </c>
      <c r="AQ895" s="1" t="s">
        <v>74</v>
      </c>
      <c r="AR895" s="1" t="s">
        <v>74</v>
      </c>
      <c r="AS895" s="1" t="s">
        <v>74</v>
      </c>
      <c r="AT895" s="1" t="s">
        <v>201</v>
      </c>
      <c r="AU895" s="1">
        <v>2019.0</v>
      </c>
      <c r="AV895" s="1">
        <v>44.0</v>
      </c>
      <c r="AW895" s="1">
        <v>10.0</v>
      </c>
      <c r="AX895" s="1" t="s">
        <v>74</v>
      </c>
      <c r="AY895" s="1" t="s">
        <v>74</v>
      </c>
      <c r="AZ895" s="1" t="s">
        <v>74</v>
      </c>
      <c r="BA895" s="1" t="s">
        <v>74</v>
      </c>
      <c r="BB895" s="1">
        <v>8451.0</v>
      </c>
      <c r="BC895" s="1">
        <v>8463.0</v>
      </c>
      <c r="BD895" s="1" t="s">
        <v>74</v>
      </c>
      <c r="BE895" s="1" t="s">
        <v>8965</v>
      </c>
      <c r="BF895" s="2" t="str">
        <f>HYPERLINK("http://dx.doi.org/10.1007/s13369-019-03819-5","http://dx.doi.org/10.1007/s13369-019-03819-5")</f>
        <v>http://dx.doi.org/10.1007/s13369-019-03819-5</v>
      </c>
      <c r="BG895" s="1" t="s">
        <v>74</v>
      </c>
      <c r="BH895" s="1" t="s">
        <v>74</v>
      </c>
      <c r="BI895" s="1" t="s">
        <v>74</v>
      </c>
      <c r="BJ895" s="1" t="s">
        <v>74</v>
      </c>
      <c r="BK895" s="1" t="s">
        <v>74</v>
      </c>
      <c r="BL895" s="1" t="s">
        <v>74</v>
      </c>
      <c r="BM895" s="1" t="s">
        <v>74</v>
      </c>
      <c r="BN895" s="1" t="s">
        <v>74</v>
      </c>
      <c r="BO895" s="1" t="s">
        <v>74</v>
      </c>
      <c r="BP895" s="1" t="s">
        <v>74</v>
      </c>
      <c r="BQ895" s="1" t="s">
        <v>74</v>
      </c>
      <c r="BR895" s="1" t="s">
        <v>74</v>
      </c>
      <c r="BS895" s="1" t="s">
        <v>8966</v>
      </c>
      <c r="BT895" s="1" t="str">
        <f>HYPERLINK("https%3A%2F%2Fwww.webofscience.com%2Fwos%2Fwoscc%2Ffull-record%2FWOS:000486026700021","View Full Record in Web of Science")</f>
        <v>View Full Record in Web of Science</v>
      </c>
    </row>
    <row r="896" ht="12.75" customHeight="1">
      <c r="A896" s="1" t="s">
        <v>72</v>
      </c>
      <c r="B896" s="1" t="s">
        <v>8967</v>
      </c>
      <c r="C896" s="1" t="s">
        <v>74</v>
      </c>
      <c r="D896" s="1" t="s">
        <v>74</v>
      </c>
      <c r="E896" s="1" t="s">
        <v>74</v>
      </c>
      <c r="F896" s="1" t="s">
        <v>8968</v>
      </c>
      <c r="G896" s="1" t="s">
        <v>74</v>
      </c>
      <c r="H896" s="1" t="s">
        <v>74</v>
      </c>
      <c r="I896" s="1" t="s">
        <v>8969</v>
      </c>
      <c r="J896" s="1" t="s">
        <v>8970</v>
      </c>
      <c r="K896" s="1" t="s">
        <v>74</v>
      </c>
      <c r="L896" s="1" t="s">
        <v>74</v>
      </c>
      <c r="M896" s="1" t="s">
        <v>74</v>
      </c>
      <c r="N896" s="1" t="s">
        <v>74</v>
      </c>
      <c r="O896" s="1" t="s">
        <v>74</v>
      </c>
      <c r="P896" s="1" t="s">
        <v>74</v>
      </c>
      <c r="Q896" s="1" t="s">
        <v>74</v>
      </c>
      <c r="R896" s="1" t="s">
        <v>74</v>
      </c>
      <c r="S896" s="1" t="s">
        <v>74</v>
      </c>
      <c r="T896" s="1" t="s">
        <v>74</v>
      </c>
      <c r="U896" s="1" t="s">
        <v>74</v>
      </c>
      <c r="V896" s="1" t="s">
        <v>8971</v>
      </c>
      <c r="W896" s="1" t="s">
        <v>74</v>
      </c>
      <c r="X896" s="1" t="s">
        <v>74</v>
      </c>
      <c r="Y896" s="1" t="s">
        <v>74</v>
      </c>
      <c r="Z896" s="1" t="s">
        <v>74</v>
      </c>
      <c r="AA896" s="1" t="s">
        <v>8972</v>
      </c>
      <c r="AB896" s="1" t="s">
        <v>8973</v>
      </c>
      <c r="AC896" s="1" t="s">
        <v>74</v>
      </c>
      <c r="AD896" s="1" t="s">
        <v>74</v>
      </c>
      <c r="AE896" s="1" t="s">
        <v>74</v>
      </c>
      <c r="AF896" s="1" t="s">
        <v>74</v>
      </c>
      <c r="AG896" s="1" t="s">
        <v>74</v>
      </c>
      <c r="AH896" s="1" t="s">
        <v>74</v>
      </c>
      <c r="AI896" s="1" t="s">
        <v>74</v>
      </c>
      <c r="AJ896" s="1" t="s">
        <v>74</v>
      </c>
      <c r="AK896" s="1" t="s">
        <v>74</v>
      </c>
      <c r="AL896" s="1" t="s">
        <v>74</v>
      </c>
      <c r="AM896" s="1" t="s">
        <v>74</v>
      </c>
      <c r="AN896" s="1" t="s">
        <v>74</v>
      </c>
      <c r="AO896" s="1" t="s">
        <v>8974</v>
      </c>
      <c r="AP896" s="1" t="s">
        <v>8975</v>
      </c>
      <c r="AQ896" s="1" t="s">
        <v>74</v>
      </c>
      <c r="AR896" s="1" t="s">
        <v>74</v>
      </c>
      <c r="AS896" s="1" t="s">
        <v>74</v>
      </c>
      <c r="AT896" s="1" t="s">
        <v>295</v>
      </c>
      <c r="AU896" s="1">
        <v>2019.0</v>
      </c>
      <c r="AV896" s="1">
        <v>37.0</v>
      </c>
      <c r="AW896" s="1">
        <v>10.0</v>
      </c>
      <c r="AX896" s="1" t="s">
        <v>74</v>
      </c>
      <c r="AY896" s="1" t="s">
        <v>74</v>
      </c>
      <c r="AZ896" s="1" t="s">
        <v>74</v>
      </c>
      <c r="BA896" s="1" t="s">
        <v>74</v>
      </c>
      <c r="BB896" s="1">
        <v>1340.0</v>
      </c>
      <c r="BC896" s="1">
        <v>1349.0</v>
      </c>
      <c r="BD896" s="1" t="s">
        <v>74</v>
      </c>
      <c r="BE896" s="1" t="s">
        <v>8976</v>
      </c>
      <c r="BF896" s="2" t="str">
        <f>HYPERLINK("http://dx.doi.org/10.1016/j.vaccine.2019.01.029","http://dx.doi.org/10.1016/j.vaccine.2019.01.029")</f>
        <v>http://dx.doi.org/10.1016/j.vaccine.2019.01.029</v>
      </c>
      <c r="BG896" s="1" t="s">
        <v>74</v>
      </c>
      <c r="BH896" s="1" t="s">
        <v>74</v>
      </c>
      <c r="BI896" s="1" t="s">
        <v>74</v>
      </c>
      <c r="BJ896" s="1" t="s">
        <v>74</v>
      </c>
      <c r="BK896" s="1" t="s">
        <v>74</v>
      </c>
      <c r="BL896" s="1" t="s">
        <v>74</v>
      </c>
      <c r="BM896" s="1" t="s">
        <v>74</v>
      </c>
      <c r="BN896" s="1">
        <v>3.0711318E7</v>
      </c>
      <c r="BO896" s="1" t="s">
        <v>74</v>
      </c>
      <c r="BP896" s="1" t="s">
        <v>74</v>
      </c>
      <c r="BQ896" s="1" t="s">
        <v>74</v>
      </c>
      <c r="BR896" s="1" t="s">
        <v>74</v>
      </c>
      <c r="BS896" s="1" t="s">
        <v>8977</v>
      </c>
      <c r="BT896" s="1" t="str">
        <f>HYPERLINK("https%3A%2F%2Fwww.webofscience.com%2Fwos%2Fwoscc%2Ffull-record%2FWOS:000460712000012","View Full Record in Web of Science")</f>
        <v>View Full Record in Web of Science</v>
      </c>
    </row>
    <row r="897" ht="12.75" customHeight="1">
      <c r="A897" s="1" t="s">
        <v>72</v>
      </c>
      <c r="B897" s="1" t="s">
        <v>8978</v>
      </c>
      <c r="C897" s="1" t="s">
        <v>74</v>
      </c>
      <c r="D897" s="1" t="s">
        <v>74</v>
      </c>
      <c r="E897" s="1" t="s">
        <v>74</v>
      </c>
      <c r="F897" s="1" t="s">
        <v>8979</v>
      </c>
      <c r="G897" s="1" t="s">
        <v>74</v>
      </c>
      <c r="H897" s="1" t="s">
        <v>74</v>
      </c>
      <c r="I897" s="1" t="s">
        <v>8980</v>
      </c>
      <c r="J897" s="1" t="s">
        <v>8981</v>
      </c>
      <c r="K897" s="1" t="s">
        <v>74</v>
      </c>
      <c r="L897" s="1" t="s">
        <v>74</v>
      </c>
      <c r="M897" s="1" t="s">
        <v>74</v>
      </c>
      <c r="N897" s="1" t="s">
        <v>74</v>
      </c>
      <c r="O897" s="1" t="s">
        <v>74</v>
      </c>
      <c r="P897" s="1" t="s">
        <v>74</v>
      </c>
      <c r="Q897" s="1" t="s">
        <v>74</v>
      </c>
      <c r="R897" s="1" t="s">
        <v>74</v>
      </c>
      <c r="S897" s="1" t="s">
        <v>74</v>
      </c>
      <c r="T897" s="1" t="s">
        <v>74</v>
      </c>
      <c r="U897" s="1" t="s">
        <v>74</v>
      </c>
      <c r="V897" s="1" t="s">
        <v>8982</v>
      </c>
      <c r="W897" s="1" t="s">
        <v>74</v>
      </c>
      <c r="X897" s="1" t="s">
        <v>74</v>
      </c>
      <c r="Y897" s="1" t="s">
        <v>74</v>
      </c>
      <c r="Z897" s="1" t="s">
        <v>74</v>
      </c>
      <c r="AA897" s="1" t="s">
        <v>7044</v>
      </c>
      <c r="AB897" s="1" t="s">
        <v>8983</v>
      </c>
      <c r="AC897" s="1" t="s">
        <v>74</v>
      </c>
      <c r="AD897" s="1" t="s">
        <v>74</v>
      </c>
      <c r="AE897" s="1" t="s">
        <v>74</v>
      </c>
      <c r="AF897" s="1" t="s">
        <v>74</v>
      </c>
      <c r="AG897" s="1" t="s">
        <v>74</v>
      </c>
      <c r="AH897" s="1" t="s">
        <v>74</v>
      </c>
      <c r="AI897" s="1" t="s">
        <v>74</v>
      </c>
      <c r="AJ897" s="1" t="s">
        <v>74</v>
      </c>
      <c r="AK897" s="1" t="s">
        <v>74</v>
      </c>
      <c r="AL897" s="1" t="s">
        <v>74</v>
      </c>
      <c r="AM897" s="1" t="s">
        <v>74</v>
      </c>
      <c r="AN897" s="1" t="s">
        <v>74</v>
      </c>
      <c r="AO897" s="1" t="s">
        <v>8984</v>
      </c>
      <c r="AP897" s="1" t="s">
        <v>8985</v>
      </c>
      <c r="AQ897" s="1" t="s">
        <v>74</v>
      </c>
      <c r="AR897" s="1" t="s">
        <v>74</v>
      </c>
      <c r="AS897" s="1" t="s">
        <v>74</v>
      </c>
      <c r="AT897" s="1" t="s">
        <v>422</v>
      </c>
      <c r="AU897" s="1">
        <v>2019.0</v>
      </c>
      <c r="AV897" s="1">
        <v>90.0</v>
      </c>
      <c r="AW897" s="1">
        <v>1.0</v>
      </c>
      <c r="AX897" s="1" t="s">
        <v>74</v>
      </c>
      <c r="AY897" s="1" t="s">
        <v>74</v>
      </c>
      <c r="AZ897" s="1" t="s">
        <v>74</v>
      </c>
      <c r="BA897" s="1" t="s">
        <v>74</v>
      </c>
      <c r="BB897" s="1" t="s">
        <v>74</v>
      </c>
      <c r="BC897" s="1" t="s">
        <v>74</v>
      </c>
      <c r="BD897" s="1">
        <v>1800277.0</v>
      </c>
      <c r="BE897" s="1" t="s">
        <v>8986</v>
      </c>
      <c r="BF897" s="2" t="str">
        <f>HYPERLINK("http://dx.doi.org/10.1002/srin.201800277","http://dx.doi.org/10.1002/srin.201800277")</f>
        <v>http://dx.doi.org/10.1002/srin.201800277</v>
      </c>
      <c r="BG897" s="1" t="s">
        <v>74</v>
      </c>
      <c r="BH897" s="1" t="s">
        <v>74</v>
      </c>
      <c r="BI897" s="1" t="s">
        <v>74</v>
      </c>
      <c r="BJ897" s="1" t="s">
        <v>74</v>
      </c>
      <c r="BK897" s="1" t="s">
        <v>74</v>
      </c>
      <c r="BL897" s="1" t="s">
        <v>74</v>
      </c>
      <c r="BM897" s="1" t="s">
        <v>74</v>
      </c>
      <c r="BN897" s="1" t="s">
        <v>74</v>
      </c>
      <c r="BO897" s="1" t="s">
        <v>74</v>
      </c>
      <c r="BP897" s="1" t="s">
        <v>74</v>
      </c>
      <c r="BQ897" s="1" t="s">
        <v>74</v>
      </c>
      <c r="BR897" s="1" t="s">
        <v>74</v>
      </c>
      <c r="BS897" s="1" t="s">
        <v>8987</v>
      </c>
      <c r="BT897" s="1" t="str">
        <f>HYPERLINK("https%3A%2F%2Fwww.webofscience.com%2Fwos%2Fwoscc%2Ffull-record%2FWOS:000454790200016","View Full Record in Web of Science")</f>
        <v>View Full Record in Web of Science</v>
      </c>
    </row>
    <row r="898" ht="12.75" customHeight="1">
      <c r="A898" s="1" t="s">
        <v>72</v>
      </c>
      <c r="B898" s="1" t="s">
        <v>8988</v>
      </c>
      <c r="C898" s="1" t="s">
        <v>74</v>
      </c>
      <c r="D898" s="1" t="s">
        <v>74</v>
      </c>
      <c r="E898" s="1" t="s">
        <v>74</v>
      </c>
      <c r="F898" s="1" t="s">
        <v>8989</v>
      </c>
      <c r="G898" s="1" t="s">
        <v>74</v>
      </c>
      <c r="H898" s="1" t="s">
        <v>74</v>
      </c>
      <c r="I898" s="1" t="s">
        <v>8990</v>
      </c>
      <c r="J898" s="1" t="s">
        <v>8981</v>
      </c>
      <c r="K898" s="1" t="s">
        <v>74</v>
      </c>
      <c r="L898" s="1" t="s">
        <v>74</v>
      </c>
      <c r="M898" s="1" t="s">
        <v>74</v>
      </c>
      <c r="N898" s="1" t="s">
        <v>74</v>
      </c>
      <c r="O898" s="1" t="s">
        <v>74</v>
      </c>
      <c r="P898" s="1" t="s">
        <v>74</v>
      </c>
      <c r="Q898" s="1" t="s">
        <v>74</v>
      </c>
      <c r="R898" s="1" t="s">
        <v>74</v>
      </c>
      <c r="S898" s="1" t="s">
        <v>74</v>
      </c>
      <c r="T898" s="1" t="s">
        <v>74</v>
      </c>
      <c r="U898" s="1" t="s">
        <v>74</v>
      </c>
      <c r="V898" s="1" t="s">
        <v>8991</v>
      </c>
      <c r="W898" s="1" t="s">
        <v>74</v>
      </c>
      <c r="X898" s="1" t="s">
        <v>74</v>
      </c>
      <c r="Y898" s="1" t="s">
        <v>74</v>
      </c>
      <c r="Z898" s="1" t="s">
        <v>74</v>
      </c>
      <c r="AA898" s="1" t="s">
        <v>8992</v>
      </c>
      <c r="AB898" s="1" t="s">
        <v>8993</v>
      </c>
      <c r="AC898" s="1" t="s">
        <v>74</v>
      </c>
      <c r="AD898" s="1" t="s">
        <v>74</v>
      </c>
      <c r="AE898" s="1" t="s">
        <v>74</v>
      </c>
      <c r="AF898" s="1" t="s">
        <v>74</v>
      </c>
      <c r="AG898" s="1" t="s">
        <v>74</v>
      </c>
      <c r="AH898" s="1" t="s">
        <v>74</v>
      </c>
      <c r="AI898" s="1" t="s">
        <v>74</v>
      </c>
      <c r="AJ898" s="1" t="s">
        <v>74</v>
      </c>
      <c r="AK898" s="1" t="s">
        <v>74</v>
      </c>
      <c r="AL898" s="1" t="s">
        <v>74</v>
      </c>
      <c r="AM898" s="1" t="s">
        <v>74</v>
      </c>
      <c r="AN898" s="1" t="s">
        <v>74</v>
      </c>
      <c r="AO898" s="1" t="s">
        <v>8984</v>
      </c>
      <c r="AP898" s="1" t="s">
        <v>8985</v>
      </c>
      <c r="AQ898" s="1" t="s">
        <v>74</v>
      </c>
      <c r="AR898" s="1" t="s">
        <v>74</v>
      </c>
      <c r="AS898" s="1" t="s">
        <v>74</v>
      </c>
      <c r="AT898" s="1" t="s">
        <v>422</v>
      </c>
      <c r="AU898" s="1">
        <v>2019.0</v>
      </c>
      <c r="AV898" s="1">
        <v>90.0</v>
      </c>
      <c r="AW898" s="1">
        <v>1.0</v>
      </c>
      <c r="AX898" s="1" t="s">
        <v>74</v>
      </c>
      <c r="AY898" s="1" t="s">
        <v>74</v>
      </c>
      <c r="AZ898" s="1" t="s">
        <v>74</v>
      </c>
      <c r="BA898" s="1" t="s">
        <v>74</v>
      </c>
      <c r="BB898" s="1" t="s">
        <v>74</v>
      </c>
      <c r="BC898" s="1" t="s">
        <v>74</v>
      </c>
      <c r="BD898" s="1">
        <v>1800098.0</v>
      </c>
      <c r="BE898" s="1" t="s">
        <v>8994</v>
      </c>
      <c r="BF898" s="2" t="str">
        <f>HYPERLINK("http://dx.doi.org/10.1002/srin.201800098","http://dx.doi.org/10.1002/srin.201800098")</f>
        <v>http://dx.doi.org/10.1002/srin.201800098</v>
      </c>
      <c r="BG898" s="1" t="s">
        <v>74</v>
      </c>
      <c r="BH898" s="1" t="s">
        <v>74</v>
      </c>
      <c r="BI898" s="1" t="s">
        <v>74</v>
      </c>
      <c r="BJ898" s="1" t="s">
        <v>74</v>
      </c>
      <c r="BK898" s="1" t="s">
        <v>74</v>
      </c>
      <c r="BL898" s="1" t="s">
        <v>74</v>
      </c>
      <c r="BM898" s="1" t="s">
        <v>74</v>
      </c>
      <c r="BN898" s="1" t="s">
        <v>74</v>
      </c>
      <c r="BO898" s="1" t="s">
        <v>74</v>
      </c>
      <c r="BP898" s="1" t="s">
        <v>74</v>
      </c>
      <c r="BQ898" s="1" t="s">
        <v>74</v>
      </c>
      <c r="BR898" s="1" t="s">
        <v>74</v>
      </c>
      <c r="BS898" s="1" t="s">
        <v>8995</v>
      </c>
      <c r="BT898" s="1" t="str">
        <f>HYPERLINK("https%3A%2F%2Fwww.webofscience.com%2Fwos%2Fwoscc%2Ffull-record%2FWOS:000454790200003","View Full Record in Web of Science")</f>
        <v>View Full Record in Web of Science</v>
      </c>
    </row>
    <row r="899" ht="12.75" customHeight="1">
      <c r="A899" s="1" t="s">
        <v>72</v>
      </c>
      <c r="B899" s="1" t="s">
        <v>6348</v>
      </c>
      <c r="C899" s="1" t="s">
        <v>74</v>
      </c>
      <c r="D899" s="1" t="s">
        <v>74</v>
      </c>
      <c r="E899" s="1" t="s">
        <v>74</v>
      </c>
      <c r="F899" s="1" t="s">
        <v>6350</v>
      </c>
      <c r="G899" s="1" t="s">
        <v>74</v>
      </c>
      <c r="H899" s="1" t="s">
        <v>74</v>
      </c>
      <c r="I899" s="1" t="s">
        <v>8996</v>
      </c>
      <c r="J899" s="1" t="s">
        <v>4493</v>
      </c>
      <c r="K899" s="1" t="s">
        <v>74</v>
      </c>
      <c r="L899" s="1" t="s">
        <v>74</v>
      </c>
      <c r="M899" s="1" t="s">
        <v>74</v>
      </c>
      <c r="N899" s="1" t="s">
        <v>74</v>
      </c>
      <c r="O899" s="1" t="s">
        <v>74</v>
      </c>
      <c r="P899" s="1" t="s">
        <v>74</v>
      </c>
      <c r="Q899" s="1" t="s">
        <v>74</v>
      </c>
      <c r="R899" s="1" t="s">
        <v>74</v>
      </c>
      <c r="S899" s="1" t="s">
        <v>74</v>
      </c>
      <c r="T899" s="1" t="s">
        <v>74</v>
      </c>
      <c r="U899" s="1" t="s">
        <v>74</v>
      </c>
      <c r="V899" s="1" t="s">
        <v>74</v>
      </c>
      <c r="W899" s="1" t="s">
        <v>74</v>
      </c>
      <c r="X899" s="1" t="s">
        <v>74</v>
      </c>
      <c r="Y899" s="1" t="s">
        <v>74</v>
      </c>
      <c r="Z899" s="1" t="s">
        <v>74</v>
      </c>
      <c r="AA899" s="1" t="s">
        <v>8997</v>
      </c>
      <c r="AB899" s="1" t="s">
        <v>8998</v>
      </c>
      <c r="AC899" s="1" t="s">
        <v>74</v>
      </c>
      <c r="AD899" s="1" t="s">
        <v>74</v>
      </c>
      <c r="AE899" s="1" t="s">
        <v>74</v>
      </c>
      <c r="AF899" s="1" t="s">
        <v>74</v>
      </c>
      <c r="AG899" s="1" t="s">
        <v>74</v>
      </c>
      <c r="AH899" s="1" t="s">
        <v>74</v>
      </c>
      <c r="AI899" s="1" t="s">
        <v>74</v>
      </c>
      <c r="AJ899" s="1" t="s">
        <v>74</v>
      </c>
      <c r="AK899" s="1" t="s">
        <v>74</v>
      </c>
      <c r="AL899" s="1" t="s">
        <v>74</v>
      </c>
      <c r="AM899" s="1" t="s">
        <v>74</v>
      </c>
      <c r="AN899" s="1" t="s">
        <v>74</v>
      </c>
      <c r="AO899" s="1" t="s">
        <v>4495</v>
      </c>
      <c r="AP899" s="1" t="s">
        <v>74</v>
      </c>
      <c r="AQ899" s="1" t="s">
        <v>74</v>
      </c>
      <c r="AR899" s="1" t="s">
        <v>74</v>
      </c>
      <c r="AS899" s="1" t="s">
        <v>74</v>
      </c>
      <c r="AT899" s="1" t="s">
        <v>8999</v>
      </c>
      <c r="AU899" s="1">
        <v>2018.0</v>
      </c>
      <c r="AV899" s="1">
        <v>8.0</v>
      </c>
      <c r="AW899" s="1" t="s">
        <v>74</v>
      </c>
      <c r="AX899" s="1" t="s">
        <v>74</v>
      </c>
      <c r="AY899" s="1" t="s">
        <v>74</v>
      </c>
      <c r="AZ899" s="1" t="s">
        <v>74</v>
      </c>
      <c r="BA899" s="1" t="s">
        <v>74</v>
      </c>
      <c r="BB899" s="1" t="s">
        <v>74</v>
      </c>
      <c r="BC899" s="1" t="s">
        <v>74</v>
      </c>
      <c r="BD899" s="1">
        <v>15603.0</v>
      </c>
      <c r="BE899" s="1" t="s">
        <v>9000</v>
      </c>
      <c r="BF899" s="2" t="str">
        <f>HYPERLINK("http://dx.doi.org/10.1038/s41598-018-32564-2","http://dx.doi.org/10.1038/s41598-018-32564-2")</f>
        <v>http://dx.doi.org/10.1038/s41598-018-32564-2</v>
      </c>
      <c r="BG899" s="1" t="s">
        <v>74</v>
      </c>
      <c r="BH899" s="1" t="s">
        <v>74</v>
      </c>
      <c r="BI899" s="1" t="s">
        <v>74</v>
      </c>
      <c r="BJ899" s="1" t="s">
        <v>74</v>
      </c>
      <c r="BK899" s="1" t="s">
        <v>74</v>
      </c>
      <c r="BL899" s="1" t="s">
        <v>74</v>
      </c>
      <c r="BM899" s="1" t="s">
        <v>74</v>
      </c>
      <c r="BN899" s="1">
        <v>3.0327505E7</v>
      </c>
      <c r="BO899" s="1" t="s">
        <v>74</v>
      </c>
      <c r="BP899" s="1" t="s">
        <v>74</v>
      </c>
      <c r="BQ899" s="1" t="s">
        <v>74</v>
      </c>
      <c r="BR899" s="1" t="s">
        <v>74</v>
      </c>
      <c r="BS899" s="1" t="s">
        <v>9001</v>
      </c>
      <c r="BT899" s="1" t="str">
        <f>HYPERLINK("https%3A%2F%2Fwww.webofscience.com%2Fwos%2Fwoscc%2Ffull-record%2FWOS:000447512400001","View Full Record in Web of Science")</f>
        <v>View Full Record in Web of Science</v>
      </c>
    </row>
    <row r="900" ht="12.75" customHeight="1">
      <c r="A900" s="1" t="s">
        <v>72</v>
      </c>
      <c r="B900" s="1" t="s">
        <v>6348</v>
      </c>
      <c r="C900" s="1" t="s">
        <v>74</v>
      </c>
      <c r="D900" s="1" t="s">
        <v>74</v>
      </c>
      <c r="E900" s="1" t="s">
        <v>74</v>
      </c>
      <c r="F900" s="1" t="s">
        <v>6350</v>
      </c>
      <c r="G900" s="1" t="s">
        <v>74</v>
      </c>
      <c r="H900" s="1" t="s">
        <v>74</v>
      </c>
      <c r="I900" s="1" t="s">
        <v>9002</v>
      </c>
      <c r="J900" s="1" t="s">
        <v>4493</v>
      </c>
      <c r="K900" s="1" t="s">
        <v>74</v>
      </c>
      <c r="L900" s="1" t="s">
        <v>74</v>
      </c>
      <c r="M900" s="1" t="s">
        <v>74</v>
      </c>
      <c r="N900" s="1" t="s">
        <v>74</v>
      </c>
      <c r="O900" s="1" t="s">
        <v>74</v>
      </c>
      <c r="P900" s="1" t="s">
        <v>74</v>
      </c>
      <c r="Q900" s="1" t="s">
        <v>74</v>
      </c>
      <c r="R900" s="1" t="s">
        <v>74</v>
      </c>
      <c r="S900" s="1" t="s">
        <v>74</v>
      </c>
      <c r="T900" s="1" t="s">
        <v>74</v>
      </c>
      <c r="U900" s="1" t="s">
        <v>74</v>
      </c>
      <c r="V900" s="1" t="s">
        <v>9003</v>
      </c>
      <c r="W900" s="1" t="s">
        <v>74</v>
      </c>
      <c r="X900" s="1" t="s">
        <v>74</v>
      </c>
      <c r="Y900" s="1" t="s">
        <v>74</v>
      </c>
      <c r="Z900" s="1" t="s">
        <v>74</v>
      </c>
      <c r="AA900" s="1" t="s">
        <v>9004</v>
      </c>
      <c r="AB900" s="1" t="s">
        <v>9005</v>
      </c>
      <c r="AC900" s="1" t="s">
        <v>74</v>
      </c>
      <c r="AD900" s="1" t="s">
        <v>74</v>
      </c>
      <c r="AE900" s="1" t="s">
        <v>74</v>
      </c>
      <c r="AF900" s="1" t="s">
        <v>74</v>
      </c>
      <c r="AG900" s="1" t="s">
        <v>74</v>
      </c>
      <c r="AH900" s="1" t="s">
        <v>74</v>
      </c>
      <c r="AI900" s="1" t="s">
        <v>74</v>
      </c>
      <c r="AJ900" s="1" t="s">
        <v>74</v>
      </c>
      <c r="AK900" s="1" t="s">
        <v>74</v>
      </c>
      <c r="AL900" s="1" t="s">
        <v>74</v>
      </c>
      <c r="AM900" s="1" t="s">
        <v>74</v>
      </c>
      <c r="AN900" s="1" t="s">
        <v>74</v>
      </c>
      <c r="AO900" s="1" t="s">
        <v>4495</v>
      </c>
      <c r="AP900" s="1" t="s">
        <v>74</v>
      </c>
      <c r="AQ900" s="1" t="s">
        <v>74</v>
      </c>
      <c r="AR900" s="1" t="s">
        <v>74</v>
      </c>
      <c r="AS900" s="1" t="s">
        <v>74</v>
      </c>
      <c r="AT900" s="1" t="s">
        <v>2898</v>
      </c>
      <c r="AU900" s="1">
        <v>2018.0</v>
      </c>
      <c r="AV900" s="1">
        <v>8.0</v>
      </c>
      <c r="AW900" s="1" t="s">
        <v>74</v>
      </c>
      <c r="AX900" s="1" t="s">
        <v>74</v>
      </c>
      <c r="AY900" s="1" t="s">
        <v>74</v>
      </c>
      <c r="AZ900" s="1" t="s">
        <v>74</v>
      </c>
      <c r="BA900" s="1" t="s">
        <v>74</v>
      </c>
      <c r="BB900" s="1" t="s">
        <v>74</v>
      </c>
      <c r="BC900" s="1" t="s">
        <v>74</v>
      </c>
      <c r="BD900" s="1">
        <v>12766.0</v>
      </c>
      <c r="BE900" s="1" t="s">
        <v>9006</v>
      </c>
      <c r="BF900" s="2" t="str">
        <f>HYPERLINK("http://dx.doi.org/10.1038/s41598-018-30789-9","http://dx.doi.org/10.1038/s41598-018-30789-9")</f>
        <v>http://dx.doi.org/10.1038/s41598-018-30789-9</v>
      </c>
      <c r="BG900" s="1" t="s">
        <v>74</v>
      </c>
      <c r="BH900" s="1" t="s">
        <v>74</v>
      </c>
      <c r="BI900" s="1" t="s">
        <v>74</v>
      </c>
      <c r="BJ900" s="1" t="s">
        <v>74</v>
      </c>
      <c r="BK900" s="1" t="s">
        <v>74</v>
      </c>
      <c r="BL900" s="1" t="s">
        <v>74</v>
      </c>
      <c r="BM900" s="1" t="s">
        <v>74</v>
      </c>
      <c r="BN900" s="1">
        <v>3.0143659E7</v>
      </c>
      <c r="BO900" s="1" t="s">
        <v>74</v>
      </c>
      <c r="BP900" s="1" t="s">
        <v>74</v>
      </c>
      <c r="BQ900" s="1" t="s">
        <v>74</v>
      </c>
      <c r="BR900" s="1" t="s">
        <v>74</v>
      </c>
      <c r="BS900" s="1" t="s">
        <v>9007</v>
      </c>
      <c r="BT900" s="1" t="str">
        <f>HYPERLINK("https%3A%2F%2Fwww.webofscience.com%2Fwos%2Fwoscc%2Ffull-record%2FWOS:000442606800012","View Full Record in Web of Science")</f>
        <v>View Full Record in Web of Science</v>
      </c>
    </row>
    <row r="901" ht="12.75" customHeight="1">
      <c r="A901" s="1" t="s">
        <v>72</v>
      </c>
      <c r="B901" s="1" t="s">
        <v>9008</v>
      </c>
      <c r="C901" s="1" t="s">
        <v>74</v>
      </c>
      <c r="D901" s="1" t="s">
        <v>74</v>
      </c>
      <c r="E901" s="1" t="s">
        <v>74</v>
      </c>
      <c r="F901" s="1" t="s">
        <v>9009</v>
      </c>
      <c r="G901" s="1" t="s">
        <v>74</v>
      </c>
      <c r="H901" s="1" t="s">
        <v>74</v>
      </c>
      <c r="I901" s="1" t="s">
        <v>9010</v>
      </c>
      <c r="J901" s="1" t="s">
        <v>1604</v>
      </c>
      <c r="K901" s="1" t="s">
        <v>74</v>
      </c>
      <c r="L901" s="1" t="s">
        <v>74</v>
      </c>
      <c r="M901" s="1" t="s">
        <v>74</v>
      </c>
      <c r="N901" s="1" t="s">
        <v>74</v>
      </c>
      <c r="O901" s="1" t="s">
        <v>74</v>
      </c>
      <c r="P901" s="1" t="s">
        <v>74</v>
      </c>
      <c r="Q901" s="1" t="s">
        <v>74</v>
      </c>
      <c r="R901" s="1" t="s">
        <v>74</v>
      </c>
      <c r="S901" s="1" t="s">
        <v>74</v>
      </c>
      <c r="T901" s="1" t="s">
        <v>74</v>
      </c>
      <c r="U901" s="1" t="s">
        <v>74</v>
      </c>
      <c r="V901" s="1" t="s">
        <v>9011</v>
      </c>
      <c r="W901" s="1" t="s">
        <v>74</v>
      </c>
      <c r="X901" s="1" t="s">
        <v>74</v>
      </c>
      <c r="Y901" s="1" t="s">
        <v>74</v>
      </c>
      <c r="Z901" s="1" t="s">
        <v>74</v>
      </c>
      <c r="AA901" s="1" t="s">
        <v>9012</v>
      </c>
      <c r="AB901" s="1" t="s">
        <v>9013</v>
      </c>
      <c r="AC901" s="1" t="s">
        <v>74</v>
      </c>
      <c r="AD901" s="1" t="s">
        <v>74</v>
      </c>
      <c r="AE901" s="1" t="s">
        <v>74</v>
      </c>
      <c r="AF901" s="1" t="s">
        <v>74</v>
      </c>
      <c r="AG901" s="1" t="s">
        <v>74</v>
      </c>
      <c r="AH901" s="1" t="s">
        <v>74</v>
      </c>
      <c r="AI901" s="1" t="s">
        <v>74</v>
      </c>
      <c r="AJ901" s="1" t="s">
        <v>74</v>
      </c>
      <c r="AK901" s="1" t="s">
        <v>74</v>
      </c>
      <c r="AL901" s="1" t="s">
        <v>74</v>
      </c>
      <c r="AM901" s="1" t="s">
        <v>74</v>
      </c>
      <c r="AN901" s="1" t="s">
        <v>74</v>
      </c>
      <c r="AO901" s="1" t="s">
        <v>1608</v>
      </c>
      <c r="AP901" s="1" t="s">
        <v>9014</v>
      </c>
      <c r="AQ901" s="1" t="s">
        <v>74</v>
      </c>
      <c r="AR901" s="1" t="s">
        <v>74</v>
      </c>
      <c r="AS901" s="1" t="s">
        <v>74</v>
      </c>
      <c r="AT901" s="1" t="s">
        <v>4761</v>
      </c>
      <c r="AU901" s="1">
        <v>2017.0</v>
      </c>
      <c r="AV901" s="1">
        <v>716.0</v>
      </c>
      <c r="AW901" s="1" t="s">
        <v>74</v>
      </c>
      <c r="AX901" s="1" t="s">
        <v>74</v>
      </c>
      <c r="AY901" s="1" t="s">
        <v>74</v>
      </c>
      <c r="AZ901" s="1" t="s">
        <v>74</v>
      </c>
      <c r="BA901" s="1" t="s">
        <v>74</v>
      </c>
      <c r="BB901" s="1">
        <v>171.0</v>
      </c>
      <c r="BC901" s="1">
        <v>183.0</v>
      </c>
      <c r="BD901" s="1" t="s">
        <v>74</v>
      </c>
      <c r="BE901" s="1" t="s">
        <v>9015</v>
      </c>
      <c r="BF901" s="2" t="str">
        <f>HYPERLINK("http://dx.doi.org/10.1016/j.jallcom.2017.05.048","http://dx.doi.org/10.1016/j.jallcom.2017.05.048")</f>
        <v>http://dx.doi.org/10.1016/j.jallcom.2017.05.048</v>
      </c>
      <c r="BG901" s="1" t="s">
        <v>74</v>
      </c>
      <c r="BH901" s="1" t="s">
        <v>74</v>
      </c>
      <c r="BI901" s="1" t="s">
        <v>74</v>
      </c>
      <c r="BJ901" s="1" t="s">
        <v>74</v>
      </c>
      <c r="BK901" s="1" t="s">
        <v>74</v>
      </c>
      <c r="BL901" s="1" t="s">
        <v>74</v>
      </c>
      <c r="BM901" s="1" t="s">
        <v>74</v>
      </c>
      <c r="BN901" s="1" t="s">
        <v>74</v>
      </c>
      <c r="BO901" s="1" t="s">
        <v>74</v>
      </c>
      <c r="BP901" s="1" t="s">
        <v>74</v>
      </c>
      <c r="BQ901" s="1" t="s">
        <v>74</v>
      </c>
      <c r="BR901" s="1" t="s">
        <v>74</v>
      </c>
      <c r="BS901" s="1" t="s">
        <v>9016</v>
      </c>
      <c r="BT901" s="1" t="str">
        <f>HYPERLINK("https%3A%2F%2Fwww.webofscience.com%2Fwos%2Fwoscc%2Ffull-record%2FWOS:000402924500022","View Full Record in Web of Science")</f>
        <v>View Full Record in Web of Science</v>
      </c>
    </row>
    <row r="902" ht="12.75" customHeight="1">
      <c r="A902" s="1" t="s">
        <v>72</v>
      </c>
      <c r="B902" s="1" t="s">
        <v>9017</v>
      </c>
      <c r="C902" s="1" t="s">
        <v>74</v>
      </c>
      <c r="D902" s="1" t="s">
        <v>74</v>
      </c>
      <c r="E902" s="1" t="s">
        <v>74</v>
      </c>
      <c r="F902" s="1" t="s">
        <v>9018</v>
      </c>
      <c r="G902" s="1" t="s">
        <v>74</v>
      </c>
      <c r="H902" s="1" t="s">
        <v>74</v>
      </c>
      <c r="I902" s="1" t="s">
        <v>9019</v>
      </c>
      <c r="J902" s="1" t="s">
        <v>4510</v>
      </c>
      <c r="K902" s="1" t="s">
        <v>74</v>
      </c>
      <c r="L902" s="1" t="s">
        <v>74</v>
      </c>
      <c r="M902" s="1" t="s">
        <v>74</v>
      </c>
      <c r="N902" s="1" t="s">
        <v>74</v>
      </c>
      <c r="O902" s="1" t="s">
        <v>74</v>
      </c>
      <c r="P902" s="1" t="s">
        <v>74</v>
      </c>
      <c r="Q902" s="1" t="s">
        <v>74</v>
      </c>
      <c r="R902" s="1" t="s">
        <v>74</v>
      </c>
      <c r="S902" s="1" t="s">
        <v>74</v>
      </c>
      <c r="T902" s="1" t="s">
        <v>74</v>
      </c>
      <c r="U902" s="1" t="s">
        <v>74</v>
      </c>
      <c r="V902" s="1" t="s">
        <v>9020</v>
      </c>
      <c r="W902" s="1" t="s">
        <v>74</v>
      </c>
      <c r="X902" s="1" t="s">
        <v>74</v>
      </c>
      <c r="Y902" s="1" t="s">
        <v>74</v>
      </c>
      <c r="Z902" s="1" t="s">
        <v>74</v>
      </c>
      <c r="AA902" s="1" t="s">
        <v>9021</v>
      </c>
      <c r="AB902" s="1" t="s">
        <v>9022</v>
      </c>
      <c r="AC902" s="1" t="s">
        <v>74</v>
      </c>
      <c r="AD902" s="1" t="s">
        <v>74</v>
      </c>
      <c r="AE902" s="1" t="s">
        <v>74</v>
      </c>
      <c r="AF902" s="1" t="s">
        <v>74</v>
      </c>
      <c r="AG902" s="1" t="s">
        <v>74</v>
      </c>
      <c r="AH902" s="1" t="s">
        <v>74</v>
      </c>
      <c r="AI902" s="1" t="s">
        <v>74</v>
      </c>
      <c r="AJ902" s="1" t="s">
        <v>74</v>
      </c>
      <c r="AK902" s="1" t="s">
        <v>74</v>
      </c>
      <c r="AL902" s="1" t="s">
        <v>74</v>
      </c>
      <c r="AM902" s="1" t="s">
        <v>74</v>
      </c>
      <c r="AN902" s="1" t="s">
        <v>74</v>
      </c>
      <c r="AO902" s="1" t="s">
        <v>4514</v>
      </c>
      <c r="AP902" s="1" t="s">
        <v>74</v>
      </c>
      <c r="AQ902" s="1" t="s">
        <v>74</v>
      </c>
      <c r="AR902" s="1" t="s">
        <v>74</v>
      </c>
      <c r="AS902" s="1" t="s">
        <v>74</v>
      </c>
      <c r="AT902" s="1" t="s">
        <v>2841</v>
      </c>
      <c r="AU902" s="1">
        <v>2017.0</v>
      </c>
      <c r="AV902" s="1">
        <v>8.0</v>
      </c>
      <c r="AW902" s="1" t="s">
        <v>74</v>
      </c>
      <c r="AX902" s="1" t="s">
        <v>74</v>
      </c>
      <c r="AY902" s="1" t="s">
        <v>74</v>
      </c>
      <c r="AZ902" s="1" t="s">
        <v>74</v>
      </c>
      <c r="BA902" s="1" t="s">
        <v>74</v>
      </c>
      <c r="BB902" s="1" t="s">
        <v>74</v>
      </c>
      <c r="BC902" s="1" t="s">
        <v>74</v>
      </c>
      <c r="BD902" s="1">
        <v>1189.0</v>
      </c>
      <c r="BE902" s="1" t="s">
        <v>9023</v>
      </c>
      <c r="BF902" s="2" t="str">
        <f>HYPERLINK("http://dx.doi.org/10.3389/fpsyg.2017.01189","http://dx.doi.org/10.3389/fpsyg.2017.01189")</f>
        <v>http://dx.doi.org/10.3389/fpsyg.2017.01189</v>
      </c>
      <c r="BG902" s="1" t="s">
        <v>74</v>
      </c>
      <c r="BH902" s="1" t="s">
        <v>74</v>
      </c>
      <c r="BI902" s="1" t="s">
        <v>74</v>
      </c>
      <c r="BJ902" s="1" t="s">
        <v>74</v>
      </c>
      <c r="BK902" s="1" t="s">
        <v>74</v>
      </c>
      <c r="BL902" s="1" t="s">
        <v>74</v>
      </c>
      <c r="BM902" s="1" t="s">
        <v>74</v>
      </c>
      <c r="BN902" s="1">
        <v>2.8769838E7</v>
      </c>
      <c r="BO902" s="1" t="s">
        <v>74</v>
      </c>
      <c r="BP902" s="1" t="s">
        <v>74</v>
      </c>
      <c r="BQ902" s="1" t="s">
        <v>74</v>
      </c>
      <c r="BR902" s="1" t="s">
        <v>74</v>
      </c>
      <c r="BS902" s="1" t="s">
        <v>9024</v>
      </c>
      <c r="BT902" s="1" t="str">
        <f>HYPERLINK("https%3A%2F%2Fwww.webofscience.com%2Fwos%2Fwoscc%2Ffull-record%2FWOS:000406265400001","View Full Record in Web of Science")</f>
        <v>View Full Record in Web of Science</v>
      </c>
    </row>
    <row r="903" ht="12.75" customHeight="1">
      <c r="A903" s="1" t="s">
        <v>72</v>
      </c>
      <c r="B903" s="1" t="s">
        <v>9025</v>
      </c>
      <c r="C903" s="1" t="s">
        <v>74</v>
      </c>
      <c r="D903" s="1" t="s">
        <v>74</v>
      </c>
      <c r="E903" s="1" t="s">
        <v>74</v>
      </c>
      <c r="F903" s="1" t="s">
        <v>9026</v>
      </c>
      <c r="G903" s="1" t="s">
        <v>74</v>
      </c>
      <c r="H903" s="1" t="s">
        <v>74</v>
      </c>
      <c r="I903" s="1" t="s">
        <v>9027</v>
      </c>
      <c r="J903" s="1" t="s">
        <v>1596</v>
      </c>
      <c r="K903" s="1" t="s">
        <v>74</v>
      </c>
      <c r="L903" s="1" t="s">
        <v>74</v>
      </c>
      <c r="M903" s="1" t="s">
        <v>74</v>
      </c>
      <c r="N903" s="1" t="s">
        <v>74</v>
      </c>
      <c r="O903" s="1" t="s">
        <v>74</v>
      </c>
      <c r="P903" s="1" t="s">
        <v>74</v>
      </c>
      <c r="Q903" s="1" t="s">
        <v>74</v>
      </c>
      <c r="R903" s="1" t="s">
        <v>74</v>
      </c>
      <c r="S903" s="1" t="s">
        <v>74</v>
      </c>
      <c r="T903" s="1" t="s">
        <v>74</v>
      </c>
      <c r="U903" s="1" t="s">
        <v>74</v>
      </c>
      <c r="V903" s="1" t="s">
        <v>9028</v>
      </c>
      <c r="W903" s="1" t="s">
        <v>74</v>
      </c>
      <c r="X903" s="1" t="s">
        <v>74</v>
      </c>
      <c r="Y903" s="1" t="s">
        <v>74</v>
      </c>
      <c r="Z903" s="1" t="s">
        <v>74</v>
      </c>
      <c r="AA903" s="1" t="s">
        <v>9029</v>
      </c>
      <c r="AB903" s="1" t="s">
        <v>9030</v>
      </c>
      <c r="AC903" s="1" t="s">
        <v>74</v>
      </c>
      <c r="AD903" s="1" t="s">
        <v>74</v>
      </c>
      <c r="AE903" s="1" t="s">
        <v>74</v>
      </c>
      <c r="AF903" s="1" t="s">
        <v>74</v>
      </c>
      <c r="AG903" s="1" t="s">
        <v>74</v>
      </c>
      <c r="AH903" s="1" t="s">
        <v>74</v>
      </c>
      <c r="AI903" s="1" t="s">
        <v>74</v>
      </c>
      <c r="AJ903" s="1" t="s">
        <v>74</v>
      </c>
      <c r="AK903" s="1" t="s">
        <v>74</v>
      </c>
      <c r="AL903" s="1" t="s">
        <v>74</v>
      </c>
      <c r="AM903" s="1" t="s">
        <v>74</v>
      </c>
      <c r="AN903" s="1" t="s">
        <v>74</v>
      </c>
      <c r="AO903" s="1" t="s">
        <v>1600</v>
      </c>
      <c r="AP903" s="1" t="s">
        <v>74</v>
      </c>
      <c r="AQ903" s="1" t="s">
        <v>74</v>
      </c>
      <c r="AR903" s="1" t="s">
        <v>74</v>
      </c>
      <c r="AS903" s="1" t="s">
        <v>74</v>
      </c>
      <c r="AT903" s="1" t="s">
        <v>74</v>
      </c>
      <c r="AU903" s="1">
        <v>2017.0</v>
      </c>
      <c r="AV903" s="1">
        <v>62.0</v>
      </c>
      <c r="AW903" s="1">
        <v>4.0</v>
      </c>
      <c r="AX903" s="1" t="s">
        <v>74</v>
      </c>
      <c r="AY903" s="1" t="s">
        <v>74</v>
      </c>
      <c r="AZ903" s="1" t="s">
        <v>74</v>
      </c>
      <c r="BA903" s="1" t="s">
        <v>74</v>
      </c>
      <c r="BB903" s="1">
        <v>3772.0</v>
      </c>
      <c r="BC903" s="1">
        <v>3778.0</v>
      </c>
      <c r="BD903" s="1" t="s">
        <v>74</v>
      </c>
      <c r="BE903" s="1" t="s">
        <v>9031</v>
      </c>
      <c r="BF903" s="2" t="str">
        <f>HYPERLINK("http://dx.doi.org/10.4067/s0717-97072017000403772","http://dx.doi.org/10.4067/s0717-97072017000403772")</f>
        <v>http://dx.doi.org/10.4067/s0717-97072017000403772</v>
      </c>
      <c r="BG903" s="1" t="s">
        <v>74</v>
      </c>
      <c r="BH903" s="1" t="s">
        <v>74</v>
      </c>
      <c r="BI903" s="1" t="s">
        <v>74</v>
      </c>
      <c r="BJ903" s="1" t="s">
        <v>74</v>
      </c>
      <c r="BK903" s="1" t="s">
        <v>74</v>
      </c>
      <c r="BL903" s="1" t="s">
        <v>74</v>
      </c>
      <c r="BM903" s="1" t="s">
        <v>74</v>
      </c>
      <c r="BN903" s="1" t="s">
        <v>74</v>
      </c>
      <c r="BO903" s="1" t="s">
        <v>74</v>
      </c>
      <c r="BP903" s="1" t="s">
        <v>74</v>
      </c>
      <c r="BQ903" s="1" t="s">
        <v>74</v>
      </c>
      <c r="BR903" s="1" t="s">
        <v>74</v>
      </c>
      <c r="BS903" s="1" t="s">
        <v>9032</v>
      </c>
      <c r="BT903" s="1" t="str">
        <f>HYPERLINK("https%3A%2F%2Fwww.webofscience.com%2Fwos%2Fwoscc%2Ffull-record%2FWOS:000431863100018","View Full Record in Web of Science")</f>
        <v>View Full Record in Web of Science</v>
      </c>
    </row>
    <row r="904" ht="12.75" customHeight="1">
      <c r="A904" s="1" t="s">
        <v>72</v>
      </c>
      <c r="B904" s="1" t="s">
        <v>9033</v>
      </c>
      <c r="C904" s="1" t="s">
        <v>74</v>
      </c>
      <c r="D904" s="1" t="s">
        <v>74</v>
      </c>
      <c r="E904" s="1" t="s">
        <v>74</v>
      </c>
      <c r="F904" s="1" t="s">
        <v>9034</v>
      </c>
      <c r="G904" s="1" t="s">
        <v>74</v>
      </c>
      <c r="H904" s="1" t="s">
        <v>74</v>
      </c>
      <c r="I904" s="1" t="s">
        <v>9035</v>
      </c>
      <c r="J904" s="1" t="s">
        <v>9036</v>
      </c>
      <c r="K904" s="1" t="s">
        <v>74</v>
      </c>
      <c r="L904" s="1" t="s">
        <v>74</v>
      </c>
      <c r="M904" s="1" t="s">
        <v>74</v>
      </c>
      <c r="N904" s="1" t="s">
        <v>74</v>
      </c>
      <c r="O904" s="1" t="s">
        <v>74</v>
      </c>
      <c r="P904" s="1" t="s">
        <v>74</v>
      </c>
      <c r="Q904" s="1" t="s">
        <v>74</v>
      </c>
      <c r="R904" s="1" t="s">
        <v>74</v>
      </c>
      <c r="S904" s="1" t="s">
        <v>74</v>
      </c>
      <c r="T904" s="1" t="s">
        <v>74</v>
      </c>
      <c r="U904" s="1" t="s">
        <v>74</v>
      </c>
      <c r="V904" s="1" t="s">
        <v>9037</v>
      </c>
      <c r="W904" s="1" t="s">
        <v>74</v>
      </c>
      <c r="X904" s="1" t="s">
        <v>74</v>
      </c>
      <c r="Y904" s="1" t="s">
        <v>74</v>
      </c>
      <c r="Z904" s="1" t="s">
        <v>74</v>
      </c>
      <c r="AA904" s="1" t="s">
        <v>9038</v>
      </c>
      <c r="AB904" s="1" t="s">
        <v>9039</v>
      </c>
      <c r="AC904" s="1" t="s">
        <v>74</v>
      </c>
      <c r="AD904" s="1" t="s">
        <v>74</v>
      </c>
      <c r="AE904" s="1" t="s">
        <v>74</v>
      </c>
      <c r="AF904" s="1" t="s">
        <v>74</v>
      </c>
      <c r="AG904" s="1" t="s">
        <v>74</v>
      </c>
      <c r="AH904" s="1" t="s">
        <v>74</v>
      </c>
      <c r="AI904" s="1" t="s">
        <v>74</v>
      </c>
      <c r="AJ904" s="1" t="s">
        <v>74</v>
      </c>
      <c r="AK904" s="1" t="s">
        <v>74</v>
      </c>
      <c r="AL904" s="1" t="s">
        <v>74</v>
      </c>
      <c r="AM904" s="1" t="s">
        <v>74</v>
      </c>
      <c r="AN904" s="1" t="s">
        <v>74</v>
      </c>
      <c r="AO904" s="1" t="s">
        <v>9040</v>
      </c>
      <c r="AP904" s="1" t="s">
        <v>9041</v>
      </c>
      <c r="AQ904" s="1" t="s">
        <v>74</v>
      </c>
      <c r="AR904" s="1" t="s">
        <v>74</v>
      </c>
      <c r="AS904" s="1" t="s">
        <v>74</v>
      </c>
      <c r="AT904" s="1" t="s">
        <v>74</v>
      </c>
      <c r="AU904" s="1">
        <v>2016.0</v>
      </c>
      <c r="AV904" s="1">
        <v>63.0</v>
      </c>
      <c r="AW904" s="1">
        <v>11.0</v>
      </c>
      <c r="AX904" s="1" t="s">
        <v>74</v>
      </c>
      <c r="AY904" s="1" t="s">
        <v>74</v>
      </c>
      <c r="AZ904" s="1" t="s">
        <v>1416</v>
      </c>
      <c r="BA904" s="1" t="s">
        <v>74</v>
      </c>
      <c r="BB904" s="1">
        <v>1502.0</v>
      </c>
      <c r="BC904" s="1">
        <v>1516.0</v>
      </c>
      <c r="BD904" s="1" t="s">
        <v>74</v>
      </c>
      <c r="BE904" s="1" t="s">
        <v>9042</v>
      </c>
      <c r="BF904" s="2" t="str">
        <f>HYPERLINK("http://dx.doi.org/10.1080/00918369.2016.1223346","http://dx.doi.org/10.1080/00918369.2016.1223346")</f>
        <v>http://dx.doi.org/10.1080/00918369.2016.1223346</v>
      </c>
      <c r="BG904" s="1" t="s">
        <v>74</v>
      </c>
      <c r="BH904" s="1" t="s">
        <v>74</v>
      </c>
      <c r="BI904" s="1" t="s">
        <v>74</v>
      </c>
      <c r="BJ904" s="1" t="s">
        <v>74</v>
      </c>
      <c r="BK904" s="1" t="s">
        <v>74</v>
      </c>
      <c r="BL904" s="1" t="s">
        <v>74</v>
      </c>
      <c r="BM904" s="1" t="s">
        <v>74</v>
      </c>
      <c r="BN904" s="1">
        <v>2.7715498E7</v>
      </c>
      <c r="BO904" s="1" t="s">
        <v>74</v>
      </c>
      <c r="BP904" s="1" t="s">
        <v>74</v>
      </c>
      <c r="BQ904" s="1" t="s">
        <v>74</v>
      </c>
      <c r="BR904" s="1" t="s">
        <v>74</v>
      </c>
      <c r="BS904" s="1" t="s">
        <v>9043</v>
      </c>
      <c r="BT904" s="1" t="str">
        <f>HYPERLINK("https%3A%2F%2Fwww.webofscience.com%2Fwos%2Fwoscc%2Ffull-record%2FWOS:000385933900005","View Full Record in Web of Science")</f>
        <v>View Full Record in Web of Science</v>
      </c>
    </row>
    <row r="905" ht="12.75" customHeight="1">
      <c r="A905" s="1" t="s">
        <v>86</v>
      </c>
      <c r="B905" s="1" t="s">
        <v>9044</v>
      </c>
      <c r="C905" s="1" t="s">
        <v>74</v>
      </c>
      <c r="D905" s="1" t="s">
        <v>74</v>
      </c>
      <c r="E905" s="1" t="s">
        <v>248</v>
      </c>
      <c r="F905" s="1" t="s">
        <v>9045</v>
      </c>
      <c r="G905" s="1" t="s">
        <v>74</v>
      </c>
      <c r="H905" s="1" t="s">
        <v>74</v>
      </c>
      <c r="I905" s="1" t="s">
        <v>9046</v>
      </c>
      <c r="J905" s="1" t="s">
        <v>4923</v>
      </c>
      <c r="K905" s="1" t="s">
        <v>74</v>
      </c>
      <c r="L905" s="1" t="s">
        <v>74</v>
      </c>
      <c r="M905" s="1" t="s">
        <v>74</v>
      </c>
      <c r="N905" s="1" t="s">
        <v>74</v>
      </c>
      <c r="O905" s="1" t="s">
        <v>4924</v>
      </c>
      <c r="P905" s="1" t="s">
        <v>4925</v>
      </c>
      <c r="Q905" s="1" t="s">
        <v>4926</v>
      </c>
      <c r="R905" s="1" t="s">
        <v>248</v>
      </c>
      <c r="S905" s="1" t="s">
        <v>4927</v>
      </c>
      <c r="T905" s="1" t="s">
        <v>74</v>
      </c>
      <c r="U905" s="1" t="s">
        <v>74</v>
      </c>
      <c r="V905" s="1" t="s">
        <v>9047</v>
      </c>
      <c r="W905" s="1" t="s">
        <v>74</v>
      </c>
      <c r="X905" s="1" t="s">
        <v>74</v>
      </c>
      <c r="Y905" s="1" t="s">
        <v>74</v>
      </c>
      <c r="Z905" s="1" t="s">
        <v>74</v>
      </c>
      <c r="AA905" s="1" t="s">
        <v>9048</v>
      </c>
      <c r="AB905" s="1" t="s">
        <v>9049</v>
      </c>
      <c r="AC905" s="1" t="s">
        <v>74</v>
      </c>
      <c r="AD905" s="1" t="s">
        <v>74</v>
      </c>
      <c r="AE905" s="1" t="s">
        <v>74</v>
      </c>
      <c r="AF905" s="1" t="s">
        <v>74</v>
      </c>
      <c r="AG905" s="1" t="s">
        <v>74</v>
      </c>
      <c r="AH905" s="1" t="s">
        <v>74</v>
      </c>
      <c r="AI905" s="1" t="s">
        <v>74</v>
      </c>
      <c r="AJ905" s="1" t="s">
        <v>74</v>
      </c>
      <c r="AK905" s="1" t="s">
        <v>74</v>
      </c>
      <c r="AL905" s="1" t="s">
        <v>74</v>
      </c>
      <c r="AM905" s="1" t="s">
        <v>74</v>
      </c>
      <c r="AN905" s="1" t="s">
        <v>74</v>
      </c>
      <c r="AO905" s="1" t="s">
        <v>74</v>
      </c>
      <c r="AP905" s="1" t="s">
        <v>74</v>
      </c>
      <c r="AQ905" s="1" t="s">
        <v>4930</v>
      </c>
      <c r="AR905" s="1" t="s">
        <v>74</v>
      </c>
      <c r="AS905" s="1" t="s">
        <v>74</v>
      </c>
      <c r="AT905" s="1" t="s">
        <v>74</v>
      </c>
      <c r="AU905" s="1">
        <v>2016.0</v>
      </c>
      <c r="AV905" s="1" t="s">
        <v>74</v>
      </c>
      <c r="AW905" s="1" t="s">
        <v>74</v>
      </c>
      <c r="AX905" s="1" t="s">
        <v>74</v>
      </c>
      <c r="AY905" s="1" t="s">
        <v>74</v>
      </c>
      <c r="AZ905" s="1" t="s">
        <v>74</v>
      </c>
      <c r="BA905" s="1" t="s">
        <v>74</v>
      </c>
      <c r="BB905" s="1" t="s">
        <v>74</v>
      </c>
      <c r="BC905" s="1" t="s">
        <v>74</v>
      </c>
      <c r="BD905" s="1" t="s">
        <v>74</v>
      </c>
      <c r="BE905" s="1" t="s">
        <v>74</v>
      </c>
      <c r="BF905" s="1" t="s">
        <v>74</v>
      </c>
      <c r="BG905" s="1" t="s">
        <v>74</v>
      </c>
      <c r="BH905" s="1" t="s">
        <v>74</v>
      </c>
      <c r="BI905" s="1" t="s">
        <v>74</v>
      </c>
      <c r="BJ905" s="1" t="s">
        <v>74</v>
      </c>
      <c r="BK905" s="1" t="s">
        <v>74</v>
      </c>
      <c r="BL905" s="1" t="s">
        <v>74</v>
      </c>
      <c r="BM905" s="1" t="s">
        <v>74</v>
      </c>
      <c r="BN905" s="1" t="s">
        <v>74</v>
      </c>
      <c r="BO905" s="1" t="s">
        <v>74</v>
      </c>
      <c r="BP905" s="1" t="s">
        <v>74</v>
      </c>
      <c r="BQ905" s="1" t="s">
        <v>74</v>
      </c>
      <c r="BR905" s="1" t="s">
        <v>74</v>
      </c>
      <c r="BS905" s="1" t="s">
        <v>9050</v>
      </c>
      <c r="BT905" s="1" t="str">
        <f>HYPERLINK("https%3A%2F%2Fwww.webofscience.com%2Fwos%2Fwoscc%2Ffull-record%2FWOS:000390556300029","View Full Record in Web of Science")</f>
        <v>View Full Record in Web of Science</v>
      </c>
    </row>
    <row r="906" ht="12.75" customHeight="1">
      <c r="A906" s="1" t="s">
        <v>72</v>
      </c>
      <c r="B906" s="1" t="s">
        <v>9051</v>
      </c>
      <c r="C906" s="1" t="s">
        <v>74</v>
      </c>
      <c r="D906" s="1" t="s">
        <v>74</v>
      </c>
      <c r="E906" s="1" t="s">
        <v>74</v>
      </c>
      <c r="F906" s="1" t="s">
        <v>9052</v>
      </c>
      <c r="G906" s="1" t="s">
        <v>74</v>
      </c>
      <c r="H906" s="1" t="s">
        <v>74</v>
      </c>
      <c r="I906" s="1" t="s">
        <v>9053</v>
      </c>
      <c r="J906" s="1" t="s">
        <v>9054</v>
      </c>
      <c r="K906" s="1" t="s">
        <v>74</v>
      </c>
      <c r="L906" s="1" t="s">
        <v>74</v>
      </c>
      <c r="M906" s="1" t="s">
        <v>74</v>
      </c>
      <c r="N906" s="1" t="s">
        <v>74</v>
      </c>
      <c r="O906" s="1" t="s">
        <v>74</v>
      </c>
      <c r="P906" s="1" t="s">
        <v>74</v>
      </c>
      <c r="Q906" s="1" t="s">
        <v>74</v>
      </c>
      <c r="R906" s="1" t="s">
        <v>74</v>
      </c>
      <c r="S906" s="1" t="s">
        <v>74</v>
      </c>
      <c r="T906" s="1" t="s">
        <v>74</v>
      </c>
      <c r="U906" s="1" t="s">
        <v>74</v>
      </c>
      <c r="V906" s="1" t="s">
        <v>9055</v>
      </c>
      <c r="W906" s="1" t="s">
        <v>74</v>
      </c>
      <c r="X906" s="1" t="s">
        <v>74</v>
      </c>
      <c r="Y906" s="1" t="s">
        <v>74</v>
      </c>
      <c r="Z906" s="1" t="s">
        <v>74</v>
      </c>
      <c r="AA906" s="1" t="s">
        <v>9056</v>
      </c>
      <c r="AB906" s="1" t="s">
        <v>9057</v>
      </c>
      <c r="AC906" s="1" t="s">
        <v>74</v>
      </c>
      <c r="AD906" s="1" t="s">
        <v>74</v>
      </c>
      <c r="AE906" s="1" t="s">
        <v>74</v>
      </c>
      <c r="AF906" s="1" t="s">
        <v>74</v>
      </c>
      <c r="AG906" s="1" t="s">
        <v>74</v>
      </c>
      <c r="AH906" s="1" t="s">
        <v>74</v>
      </c>
      <c r="AI906" s="1" t="s">
        <v>74</v>
      </c>
      <c r="AJ906" s="1" t="s">
        <v>74</v>
      </c>
      <c r="AK906" s="1" t="s">
        <v>74</v>
      </c>
      <c r="AL906" s="1" t="s">
        <v>74</v>
      </c>
      <c r="AM906" s="1" t="s">
        <v>74</v>
      </c>
      <c r="AN906" s="1" t="s">
        <v>74</v>
      </c>
      <c r="AO906" s="1" t="s">
        <v>9058</v>
      </c>
      <c r="AP906" s="1" t="s">
        <v>74</v>
      </c>
      <c r="AQ906" s="1" t="s">
        <v>74</v>
      </c>
      <c r="AR906" s="1" t="s">
        <v>74</v>
      </c>
      <c r="AS906" s="1" t="s">
        <v>74</v>
      </c>
      <c r="AT906" s="1" t="s">
        <v>9059</v>
      </c>
      <c r="AU906" s="1">
        <v>2015.0</v>
      </c>
      <c r="AV906" s="1">
        <v>10.0</v>
      </c>
      <c r="AW906" s="1" t="s">
        <v>74</v>
      </c>
      <c r="AX906" s="1" t="s">
        <v>74</v>
      </c>
      <c r="AY906" s="1" t="s">
        <v>74</v>
      </c>
      <c r="AZ906" s="1" t="s">
        <v>74</v>
      </c>
      <c r="BA906" s="1" t="s">
        <v>74</v>
      </c>
      <c r="BB906" s="1" t="s">
        <v>74</v>
      </c>
      <c r="BC906" s="1" t="s">
        <v>74</v>
      </c>
      <c r="BD906" s="1" t="s">
        <v>74</v>
      </c>
      <c r="BE906" s="1" t="s">
        <v>9060</v>
      </c>
      <c r="BF906" s="2" t="str">
        <f>HYPERLINK("http://dx.doi.org/10.1186/s40793-015-0104-z","http://dx.doi.org/10.1186/s40793-015-0104-z")</f>
        <v>http://dx.doi.org/10.1186/s40793-015-0104-z</v>
      </c>
      <c r="BG906" s="1" t="s">
        <v>74</v>
      </c>
      <c r="BH906" s="1" t="s">
        <v>74</v>
      </c>
      <c r="BI906" s="1" t="s">
        <v>74</v>
      </c>
      <c r="BJ906" s="1" t="s">
        <v>74</v>
      </c>
      <c r="BK906" s="1" t="s">
        <v>74</v>
      </c>
      <c r="BL906" s="1" t="s">
        <v>74</v>
      </c>
      <c r="BM906" s="1" t="s">
        <v>74</v>
      </c>
      <c r="BN906" s="1">
        <v>2.6605004E7</v>
      </c>
      <c r="BO906" s="1" t="s">
        <v>74</v>
      </c>
      <c r="BP906" s="1" t="s">
        <v>74</v>
      </c>
      <c r="BQ906" s="1" t="s">
        <v>74</v>
      </c>
      <c r="BR906" s="1" t="s">
        <v>74</v>
      </c>
      <c r="BS906" s="1" t="s">
        <v>9061</v>
      </c>
      <c r="BT906" s="1" t="str">
        <f>HYPERLINK("https%3A%2F%2Fwww.webofscience.com%2Fwos%2Fwoscc%2Ffull-record%2FWOS:000368003400001","View Full Record in Web of Science")</f>
        <v>View Full Record in Web of Science</v>
      </c>
    </row>
    <row r="907" ht="12.75" customHeight="1">
      <c r="A907" s="1" t="s">
        <v>72</v>
      </c>
      <c r="B907" s="1" t="s">
        <v>9062</v>
      </c>
      <c r="C907" s="1" t="s">
        <v>74</v>
      </c>
      <c r="D907" s="1" t="s">
        <v>74</v>
      </c>
      <c r="E907" s="1" t="s">
        <v>74</v>
      </c>
      <c r="F907" s="1" t="s">
        <v>9063</v>
      </c>
      <c r="G907" s="1" t="s">
        <v>74</v>
      </c>
      <c r="H907" s="1" t="s">
        <v>74</v>
      </c>
      <c r="I907" s="1" t="s">
        <v>9064</v>
      </c>
      <c r="J907" s="1" t="s">
        <v>1596</v>
      </c>
      <c r="K907" s="1" t="s">
        <v>74</v>
      </c>
      <c r="L907" s="1" t="s">
        <v>74</v>
      </c>
      <c r="M907" s="1" t="s">
        <v>74</v>
      </c>
      <c r="N907" s="1" t="s">
        <v>74</v>
      </c>
      <c r="O907" s="1" t="s">
        <v>74</v>
      </c>
      <c r="P907" s="1" t="s">
        <v>74</v>
      </c>
      <c r="Q907" s="1" t="s">
        <v>74</v>
      </c>
      <c r="R907" s="1" t="s">
        <v>74</v>
      </c>
      <c r="S907" s="1" t="s">
        <v>74</v>
      </c>
      <c r="T907" s="1" t="s">
        <v>74</v>
      </c>
      <c r="U907" s="1" t="s">
        <v>74</v>
      </c>
      <c r="V907" s="1" t="s">
        <v>74</v>
      </c>
      <c r="W907" s="1" t="s">
        <v>74</v>
      </c>
      <c r="X907" s="1" t="s">
        <v>74</v>
      </c>
      <c r="Y907" s="1" t="s">
        <v>74</v>
      </c>
      <c r="Z907" s="1" t="s">
        <v>74</v>
      </c>
      <c r="AA907" s="1" t="s">
        <v>9065</v>
      </c>
      <c r="AB907" s="1" t="s">
        <v>74</v>
      </c>
      <c r="AC907" s="1" t="s">
        <v>74</v>
      </c>
      <c r="AD907" s="1" t="s">
        <v>74</v>
      </c>
      <c r="AE907" s="1" t="s">
        <v>74</v>
      </c>
      <c r="AF907" s="1" t="s">
        <v>74</v>
      </c>
      <c r="AG907" s="1" t="s">
        <v>74</v>
      </c>
      <c r="AH907" s="1" t="s">
        <v>74</v>
      </c>
      <c r="AI907" s="1" t="s">
        <v>74</v>
      </c>
      <c r="AJ907" s="1" t="s">
        <v>74</v>
      </c>
      <c r="AK907" s="1" t="s">
        <v>74</v>
      </c>
      <c r="AL907" s="1" t="s">
        <v>74</v>
      </c>
      <c r="AM907" s="1" t="s">
        <v>74</v>
      </c>
      <c r="AN907" s="1" t="s">
        <v>74</v>
      </c>
      <c r="AO907" s="1" t="s">
        <v>1600</v>
      </c>
      <c r="AP907" s="1" t="s">
        <v>74</v>
      </c>
      <c r="AQ907" s="1" t="s">
        <v>74</v>
      </c>
      <c r="AR907" s="1" t="s">
        <v>74</v>
      </c>
      <c r="AS907" s="1" t="s">
        <v>74</v>
      </c>
      <c r="AT907" s="1" t="s">
        <v>939</v>
      </c>
      <c r="AU907" s="1">
        <v>2015.0</v>
      </c>
      <c r="AV907" s="1">
        <v>60.0</v>
      </c>
      <c r="AW907" s="1">
        <v>2.0</v>
      </c>
      <c r="AX907" s="1" t="s">
        <v>74</v>
      </c>
      <c r="AY907" s="1" t="s">
        <v>74</v>
      </c>
      <c r="AZ907" s="1" t="s">
        <v>74</v>
      </c>
      <c r="BA907" s="1" t="s">
        <v>74</v>
      </c>
      <c r="BB907" s="1">
        <v>2984.0</v>
      </c>
      <c r="BC907" s="1">
        <v>2984.0</v>
      </c>
      <c r="BD907" s="1" t="s">
        <v>74</v>
      </c>
      <c r="BE907" s="1" t="s">
        <v>74</v>
      </c>
      <c r="BF907" s="1" t="s">
        <v>74</v>
      </c>
      <c r="BG907" s="1" t="s">
        <v>74</v>
      </c>
      <c r="BH907" s="1" t="s">
        <v>74</v>
      </c>
      <c r="BI907" s="1" t="s">
        <v>74</v>
      </c>
      <c r="BJ907" s="1" t="s">
        <v>74</v>
      </c>
      <c r="BK907" s="1" t="s">
        <v>74</v>
      </c>
      <c r="BL907" s="1" t="s">
        <v>74</v>
      </c>
      <c r="BM907" s="1" t="s">
        <v>74</v>
      </c>
      <c r="BN907" s="1" t="s">
        <v>74</v>
      </c>
      <c r="BO907" s="1" t="s">
        <v>74</v>
      </c>
      <c r="BP907" s="1" t="s">
        <v>74</v>
      </c>
      <c r="BQ907" s="1" t="s">
        <v>74</v>
      </c>
      <c r="BR907" s="1" t="s">
        <v>74</v>
      </c>
      <c r="BS907" s="1" t="s">
        <v>9066</v>
      </c>
      <c r="BT907" s="1" t="str">
        <f>HYPERLINK("https%3A%2F%2Fwww.webofscience.com%2Fwos%2Fwoscc%2Ffull-record%2FWOS:000361545700026","View Full Record in Web of Science")</f>
        <v>View Full Record in Web of Science</v>
      </c>
    </row>
    <row r="908" ht="12.75" customHeight="1">
      <c r="A908" s="1" t="s">
        <v>72</v>
      </c>
      <c r="B908" s="1" t="s">
        <v>9067</v>
      </c>
      <c r="C908" s="1" t="s">
        <v>74</v>
      </c>
      <c r="D908" s="1" t="s">
        <v>74</v>
      </c>
      <c r="E908" s="1" t="s">
        <v>74</v>
      </c>
      <c r="F908" s="1" t="s">
        <v>9068</v>
      </c>
      <c r="G908" s="1" t="s">
        <v>74</v>
      </c>
      <c r="H908" s="1" t="s">
        <v>74</v>
      </c>
      <c r="I908" s="1" t="s">
        <v>9069</v>
      </c>
      <c r="J908" s="1" t="s">
        <v>4170</v>
      </c>
      <c r="K908" s="1" t="s">
        <v>74</v>
      </c>
      <c r="L908" s="1" t="s">
        <v>74</v>
      </c>
      <c r="M908" s="1" t="s">
        <v>74</v>
      </c>
      <c r="N908" s="1" t="s">
        <v>74</v>
      </c>
      <c r="O908" s="1" t="s">
        <v>74</v>
      </c>
      <c r="P908" s="1" t="s">
        <v>74</v>
      </c>
      <c r="Q908" s="1" t="s">
        <v>74</v>
      </c>
      <c r="R908" s="1" t="s">
        <v>74</v>
      </c>
      <c r="S908" s="1" t="s">
        <v>74</v>
      </c>
      <c r="T908" s="1" t="s">
        <v>74</v>
      </c>
      <c r="U908" s="1" t="s">
        <v>74</v>
      </c>
      <c r="V908" s="1" t="s">
        <v>9070</v>
      </c>
      <c r="W908" s="1" t="s">
        <v>74</v>
      </c>
      <c r="X908" s="1" t="s">
        <v>74</v>
      </c>
      <c r="Y908" s="1" t="s">
        <v>74</v>
      </c>
      <c r="Z908" s="1" t="s">
        <v>74</v>
      </c>
      <c r="AA908" s="1" t="s">
        <v>9071</v>
      </c>
      <c r="AB908" s="1" t="s">
        <v>9072</v>
      </c>
      <c r="AC908" s="1" t="s">
        <v>74</v>
      </c>
      <c r="AD908" s="1" t="s">
        <v>74</v>
      </c>
      <c r="AE908" s="1" t="s">
        <v>74</v>
      </c>
      <c r="AF908" s="1" t="s">
        <v>74</v>
      </c>
      <c r="AG908" s="1" t="s">
        <v>74</v>
      </c>
      <c r="AH908" s="1" t="s">
        <v>74</v>
      </c>
      <c r="AI908" s="1" t="s">
        <v>74</v>
      </c>
      <c r="AJ908" s="1" t="s">
        <v>74</v>
      </c>
      <c r="AK908" s="1" t="s">
        <v>74</v>
      </c>
      <c r="AL908" s="1" t="s">
        <v>74</v>
      </c>
      <c r="AM908" s="1" t="s">
        <v>74</v>
      </c>
      <c r="AN908" s="1" t="s">
        <v>74</v>
      </c>
      <c r="AO908" s="1" t="s">
        <v>4174</v>
      </c>
      <c r="AP908" s="1" t="s">
        <v>4175</v>
      </c>
      <c r="AQ908" s="1" t="s">
        <v>74</v>
      </c>
      <c r="AR908" s="1" t="s">
        <v>74</v>
      </c>
      <c r="AS908" s="1" t="s">
        <v>74</v>
      </c>
      <c r="AT908" s="1" t="s">
        <v>74</v>
      </c>
      <c r="AU908" s="1">
        <v>2011.0</v>
      </c>
      <c r="AV908" s="1">
        <v>10.0</v>
      </c>
      <c r="AW908" s="1">
        <v>4.0</v>
      </c>
      <c r="AX908" s="1" t="s">
        <v>74</v>
      </c>
      <c r="AY908" s="1" t="s">
        <v>74</v>
      </c>
      <c r="AZ908" s="1" t="s">
        <v>74</v>
      </c>
      <c r="BA908" s="1" t="s">
        <v>74</v>
      </c>
      <c r="BB908" s="1">
        <v>507.0</v>
      </c>
      <c r="BC908" s="1">
        <v>514.0</v>
      </c>
      <c r="BD908" s="1" t="s">
        <v>74</v>
      </c>
      <c r="BE908" s="1" t="s">
        <v>9073</v>
      </c>
      <c r="BF908" s="2" t="str">
        <f>HYPERLINK("http://dx.doi.org/10.1039/c0pp00289e","http://dx.doi.org/10.1039/c0pp00289e")</f>
        <v>http://dx.doi.org/10.1039/c0pp00289e</v>
      </c>
      <c r="BG908" s="1" t="s">
        <v>74</v>
      </c>
      <c r="BH908" s="1" t="s">
        <v>74</v>
      </c>
      <c r="BI908" s="1" t="s">
        <v>74</v>
      </c>
      <c r="BJ908" s="1" t="s">
        <v>74</v>
      </c>
      <c r="BK908" s="1" t="s">
        <v>74</v>
      </c>
      <c r="BL908" s="1" t="s">
        <v>74</v>
      </c>
      <c r="BM908" s="1" t="s">
        <v>74</v>
      </c>
      <c r="BN908" s="1">
        <v>2.1152616E7</v>
      </c>
      <c r="BO908" s="1" t="s">
        <v>74</v>
      </c>
      <c r="BP908" s="1" t="s">
        <v>74</v>
      </c>
      <c r="BQ908" s="1" t="s">
        <v>74</v>
      </c>
      <c r="BR908" s="1" t="s">
        <v>74</v>
      </c>
      <c r="BS908" s="1" t="s">
        <v>9074</v>
      </c>
      <c r="BT908" s="1" t="str">
        <f>HYPERLINK("https%3A%2F%2Fwww.webofscience.com%2Fwos%2Fwoscc%2Ffull-record%2FWOS:000288964800008","View Full Record in Web of Science")</f>
        <v>View Full Record in Web of Science</v>
      </c>
    </row>
    <row r="909" ht="12.75" customHeight="1">
      <c r="A909" s="1" t="s">
        <v>72</v>
      </c>
      <c r="B909" s="1" t="s">
        <v>9075</v>
      </c>
      <c r="C909" s="1" t="s">
        <v>74</v>
      </c>
      <c r="D909" s="1" t="s">
        <v>74</v>
      </c>
      <c r="E909" s="1" t="s">
        <v>74</v>
      </c>
      <c r="F909" s="1" t="s">
        <v>9076</v>
      </c>
      <c r="G909" s="1" t="s">
        <v>74</v>
      </c>
      <c r="H909" s="1" t="s">
        <v>74</v>
      </c>
      <c r="I909" s="1" t="s">
        <v>9077</v>
      </c>
      <c r="J909" s="1" t="s">
        <v>9078</v>
      </c>
      <c r="K909" s="1" t="s">
        <v>74</v>
      </c>
      <c r="L909" s="1" t="s">
        <v>74</v>
      </c>
      <c r="M909" s="1" t="s">
        <v>74</v>
      </c>
      <c r="N909" s="1" t="s">
        <v>74</v>
      </c>
      <c r="O909" s="1" t="s">
        <v>74</v>
      </c>
      <c r="P909" s="1" t="s">
        <v>74</v>
      </c>
      <c r="Q909" s="1" t="s">
        <v>74</v>
      </c>
      <c r="R909" s="1" t="s">
        <v>74</v>
      </c>
      <c r="S909" s="1" t="s">
        <v>74</v>
      </c>
      <c r="T909" s="1" t="s">
        <v>74</v>
      </c>
      <c r="U909" s="1" t="s">
        <v>74</v>
      </c>
      <c r="V909" s="1" t="s">
        <v>9079</v>
      </c>
      <c r="W909" s="1" t="s">
        <v>74</v>
      </c>
      <c r="X909" s="1" t="s">
        <v>74</v>
      </c>
      <c r="Y909" s="1" t="s">
        <v>74</v>
      </c>
      <c r="Z909" s="1" t="s">
        <v>74</v>
      </c>
      <c r="AA909" s="1" t="s">
        <v>9080</v>
      </c>
      <c r="AB909" s="1" t="s">
        <v>74</v>
      </c>
      <c r="AC909" s="1" t="s">
        <v>74</v>
      </c>
      <c r="AD909" s="1" t="s">
        <v>74</v>
      </c>
      <c r="AE909" s="1" t="s">
        <v>74</v>
      </c>
      <c r="AF909" s="1" t="s">
        <v>74</v>
      </c>
      <c r="AG909" s="1" t="s">
        <v>74</v>
      </c>
      <c r="AH909" s="1" t="s">
        <v>74</v>
      </c>
      <c r="AI909" s="1" t="s">
        <v>74</v>
      </c>
      <c r="AJ909" s="1" t="s">
        <v>74</v>
      </c>
      <c r="AK909" s="1" t="s">
        <v>74</v>
      </c>
      <c r="AL909" s="1" t="s">
        <v>74</v>
      </c>
      <c r="AM909" s="1" t="s">
        <v>74</v>
      </c>
      <c r="AN909" s="1" t="s">
        <v>74</v>
      </c>
      <c r="AO909" s="1" t="s">
        <v>9081</v>
      </c>
      <c r="AP909" s="1" t="s">
        <v>9082</v>
      </c>
      <c r="AQ909" s="1" t="s">
        <v>74</v>
      </c>
      <c r="AR909" s="1" t="s">
        <v>74</v>
      </c>
      <c r="AS909" s="1" t="s">
        <v>74</v>
      </c>
      <c r="AT909" s="1" t="s">
        <v>537</v>
      </c>
      <c r="AU909" s="1">
        <v>2009.0</v>
      </c>
      <c r="AV909" s="1">
        <v>104.0</v>
      </c>
      <c r="AW909" s="1">
        <v>7.0</v>
      </c>
      <c r="AX909" s="1" t="s">
        <v>74</v>
      </c>
      <c r="AY909" s="1" t="s">
        <v>74</v>
      </c>
      <c r="AZ909" s="1" t="s">
        <v>74</v>
      </c>
      <c r="BA909" s="1" t="s">
        <v>74</v>
      </c>
      <c r="BB909" s="1">
        <v>980.0</v>
      </c>
      <c r="BC909" s="1">
        <v>985.0</v>
      </c>
      <c r="BD909" s="1" t="s">
        <v>74</v>
      </c>
      <c r="BE909" s="1" t="s">
        <v>9083</v>
      </c>
      <c r="BF909" s="2" t="str">
        <f>HYPERLINK("http://dx.doi.org/10.1590/S0074-02762009000700007","http://dx.doi.org/10.1590/S0074-02762009000700007")</f>
        <v>http://dx.doi.org/10.1590/S0074-02762009000700007</v>
      </c>
      <c r="BG909" s="1" t="s">
        <v>74</v>
      </c>
      <c r="BH909" s="1" t="s">
        <v>74</v>
      </c>
      <c r="BI909" s="1" t="s">
        <v>74</v>
      </c>
      <c r="BJ909" s="1" t="s">
        <v>74</v>
      </c>
      <c r="BK909" s="1" t="s">
        <v>74</v>
      </c>
      <c r="BL909" s="1" t="s">
        <v>74</v>
      </c>
      <c r="BM909" s="1" t="s">
        <v>74</v>
      </c>
      <c r="BN909" s="1">
        <v>2.0027464E7</v>
      </c>
      <c r="BO909" s="1" t="s">
        <v>74</v>
      </c>
      <c r="BP909" s="1" t="s">
        <v>74</v>
      </c>
      <c r="BQ909" s="1" t="s">
        <v>74</v>
      </c>
      <c r="BR909" s="1" t="s">
        <v>74</v>
      </c>
      <c r="BS909" s="1" t="s">
        <v>9084</v>
      </c>
      <c r="BT909" s="1" t="str">
        <f>HYPERLINK("https%3A%2F%2Fwww.webofscience.com%2Fwos%2Fwoscc%2Ffull-record%2FWOS:000272928800007","View Full Record in Web of Science")</f>
        <v>View Full Record in Web of Science</v>
      </c>
    </row>
    <row r="910" ht="12.75" customHeight="1">
      <c r="A910" s="1" t="s">
        <v>72</v>
      </c>
      <c r="B910" s="1" t="s">
        <v>9085</v>
      </c>
      <c r="C910" s="1" t="s">
        <v>74</v>
      </c>
      <c r="D910" s="1" t="s">
        <v>74</v>
      </c>
      <c r="E910" s="1" t="s">
        <v>74</v>
      </c>
      <c r="F910" s="1" t="s">
        <v>9086</v>
      </c>
      <c r="G910" s="1" t="s">
        <v>74</v>
      </c>
      <c r="H910" s="1" t="s">
        <v>74</v>
      </c>
      <c r="I910" s="1" t="s">
        <v>9087</v>
      </c>
      <c r="J910" s="1" t="s">
        <v>107</v>
      </c>
      <c r="K910" s="1" t="s">
        <v>74</v>
      </c>
      <c r="L910" s="1" t="s">
        <v>74</v>
      </c>
      <c r="M910" s="1" t="s">
        <v>74</v>
      </c>
      <c r="N910" s="1" t="s">
        <v>74</v>
      </c>
      <c r="O910" s="1" t="s">
        <v>74</v>
      </c>
      <c r="P910" s="1" t="s">
        <v>74</v>
      </c>
      <c r="Q910" s="1" t="s">
        <v>74</v>
      </c>
      <c r="R910" s="1" t="s">
        <v>74</v>
      </c>
      <c r="S910" s="1" t="s">
        <v>74</v>
      </c>
      <c r="T910" s="1" t="s">
        <v>74</v>
      </c>
      <c r="U910" s="1" t="s">
        <v>74</v>
      </c>
      <c r="V910" s="1" t="s">
        <v>9088</v>
      </c>
      <c r="W910" s="1" t="s">
        <v>74</v>
      </c>
      <c r="X910" s="1" t="s">
        <v>74</v>
      </c>
      <c r="Y910" s="1" t="s">
        <v>74</v>
      </c>
      <c r="Z910" s="1" t="s">
        <v>74</v>
      </c>
      <c r="AA910" s="1" t="s">
        <v>9089</v>
      </c>
      <c r="AB910" s="1" t="s">
        <v>1599</v>
      </c>
      <c r="AC910" s="1" t="s">
        <v>74</v>
      </c>
      <c r="AD910" s="1" t="s">
        <v>74</v>
      </c>
      <c r="AE910" s="1" t="s">
        <v>74</v>
      </c>
      <c r="AF910" s="1" t="s">
        <v>74</v>
      </c>
      <c r="AG910" s="1" t="s">
        <v>74</v>
      </c>
      <c r="AH910" s="1" t="s">
        <v>74</v>
      </c>
      <c r="AI910" s="1" t="s">
        <v>74</v>
      </c>
      <c r="AJ910" s="1" t="s">
        <v>74</v>
      </c>
      <c r="AK910" s="1" t="s">
        <v>74</v>
      </c>
      <c r="AL910" s="1" t="s">
        <v>74</v>
      </c>
      <c r="AM910" s="1" t="s">
        <v>74</v>
      </c>
      <c r="AN910" s="1" t="s">
        <v>74</v>
      </c>
      <c r="AO910" s="1" t="s">
        <v>110</v>
      </c>
      <c r="AP910" s="1" t="s">
        <v>563</v>
      </c>
      <c r="AQ910" s="1" t="s">
        <v>74</v>
      </c>
      <c r="AR910" s="1" t="s">
        <v>74</v>
      </c>
      <c r="AS910" s="1" t="s">
        <v>74</v>
      </c>
      <c r="AT910" s="1" t="s">
        <v>2222</v>
      </c>
      <c r="AU910" s="1">
        <v>2009.0</v>
      </c>
      <c r="AV910" s="1">
        <v>113.0</v>
      </c>
      <c r="AW910" s="1">
        <v>1.0</v>
      </c>
      <c r="AX910" s="1" t="s">
        <v>74</v>
      </c>
      <c r="AY910" s="1" t="s">
        <v>74</v>
      </c>
      <c r="AZ910" s="1" t="s">
        <v>74</v>
      </c>
      <c r="BA910" s="1" t="s">
        <v>74</v>
      </c>
      <c r="BB910" s="1">
        <v>331.0</v>
      </c>
      <c r="BC910" s="1">
        <v>335.0</v>
      </c>
      <c r="BD910" s="1" t="s">
        <v>74</v>
      </c>
      <c r="BE910" s="1" t="s">
        <v>9090</v>
      </c>
      <c r="BF910" s="2" t="str">
        <f>HYPERLINK("http://dx.doi.org/10.1016/j.foodchem.2008.07.063","http://dx.doi.org/10.1016/j.foodchem.2008.07.063")</f>
        <v>http://dx.doi.org/10.1016/j.foodchem.2008.07.063</v>
      </c>
      <c r="BG910" s="1" t="s">
        <v>74</v>
      </c>
      <c r="BH910" s="1" t="s">
        <v>74</v>
      </c>
      <c r="BI910" s="1" t="s">
        <v>74</v>
      </c>
      <c r="BJ910" s="1" t="s">
        <v>74</v>
      </c>
      <c r="BK910" s="1" t="s">
        <v>74</v>
      </c>
      <c r="BL910" s="1" t="s">
        <v>74</v>
      </c>
      <c r="BM910" s="1" t="s">
        <v>74</v>
      </c>
      <c r="BN910" s="1" t="s">
        <v>74</v>
      </c>
      <c r="BO910" s="1" t="s">
        <v>74</v>
      </c>
      <c r="BP910" s="1" t="s">
        <v>74</v>
      </c>
      <c r="BQ910" s="1" t="s">
        <v>74</v>
      </c>
      <c r="BR910" s="1" t="s">
        <v>74</v>
      </c>
      <c r="BS910" s="1" t="s">
        <v>9091</v>
      </c>
      <c r="BT910" s="1" t="str">
        <f>HYPERLINK("https%3A%2F%2Fwww.webofscience.com%2Fwos%2Fwoscc%2Ffull-record%2FWOS:000260711100053","View Full Record in Web of Science")</f>
        <v>View Full Record in Web of Science</v>
      </c>
    </row>
    <row r="911" ht="12.75" customHeight="1">
      <c r="A911" s="1" t="s">
        <v>72</v>
      </c>
      <c r="B911" s="1" t="s">
        <v>9092</v>
      </c>
      <c r="C911" s="1" t="s">
        <v>74</v>
      </c>
      <c r="D911" s="1" t="s">
        <v>74</v>
      </c>
      <c r="E911" s="1" t="s">
        <v>74</v>
      </c>
      <c r="F911" s="1" t="s">
        <v>9092</v>
      </c>
      <c r="G911" s="1" t="s">
        <v>74</v>
      </c>
      <c r="H911" s="1" t="s">
        <v>74</v>
      </c>
      <c r="I911" s="1" t="s">
        <v>9093</v>
      </c>
      <c r="J911" s="1" t="s">
        <v>2186</v>
      </c>
      <c r="K911" s="1" t="s">
        <v>74</v>
      </c>
      <c r="L911" s="1" t="s">
        <v>74</v>
      </c>
      <c r="M911" s="1" t="s">
        <v>74</v>
      </c>
      <c r="N911" s="1" t="s">
        <v>74</v>
      </c>
      <c r="O911" s="1" t="s">
        <v>74</v>
      </c>
      <c r="P911" s="1" t="s">
        <v>74</v>
      </c>
      <c r="Q911" s="1" t="s">
        <v>74</v>
      </c>
      <c r="R911" s="1" t="s">
        <v>74</v>
      </c>
      <c r="S911" s="1" t="s">
        <v>74</v>
      </c>
      <c r="T911" s="1" t="s">
        <v>74</v>
      </c>
      <c r="U911" s="1" t="s">
        <v>74</v>
      </c>
      <c r="V911" s="1" t="s">
        <v>9094</v>
      </c>
      <c r="W911" s="1" t="s">
        <v>74</v>
      </c>
      <c r="X911" s="1" t="s">
        <v>74</v>
      </c>
      <c r="Y911" s="1" t="s">
        <v>74</v>
      </c>
      <c r="Z911" s="1" t="s">
        <v>74</v>
      </c>
      <c r="AA911" s="1" t="s">
        <v>9095</v>
      </c>
      <c r="AB911" s="1" t="s">
        <v>9096</v>
      </c>
      <c r="AC911" s="1" t="s">
        <v>74</v>
      </c>
      <c r="AD911" s="1" t="s">
        <v>74</v>
      </c>
      <c r="AE911" s="1" t="s">
        <v>74</v>
      </c>
      <c r="AF911" s="1" t="s">
        <v>74</v>
      </c>
      <c r="AG911" s="1" t="s">
        <v>74</v>
      </c>
      <c r="AH911" s="1" t="s">
        <v>74</v>
      </c>
      <c r="AI911" s="1" t="s">
        <v>74</v>
      </c>
      <c r="AJ911" s="1" t="s">
        <v>74</v>
      </c>
      <c r="AK911" s="1" t="s">
        <v>74</v>
      </c>
      <c r="AL911" s="1" t="s">
        <v>74</v>
      </c>
      <c r="AM911" s="1" t="s">
        <v>74</v>
      </c>
      <c r="AN911" s="1" t="s">
        <v>74</v>
      </c>
      <c r="AO911" s="1" t="s">
        <v>2260</v>
      </c>
      <c r="AP911" s="1" t="s">
        <v>2261</v>
      </c>
      <c r="AQ911" s="1" t="s">
        <v>74</v>
      </c>
      <c r="AR911" s="1" t="s">
        <v>74</v>
      </c>
      <c r="AS911" s="1" t="s">
        <v>74</v>
      </c>
      <c r="AT911" s="1" t="s">
        <v>318</v>
      </c>
      <c r="AU911" s="1">
        <v>2006.0</v>
      </c>
      <c r="AV911" s="1">
        <v>73.0</v>
      </c>
      <c r="AW911" s="1">
        <v>4.0</v>
      </c>
      <c r="AX911" s="1" t="s">
        <v>74</v>
      </c>
      <c r="AY911" s="1" t="s">
        <v>74</v>
      </c>
      <c r="AZ911" s="1" t="s">
        <v>74</v>
      </c>
      <c r="BA911" s="1" t="s">
        <v>74</v>
      </c>
      <c r="BB911" s="1" t="s">
        <v>74</v>
      </c>
      <c r="BC911" s="1" t="s">
        <v>74</v>
      </c>
      <c r="BD911" s="1">
        <v>45020.0</v>
      </c>
      <c r="BE911" s="1" t="s">
        <v>9097</v>
      </c>
      <c r="BF911" s="2" t="str">
        <f>HYPERLINK("http://dx.doi.org/10.1103/PhysRevD.73.045020","http://dx.doi.org/10.1103/PhysRevD.73.045020")</f>
        <v>http://dx.doi.org/10.1103/PhysRevD.73.045020</v>
      </c>
      <c r="BG911" s="1" t="s">
        <v>74</v>
      </c>
      <c r="BH911" s="1" t="s">
        <v>74</v>
      </c>
      <c r="BI911" s="1" t="s">
        <v>74</v>
      </c>
      <c r="BJ911" s="1" t="s">
        <v>74</v>
      </c>
      <c r="BK911" s="1" t="s">
        <v>74</v>
      </c>
      <c r="BL911" s="1" t="s">
        <v>74</v>
      </c>
      <c r="BM911" s="1" t="s">
        <v>74</v>
      </c>
      <c r="BN911" s="1" t="s">
        <v>74</v>
      </c>
      <c r="BO911" s="1" t="s">
        <v>74</v>
      </c>
      <c r="BP911" s="1" t="s">
        <v>74</v>
      </c>
      <c r="BQ911" s="1" t="s">
        <v>74</v>
      </c>
      <c r="BR911" s="1" t="s">
        <v>74</v>
      </c>
      <c r="BS911" s="1" t="s">
        <v>9098</v>
      </c>
      <c r="BT911" s="1" t="str">
        <f>HYPERLINK("https%3A%2F%2Fwww.webofscience.com%2Fwos%2Fwoscc%2Ffull-record%2FWOS:000235669800087","View Full Record in Web of Science")</f>
        <v>View Full Record in Web of Science</v>
      </c>
    </row>
    <row r="912" ht="12.75" customHeight="1">
      <c r="A912" s="1" t="s">
        <v>72</v>
      </c>
      <c r="B912" s="1" t="s">
        <v>9099</v>
      </c>
      <c r="C912" s="1" t="s">
        <v>74</v>
      </c>
      <c r="D912" s="1" t="s">
        <v>74</v>
      </c>
      <c r="E912" s="1" t="s">
        <v>74</v>
      </c>
      <c r="F912" s="1" t="s">
        <v>9099</v>
      </c>
      <c r="G912" s="1" t="s">
        <v>74</v>
      </c>
      <c r="H912" s="1" t="s">
        <v>74</v>
      </c>
      <c r="I912" s="1" t="s">
        <v>9100</v>
      </c>
      <c r="J912" s="1" t="s">
        <v>2644</v>
      </c>
      <c r="K912" s="1" t="s">
        <v>74</v>
      </c>
      <c r="L912" s="1" t="s">
        <v>74</v>
      </c>
      <c r="M912" s="1" t="s">
        <v>74</v>
      </c>
      <c r="N912" s="1" t="s">
        <v>74</v>
      </c>
      <c r="O912" s="1" t="s">
        <v>74</v>
      </c>
      <c r="P912" s="1" t="s">
        <v>74</v>
      </c>
      <c r="Q912" s="1" t="s">
        <v>74</v>
      </c>
      <c r="R912" s="1" t="s">
        <v>74</v>
      </c>
      <c r="S912" s="1" t="s">
        <v>74</v>
      </c>
      <c r="T912" s="1" t="s">
        <v>74</v>
      </c>
      <c r="U912" s="1" t="s">
        <v>74</v>
      </c>
      <c r="V912" s="1" t="s">
        <v>9101</v>
      </c>
      <c r="W912" s="1" t="s">
        <v>74</v>
      </c>
      <c r="X912" s="1" t="s">
        <v>74</v>
      </c>
      <c r="Y912" s="1" t="s">
        <v>74</v>
      </c>
      <c r="Z912" s="1" t="s">
        <v>74</v>
      </c>
      <c r="AA912" s="1" t="s">
        <v>74</v>
      </c>
      <c r="AB912" s="1" t="s">
        <v>74</v>
      </c>
      <c r="AC912" s="1" t="s">
        <v>74</v>
      </c>
      <c r="AD912" s="1" t="s">
        <v>74</v>
      </c>
      <c r="AE912" s="1" t="s">
        <v>74</v>
      </c>
      <c r="AF912" s="1" t="s">
        <v>74</v>
      </c>
      <c r="AG912" s="1" t="s">
        <v>74</v>
      </c>
      <c r="AH912" s="1" t="s">
        <v>74</v>
      </c>
      <c r="AI912" s="1" t="s">
        <v>74</v>
      </c>
      <c r="AJ912" s="1" t="s">
        <v>74</v>
      </c>
      <c r="AK912" s="1" t="s">
        <v>74</v>
      </c>
      <c r="AL912" s="1" t="s">
        <v>74</v>
      </c>
      <c r="AM912" s="1" t="s">
        <v>74</v>
      </c>
      <c r="AN912" s="1" t="s">
        <v>74</v>
      </c>
      <c r="AO912" s="1" t="s">
        <v>2645</v>
      </c>
      <c r="AP912" s="1" t="s">
        <v>5776</v>
      </c>
      <c r="AQ912" s="1" t="s">
        <v>74</v>
      </c>
      <c r="AR912" s="1" t="s">
        <v>74</v>
      </c>
      <c r="AS912" s="1" t="s">
        <v>74</v>
      </c>
      <c r="AT912" s="1" t="s">
        <v>348</v>
      </c>
      <c r="AU912" s="1">
        <v>2005.0</v>
      </c>
      <c r="AV912" s="1">
        <v>24.0</v>
      </c>
      <c r="AW912" s="1">
        <v>9.0</v>
      </c>
      <c r="AX912" s="1" t="s">
        <v>74</v>
      </c>
      <c r="AY912" s="1" t="s">
        <v>74</v>
      </c>
      <c r="AZ912" s="1" t="s">
        <v>74</v>
      </c>
      <c r="BA912" s="1" t="s">
        <v>74</v>
      </c>
      <c r="BB912" s="1">
        <v>1303.0</v>
      </c>
      <c r="BC912" s="1">
        <v>1308.0</v>
      </c>
      <c r="BD912" s="1" t="s">
        <v>74</v>
      </c>
      <c r="BE912" s="1" t="s">
        <v>9102</v>
      </c>
      <c r="BF912" s="2" t="str">
        <f>HYPERLINK("http://dx.doi.org/10.7863/jum.2005.24.9.1303","http://dx.doi.org/10.7863/jum.2005.24.9.1303")</f>
        <v>http://dx.doi.org/10.7863/jum.2005.24.9.1303</v>
      </c>
      <c r="BG912" s="1" t="s">
        <v>74</v>
      </c>
      <c r="BH912" s="1" t="s">
        <v>74</v>
      </c>
      <c r="BI912" s="1" t="s">
        <v>74</v>
      </c>
      <c r="BJ912" s="1" t="s">
        <v>74</v>
      </c>
      <c r="BK912" s="1" t="s">
        <v>74</v>
      </c>
      <c r="BL912" s="1" t="s">
        <v>74</v>
      </c>
      <c r="BM912" s="1" t="s">
        <v>74</v>
      </c>
      <c r="BN912" s="1">
        <v>1.6123191E7</v>
      </c>
      <c r="BO912" s="1" t="s">
        <v>74</v>
      </c>
      <c r="BP912" s="1" t="s">
        <v>74</v>
      </c>
      <c r="BQ912" s="1" t="s">
        <v>74</v>
      </c>
      <c r="BR912" s="1" t="s">
        <v>74</v>
      </c>
      <c r="BS912" s="1" t="s">
        <v>9103</v>
      </c>
      <c r="BT912" s="1" t="str">
        <f>HYPERLINK("https%3A%2F%2Fwww.webofscience.com%2Fwos%2Fwoscc%2Ffull-record%2FWOS:000231523100017","View Full Record in Web of Science")</f>
        <v>View Full Record in Web of Science</v>
      </c>
    </row>
    <row r="913" ht="12.75" customHeight="1">
      <c r="A913" s="1" t="s">
        <v>72</v>
      </c>
      <c r="B913" s="1" t="s">
        <v>9104</v>
      </c>
      <c r="C913" s="1" t="s">
        <v>74</v>
      </c>
      <c r="D913" s="1" t="s">
        <v>74</v>
      </c>
      <c r="E913" s="1" t="s">
        <v>74</v>
      </c>
      <c r="F913" s="1" t="s">
        <v>9104</v>
      </c>
      <c r="G913" s="1" t="s">
        <v>74</v>
      </c>
      <c r="H913" s="1" t="s">
        <v>74</v>
      </c>
      <c r="I913" s="1" t="s">
        <v>9105</v>
      </c>
      <c r="J913" s="1" t="s">
        <v>6842</v>
      </c>
      <c r="K913" s="1" t="s">
        <v>74</v>
      </c>
      <c r="L913" s="1" t="s">
        <v>74</v>
      </c>
      <c r="M913" s="1" t="s">
        <v>74</v>
      </c>
      <c r="N913" s="1" t="s">
        <v>74</v>
      </c>
      <c r="O913" s="1" t="s">
        <v>74</v>
      </c>
      <c r="P913" s="1" t="s">
        <v>74</v>
      </c>
      <c r="Q913" s="1" t="s">
        <v>74</v>
      </c>
      <c r="R913" s="1" t="s">
        <v>74</v>
      </c>
      <c r="S913" s="1" t="s">
        <v>74</v>
      </c>
      <c r="T913" s="1" t="s">
        <v>74</v>
      </c>
      <c r="U913" s="1" t="s">
        <v>74</v>
      </c>
      <c r="V913" s="1" t="s">
        <v>9106</v>
      </c>
      <c r="W913" s="1" t="s">
        <v>74</v>
      </c>
      <c r="X913" s="1" t="s">
        <v>74</v>
      </c>
      <c r="Y913" s="1" t="s">
        <v>74</v>
      </c>
      <c r="Z913" s="1" t="s">
        <v>74</v>
      </c>
      <c r="AA913" s="1" t="s">
        <v>9107</v>
      </c>
      <c r="AB913" s="1" t="s">
        <v>9108</v>
      </c>
      <c r="AC913" s="1" t="s">
        <v>74</v>
      </c>
      <c r="AD913" s="1" t="s">
        <v>74</v>
      </c>
      <c r="AE913" s="1" t="s">
        <v>74</v>
      </c>
      <c r="AF913" s="1" t="s">
        <v>74</v>
      </c>
      <c r="AG913" s="1" t="s">
        <v>74</v>
      </c>
      <c r="AH913" s="1" t="s">
        <v>74</v>
      </c>
      <c r="AI913" s="1" t="s">
        <v>74</v>
      </c>
      <c r="AJ913" s="1" t="s">
        <v>74</v>
      </c>
      <c r="AK913" s="1" t="s">
        <v>74</v>
      </c>
      <c r="AL913" s="1" t="s">
        <v>74</v>
      </c>
      <c r="AM913" s="1" t="s">
        <v>74</v>
      </c>
      <c r="AN913" s="1" t="s">
        <v>74</v>
      </c>
      <c r="AO913" s="1" t="s">
        <v>6849</v>
      </c>
      <c r="AP913" s="1" t="s">
        <v>74</v>
      </c>
      <c r="AQ913" s="1" t="s">
        <v>74</v>
      </c>
      <c r="AR913" s="1" t="s">
        <v>74</v>
      </c>
      <c r="AS913" s="1" t="s">
        <v>74</v>
      </c>
      <c r="AT913" s="1" t="s">
        <v>1213</v>
      </c>
      <c r="AU913" s="1">
        <v>2001.0</v>
      </c>
      <c r="AV913" s="1">
        <v>174.0</v>
      </c>
      <c r="AW913" s="1" t="s">
        <v>527</v>
      </c>
      <c r="AX913" s="1" t="s">
        <v>74</v>
      </c>
      <c r="AY913" s="1" t="s">
        <v>74</v>
      </c>
      <c r="AZ913" s="1" t="s">
        <v>74</v>
      </c>
      <c r="BA913" s="1" t="s">
        <v>74</v>
      </c>
      <c r="BB913" s="1">
        <v>9.0</v>
      </c>
      <c r="BC913" s="1">
        <v>15.0</v>
      </c>
      <c r="BD913" s="1" t="s">
        <v>74</v>
      </c>
      <c r="BE913" s="1" t="s">
        <v>9109</v>
      </c>
      <c r="BF913" s="2" t="str">
        <f>HYPERLINK("http://dx.doi.org/10.1016/S0168-583X(00)00510-3","http://dx.doi.org/10.1016/S0168-583X(00)00510-3")</f>
        <v>http://dx.doi.org/10.1016/S0168-583X(00)00510-3</v>
      </c>
      <c r="BG913" s="1" t="s">
        <v>74</v>
      </c>
      <c r="BH913" s="1" t="s">
        <v>74</v>
      </c>
      <c r="BI913" s="1" t="s">
        <v>74</v>
      </c>
      <c r="BJ913" s="1" t="s">
        <v>74</v>
      </c>
      <c r="BK913" s="1" t="s">
        <v>74</v>
      </c>
      <c r="BL913" s="1" t="s">
        <v>74</v>
      </c>
      <c r="BM913" s="1" t="s">
        <v>74</v>
      </c>
      <c r="BN913" s="1" t="s">
        <v>74</v>
      </c>
      <c r="BO913" s="1" t="s">
        <v>74</v>
      </c>
      <c r="BP913" s="1" t="s">
        <v>74</v>
      </c>
      <c r="BQ913" s="1" t="s">
        <v>74</v>
      </c>
      <c r="BR913" s="1" t="s">
        <v>74</v>
      </c>
      <c r="BS913" s="1" t="s">
        <v>9110</v>
      </c>
      <c r="BT913" s="1" t="str">
        <f>HYPERLINK("https%3A%2F%2Fwww.webofscience.com%2Fwos%2Fwoscc%2Ffull-record%2FWOS:000167260800002","View Full Record in Web of Science")</f>
        <v>View Full Record in Web of Science</v>
      </c>
    </row>
    <row r="914" ht="12.75" customHeight="1">
      <c r="A914" s="1" t="s">
        <v>72</v>
      </c>
      <c r="B914" s="1" t="s">
        <v>9111</v>
      </c>
      <c r="C914" s="1" t="s">
        <v>74</v>
      </c>
      <c r="D914" s="1" t="s">
        <v>74</v>
      </c>
      <c r="E914" s="1" t="s">
        <v>74</v>
      </c>
      <c r="F914" s="1" t="s">
        <v>9111</v>
      </c>
      <c r="G914" s="1" t="s">
        <v>74</v>
      </c>
      <c r="H914" s="1" t="s">
        <v>74</v>
      </c>
      <c r="I914" s="1" t="s">
        <v>9112</v>
      </c>
      <c r="J914" s="1" t="s">
        <v>4613</v>
      </c>
      <c r="K914" s="1" t="s">
        <v>74</v>
      </c>
      <c r="L914" s="1" t="s">
        <v>74</v>
      </c>
      <c r="M914" s="1" t="s">
        <v>74</v>
      </c>
      <c r="N914" s="1" t="s">
        <v>74</v>
      </c>
      <c r="O914" s="1" t="s">
        <v>74</v>
      </c>
      <c r="P914" s="1" t="s">
        <v>74</v>
      </c>
      <c r="Q914" s="1" t="s">
        <v>74</v>
      </c>
      <c r="R914" s="1" t="s">
        <v>74</v>
      </c>
      <c r="S914" s="1" t="s">
        <v>74</v>
      </c>
      <c r="T914" s="1" t="s">
        <v>74</v>
      </c>
      <c r="U914" s="1" t="s">
        <v>74</v>
      </c>
      <c r="V914" s="1" t="s">
        <v>9113</v>
      </c>
      <c r="W914" s="1" t="s">
        <v>74</v>
      </c>
      <c r="X914" s="1" t="s">
        <v>74</v>
      </c>
      <c r="Y914" s="1" t="s">
        <v>74</v>
      </c>
      <c r="Z914" s="1" t="s">
        <v>74</v>
      </c>
      <c r="AA914" s="1" t="s">
        <v>9114</v>
      </c>
      <c r="AB914" s="1" t="s">
        <v>74</v>
      </c>
      <c r="AC914" s="1" t="s">
        <v>74</v>
      </c>
      <c r="AD914" s="1" t="s">
        <v>74</v>
      </c>
      <c r="AE914" s="1" t="s">
        <v>74</v>
      </c>
      <c r="AF914" s="1" t="s">
        <v>74</v>
      </c>
      <c r="AG914" s="1" t="s">
        <v>74</v>
      </c>
      <c r="AH914" s="1" t="s">
        <v>74</v>
      </c>
      <c r="AI914" s="1" t="s">
        <v>74</v>
      </c>
      <c r="AJ914" s="1" t="s">
        <v>74</v>
      </c>
      <c r="AK914" s="1" t="s">
        <v>74</v>
      </c>
      <c r="AL914" s="1" t="s">
        <v>74</v>
      </c>
      <c r="AM914" s="1" t="s">
        <v>74</v>
      </c>
      <c r="AN914" s="1" t="s">
        <v>74</v>
      </c>
      <c r="AO914" s="1" t="s">
        <v>4617</v>
      </c>
      <c r="AP914" s="1" t="s">
        <v>74</v>
      </c>
      <c r="AQ914" s="1" t="s">
        <v>74</v>
      </c>
      <c r="AR914" s="1" t="s">
        <v>74</v>
      </c>
      <c r="AS914" s="1" t="s">
        <v>74</v>
      </c>
      <c r="AT914" s="1" t="s">
        <v>1702</v>
      </c>
      <c r="AU914" s="1">
        <v>2000.0</v>
      </c>
      <c r="AV914" s="1">
        <v>113.0</v>
      </c>
      <c r="AW914" s="1" t="s">
        <v>527</v>
      </c>
      <c r="AX914" s="1" t="s">
        <v>74</v>
      </c>
      <c r="AY914" s="1" t="s">
        <v>74</v>
      </c>
      <c r="AZ914" s="1" t="s">
        <v>74</v>
      </c>
      <c r="BA914" s="1" t="s">
        <v>74</v>
      </c>
      <c r="BB914" s="1">
        <v>329.0</v>
      </c>
      <c r="BC914" s="1">
        <v>351.0</v>
      </c>
      <c r="BD914" s="1" t="s">
        <v>74</v>
      </c>
      <c r="BE914" s="1" t="s">
        <v>9115</v>
      </c>
      <c r="BF914" s="2" t="str">
        <f>HYPERLINK("http://dx.doi.org/10.1016/S0377-0427(99)00265-4","http://dx.doi.org/10.1016/S0377-0427(99)00265-4")</f>
        <v>http://dx.doi.org/10.1016/S0377-0427(99)00265-4</v>
      </c>
      <c r="BG914" s="1" t="s">
        <v>74</v>
      </c>
      <c r="BH914" s="1" t="s">
        <v>74</v>
      </c>
      <c r="BI914" s="1" t="s">
        <v>74</v>
      </c>
      <c r="BJ914" s="1" t="s">
        <v>74</v>
      </c>
      <c r="BK914" s="1" t="s">
        <v>74</v>
      </c>
      <c r="BL914" s="1" t="s">
        <v>74</v>
      </c>
      <c r="BM914" s="1" t="s">
        <v>74</v>
      </c>
      <c r="BN914" s="1" t="s">
        <v>74</v>
      </c>
      <c r="BO914" s="1" t="s">
        <v>74</v>
      </c>
      <c r="BP914" s="1" t="s">
        <v>74</v>
      </c>
      <c r="BQ914" s="1" t="s">
        <v>74</v>
      </c>
      <c r="BR914" s="1" t="s">
        <v>74</v>
      </c>
      <c r="BS914" s="1" t="s">
        <v>9116</v>
      </c>
      <c r="BT914" s="1" t="str">
        <f>HYPERLINK("https%3A%2F%2Fwww.webofscience.com%2Fwos%2Fwoscc%2Ffull-record%2FWOS:000084633300027","View Full Record in Web of Science")</f>
        <v>View Full Record in Web of Science</v>
      </c>
    </row>
    <row r="915" ht="12.75" customHeight="1">
      <c r="A915" s="1" t="s">
        <v>72</v>
      </c>
      <c r="B915" s="1" t="s">
        <v>9117</v>
      </c>
      <c r="C915" s="1" t="s">
        <v>74</v>
      </c>
      <c r="D915" s="1" t="s">
        <v>74</v>
      </c>
      <c r="E915" s="1" t="s">
        <v>74</v>
      </c>
      <c r="F915" s="1" t="s">
        <v>9117</v>
      </c>
      <c r="G915" s="1" t="s">
        <v>74</v>
      </c>
      <c r="H915" s="1" t="s">
        <v>74</v>
      </c>
      <c r="I915" s="1" t="s">
        <v>9118</v>
      </c>
      <c r="J915" s="1" t="s">
        <v>1994</v>
      </c>
      <c r="K915" s="1" t="s">
        <v>74</v>
      </c>
      <c r="L915" s="1" t="s">
        <v>74</v>
      </c>
      <c r="M915" s="1" t="s">
        <v>74</v>
      </c>
      <c r="N915" s="1" t="s">
        <v>74</v>
      </c>
      <c r="O915" s="1" t="s">
        <v>74</v>
      </c>
      <c r="P915" s="1" t="s">
        <v>74</v>
      </c>
      <c r="Q915" s="1" t="s">
        <v>74</v>
      </c>
      <c r="R915" s="1" t="s">
        <v>74</v>
      </c>
      <c r="S915" s="1" t="s">
        <v>74</v>
      </c>
      <c r="T915" s="1" t="s">
        <v>74</v>
      </c>
      <c r="U915" s="1" t="s">
        <v>74</v>
      </c>
      <c r="V915" s="1" t="s">
        <v>9119</v>
      </c>
      <c r="W915" s="1" t="s">
        <v>74</v>
      </c>
      <c r="X915" s="1" t="s">
        <v>74</v>
      </c>
      <c r="Y915" s="1" t="s">
        <v>74</v>
      </c>
      <c r="Z915" s="1" t="s">
        <v>74</v>
      </c>
      <c r="AA915" s="1" t="s">
        <v>74</v>
      </c>
      <c r="AB915" s="1" t="s">
        <v>7616</v>
      </c>
      <c r="AC915" s="1" t="s">
        <v>74</v>
      </c>
      <c r="AD915" s="1" t="s">
        <v>74</v>
      </c>
      <c r="AE915" s="1" t="s">
        <v>74</v>
      </c>
      <c r="AF915" s="1" t="s">
        <v>74</v>
      </c>
      <c r="AG915" s="1" t="s">
        <v>74</v>
      </c>
      <c r="AH915" s="1" t="s">
        <v>74</v>
      </c>
      <c r="AI915" s="1" t="s">
        <v>74</v>
      </c>
      <c r="AJ915" s="1" t="s">
        <v>74</v>
      </c>
      <c r="AK915" s="1" t="s">
        <v>74</v>
      </c>
      <c r="AL915" s="1" t="s">
        <v>74</v>
      </c>
      <c r="AM915" s="1" t="s">
        <v>74</v>
      </c>
      <c r="AN915" s="1" t="s">
        <v>74</v>
      </c>
      <c r="AO915" s="1" t="s">
        <v>1997</v>
      </c>
      <c r="AP915" s="1" t="s">
        <v>74</v>
      </c>
      <c r="AQ915" s="1" t="s">
        <v>74</v>
      </c>
      <c r="AR915" s="1" t="s">
        <v>74</v>
      </c>
      <c r="AS915" s="1" t="s">
        <v>74</v>
      </c>
      <c r="AT915" s="1" t="s">
        <v>307</v>
      </c>
      <c r="AU915" s="1">
        <v>1999.0</v>
      </c>
      <c r="AV915" s="1">
        <v>44.0</v>
      </c>
      <c r="AW915" s="1">
        <v>4.0</v>
      </c>
      <c r="AX915" s="1" t="s">
        <v>74</v>
      </c>
      <c r="AY915" s="1" t="s">
        <v>74</v>
      </c>
      <c r="AZ915" s="1" t="s">
        <v>74</v>
      </c>
      <c r="BA915" s="1" t="s">
        <v>74</v>
      </c>
      <c r="BB915" s="1">
        <v>423.0</v>
      </c>
      <c r="BC915" s="1">
        <v>426.0</v>
      </c>
      <c r="BD915" s="1" t="s">
        <v>74</v>
      </c>
      <c r="BE915" s="1" t="s">
        <v>74</v>
      </c>
      <c r="BF915" s="1" t="s">
        <v>74</v>
      </c>
      <c r="BG915" s="1" t="s">
        <v>74</v>
      </c>
      <c r="BH915" s="1" t="s">
        <v>74</v>
      </c>
      <c r="BI915" s="1" t="s">
        <v>74</v>
      </c>
      <c r="BJ915" s="1" t="s">
        <v>74</v>
      </c>
      <c r="BK915" s="1" t="s">
        <v>74</v>
      </c>
      <c r="BL915" s="1" t="s">
        <v>74</v>
      </c>
      <c r="BM915" s="1" t="s">
        <v>74</v>
      </c>
      <c r="BN915" s="1" t="s">
        <v>74</v>
      </c>
      <c r="BO915" s="1" t="s">
        <v>74</v>
      </c>
      <c r="BP915" s="1" t="s">
        <v>74</v>
      </c>
      <c r="BQ915" s="1" t="s">
        <v>74</v>
      </c>
      <c r="BR915" s="1" t="s">
        <v>74</v>
      </c>
      <c r="BS915" s="1" t="s">
        <v>9120</v>
      </c>
      <c r="BT915" s="1" t="str">
        <f>HYPERLINK("https%3A%2F%2Fwww.webofscience.com%2Fwos%2Fwoscc%2Ffull-record%2FWOS:000084664300004","View Full Record in Web of Science")</f>
        <v>View Full Record in Web of Science</v>
      </c>
    </row>
    <row r="916" ht="12.75" customHeight="1">
      <c r="A916" s="1" t="s">
        <v>72</v>
      </c>
      <c r="B916" s="1" t="s">
        <v>9121</v>
      </c>
      <c r="C916" s="1" t="s">
        <v>74</v>
      </c>
      <c r="D916" s="1" t="s">
        <v>74</v>
      </c>
      <c r="E916" s="1" t="s">
        <v>74</v>
      </c>
      <c r="F916" s="1" t="s">
        <v>9122</v>
      </c>
      <c r="G916" s="1" t="s">
        <v>74</v>
      </c>
      <c r="H916" s="1" t="s">
        <v>74</v>
      </c>
      <c r="I916" s="1" t="s">
        <v>9123</v>
      </c>
      <c r="J916" s="1" t="s">
        <v>9124</v>
      </c>
      <c r="K916" s="1" t="s">
        <v>74</v>
      </c>
      <c r="L916" s="1" t="s">
        <v>74</v>
      </c>
      <c r="M916" s="1" t="s">
        <v>74</v>
      </c>
      <c r="N916" s="1" t="s">
        <v>74</v>
      </c>
      <c r="O916" s="1" t="s">
        <v>74</v>
      </c>
      <c r="P916" s="1" t="s">
        <v>74</v>
      </c>
      <c r="Q916" s="1" t="s">
        <v>74</v>
      </c>
      <c r="R916" s="1" t="s">
        <v>74</v>
      </c>
      <c r="S916" s="1" t="s">
        <v>74</v>
      </c>
      <c r="T916" s="1" t="s">
        <v>74</v>
      </c>
      <c r="U916" s="1" t="s">
        <v>74</v>
      </c>
      <c r="V916" s="1" t="s">
        <v>9125</v>
      </c>
      <c r="W916" s="1" t="s">
        <v>74</v>
      </c>
      <c r="X916" s="1" t="s">
        <v>74</v>
      </c>
      <c r="Y916" s="1" t="s">
        <v>74</v>
      </c>
      <c r="Z916" s="1" t="s">
        <v>74</v>
      </c>
      <c r="AA916" s="1" t="s">
        <v>9126</v>
      </c>
      <c r="AB916" s="1" t="s">
        <v>74</v>
      </c>
      <c r="AC916" s="1" t="s">
        <v>74</v>
      </c>
      <c r="AD916" s="1" t="s">
        <v>74</v>
      </c>
      <c r="AE916" s="1" t="s">
        <v>74</v>
      </c>
      <c r="AF916" s="1" t="s">
        <v>74</v>
      </c>
      <c r="AG916" s="1" t="s">
        <v>74</v>
      </c>
      <c r="AH916" s="1" t="s">
        <v>74</v>
      </c>
      <c r="AI916" s="1" t="s">
        <v>74</v>
      </c>
      <c r="AJ916" s="1" t="s">
        <v>74</v>
      </c>
      <c r="AK916" s="1" t="s">
        <v>74</v>
      </c>
      <c r="AL916" s="1" t="s">
        <v>74</v>
      </c>
      <c r="AM916" s="1" t="s">
        <v>74</v>
      </c>
      <c r="AN916" s="1" t="s">
        <v>74</v>
      </c>
      <c r="AO916" s="1" t="s">
        <v>9127</v>
      </c>
      <c r="AP916" s="1" t="s">
        <v>9128</v>
      </c>
      <c r="AQ916" s="1" t="s">
        <v>74</v>
      </c>
      <c r="AR916" s="1" t="s">
        <v>74</v>
      </c>
      <c r="AS916" s="1" t="s">
        <v>74</v>
      </c>
      <c r="AT916" s="1" t="s">
        <v>939</v>
      </c>
      <c r="AU916" s="1">
        <v>2025.0</v>
      </c>
      <c r="AV916" s="1">
        <v>124.0</v>
      </c>
      <c r="AW916" s="1" t="s">
        <v>74</v>
      </c>
      <c r="AX916" s="1" t="s">
        <v>74</v>
      </c>
      <c r="AY916" s="1" t="s">
        <v>74</v>
      </c>
      <c r="AZ916" s="1" t="s">
        <v>74</v>
      </c>
      <c r="BA916" s="1" t="s">
        <v>74</v>
      </c>
      <c r="BB916" s="1">
        <v>1.0</v>
      </c>
      <c r="BC916" s="1">
        <v>11.0</v>
      </c>
      <c r="BD916" s="1" t="s">
        <v>74</v>
      </c>
      <c r="BE916" s="1" t="s">
        <v>9129</v>
      </c>
      <c r="BF916" s="2" t="str">
        <f>HYPERLINK("http://dx.doi.org/10.1016/j.aej.2025.03.058","http://dx.doi.org/10.1016/j.aej.2025.03.058")</f>
        <v>http://dx.doi.org/10.1016/j.aej.2025.03.058</v>
      </c>
      <c r="BG916" s="1" t="s">
        <v>74</v>
      </c>
      <c r="BH916" s="1" t="s">
        <v>952</v>
      </c>
      <c r="BI916" s="1" t="s">
        <v>74</v>
      </c>
      <c r="BJ916" s="1" t="s">
        <v>74</v>
      </c>
      <c r="BK916" s="1" t="s">
        <v>74</v>
      </c>
      <c r="BL916" s="1" t="s">
        <v>74</v>
      </c>
      <c r="BM916" s="1" t="s">
        <v>74</v>
      </c>
      <c r="BN916" s="1" t="s">
        <v>74</v>
      </c>
      <c r="BO916" s="1" t="s">
        <v>74</v>
      </c>
      <c r="BP916" s="1" t="s">
        <v>74</v>
      </c>
      <c r="BQ916" s="1" t="s">
        <v>74</v>
      </c>
      <c r="BR916" s="1" t="s">
        <v>74</v>
      </c>
      <c r="BS916" s="1" t="s">
        <v>9130</v>
      </c>
      <c r="BT916" s="1" t="str">
        <f>HYPERLINK("https%3A%2F%2Fwww.webofscience.com%2Fwos%2Fwoscc%2Ffull-record%2FWOS:001459574600001","View Full Record in Web of Science")</f>
        <v>View Full Record in Web of Science</v>
      </c>
    </row>
    <row r="917" ht="12.75" customHeight="1">
      <c r="A917" s="1" t="s">
        <v>72</v>
      </c>
      <c r="B917" s="1" t="s">
        <v>9131</v>
      </c>
      <c r="C917" s="1" t="s">
        <v>74</v>
      </c>
      <c r="D917" s="1" t="s">
        <v>74</v>
      </c>
      <c r="E917" s="1" t="s">
        <v>74</v>
      </c>
      <c r="F917" s="1" t="s">
        <v>9132</v>
      </c>
      <c r="G917" s="1" t="s">
        <v>74</v>
      </c>
      <c r="H917" s="1" t="s">
        <v>74</v>
      </c>
      <c r="I917" s="1" t="s">
        <v>9133</v>
      </c>
      <c r="J917" s="1" t="s">
        <v>7547</v>
      </c>
      <c r="K917" s="1" t="s">
        <v>74</v>
      </c>
      <c r="L917" s="1" t="s">
        <v>74</v>
      </c>
      <c r="M917" s="1" t="s">
        <v>74</v>
      </c>
      <c r="N917" s="1" t="s">
        <v>74</v>
      </c>
      <c r="O917" s="1" t="s">
        <v>74</v>
      </c>
      <c r="P917" s="1" t="s">
        <v>74</v>
      </c>
      <c r="Q917" s="1" t="s">
        <v>74</v>
      </c>
      <c r="R917" s="1" t="s">
        <v>74</v>
      </c>
      <c r="S917" s="1" t="s">
        <v>74</v>
      </c>
      <c r="T917" s="1" t="s">
        <v>74</v>
      </c>
      <c r="U917" s="1" t="s">
        <v>74</v>
      </c>
      <c r="V917" s="1" t="s">
        <v>9134</v>
      </c>
      <c r="W917" s="1" t="s">
        <v>74</v>
      </c>
      <c r="X917" s="1" t="s">
        <v>74</v>
      </c>
      <c r="Y917" s="1" t="s">
        <v>74</v>
      </c>
      <c r="Z917" s="1" t="s">
        <v>74</v>
      </c>
      <c r="AA917" s="1" t="s">
        <v>9135</v>
      </c>
      <c r="AB917" s="1" t="s">
        <v>9136</v>
      </c>
      <c r="AC917" s="1" t="s">
        <v>74</v>
      </c>
      <c r="AD917" s="1" t="s">
        <v>74</v>
      </c>
      <c r="AE917" s="1" t="s">
        <v>74</v>
      </c>
      <c r="AF917" s="1" t="s">
        <v>74</v>
      </c>
      <c r="AG917" s="1" t="s">
        <v>74</v>
      </c>
      <c r="AH917" s="1" t="s">
        <v>74</v>
      </c>
      <c r="AI917" s="1" t="s">
        <v>74</v>
      </c>
      <c r="AJ917" s="1" t="s">
        <v>74</v>
      </c>
      <c r="AK917" s="1" t="s">
        <v>74</v>
      </c>
      <c r="AL917" s="1" t="s">
        <v>74</v>
      </c>
      <c r="AM917" s="1" t="s">
        <v>74</v>
      </c>
      <c r="AN917" s="1" t="s">
        <v>74</v>
      </c>
      <c r="AO917" s="1" t="s">
        <v>7550</v>
      </c>
      <c r="AP917" s="1" t="s">
        <v>74</v>
      </c>
      <c r="AQ917" s="1" t="s">
        <v>74</v>
      </c>
      <c r="AR917" s="1" t="s">
        <v>74</v>
      </c>
      <c r="AS917" s="1" t="s">
        <v>74</v>
      </c>
      <c r="AT917" s="1" t="s">
        <v>235</v>
      </c>
      <c r="AU917" s="1">
        <v>2024.0</v>
      </c>
      <c r="AV917" s="1">
        <v>14.0</v>
      </c>
      <c r="AW917" s="1">
        <v>2.0</v>
      </c>
      <c r="AX917" s="1" t="s">
        <v>74</v>
      </c>
      <c r="AY917" s="1" t="s">
        <v>74</v>
      </c>
      <c r="AZ917" s="1" t="s">
        <v>74</v>
      </c>
      <c r="BA917" s="1" t="s">
        <v>74</v>
      </c>
      <c r="BB917" s="1" t="s">
        <v>74</v>
      </c>
      <c r="BC917" s="1" t="s">
        <v>74</v>
      </c>
      <c r="BD917" s="1">
        <v>2.1582440241256816E16</v>
      </c>
      <c r="BE917" s="1" t="s">
        <v>9137</v>
      </c>
      <c r="BF917" s="2" t="str">
        <f>HYPERLINK("http://dx.doi.org/10.1177/21582440241256816","http://dx.doi.org/10.1177/21582440241256816")</f>
        <v>http://dx.doi.org/10.1177/21582440241256816</v>
      </c>
      <c r="BG917" s="1" t="s">
        <v>74</v>
      </c>
      <c r="BH917" s="1" t="s">
        <v>74</v>
      </c>
      <c r="BI917" s="1" t="s">
        <v>74</v>
      </c>
      <c r="BJ917" s="1" t="s">
        <v>74</v>
      </c>
      <c r="BK917" s="1" t="s">
        <v>74</v>
      </c>
      <c r="BL917" s="1" t="s">
        <v>74</v>
      </c>
      <c r="BM917" s="1" t="s">
        <v>74</v>
      </c>
      <c r="BN917" s="1" t="s">
        <v>74</v>
      </c>
      <c r="BO917" s="1" t="s">
        <v>74</v>
      </c>
      <c r="BP917" s="1" t="s">
        <v>74</v>
      </c>
      <c r="BQ917" s="1" t="s">
        <v>74</v>
      </c>
      <c r="BR917" s="1" t="s">
        <v>74</v>
      </c>
      <c r="BS917" s="1" t="s">
        <v>9138</v>
      </c>
      <c r="BT917" s="1" t="str">
        <f>HYPERLINK("https%3A%2F%2Fwww.webofscience.com%2Fwos%2Fwoscc%2Ffull-record%2FWOS:001249702300001","View Full Record in Web of Science")</f>
        <v>View Full Record in Web of Science</v>
      </c>
    </row>
    <row r="918" ht="12.75" customHeight="1">
      <c r="A918" s="1" t="s">
        <v>72</v>
      </c>
      <c r="B918" s="1" t="s">
        <v>9139</v>
      </c>
      <c r="C918" s="1" t="s">
        <v>74</v>
      </c>
      <c r="D918" s="1" t="s">
        <v>74</v>
      </c>
      <c r="E918" s="1" t="s">
        <v>74</v>
      </c>
      <c r="F918" s="1" t="s">
        <v>9140</v>
      </c>
      <c r="G918" s="1" t="s">
        <v>74</v>
      </c>
      <c r="H918" s="1" t="s">
        <v>74</v>
      </c>
      <c r="I918" s="1" t="s">
        <v>9141</v>
      </c>
      <c r="J918" s="1" t="s">
        <v>4223</v>
      </c>
      <c r="K918" s="1" t="s">
        <v>74</v>
      </c>
      <c r="L918" s="1" t="s">
        <v>74</v>
      </c>
      <c r="M918" s="1" t="s">
        <v>74</v>
      </c>
      <c r="N918" s="1" t="s">
        <v>74</v>
      </c>
      <c r="O918" s="1" t="s">
        <v>74</v>
      </c>
      <c r="P918" s="1" t="s">
        <v>74</v>
      </c>
      <c r="Q918" s="1" t="s">
        <v>74</v>
      </c>
      <c r="R918" s="1" t="s">
        <v>74</v>
      </c>
      <c r="S918" s="1" t="s">
        <v>74</v>
      </c>
      <c r="T918" s="1" t="s">
        <v>74</v>
      </c>
      <c r="U918" s="1" t="s">
        <v>74</v>
      </c>
      <c r="V918" s="1" t="s">
        <v>9142</v>
      </c>
      <c r="W918" s="1" t="s">
        <v>74</v>
      </c>
      <c r="X918" s="1" t="s">
        <v>74</v>
      </c>
      <c r="Y918" s="1" t="s">
        <v>74</v>
      </c>
      <c r="Z918" s="1" t="s">
        <v>74</v>
      </c>
      <c r="AA918" s="1" t="s">
        <v>9143</v>
      </c>
      <c r="AB918" s="1" t="s">
        <v>9144</v>
      </c>
      <c r="AC918" s="1" t="s">
        <v>74</v>
      </c>
      <c r="AD918" s="1" t="s">
        <v>74</v>
      </c>
      <c r="AE918" s="1" t="s">
        <v>74</v>
      </c>
      <c r="AF918" s="1" t="s">
        <v>74</v>
      </c>
      <c r="AG918" s="1" t="s">
        <v>74</v>
      </c>
      <c r="AH918" s="1" t="s">
        <v>74</v>
      </c>
      <c r="AI918" s="1" t="s">
        <v>74</v>
      </c>
      <c r="AJ918" s="1" t="s">
        <v>74</v>
      </c>
      <c r="AK918" s="1" t="s">
        <v>74</v>
      </c>
      <c r="AL918" s="1" t="s">
        <v>74</v>
      </c>
      <c r="AM918" s="1" t="s">
        <v>74</v>
      </c>
      <c r="AN918" s="1" t="s">
        <v>74</v>
      </c>
      <c r="AO918" s="1" t="s">
        <v>4227</v>
      </c>
      <c r="AP918" s="1" t="s">
        <v>4228</v>
      </c>
      <c r="AQ918" s="1" t="s">
        <v>74</v>
      </c>
      <c r="AR918" s="1" t="s">
        <v>74</v>
      </c>
      <c r="AS918" s="1" t="s">
        <v>74</v>
      </c>
      <c r="AT918" s="1" t="s">
        <v>5769</v>
      </c>
      <c r="AU918" s="1">
        <v>2024.0</v>
      </c>
      <c r="AV918" s="1">
        <v>50.0</v>
      </c>
      <c r="AW918" s="1" t="s">
        <v>74</v>
      </c>
      <c r="AX918" s="1" t="s">
        <v>74</v>
      </c>
      <c r="AY918" s="1" t="s">
        <v>74</v>
      </c>
      <c r="AZ918" s="1" t="s">
        <v>74</v>
      </c>
      <c r="BA918" s="1" t="s">
        <v>74</v>
      </c>
      <c r="BB918" s="1">
        <v>578.0</v>
      </c>
      <c r="BC918" s="1">
        <v>598.0</v>
      </c>
      <c r="BD918" s="1" t="s">
        <v>74</v>
      </c>
      <c r="BE918" s="1" t="s">
        <v>9145</v>
      </c>
      <c r="BF918" s="2" t="str">
        <f>HYPERLINK("http://dx.doi.org/10.1016/j.ijhydene.2023.10.013","http://dx.doi.org/10.1016/j.ijhydene.2023.10.013")</f>
        <v>http://dx.doi.org/10.1016/j.ijhydene.2023.10.013</v>
      </c>
      <c r="BG918" s="1" t="s">
        <v>74</v>
      </c>
      <c r="BH918" s="1" t="s">
        <v>190</v>
      </c>
      <c r="BI918" s="1" t="s">
        <v>74</v>
      </c>
      <c r="BJ918" s="1" t="s">
        <v>74</v>
      </c>
      <c r="BK918" s="1" t="s">
        <v>74</v>
      </c>
      <c r="BL918" s="1" t="s">
        <v>74</v>
      </c>
      <c r="BM918" s="1" t="s">
        <v>74</v>
      </c>
      <c r="BN918" s="1" t="s">
        <v>74</v>
      </c>
      <c r="BO918" s="1" t="s">
        <v>74</v>
      </c>
      <c r="BP918" s="1" t="s">
        <v>74</v>
      </c>
      <c r="BQ918" s="1" t="s">
        <v>74</v>
      </c>
      <c r="BR918" s="1" t="s">
        <v>74</v>
      </c>
      <c r="BS918" s="1" t="s">
        <v>9146</v>
      </c>
      <c r="BT918" s="1" t="str">
        <f>HYPERLINK("https%3A%2F%2Fwww.webofscience.com%2Fwos%2Fwoscc%2Ffull-record%2FWOS:001135540600001","View Full Record in Web of Science")</f>
        <v>View Full Record in Web of Science</v>
      </c>
    </row>
    <row r="919" ht="12.75" customHeight="1">
      <c r="A919" s="1" t="s">
        <v>72</v>
      </c>
      <c r="B919" s="1" t="s">
        <v>9147</v>
      </c>
      <c r="C919" s="1" t="s">
        <v>74</v>
      </c>
      <c r="D919" s="1" t="s">
        <v>74</v>
      </c>
      <c r="E919" s="1" t="s">
        <v>74</v>
      </c>
      <c r="F919" s="1" t="s">
        <v>9148</v>
      </c>
      <c r="G919" s="1" t="s">
        <v>74</v>
      </c>
      <c r="H919" s="1" t="s">
        <v>74</v>
      </c>
      <c r="I919" s="1" t="s">
        <v>9149</v>
      </c>
      <c r="J919" s="1" t="s">
        <v>279</v>
      </c>
      <c r="K919" s="1" t="s">
        <v>74</v>
      </c>
      <c r="L919" s="1" t="s">
        <v>74</v>
      </c>
      <c r="M919" s="1" t="s">
        <v>74</v>
      </c>
      <c r="N919" s="1" t="s">
        <v>74</v>
      </c>
      <c r="O919" s="1" t="s">
        <v>74</v>
      </c>
      <c r="P919" s="1" t="s">
        <v>74</v>
      </c>
      <c r="Q919" s="1" t="s">
        <v>74</v>
      </c>
      <c r="R919" s="1" t="s">
        <v>74</v>
      </c>
      <c r="S919" s="1" t="s">
        <v>74</v>
      </c>
      <c r="T919" s="1" t="s">
        <v>74</v>
      </c>
      <c r="U919" s="1" t="s">
        <v>74</v>
      </c>
      <c r="V919" s="1" t="s">
        <v>9150</v>
      </c>
      <c r="W919" s="1" t="s">
        <v>74</v>
      </c>
      <c r="X919" s="1" t="s">
        <v>74</v>
      </c>
      <c r="Y919" s="1" t="s">
        <v>74</v>
      </c>
      <c r="Z919" s="1" t="s">
        <v>74</v>
      </c>
      <c r="AA919" s="1" t="s">
        <v>9151</v>
      </c>
      <c r="AB919" s="1" t="s">
        <v>9152</v>
      </c>
      <c r="AC919" s="1" t="s">
        <v>74</v>
      </c>
      <c r="AD919" s="1" t="s">
        <v>74</v>
      </c>
      <c r="AE919" s="1" t="s">
        <v>74</v>
      </c>
      <c r="AF919" s="1" t="s">
        <v>74</v>
      </c>
      <c r="AG919" s="1" t="s">
        <v>74</v>
      </c>
      <c r="AH919" s="1" t="s">
        <v>74</v>
      </c>
      <c r="AI919" s="1" t="s">
        <v>74</v>
      </c>
      <c r="AJ919" s="1" t="s">
        <v>74</v>
      </c>
      <c r="AK919" s="1" t="s">
        <v>74</v>
      </c>
      <c r="AL919" s="1" t="s">
        <v>74</v>
      </c>
      <c r="AM919" s="1" t="s">
        <v>74</v>
      </c>
      <c r="AN919" s="1" t="s">
        <v>74</v>
      </c>
      <c r="AO919" s="1" t="s">
        <v>282</v>
      </c>
      <c r="AP919" s="1" t="s">
        <v>74</v>
      </c>
      <c r="AQ919" s="1" t="s">
        <v>74</v>
      </c>
      <c r="AR919" s="1" t="s">
        <v>74</v>
      </c>
      <c r="AS919" s="1" t="s">
        <v>74</v>
      </c>
      <c r="AT919" s="1" t="s">
        <v>283</v>
      </c>
      <c r="AU919" s="1">
        <v>2023.0</v>
      </c>
      <c r="AV919" s="1">
        <v>8.0</v>
      </c>
      <c r="AW919" s="1">
        <v>2.0</v>
      </c>
      <c r="AX919" s="1" t="s">
        <v>74</v>
      </c>
      <c r="AY919" s="1" t="s">
        <v>74</v>
      </c>
      <c r="AZ919" s="1" t="s">
        <v>74</v>
      </c>
      <c r="BA919" s="1" t="s">
        <v>74</v>
      </c>
      <c r="BB919" s="1" t="s">
        <v>74</v>
      </c>
      <c r="BC919" s="1" t="s">
        <v>74</v>
      </c>
      <c r="BD919" s="1">
        <v>24401.0</v>
      </c>
      <c r="BE919" s="1" t="s">
        <v>9153</v>
      </c>
      <c r="BF919" s="2" t="str">
        <f>HYPERLINK("http://dx.doi.org/10.1103/PhysRevFluids.8.024401","http://dx.doi.org/10.1103/PhysRevFluids.8.024401")</f>
        <v>http://dx.doi.org/10.1103/PhysRevFluids.8.024401</v>
      </c>
      <c r="BG919" s="1" t="s">
        <v>74</v>
      </c>
      <c r="BH919" s="1" t="s">
        <v>74</v>
      </c>
      <c r="BI919" s="1" t="s">
        <v>74</v>
      </c>
      <c r="BJ919" s="1" t="s">
        <v>74</v>
      </c>
      <c r="BK919" s="1" t="s">
        <v>74</v>
      </c>
      <c r="BL919" s="1" t="s">
        <v>74</v>
      </c>
      <c r="BM919" s="1" t="s">
        <v>74</v>
      </c>
      <c r="BN919" s="1" t="s">
        <v>74</v>
      </c>
      <c r="BO919" s="1" t="s">
        <v>74</v>
      </c>
      <c r="BP919" s="1" t="s">
        <v>74</v>
      </c>
      <c r="BQ919" s="1" t="s">
        <v>74</v>
      </c>
      <c r="BR919" s="1" t="s">
        <v>74</v>
      </c>
      <c r="BS919" s="1" t="s">
        <v>9154</v>
      </c>
      <c r="BT919" s="1" t="str">
        <f>HYPERLINK("https%3A%2F%2Fwww.webofscience.com%2Fwos%2Fwoscc%2Ffull-record%2FWOS:000932024300002","View Full Record in Web of Science")</f>
        <v>View Full Record in Web of Science</v>
      </c>
    </row>
    <row r="920" ht="12.75" customHeight="1">
      <c r="A920" s="1" t="s">
        <v>72</v>
      </c>
      <c r="B920" s="1" t="s">
        <v>9155</v>
      </c>
      <c r="C920" s="1" t="s">
        <v>74</v>
      </c>
      <c r="D920" s="1" t="s">
        <v>74</v>
      </c>
      <c r="E920" s="1" t="s">
        <v>74</v>
      </c>
      <c r="F920" s="1" t="s">
        <v>9156</v>
      </c>
      <c r="G920" s="1" t="s">
        <v>74</v>
      </c>
      <c r="H920" s="1" t="s">
        <v>74</v>
      </c>
      <c r="I920" s="1" t="s">
        <v>9157</v>
      </c>
      <c r="J920" s="1" t="s">
        <v>9158</v>
      </c>
      <c r="K920" s="1" t="s">
        <v>74</v>
      </c>
      <c r="L920" s="1" t="s">
        <v>74</v>
      </c>
      <c r="M920" s="1" t="s">
        <v>74</v>
      </c>
      <c r="N920" s="1" t="s">
        <v>74</v>
      </c>
      <c r="O920" s="1" t="s">
        <v>74</v>
      </c>
      <c r="P920" s="1" t="s">
        <v>74</v>
      </c>
      <c r="Q920" s="1" t="s">
        <v>74</v>
      </c>
      <c r="R920" s="1" t="s">
        <v>74</v>
      </c>
      <c r="S920" s="1" t="s">
        <v>74</v>
      </c>
      <c r="T920" s="1" t="s">
        <v>74</v>
      </c>
      <c r="U920" s="1" t="s">
        <v>74</v>
      </c>
      <c r="V920" s="1" t="s">
        <v>9159</v>
      </c>
      <c r="W920" s="1" t="s">
        <v>74</v>
      </c>
      <c r="X920" s="1" t="s">
        <v>74</v>
      </c>
      <c r="Y920" s="1" t="s">
        <v>74</v>
      </c>
      <c r="Z920" s="1" t="s">
        <v>74</v>
      </c>
      <c r="AA920" s="1" t="s">
        <v>74</v>
      </c>
      <c r="AB920" s="1" t="s">
        <v>9160</v>
      </c>
      <c r="AC920" s="1" t="s">
        <v>74</v>
      </c>
      <c r="AD920" s="1" t="s">
        <v>74</v>
      </c>
      <c r="AE920" s="1" t="s">
        <v>74</v>
      </c>
      <c r="AF920" s="1" t="s">
        <v>74</v>
      </c>
      <c r="AG920" s="1" t="s">
        <v>74</v>
      </c>
      <c r="AH920" s="1" t="s">
        <v>74</v>
      </c>
      <c r="AI920" s="1" t="s">
        <v>74</v>
      </c>
      <c r="AJ920" s="1" t="s">
        <v>74</v>
      </c>
      <c r="AK920" s="1" t="s">
        <v>74</v>
      </c>
      <c r="AL920" s="1" t="s">
        <v>74</v>
      </c>
      <c r="AM920" s="1" t="s">
        <v>74</v>
      </c>
      <c r="AN920" s="1" t="s">
        <v>74</v>
      </c>
      <c r="AO920" s="1" t="s">
        <v>9161</v>
      </c>
      <c r="AP920" s="1" t="s">
        <v>9162</v>
      </c>
      <c r="AQ920" s="1" t="s">
        <v>74</v>
      </c>
      <c r="AR920" s="1" t="s">
        <v>74</v>
      </c>
      <c r="AS920" s="1" t="s">
        <v>74</v>
      </c>
      <c r="AT920" s="1" t="s">
        <v>1018</v>
      </c>
      <c r="AU920" s="1">
        <v>2022.0</v>
      </c>
      <c r="AV920" s="1">
        <v>37.0</v>
      </c>
      <c r="AW920" s="1">
        <v>105.0</v>
      </c>
      <c r="AX920" s="1" t="s">
        <v>74</v>
      </c>
      <c r="AY920" s="1" t="s">
        <v>74</v>
      </c>
      <c r="AZ920" s="1" t="s">
        <v>74</v>
      </c>
      <c r="BA920" s="1" t="s">
        <v>74</v>
      </c>
      <c r="BB920" s="1">
        <v>1.0</v>
      </c>
      <c r="BC920" s="1">
        <v>44.0</v>
      </c>
      <c r="BD920" s="1" t="s">
        <v>74</v>
      </c>
      <c r="BE920" s="1" t="s">
        <v>9163</v>
      </c>
      <c r="BF920" s="2" t="str">
        <f>HYPERLINK("http://dx.doi.org/10.5354/0718-8358.2022.63809","http://dx.doi.org/10.5354/0718-8358.2022.63809")</f>
        <v>http://dx.doi.org/10.5354/0718-8358.2022.63809</v>
      </c>
      <c r="BG920" s="1" t="s">
        <v>74</v>
      </c>
      <c r="BH920" s="1" t="s">
        <v>74</v>
      </c>
      <c r="BI920" s="1" t="s">
        <v>74</v>
      </c>
      <c r="BJ920" s="1" t="s">
        <v>74</v>
      </c>
      <c r="BK920" s="1" t="s">
        <v>74</v>
      </c>
      <c r="BL920" s="1" t="s">
        <v>74</v>
      </c>
      <c r="BM920" s="1" t="s">
        <v>74</v>
      </c>
      <c r="BN920" s="1" t="s">
        <v>74</v>
      </c>
      <c r="BO920" s="1" t="s">
        <v>74</v>
      </c>
      <c r="BP920" s="1" t="s">
        <v>74</v>
      </c>
      <c r="BQ920" s="1" t="s">
        <v>74</v>
      </c>
      <c r="BR920" s="1" t="s">
        <v>74</v>
      </c>
      <c r="BS920" s="1" t="s">
        <v>9164</v>
      </c>
      <c r="BT920" s="1" t="str">
        <f>HYPERLINK("https%3A%2F%2Fwww.webofscience.com%2Fwos%2Fwoscc%2Ffull-record%2FWOS:000835611600002","View Full Record in Web of Science")</f>
        <v>View Full Record in Web of Science</v>
      </c>
    </row>
    <row r="921" ht="12.75" customHeight="1">
      <c r="A921" s="1" t="s">
        <v>72</v>
      </c>
      <c r="B921" s="1" t="s">
        <v>9165</v>
      </c>
      <c r="C921" s="1" t="s">
        <v>74</v>
      </c>
      <c r="D921" s="1" t="s">
        <v>74</v>
      </c>
      <c r="E921" s="1" t="s">
        <v>74</v>
      </c>
      <c r="F921" s="1" t="s">
        <v>9166</v>
      </c>
      <c r="G921" s="1" t="s">
        <v>74</v>
      </c>
      <c r="H921" s="1" t="s">
        <v>74</v>
      </c>
      <c r="I921" s="1" t="s">
        <v>9167</v>
      </c>
      <c r="J921" s="1" t="s">
        <v>990</v>
      </c>
      <c r="K921" s="1" t="s">
        <v>74</v>
      </c>
      <c r="L921" s="1" t="s">
        <v>74</v>
      </c>
      <c r="M921" s="1" t="s">
        <v>74</v>
      </c>
      <c r="N921" s="1" t="s">
        <v>74</v>
      </c>
      <c r="O921" s="1" t="s">
        <v>74</v>
      </c>
      <c r="P921" s="1" t="s">
        <v>74</v>
      </c>
      <c r="Q921" s="1" t="s">
        <v>74</v>
      </c>
      <c r="R921" s="1" t="s">
        <v>74</v>
      </c>
      <c r="S921" s="1" t="s">
        <v>74</v>
      </c>
      <c r="T921" s="1" t="s">
        <v>74</v>
      </c>
      <c r="U921" s="1" t="s">
        <v>74</v>
      </c>
      <c r="V921" s="1" t="s">
        <v>9168</v>
      </c>
      <c r="W921" s="1" t="s">
        <v>74</v>
      </c>
      <c r="X921" s="1" t="s">
        <v>74</v>
      </c>
      <c r="Y921" s="1" t="s">
        <v>74</v>
      </c>
      <c r="Z921" s="1" t="s">
        <v>74</v>
      </c>
      <c r="AA921" s="1" t="s">
        <v>9169</v>
      </c>
      <c r="AB921" s="1" t="s">
        <v>9170</v>
      </c>
      <c r="AC921" s="1" t="s">
        <v>74</v>
      </c>
      <c r="AD921" s="1" t="s">
        <v>74</v>
      </c>
      <c r="AE921" s="1" t="s">
        <v>74</v>
      </c>
      <c r="AF921" s="1" t="s">
        <v>74</v>
      </c>
      <c r="AG921" s="1" t="s">
        <v>74</v>
      </c>
      <c r="AH921" s="1" t="s">
        <v>74</v>
      </c>
      <c r="AI921" s="1" t="s">
        <v>74</v>
      </c>
      <c r="AJ921" s="1" t="s">
        <v>74</v>
      </c>
      <c r="AK921" s="1" t="s">
        <v>74</v>
      </c>
      <c r="AL921" s="1" t="s">
        <v>74</v>
      </c>
      <c r="AM921" s="1" t="s">
        <v>74</v>
      </c>
      <c r="AN921" s="1" t="s">
        <v>74</v>
      </c>
      <c r="AO921" s="1" t="s">
        <v>994</v>
      </c>
      <c r="AP921" s="1" t="s">
        <v>74</v>
      </c>
      <c r="AQ921" s="1" t="s">
        <v>74</v>
      </c>
      <c r="AR921" s="1" t="s">
        <v>74</v>
      </c>
      <c r="AS921" s="1" t="s">
        <v>74</v>
      </c>
      <c r="AT921" s="1" t="s">
        <v>9171</v>
      </c>
      <c r="AU921" s="1">
        <v>2022.0</v>
      </c>
      <c r="AV921" s="1">
        <v>13.0</v>
      </c>
      <c r="AW921" s="1" t="s">
        <v>74</v>
      </c>
      <c r="AX921" s="1" t="s">
        <v>74</v>
      </c>
      <c r="AY921" s="1" t="s">
        <v>74</v>
      </c>
      <c r="AZ921" s="1" t="s">
        <v>74</v>
      </c>
      <c r="BA921" s="1" t="s">
        <v>74</v>
      </c>
      <c r="BB921" s="1" t="s">
        <v>74</v>
      </c>
      <c r="BC921" s="1" t="s">
        <v>74</v>
      </c>
      <c r="BD921" s="1">
        <v>768621.0</v>
      </c>
      <c r="BE921" s="1" t="s">
        <v>9172</v>
      </c>
      <c r="BF921" s="2" t="str">
        <f>HYPERLINK("http://dx.doi.org/10.3389/fimmu.2022.768621","http://dx.doi.org/10.3389/fimmu.2022.768621")</f>
        <v>http://dx.doi.org/10.3389/fimmu.2022.768621</v>
      </c>
      <c r="BG921" s="1" t="s">
        <v>74</v>
      </c>
      <c r="BH921" s="1" t="s">
        <v>74</v>
      </c>
      <c r="BI921" s="1" t="s">
        <v>74</v>
      </c>
      <c r="BJ921" s="1" t="s">
        <v>74</v>
      </c>
      <c r="BK921" s="1" t="s">
        <v>74</v>
      </c>
      <c r="BL921" s="1" t="s">
        <v>74</v>
      </c>
      <c r="BM921" s="1" t="s">
        <v>74</v>
      </c>
      <c r="BN921" s="1">
        <v>3.5464421E7</v>
      </c>
      <c r="BO921" s="1" t="s">
        <v>74</v>
      </c>
      <c r="BP921" s="1" t="s">
        <v>74</v>
      </c>
      <c r="BQ921" s="1" t="s">
        <v>74</v>
      </c>
      <c r="BR921" s="1" t="s">
        <v>74</v>
      </c>
      <c r="BS921" s="1" t="s">
        <v>9173</v>
      </c>
      <c r="BT921" s="1" t="str">
        <f>HYPERLINK("https%3A%2F%2Fwww.webofscience.com%2Fwos%2Fwoscc%2Ffull-record%2FWOS:000808395600001","View Full Record in Web of Science")</f>
        <v>View Full Record in Web of Science</v>
      </c>
    </row>
    <row r="922" ht="12.75" customHeight="1">
      <c r="A922" s="1" t="s">
        <v>72</v>
      </c>
      <c r="B922" s="1" t="s">
        <v>9174</v>
      </c>
      <c r="C922" s="1" t="s">
        <v>74</v>
      </c>
      <c r="D922" s="1" t="s">
        <v>74</v>
      </c>
      <c r="E922" s="1" t="s">
        <v>74</v>
      </c>
      <c r="F922" s="1" t="s">
        <v>9175</v>
      </c>
      <c r="G922" s="1" t="s">
        <v>74</v>
      </c>
      <c r="H922" s="1" t="s">
        <v>74</v>
      </c>
      <c r="I922" s="1" t="s">
        <v>9176</v>
      </c>
      <c r="J922" s="1" t="s">
        <v>1012</v>
      </c>
      <c r="K922" s="1" t="s">
        <v>74</v>
      </c>
      <c r="L922" s="1" t="s">
        <v>74</v>
      </c>
      <c r="M922" s="1" t="s">
        <v>74</v>
      </c>
      <c r="N922" s="1" t="s">
        <v>74</v>
      </c>
      <c r="O922" s="1" t="s">
        <v>74</v>
      </c>
      <c r="P922" s="1" t="s">
        <v>74</v>
      </c>
      <c r="Q922" s="1" t="s">
        <v>74</v>
      </c>
      <c r="R922" s="1" t="s">
        <v>74</v>
      </c>
      <c r="S922" s="1" t="s">
        <v>74</v>
      </c>
      <c r="T922" s="1" t="s">
        <v>74</v>
      </c>
      <c r="U922" s="1" t="s">
        <v>74</v>
      </c>
      <c r="V922" s="1" t="s">
        <v>9177</v>
      </c>
      <c r="W922" s="1" t="s">
        <v>74</v>
      </c>
      <c r="X922" s="1" t="s">
        <v>74</v>
      </c>
      <c r="Y922" s="1" t="s">
        <v>74</v>
      </c>
      <c r="Z922" s="1" t="s">
        <v>74</v>
      </c>
      <c r="AA922" s="1" t="s">
        <v>9178</v>
      </c>
      <c r="AB922" s="1" t="s">
        <v>9179</v>
      </c>
      <c r="AC922" s="1" t="s">
        <v>74</v>
      </c>
      <c r="AD922" s="1" t="s">
        <v>74</v>
      </c>
      <c r="AE922" s="1" t="s">
        <v>74</v>
      </c>
      <c r="AF922" s="1" t="s">
        <v>74</v>
      </c>
      <c r="AG922" s="1" t="s">
        <v>74</v>
      </c>
      <c r="AH922" s="1" t="s">
        <v>74</v>
      </c>
      <c r="AI922" s="1" t="s">
        <v>74</v>
      </c>
      <c r="AJ922" s="1" t="s">
        <v>74</v>
      </c>
      <c r="AK922" s="1" t="s">
        <v>74</v>
      </c>
      <c r="AL922" s="1" t="s">
        <v>74</v>
      </c>
      <c r="AM922" s="1" t="s">
        <v>74</v>
      </c>
      <c r="AN922" s="1" t="s">
        <v>74</v>
      </c>
      <c r="AO922" s="1" t="s">
        <v>1016</v>
      </c>
      <c r="AP922" s="1" t="s">
        <v>1017</v>
      </c>
      <c r="AQ922" s="1" t="s">
        <v>74</v>
      </c>
      <c r="AR922" s="1" t="s">
        <v>74</v>
      </c>
      <c r="AS922" s="1" t="s">
        <v>74</v>
      </c>
      <c r="AT922" s="1" t="s">
        <v>123</v>
      </c>
      <c r="AU922" s="1">
        <v>2021.0</v>
      </c>
      <c r="AV922" s="1">
        <v>532.0</v>
      </c>
      <c r="AW922" s="1" t="s">
        <v>74</v>
      </c>
      <c r="AX922" s="1" t="s">
        <v>74</v>
      </c>
      <c r="AY922" s="1" t="s">
        <v>74</v>
      </c>
      <c r="AZ922" s="1" t="s">
        <v>74</v>
      </c>
      <c r="BA922" s="1" t="s">
        <v>74</v>
      </c>
      <c r="BB922" s="1" t="s">
        <v>74</v>
      </c>
      <c r="BC922" s="1" t="s">
        <v>74</v>
      </c>
      <c r="BD922" s="1">
        <v>112864.0</v>
      </c>
      <c r="BE922" s="1" t="s">
        <v>9180</v>
      </c>
      <c r="BF922" s="2" t="str">
        <f>HYPERLINK("http://dx.doi.org/10.1016/j.fluid.2020.112864","http://dx.doi.org/10.1016/j.fluid.2020.112864")</f>
        <v>http://dx.doi.org/10.1016/j.fluid.2020.112864</v>
      </c>
      <c r="BG922" s="1" t="s">
        <v>74</v>
      </c>
      <c r="BH922" s="1" t="s">
        <v>74</v>
      </c>
      <c r="BI922" s="1" t="s">
        <v>74</v>
      </c>
      <c r="BJ922" s="1" t="s">
        <v>74</v>
      </c>
      <c r="BK922" s="1" t="s">
        <v>74</v>
      </c>
      <c r="BL922" s="1" t="s">
        <v>74</v>
      </c>
      <c r="BM922" s="1" t="s">
        <v>74</v>
      </c>
      <c r="BN922" s="1" t="s">
        <v>74</v>
      </c>
      <c r="BO922" s="1" t="s">
        <v>74</v>
      </c>
      <c r="BP922" s="1" t="s">
        <v>74</v>
      </c>
      <c r="BQ922" s="1" t="s">
        <v>74</v>
      </c>
      <c r="BR922" s="1" t="s">
        <v>74</v>
      </c>
      <c r="BS922" s="1" t="s">
        <v>9181</v>
      </c>
      <c r="BT922" s="1" t="str">
        <f>HYPERLINK("https%3A%2F%2Fwww.webofscience.com%2Fwos%2Fwoscc%2Ffull-record%2FWOS:000615976000001","View Full Record in Web of Science")</f>
        <v>View Full Record in Web of Science</v>
      </c>
    </row>
    <row r="923" ht="12.75" customHeight="1">
      <c r="A923" s="1" t="s">
        <v>72</v>
      </c>
      <c r="B923" s="1" t="s">
        <v>9182</v>
      </c>
      <c r="C923" s="1" t="s">
        <v>74</v>
      </c>
      <c r="D923" s="1" t="s">
        <v>74</v>
      </c>
      <c r="E923" s="1" t="s">
        <v>74</v>
      </c>
      <c r="F923" s="1" t="s">
        <v>9183</v>
      </c>
      <c r="G923" s="1" t="s">
        <v>74</v>
      </c>
      <c r="H923" s="1" t="s">
        <v>74</v>
      </c>
      <c r="I923" s="1" t="s">
        <v>9184</v>
      </c>
      <c r="J923" s="1" t="s">
        <v>847</v>
      </c>
      <c r="K923" s="1" t="s">
        <v>74</v>
      </c>
      <c r="L923" s="1" t="s">
        <v>74</v>
      </c>
      <c r="M923" s="1" t="s">
        <v>74</v>
      </c>
      <c r="N923" s="1" t="s">
        <v>74</v>
      </c>
      <c r="O923" s="1" t="s">
        <v>74</v>
      </c>
      <c r="P923" s="1" t="s">
        <v>74</v>
      </c>
      <c r="Q923" s="1" t="s">
        <v>74</v>
      </c>
      <c r="R923" s="1" t="s">
        <v>74</v>
      </c>
      <c r="S923" s="1" t="s">
        <v>74</v>
      </c>
      <c r="T923" s="1" t="s">
        <v>74</v>
      </c>
      <c r="U923" s="1" t="s">
        <v>74</v>
      </c>
      <c r="V923" s="1" t="s">
        <v>9185</v>
      </c>
      <c r="W923" s="1" t="s">
        <v>74</v>
      </c>
      <c r="X923" s="1" t="s">
        <v>74</v>
      </c>
      <c r="Y923" s="1" t="s">
        <v>74</v>
      </c>
      <c r="Z923" s="1" t="s">
        <v>74</v>
      </c>
      <c r="AA923" s="1" t="s">
        <v>9186</v>
      </c>
      <c r="AB923" s="1" t="s">
        <v>9187</v>
      </c>
      <c r="AC923" s="1" t="s">
        <v>74</v>
      </c>
      <c r="AD923" s="1" t="s">
        <v>74</v>
      </c>
      <c r="AE923" s="1" t="s">
        <v>74</v>
      </c>
      <c r="AF923" s="1" t="s">
        <v>74</v>
      </c>
      <c r="AG923" s="1" t="s">
        <v>74</v>
      </c>
      <c r="AH923" s="1" t="s">
        <v>74</v>
      </c>
      <c r="AI923" s="1" t="s">
        <v>74</v>
      </c>
      <c r="AJ923" s="1" t="s">
        <v>74</v>
      </c>
      <c r="AK923" s="1" t="s">
        <v>74</v>
      </c>
      <c r="AL923" s="1" t="s">
        <v>74</v>
      </c>
      <c r="AM923" s="1" t="s">
        <v>74</v>
      </c>
      <c r="AN923" s="1" t="s">
        <v>74</v>
      </c>
      <c r="AO923" s="1" t="s">
        <v>851</v>
      </c>
      <c r="AP923" s="1" t="s">
        <v>852</v>
      </c>
      <c r="AQ923" s="1" t="s">
        <v>74</v>
      </c>
      <c r="AR923" s="1" t="s">
        <v>74</v>
      </c>
      <c r="AS923" s="1" t="s">
        <v>74</v>
      </c>
      <c r="AT923" s="1" t="s">
        <v>2281</v>
      </c>
      <c r="AU923" s="1">
        <v>2020.0</v>
      </c>
      <c r="AV923" s="1">
        <v>500.0</v>
      </c>
      <c r="AW923" s="1" t="s">
        <v>74</v>
      </c>
      <c r="AX923" s="1" t="s">
        <v>74</v>
      </c>
      <c r="AY923" s="1" t="s">
        <v>74</v>
      </c>
      <c r="AZ923" s="1" t="s">
        <v>74</v>
      </c>
      <c r="BA923" s="1" t="s">
        <v>74</v>
      </c>
      <c r="BB923" s="1" t="s">
        <v>74</v>
      </c>
      <c r="BC923" s="1" t="s">
        <v>74</v>
      </c>
      <c r="BD923" s="1">
        <v>166322.0</v>
      </c>
      <c r="BE923" s="1" t="s">
        <v>9188</v>
      </c>
      <c r="BF923" s="2" t="str">
        <f>HYPERLINK("http://dx.doi.org/10.1016/j.jmmm.2019.166322","http://dx.doi.org/10.1016/j.jmmm.2019.166322")</f>
        <v>http://dx.doi.org/10.1016/j.jmmm.2019.166322</v>
      </c>
      <c r="BG923" s="1" t="s">
        <v>74</v>
      </c>
      <c r="BH923" s="1" t="s">
        <v>74</v>
      </c>
      <c r="BI923" s="1" t="s">
        <v>74</v>
      </c>
      <c r="BJ923" s="1" t="s">
        <v>74</v>
      </c>
      <c r="BK923" s="1" t="s">
        <v>74</v>
      </c>
      <c r="BL923" s="1" t="s">
        <v>74</v>
      </c>
      <c r="BM923" s="1" t="s">
        <v>74</v>
      </c>
      <c r="BN923" s="1" t="s">
        <v>74</v>
      </c>
      <c r="BO923" s="1" t="s">
        <v>74</v>
      </c>
      <c r="BP923" s="1" t="s">
        <v>74</v>
      </c>
      <c r="BQ923" s="1" t="s">
        <v>74</v>
      </c>
      <c r="BR923" s="1" t="s">
        <v>74</v>
      </c>
      <c r="BS923" s="1" t="s">
        <v>9189</v>
      </c>
      <c r="BT923" s="1" t="str">
        <f>HYPERLINK("https%3A%2F%2Fwww.webofscience.com%2Fwos%2Fwoscc%2Ffull-record%2FWOS:000512907600017","View Full Record in Web of Science")</f>
        <v>View Full Record in Web of Science</v>
      </c>
    </row>
    <row r="924" ht="12.75" customHeight="1">
      <c r="A924" s="1" t="s">
        <v>72</v>
      </c>
      <c r="B924" s="1" t="s">
        <v>9190</v>
      </c>
      <c r="C924" s="1" t="s">
        <v>74</v>
      </c>
      <c r="D924" s="1" t="s">
        <v>74</v>
      </c>
      <c r="E924" s="1" t="s">
        <v>74</v>
      </c>
      <c r="F924" s="1" t="s">
        <v>9191</v>
      </c>
      <c r="G924" s="1" t="s">
        <v>74</v>
      </c>
      <c r="H924" s="1" t="s">
        <v>74</v>
      </c>
      <c r="I924" s="1" t="s">
        <v>9192</v>
      </c>
      <c r="J924" s="1" t="s">
        <v>5684</v>
      </c>
      <c r="K924" s="1" t="s">
        <v>74</v>
      </c>
      <c r="L924" s="1" t="s">
        <v>74</v>
      </c>
      <c r="M924" s="1" t="s">
        <v>74</v>
      </c>
      <c r="N924" s="1" t="s">
        <v>74</v>
      </c>
      <c r="O924" s="1" t="s">
        <v>74</v>
      </c>
      <c r="P924" s="1" t="s">
        <v>74</v>
      </c>
      <c r="Q924" s="1" t="s">
        <v>74</v>
      </c>
      <c r="R924" s="1" t="s">
        <v>74</v>
      </c>
      <c r="S924" s="1" t="s">
        <v>74</v>
      </c>
      <c r="T924" s="1" t="s">
        <v>74</v>
      </c>
      <c r="U924" s="1" t="s">
        <v>74</v>
      </c>
      <c r="V924" s="1" t="s">
        <v>9193</v>
      </c>
      <c r="W924" s="1" t="s">
        <v>74</v>
      </c>
      <c r="X924" s="1" t="s">
        <v>74</v>
      </c>
      <c r="Y924" s="1" t="s">
        <v>74</v>
      </c>
      <c r="Z924" s="1" t="s">
        <v>74</v>
      </c>
      <c r="AA924" s="1" t="s">
        <v>9194</v>
      </c>
      <c r="AB924" s="1" t="s">
        <v>9195</v>
      </c>
      <c r="AC924" s="1" t="s">
        <v>74</v>
      </c>
      <c r="AD924" s="1" t="s">
        <v>74</v>
      </c>
      <c r="AE924" s="1" t="s">
        <v>74</v>
      </c>
      <c r="AF924" s="1" t="s">
        <v>74</v>
      </c>
      <c r="AG924" s="1" t="s">
        <v>74</v>
      </c>
      <c r="AH924" s="1" t="s">
        <v>74</v>
      </c>
      <c r="AI924" s="1" t="s">
        <v>74</v>
      </c>
      <c r="AJ924" s="1" t="s">
        <v>74</v>
      </c>
      <c r="AK924" s="1" t="s">
        <v>74</v>
      </c>
      <c r="AL924" s="1" t="s">
        <v>74</v>
      </c>
      <c r="AM924" s="1" t="s">
        <v>74</v>
      </c>
      <c r="AN924" s="1" t="s">
        <v>74</v>
      </c>
      <c r="AO924" s="1" t="s">
        <v>5687</v>
      </c>
      <c r="AP924" s="1" t="s">
        <v>5688</v>
      </c>
      <c r="AQ924" s="1" t="s">
        <v>74</v>
      </c>
      <c r="AR924" s="1" t="s">
        <v>74</v>
      </c>
      <c r="AS924" s="1" t="s">
        <v>74</v>
      </c>
      <c r="AT924" s="1" t="s">
        <v>74</v>
      </c>
      <c r="AU924" s="1">
        <v>2020.0</v>
      </c>
      <c r="AV924" s="1" t="s">
        <v>74</v>
      </c>
      <c r="AW924" s="1">
        <v>37.0</v>
      </c>
      <c r="AX924" s="1" t="s">
        <v>74</v>
      </c>
      <c r="AY924" s="1" t="s">
        <v>74</v>
      </c>
      <c r="AZ924" s="1" t="s">
        <v>74</v>
      </c>
      <c r="BA924" s="1" t="s">
        <v>74</v>
      </c>
      <c r="BB924" s="1">
        <v>197.0</v>
      </c>
      <c r="BC924" s="1">
        <v>204.0</v>
      </c>
      <c r="BD924" s="1" t="s">
        <v>74</v>
      </c>
      <c r="BE924" s="1" t="s">
        <v>74</v>
      </c>
      <c r="BF924" s="1" t="s">
        <v>74</v>
      </c>
      <c r="BG924" s="1" t="s">
        <v>74</v>
      </c>
      <c r="BH924" s="1" t="s">
        <v>74</v>
      </c>
      <c r="BI924" s="1" t="s">
        <v>74</v>
      </c>
      <c r="BJ924" s="1" t="s">
        <v>74</v>
      </c>
      <c r="BK924" s="1" t="s">
        <v>74</v>
      </c>
      <c r="BL924" s="1" t="s">
        <v>74</v>
      </c>
      <c r="BM924" s="1" t="s">
        <v>74</v>
      </c>
      <c r="BN924" s="1" t="s">
        <v>74</v>
      </c>
      <c r="BO924" s="1" t="s">
        <v>74</v>
      </c>
      <c r="BP924" s="1" t="s">
        <v>74</v>
      </c>
      <c r="BQ924" s="1" t="s">
        <v>74</v>
      </c>
      <c r="BR924" s="1" t="s">
        <v>74</v>
      </c>
      <c r="BS924" s="1" t="s">
        <v>9196</v>
      </c>
      <c r="BT924" s="1" t="str">
        <f>HYPERLINK("https%3A%2F%2Fwww.webofscience.com%2Fwos%2Fwoscc%2Ffull-record%2FWOS:000519562000029","View Full Record in Web of Science")</f>
        <v>View Full Record in Web of Science</v>
      </c>
    </row>
    <row r="925" ht="12.75" customHeight="1">
      <c r="A925" s="1" t="s">
        <v>72</v>
      </c>
      <c r="B925" s="1" t="s">
        <v>9197</v>
      </c>
      <c r="C925" s="1" t="s">
        <v>74</v>
      </c>
      <c r="D925" s="1" t="s">
        <v>74</v>
      </c>
      <c r="E925" s="1" t="s">
        <v>74</v>
      </c>
      <c r="F925" s="1" t="s">
        <v>9198</v>
      </c>
      <c r="G925" s="1" t="s">
        <v>74</v>
      </c>
      <c r="H925" s="1" t="s">
        <v>74</v>
      </c>
      <c r="I925" s="1" t="s">
        <v>9199</v>
      </c>
      <c r="J925" s="1" t="s">
        <v>9200</v>
      </c>
      <c r="K925" s="1" t="s">
        <v>74</v>
      </c>
      <c r="L925" s="1" t="s">
        <v>74</v>
      </c>
      <c r="M925" s="1" t="s">
        <v>74</v>
      </c>
      <c r="N925" s="1" t="s">
        <v>74</v>
      </c>
      <c r="O925" s="1" t="s">
        <v>74</v>
      </c>
      <c r="P925" s="1" t="s">
        <v>74</v>
      </c>
      <c r="Q925" s="1" t="s">
        <v>74</v>
      </c>
      <c r="R925" s="1" t="s">
        <v>74</v>
      </c>
      <c r="S925" s="1" t="s">
        <v>74</v>
      </c>
      <c r="T925" s="1" t="s">
        <v>74</v>
      </c>
      <c r="U925" s="1" t="s">
        <v>74</v>
      </c>
      <c r="V925" s="1" t="s">
        <v>9201</v>
      </c>
      <c r="W925" s="1" t="s">
        <v>74</v>
      </c>
      <c r="X925" s="1" t="s">
        <v>74</v>
      </c>
      <c r="Y925" s="1" t="s">
        <v>74</v>
      </c>
      <c r="Z925" s="1" t="s">
        <v>74</v>
      </c>
      <c r="AA925" s="1" t="s">
        <v>9202</v>
      </c>
      <c r="AB925" s="1" t="s">
        <v>9203</v>
      </c>
      <c r="AC925" s="1" t="s">
        <v>74</v>
      </c>
      <c r="AD925" s="1" t="s">
        <v>74</v>
      </c>
      <c r="AE925" s="1" t="s">
        <v>74</v>
      </c>
      <c r="AF925" s="1" t="s">
        <v>74</v>
      </c>
      <c r="AG925" s="1" t="s">
        <v>74</v>
      </c>
      <c r="AH925" s="1" t="s">
        <v>74</v>
      </c>
      <c r="AI925" s="1" t="s">
        <v>74</v>
      </c>
      <c r="AJ925" s="1" t="s">
        <v>74</v>
      </c>
      <c r="AK925" s="1" t="s">
        <v>74</v>
      </c>
      <c r="AL925" s="1" t="s">
        <v>74</v>
      </c>
      <c r="AM925" s="1" t="s">
        <v>74</v>
      </c>
      <c r="AN925" s="1" t="s">
        <v>74</v>
      </c>
      <c r="AO925" s="1" t="s">
        <v>9204</v>
      </c>
      <c r="AP925" s="1" t="s">
        <v>9205</v>
      </c>
      <c r="AQ925" s="1" t="s">
        <v>74</v>
      </c>
      <c r="AR925" s="1" t="s">
        <v>74</v>
      </c>
      <c r="AS925" s="1" t="s">
        <v>74</v>
      </c>
      <c r="AT925" s="1" t="s">
        <v>9206</v>
      </c>
      <c r="AU925" s="1">
        <v>2019.0</v>
      </c>
      <c r="AV925" s="1">
        <v>55.0</v>
      </c>
      <c r="AW925" s="1">
        <v>99.0</v>
      </c>
      <c r="AX925" s="1" t="s">
        <v>74</v>
      </c>
      <c r="AY925" s="1" t="s">
        <v>74</v>
      </c>
      <c r="AZ925" s="1" t="s">
        <v>74</v>
      </c>
      <c r="BA925" s="1" t="s">
        <v>74</v>
      </c>
      <c r="BB925" s="1">
        <v>14992.0</v>
      </c>
      <c r="BC925" s="1">
        <v>14995.0</v>
      </c>
      <c r="BD925" s="1" t="s">
        <v>74</v>
      </c>
      <c r="BE925" s="1" t="s">
        <v>9207</v>
      </c>
      <c r="BF925" s="2" t="str">
        <f>HYPERLINK("http://dx.doi.org/10.1039/c9cc07868a","http://dx.doi.org/10.1039/c9cc07868a")</f>
        <v>http://dx.doi.org/10.1039/c9cc07868a</v>
      </c>
      <c r="BG925" s="1" t="s">
        <v>74</v>
      </c>
      <c r="BH925" s="1" t="s">
        <v>74</v>
      </c>
      <c r="BI925" s="1" t="s">
        <v>74</v>
      </c>
      <c r="BJ925" s="1" t="s">
        <v>74</v>
      </c>
      <c r="BK925" s="1" t="s">
        <v>74</v>
      </c>
      <c r="BL925" s="1" t="s">
        <v>74</v>
      </c>
      <c r="BM925" s="1" t="s">
        <v>74</v>
      </c>
      <c r="BN925" s="1">
        <v>3.1777875E7</v>
      </c>
      <c r="BO925" s="1" t="s">
        <v>74</v>
      </c>
      <c r="BP925" s="1" t="s">
        <v>74</v>
      </c>
      <c r="BQ925" s="1" t="s">
        <v>74</v>
      </c>
      <c r="BR925" s="1" t="s">
        <v>74</v>
      </c>
      <c r="BS925" s="1" t="s">
        <v>9208</v>
      </c>
      <c r="BT925" s="1" t="str">
        <f>HYPERLINK("https%3A%2F%2Fwww.webofscience.com%2Fwos%2Fwoscc%2Ffull-record%2FWOS:000502103100025","View Full Record in Web of Science")</f>
        <v>View Full Record in Web of Science</v>
      </c>
    </row>
    <row r="926" ht="12.75" customHeight="1">
      <c r="A926" s="1" t="s">
        <v>72</v>
      </c>
      <c r="B926" s="1" t="s">
        <v>9209</v>
      </c>
      <c r="C926" s="1" t="s">
        <v>74</v>
      </c>
      <c r="D926" s="1" t="s">
        <v>74</v>
      </c>
      <c r="E926" s="1" t="s">
        <v>74</v>
      </c>
      <c r="F926" s="1" t="s">
        <v>9210</v>
      </c>
      <c r="G926" s="1" t="s">
        <v>74</v>
      </c>
      <c r="H926" s="1" t="s">
        <v>74</v>
      </c>
      <c r="I926" s="1" t="s">
        <v>9211</v>
      </c>
      <c r="J926" s="1" t="s">
        <v>9212</v>
      </c>
      <c r="K926" s="1" t="s">
        <v>74</v>
      </c>
      <c r="L926" s="1" t="s">
        <v>74</v>
      </c>
      <c r="M926" s="1" t="s">
        <v>74</v>
      </c>
      <c r="N926" s="1" t="s">
        <v>74</v>
      </c>
      <c r="O926" s="1" t="s">
        <v>74</v>
      </c>
      <c r="P926" s="1" t="s">
        <v>74</v>
      </c>
      <c r="Q926" s="1" t="s">
        <v>74</v>
      </c>
      <c r="R926" s="1" t="s">
        <v>74</v>
      </c>
      <c r="S926" s="1" t="s">
        <v>74</v>
      </c>
      <c r="T926" s="1" t="s">
        <v>74</v>
      </c>
      <c r="U926" s="1" t="s">
        <v>74</v>
      </c>
      <c r="V926" s="1" t="s">
        <v>9213</v>
      </c>
      <c r="W926" s="1" t="s">
        <v>74</v>
      </c>
      <c r="X926" s="1" t="s">
        <v>74</v>
      </c>
      <c r="Y926" s="1" t="s">
        <v>74</v>
      </c>
      <c r="Z926" s="1" t="s">
        <v>74</v>
      </c>
      <c r="AA926" s="1" t="s">
        <v>9214</v>
      </c>
      <c r="AB926" s="1" t="s">
        <v>9215</v>
      </c>
      <c r="AC926" s="1" t="s">
        <v>74</v>
      </c>
      <c r="AD926" s="1" t="s">
        <v>74</v>
      </c>
      <c r="AE926" s="1" t="s">
        <v>74</v>
      </c>
      <c r="AF926" s="1" t="s">
        <v>74</v>
      </c>
      <c r="AG926" s="1" t="s">
        <v>74</v>
      </c>
      <c r="AH926" s="1" t="s">
        <v>74</v>
      </c>
      <c r="AI926" s="1" t="s">
        <v>74</v>
      </c>
      <c r="AJ926" s="1" t="s">
        <v>74</v>
      </c>
      <c r="AK926" s="1" t="s">
        <v>74</v>
      </c>
      <c r="AL926" s="1" t="s">
        <v>74</v>
      </c>
      <c r="AM926" s="1" t="s">
        <v>74</v>
      </c>
      <c r="AN926" s="1" t="s">
        <v>74</v>
      </c>
      <c r="AO926" s="1" t="s">
        <v>9216</v>
      </c>
      <c r="AP926" s="1" t="s">
        <v>9217</v>
      </c>
      <c r="AQ926" s="1" t="s">
        <v>74</v>
      </c>
      <c r="AR926" s="1" t="s">
        <v>74</v>
      </c>
      <c r="AS926" s="1" t="s">
        <v>74</v>
      </c>
      <c r="AT926" s="1" t="s">
        <v>485</v>
      </c>
      <c r="AU926" s="1">
        <v>2019.0</v>
      </c>
      <c r="AV926" s="1">
        <v>175.0</v>
      </c>
      <c r="AW926" s="1" t="s">
        <v>527</v>
      </c>
      <c r="AX926" s="1" t="s">
        <v>74</v>
      </c>
      <c r="AY926" s="1" t="s">
        <v>74</v>
      </c>
      <c r="AZ926" s="1" t="s">
        <v>74</v>
      </c>
      <c r="BA926" s="1" t="s">
        <v>74</v>
      </c>
      <c r="BB926" s="1">
        <v>241.0</v>
      </c>
      <c r="BC926" s="1">
        <v>262.0</v>
      </c>
      <c r="BD926" s="1" t="s">
        <v>74</v>
      </c>
      <c r="BE926" s="1" t="s">
        <v>9218</v>
      </c>
      <c r="BF926" s="2" t="str">
        <f>HYPERLINK("http://dx.doi.org/10.1007/s10107-018-1240-1","http://dx.doi.org/10.1007/s10107-018-1240-1")</f>
        <v>http://dx.doi.org/10.1007/s10107-018-1240-1</v>
      </c>
      <c r="BG926" s="1" t="s">
        <v>74</v>
      </c>
      <c r="BH926" s="1" t="s">
        <v>74</v>
      </c>
      <c r="BI926" s="1" t="s">
        <v>74</v>
      </c>
      <c r="BJ926" s="1" t="s">
        <v>74</v>
      </c>
      <c r="BK926" s="1" t="s">
        <v>74</v>
      </c>
      <c r="BL926" s="1" t="s">
        <v>74</v>
      </c>
      <c r="BM926" s="1" t="s">
        <v>74</v>
      </c>
      <c r="BN926" s="1" t="s">
        <v>74</v>
      </c>
      <c r="BO926" s="1" t="s">
        <v>74</v>
      </c>
      <c r="BP926" s="1" t="s">
        <v>74</v>
      </c>
      <c r="BQ926" s="1" t="s">
        <v>74</v>
      </c>
      <c r="BR926" s="1" t="s">
        <v>74</v>
      </c>
      <c r="BS926" s="1" t="s">
        <v>9219</v>
      </c>
      <c r="BT926" s="1" t="str">
        <f>HYPERLINK("https%3A%2F%2Fwww.webofscience.com%2Fwos%2Fwoscc%2Ffull-record%2FWOS:000465626900008","View Full Record in Web of Science")</f>
        <v>View Full Record in Web of Science</v>
      </c>
    </row>
    <row r="927" ht="12.75" customHeight="1">
      <c r="A927" s="1" t="s">
        <v>72</v>
      </c>
      <c r="B927" s="1" t="s">
        <v>9220</v>
      </c>
      <c r="C927" s="1" t="s">
        <v>74</v>
      </c>
      <c r="D927" s="1" t="s">
        <v>74</v>
      </c>
      <c r="E927" s="1" t="s">
        <v>74</v>
      </c>
      <c r="F927" s="1" t="s">
        <v>9221</v>
      </c>
      <c r="G927" s="1" t="s">
        <v>74</v>
      </c>
      <c r="H927" s="1" t="s">
        <v>74</v>
      </c>
      <c r="I927" s="1" t="s">
        <v>9222</v>
      </c>
      <c r="J927" s="1" t="s">
        <v>6305</v>
      </c>
      <c r="K927" s="1" t="s">
        <v>74</v>
      </c>
      <c r="L927" s="1" t="s">
        <v>74</v>
      </c>
      <c r="M927" s="1" t="s">
        <v>74</v>
      </c>
      <c r="N927" s="1" t="s">
        <v>74</v>
      </c>
      <c r="O927" s="1" t="s">
        <v>74</v>
      </c>
      <c r="P927" s="1" t="s">
        <v>74</v>
      </c>
      <c r="Q927" s="1" t="s">
        <v>74</v>
      </c>
      <c r="R927" s="1" t="s">
        <v>74</v>
      </c>
      <c r="S927" s="1" t="s">
        <v>74</v>
      </c>
      <c r="T927" s="1" t="s">
        <v>74</v>
      </c>
      <c r="U927" s="1" t="s">
        <v>74</v>
      </c>
      <c r="V927" s="1" t="s">
        <v>9223</v>
      </c>
      <c r="W927" s="1" t="s">
        <v>74</v>
      </c>
      <c r="X927" s="1" t="s">
        <v>74</v>
      </c>
      <c r="Y927" s="1" t="s">
        <v>74</v>
      </c>
      <c r="Z927" s="1" t="s">
        <v>74</v>
      </c>
      <c r="AA927" s="1" t="s">
        <v>9224</v>
      </c>
      <c r="AB927" s="1" t="s">
        <v>9225</v>
      </c>
      <c r="AC927" s="1" t="s">
        <v>74</v>
      </c>
      <c r="AD927" s="1" t="s">
        <v>74</v>
      </c>
      <c r="AE927" s="1" t="s">
        <v>74</v>
      </c>
      <c r="AF927" s="1" t="s">
        <v>74</v>
      </c>
      <c r="AG927" s="1" t="s">
        <v>74</v>
      </c>
      <c r="AH927" s="1" t="s">
        <v>74</v>
      </c>
      <c r="AI927" s="1" t="s">
        <v>74</v>
      </c>
      <c r="AJ927" s="1" t="s">
        <v>74</v>
      </c>
      <c r="AK927" s="1" t="s">
        <v>74</v>
      </c>
      <c r="AL927" s="1" t="s">
        <v>74</v>
      </c>
      <c r="AM927" s="1" t="s">
        <v>74</v>
      </c>
      <c r="AN927" s="1" t="s">
        <v>74</v>
      </c>
      <c r="AO927" s="1" t="s">
        <v>6309</v>
      </c>
      <c r="AP927" s="1" t="s">
        <v>6310</v>
      </c>
      <c r="AQ927" s="1" t="s">
        <v>74</v>
      </c>
      <c r="AR927" s="1" t="s">
        <v>74</v>
      </c>
      <c r="AS927" s="1" t="s">
        <v>74</v>
      </c>
      <c r="AT927" s="1" t="s">
        <v>8222</v>
      </c>
      <c r="AU927" s="1">
        <v>2018.0</v>
      </c>
      <c r="AV927" s="1">
        <v>57.0</v>
      </c>
      <c r="AW927" s="1">
        <v>22.0</v>
      </c>
      <c r="AX927" s="1" t="s">
        <v>74</v>
      </c>
      <c r="AY927" s="1" t="s">
        <v>74</v>
      </c>
      <c r="AZ927" s="1" t="s">
        <v>74</v>
      </c>
      <c r="BA927" s="1" t="s">
        <v>74</v>
      </c>
      <c r="BB927" s="1">
        <v>14170.0</v>
      </c>
      <c r="BC927" s="1">
        <v>14177.0</v>
      </c>
      <c r="BD927" s="1" t="s">
        <v>74</v>
      </c>
      <c r="BE927" s="1" t="s">
        <v>9226</v>
      </c>
      <c r="BF927" s="2" t="str">
        <f>HYPERLINK("http://dx.doi.org/10.1021/acs.inorgchem.8b02080","http://dx.doi.org/10.1021/acs.inorgchem.8b02080")</f>
        <v>http://dx.doi.org/10.1021/acs.inorgchem.8b02080</v>
      </c>
      <c r="BG927" s="1" t="s">
        <v>74</v>
      </c>
      <c r="BH927" s="1" t="s">
        <v>74</v>
      </c>
      <c r="BI927" s="1" t="s">
        <v>74</v>
      </c>
      <c r="BJ927" s="1" t="s">
        <v>74</v>
      </c>
      <c r="BK927" s="1" t="s">
        <v>74</v>
      </c>
      <c r="BL927" s="1" t="s">
        <v>74</v>
      </c>
      <c r="BM927" s="1" t="s">
        <v>74</v>
      </c>
      <c r="BN927" s="1">
        <v>3.0378423E7</v>
      </c>
      <c r="BO927" s="1" t="s">
        <v>74</v>
      </c>
      <c r="BP927" s="1" t="s">
        <v>74</v>
      </c>
      <c r="BQ927" s="1" t="s">
        <v>74</v>
      </c>
      <c r="BR927" s="1" t="s">
        <v>74</v>
      </c>
      <c r="BS927" s="1" t="s">
        <v>9227</v>
      </c>
      <c r="BT927" s="1" t="str">
        <f>HYPERLINK("https%3A%2F%2Fwww.webofscience.com%2Fwos%2Fwoscc%2Ffull-record%2FWOS:000451244700020","View Full Record in Web of Science")</f>
        <v>View Full Record in Web of Science</v>
      </c>
    </row>
    <row r="928" ht="12.75" customHeight="1">
      <c r="A928" s="1" t="s">
        <v>72</v>
      </c>
      <c r="B928" s="1" t="s">
        <v>9228</v>
      </c>
      <c r="C928" s="1" t="s">
        <v>74</v>
      </c>
      <c r="D928" s="1" t="s">
        <v>74</v>
      </c>
      <c r="E928" s="1" t="s">
        <v>74</v>
      </c>
      <c r="F928" s="1" t="s">
        <v>9229</v>
      </c>
      <c r="G928" s="1" t="s">
        <v>74</v>
      </c>
      <c r="H928" s="1" t="s">
        <v>74</v>
      </c>
      <c r="I928" s="1" t="s">
        <v>9230</v>
      </c>
      <c r="J928" s="1" t="s">
        <v>5457</v>
      </c>
      <c r="K928" s="1" t="s">
        <v>74</v>
      </c>
      <c r="L928" s="1" t="s">
        <v>74</v>
      </c>
      <c r="M928" s="1" t="s">
        <v>74</v>
      </c>
      <c r="N928" s="1" t="s">
        <v>74</v>
      </c>
      <c r="O928" s="1" t="s">
        <v>74</v>
      </c>
      <c r="P928" s="1" t="s">
        <v>74</v>
      </c>
      <c r="Q928" s="1" t="s">
        <v>74</v>
      </c>
      <c r="R928" s="1" t="s">
        <v>74</v>
      </c>
      <c r="S928" s="1" t="s">
        <v>74</v>
      </c>
      <c r="T928" s="1" t="s">
        <v>74</v>
      </c>
      <c r="U928" s="1" t="s">
        <v>74</v>
      </c>
      <c r="V928" s="1" t="s">
        <v>9231</v>
      </c>
      <c r="W928" s="1" t="s">
        <v>74</v>
      </c>
      <c r="X928" s="1" t="s">
        <v>74</v>
      </c>
      <c r="Y928" s="1" t="s">
        <v>74</v>
      </c>
      <c r="Z928" s="1" t="s">
        <v>74</v>
      </c>
      <c r="AA928" s="1" t="s">
        <v>9232</v>
      </c>
      <c r="AB928" s="1" t="s">
        <v>9233</v>
      </c>
      <c r="AC928" s="1" t="s">
        <v>74</v>
      </c>
      <c r="AD928" s="1" t="s">
        <v>74</v>
      </c>
      <c r="AE928" s="1" t="s">
        <v>74</v>
      </c>
      <c r="AF928" s="1" t="s">
        <v>74</v>
      </c>
      <c r="AG928" s="1" t="s">
        <v>74</v>
      </c>
      <c r="AH928" s="1" t="s">
        <v>74</v>
      </c>
      <c r="AI928" s="1" t="s">
        <v>74</v>
      </c>
      <c r="AJ928" s="1" t="s">
        <v>74</v>
      </c>
      <c r="AK928" s="1" t="s">
        <v>74</v>
      </c>
      <c r="AL928" s="1" t="s">
        <v>74</v>
      </c>
      <c r="AM928" s="1" t="s">
        <v>74</v>
      </c>
      <c r="AN928" s="1" t="s">
        <v>74</v>
      </c>
      <c r="AO928" s="1" t="s">
        <v>5461</v>
      </c>
      <c r="AP928" s="1" t="s">
        <v>5462</v>
      </c>
      <c r="AQ928" s="1" t="s">
        <v>74</v>
      </c>
      <c r="AR928" s="1" t="s">
        <v>74</v>
      </c>
      <c r="AS928" s="1" t="s">
        <v>74</v>
      </c>
      <c r="AT928" s="1" t="s">
        <v>2898</v>
      </c>
      <c r="AU928" s="1">
        <v>2018.0</v>
      </c>
      <c r="AV928" s="1">
        <v>29.0</v>
      </c>
      <c r="AW928" s="1">
        <v>34.0</v>
      </c>
      <c r="AX928" s="1" t="s">
        <v>74</v>
      </c>
      <c r="AY928" s="1" t="s">
        <v>74</v>
      </c>
      <c r="AZ928" s="1" t="s">
        <v>74</v>
      </c>
      <c r="BA928" s="1" t="s">
        <v>74</v>
      </c>
      <c r="BB928" s="1" t="s">
        <v>74</v>
      </c>
      <c r="BC928" s="1" t="s">
        <v>74</v>
      </c>
      <c r="BD928" s="1">
        <v>345702.0</v>
      </c>
      <c r="BE928" s="1" t="s">
        <v>9234</v>
      </c>
      <c r="BF928" s="2" t="str">
        <f>HYPERLINK("http://dx.doi.org/10.1088/1361-6528/aac8c4","http://dx.doi.org/10.1088/1361-6528/aac8c4")</f>
        <v>http://dx.doi.org/10.1088/1361-6528/aac8c4</v>
      </c>
      <c r="BG928" s="1" t="s">
        <v>74</v>
      </c>
      <c r="BH928" s="1" t="s">
        <v>74</v>
      </c>
      <c r="BI928" s="1" t="s">
        <v>74</v>
      </c>
      <c r="BJ928" s="1" t="s">
        <v>74</v>
      </c>
      <c r="BK928" s="1" t="s">
        <v>74</v>
      </c>
      <c r="BL928" s="1" t="s">
        <v>74</v>
      </c>
      <c r="BM928" s="1" t="s">
        <v>74</v>
      </c>
      <c r="BN928" s="1">
        <v>2.9846183E7</v>
      </c>
      <c r="BO928" s="1" t="s">
        <v>74</v>
      </c>
      <c r="BP928" s="1" t="s">
        <v>74</v>
      </c>
      <c r="BQ928" s="1" t="s">
        <v>74</v>
      </c>
      <c r="BR928" s="1" t="s">
        <v>74</v>
      </c>
      <c r="BS928" s="1" t="s">
        <v>9235</v>
      </c>
      <c r="BT928" s="1" t="str">
        <f>HYPERLINK("https%3A%2F%2Fwww.webofscience.com%2Fwos%2Fwoscc%2Ffull-record%2FWOS:000435378700001","View Full Record in Web of Science")</f>
        <v>View Full Record in Web of Science</v>
      </c>
    </row>
    <row r="929" ht="12.75" customHeight="1">
      <c r="A929" s="1" t="s">
        <v>72</v>
      </c>
      <c r="B929" s="1" t="s">
        <v>9236</v>
      </c>
      <c r="C929" s="1" t="s">
        <v>74</v>
      </c>
      <c r="D929" s="1" t="s">
        <v>74</v>
      </c>
      <c r="E929" s="1" t="s">
        <v>74</v>
      </c>
      <c r="F929" s="1" t="s">
        <v>9237</v>
      </c>
      <c r="G929" s="1" t="s">
        <v>74</v>
      </c>
      <c r="H929" s="1" t="s">
        <v>74</v>
      </c>
      <c r="I929" s="1" t="s">
        <v>9238</v>
      </c>
      <c r="J929" s="1" t="s">
        <v>4330</v>
      </c>
      <c r="K929" s="1" t="s">
        <v>74</v>
      </c>
      <c r="L929" s="1" t="s">
        <v>74</v>
      </c>
      <c r="M929" s="1" t="s">
        <v>74</v>
      </c>
      <c r="N929" s="1" t="s">
        <v>74</v>
      </c>
      <c r="O929" s="1" t="s">
        <v>74</v>
      </c>
      <c r="P929" s="1" t="s">
        <v>74</v>
      </c>
      <c r="Q929" s="1" t="s">
        <v>74</v>
      </c>
      <c r="R929" s="1" t="s">
        <v>74</v>
      </c>
      <c r="S929" s="1" t="s">
        <v>74</v>
      </c>
      <c r="T929" s="1" t="s">
        <v>74</v>
      </c>
      <c r="U929" s="1" t="s">
        <v>74</v>
      </c>
      <c r="V929" s="1" t="s">
        <v>9239</v>
      </c>
      <c r="W929" s="1" t="s">
        <v>74</v>
      </c>
      <c r="X929" s="1" t="s">
        <v>74</v>
      </c>
      <c r="Y929" s="1" t="s">
        <v>74</v>
      </c>
      <c r="Z929" s="1" t="s">
        <v>74</v>
      </c>
      <c r="AA929" s="1" t="s">
        <v>9240</v>
      </c>
      <c r="AB929" s="1" t="s">
        <v>9241</v>
      </c>
      <c r="AC929" s="1" t="s">
        <v>74</v>
      </c>
      <c r="AD929" s="1" t="s">
        <v>74</v>
      </c>
      <c r="AE929" s="1" t="s">
        <v>74</v>
      </c>
      <c r="AF929" s="1" t="s">
        <v>74</v>
      </c>
      <c r="AG929" s="1" t="s">
        <v>74</v>
      </c>
      <c r="AH929" s="1" t="s">
        <v>74</v>
      </c>
      <c r="AI929" s="1" t="s">
        <v>74</v>
      </c>
      <c r="AJ929" s="1" t="s">
        <v>74</v>
      </c>
      <c r="AK929" s="1" t="s">
        <v>74</v>
      </c>
      <c r="AL929" s="1" t="s">
        <v>74</v>
      </c>
      <c r="AM929" s="1" t="s">
        <v>74</v>
      </c>
      <c r="AN929" s="1" t="s">
        <v>74</v>
      </c>
      <c r="AO929" s="1" t="s">
        <v>4334</v>
      </c>
      <c r="AP929" s="1" t="s">
        <v>4335</v>
      </c>
      <c r="AQ929" s="1" t="s">
        <v>74</v>
      </c>
      <c r="AR929" s="1" t="s">
        <v>74</v>
      </c>
      <c r="AS929" s="1" t="s">
        <v>74</v>
      </c>
      <c r="AT929" s="1" t="s">
        <v>939</v>
      </c>
      <c r="AU929" s="1">
        <v>2018.0</v>
      </c>
      <c r="AV929" s="1">
        <v>62.0</v>
      </c>
      <c r="AW929" s="1">
        <v>1.0</v>
      </c>
      <c r="AX929" s="1" t="s">
        <v>74</v>
      </c>
      <c r="AY929" s="1" t="s">
        <v>74</v>
      </c>
      <c r="AZ929" s="1" t="s">
        <v>74</v>
      </c>
      <c r="BA929" s="1" t="s">
        <v>74</v>
      </c>
      <c r="BB929" s="1">
        <v>221.0</v>
      </c>
      <c r="BC929" s="1">
        <v>229.0</v>
      </c>
      <c r="BD929" s="1" t="s">
        <v>74</v>
      </c>
      <c r="BE929" s="1" t="s">
        <v>9242</v>
      </c>
      <c r="BF929" s="2" t="str">
        <f>HYPERLINK("http://dx.doi.org/10.1515/hukin-2017-0172","http://dx.doi.org/10.1515/hukin-2017-0172")</f>
        <v>http://dx.doi.org/10.1515/hukin-2017-0172</v>
      </c>
      <c r="BG929" s="1" t="s">
        <v>74</v>
      </c>
      <c r="BH929" s="1" t="s">
        <v>74</v>
      </c>
      <c r="BI929" s="1" t="s">
        <v>74</v>
      </c>
      <c r="BJ929" s="1" t="s">
        <v>74</v>
      </c>
      <c r="BK929" s="1" t="s">
        <v>74</v>
      </c>
      <c r="BL929" s="1" t="s">
        <v>74</v>
      </c>
      <c r="BM929" s="1" t="s">
        <v>74</v>
      </c>
      <c r="BN929" s="1">
        <v>2.9922393E7</v>
      </c>
      <c r="BO929" s="1" t="s">
        <v>74</v>
      </c>
      <c r="BP929" s="1" t="s">
        <v>74</v>
      </c>
      <c r="BQ929" s="1" t="s">
        <v>74</v>
      </c>
      <c r="BR929" s="1" t="s">
        <v>74</v>
      </c>
      <c r="BS929" s="1" t="s">
        <v>9243</v>
      </c>
      <c r="BT929" s="1" t="str">
        <f>HYPERLINK("https%3A%2F%2Fwww.webofscience.com%2Fwos%2Fwoscc%2Ffull-record%2FWOS:000435204200022","View Full Record in Web of Science")</f>
        <v>View Full Record in Web of Science</v>
      </c>
    </row>
    <row r="930" ht="12.75" customHeight="1">
      <c r="A930" s="1" t="s">
        <v>72</v>
      </c>
      <c r="B930" s="1" t="s">
        <v>9244</v>
      </c>
      <c r="C930" s="1" t="s">
        <v>74</v>
      </c>
      <c r="D930" s="1" t="s">
        <v>74</v>
      </c>
      <c r="E930" s="1" t="s">
        <v>74</v>
      </c>
      <c r="F930" s="1" t="s">
        <v>9245</v>
      </c>
      <c r="G930" s="1" t="s">
        <v>74</v>
      </c>
      <c r="H930" s="1" t="s">
        <v>74</v>
      </c>
      <c r="I930" s="1" t="s">
        <v>9246</v>
      </c>
      <c r="J930" s="1" t="s">
        <v>1936</v>
      </c>
      <c r="K930" s="1" t="s">
        <v>74</v>
      </c>
      <c r="L930" s="1" t="s">
        <v>74</v>
      </c>
      <c r="M930" s="1" t="s">
        <v>74</v>
      </c>
      <c r="N930" s="1" t="s">
        <v>74</v>
      </c>
      <c r="O930" s="1" t="s">
        <v>74</v>
      </c>
      <c r="P930" s="1" t="s">
        <v>74</v>
      </c>
      <c r="Q930" s="1" t="s">
        <v>74</v>
      </c>
      <c r="R930" s="1" t="s">
        <v>74</v>
      </c>
      <c r="S930" s="1" t="s">
        <v>74</v>
      </c>
      <c r="T930" s="1" t="s">
        <v>74</v>
      </c>
      <c r="U930" s="1" t="s">
        <v>74</v>
      </c>
      <c r="V930" s="1" t="s">
        <v>9247</v>
      </c>
      <c r="W930" s="1" t="s">
        <v>74</v>
      </c>
      <c r="X930" s="1" t="s">
        <v>74</v>
      </c>
      <c r="Y930" s="1" t="s">
        <v>74</v>
      </c>
      <c r="Z930" s="1" t="s">
        <v>74</v>
      </c>
      <c r="AA930" s="1" t="s">
        <v>9248</v>
      </c>
      <c r="AB930" s="1" t="s">
        <v>9030</v>
      </c>
      <c r="AC930" s="1" t="s">
        <v>74</v>
      </c>
      <c r="AD930" s="1" t="s">
        <v>74</v>
      </c>
      <c r="AE930" s="1" t="s">
        <v>74</v>
      </c>
      <c r="AF930" s="1" t="s">
        <v>74</v>
      </c>
      <c r="AG930" s="1" t="s">
        <v>74</v>
      </c>
      <c r="AH930" s="1" t="s">
        <v>74</v>
      </c>
      <c r="AI930" s="1" t="s">
        <v>74</v>
      </c>
      <c r="AJ930" s="1" t="s">
        <v>74</v>
      </c>
      <c r="AK930" s="1" t="s">
        <v>74</v>
      </c>
      <c r="AL930" s="1" t="s">
        <v>74</v>
      </c>
      <c r="AM930" s="1" t="s">
        <v>74</v>
      </c>
      <c r="AN930" s="1" t="s">
        <v>74</v>
      </c>
      <c r="AO930" s="1" t="s">
        <v>74</v>
      </c>
      <c r="AP930" s="1" t="s">
        <v>1940</v>
      </c>
      <c r="AQ930" s="1" t="s">
        <v>74</v>
      </c>
      <c r="AR930" s="1" t="s">
        <v>74</v>
      </c>
      <c r="AS930" s="1" t="s">
        <v>74</v>
      </c>
      <c r="AT930" s="1" t="s">
        <v>537</v>
      </c>
      <c r="AU930" s="1">
        <v>2016.0</v>
      </c>
      <c r="AV930" s="1">
        <v>21.0</v>
      </c>
      <c r="AW930" s="1">
        <v>11.0</v>
      </c>
      <c r="AX930" s="1" t="s">
        <v>74</v>
      </c>
      <c r="AY930" s="1" t="s">
        <v>74</v>
      </c>
      <c r="AZ930" s="1" t="s">
        <v>74</v>
      </c>
      <c r="BA930" s="1" t="s">
        <v>74</v>
      </c>
      <c r="BB930" s="1" t="s">
        <v>74</v>
      </c>
      <c r="BC930" s="1" t="s">
        <v>74</v>
      </c>
      <c r="BD930" s="1">
        <v>1444.0</v>
      </c>
      <c r="BE930" s="1" t="s">
        <v>9249</v>
      </c>
      <c r="BF930" s="2" t="str">
        <f>HYPERLINK("http://dx.doi.org/10.3390/molecules21111444","http://dx.doi.org/10.3390/molecules21111444")</f>
        <v>http://dx.doi.org/10.3390/molecules21111444</v>
      </c>
      <c r="BG930" s="1" t="s">
        <v>74</v>
      </c>
      <c r="BH930" s="1" t="s">
        <v>74</v>
      </c>
      <c r="BI930" s="1" t="s">
        <v>74</v>
      </c>
      <c r="BJ930" s="1" t="s">
        <v>74</v>
      </c>
      <c r="BK930" s="1" t="s">
        <v>74</v>
      </c>
      <c r="BL930" s="1" t="s">
        <v>74</v>
      </c>
      <c r="BM930" s="1" t="s">
        <v>74</v>
      </c>
      <c r="BN930" s="1" t="s">
        <v>74</v>
      </c>
      <c r="BO930" s="1" t="s">
        <v>74</v>
      </c>
      <c r="BP930" s="1" t="s">
        <v>74</v>
      </c>
      <c r="BQ930" s="1" t="s">
        <v>74</v>
      </c>
      <c r="BR930" s="1" t="s">
        <v>74</v>
      </c>
      <c r="BS930" s="1" t="s">
        <v>9250</v>
      </c>
      <c r="BT930" s="1" t="str">
        <f>HYPERLINK("https%3A%2F%2Fwww.webofscience.com%2Fwos%2Fwoscc%2Ffull-record%2FWOS:000389918200026","View Full Record in Web of Science")</f>
        <v>View Full Record in Web of Science</v>
      </c>
    </row>
    <row r="931" ht="12.75" customHeight="1">
      <c r="A931" s="1" t="s">
        <v>72</v>
      </c>
      <c r="B931" s="1" t="s">
        <v>9251</v>
      </c>
      <c r="C931" s="1" t="s">
        <v>74</v>
      </c>
      <c r="D931" s="1" t="s">
        <v>74</v>
      </c>
      <c r="E931" s="1" t="s">
        <v>74</v>
      </c>
      <c r="F931" s="1" t="s">
        <v>9252</v>
      </c>
      <c r="G931" s="1" t="s">
        <v>74</v>
      </c>
      <c r="H931" s="1" t="s">
        <v>74</v>
      </c>
      <c r="I931" s="1" t="s">
        <v>9253</v>
      </c>
      <c r="J931" s="1" t="s">
        <v>880</v>
      </c>
      <c r="K931" s="1" t="s">
        <v>74</v>
      </c>
      <c r="L931" s="1" t="s">
        <v>74</v>
      </c>
      <c r="M931" s="1" t="s">
        <v>74</v>
      </c>
      <c r="N931" s="1" t="s">
        <v>74</v>
      </c>
      <c r="O931" s="1" t="s">
        <v>74</v>
      </c>
      <c r="P931" s="1" t="s">
        <v>74</v>
      </c>
      <c r="Q931" s="1" t="s">
        <v>74</v>
      </c>
      <c r="R931" s="1" t="s">
        <v>74</v>
      </c>
      <c r="S931" s="1" t="s">
        <v>74</v>
      </c>
      <c r="T931" s="1" t="s">
        <v>74</v>
      </c>
      <c r="U931" s="1" t="s">
        <v>74</v>
      </c>
      <c r="V931" s="1" t="s">
        <v>9254</v>
      </c>
      <c r="W931" s="1" t="s">
        <v>74</v>
      </c>
      <c r="X931" s="1" t="s">
        <v>74</v>
      </c>
      <c r="Y931" s="1" t="s">
        <v>74</v>
      </c>
      <c r="Z931" s="1" t="s">
        <v>74</v>
      </c>
      <c r="AA931" s="1" t="s">
        <v>9255</v>
      </c>
      <c r="AB931" s="1" t="s">
        <v>9256</v>
      </c>
      <c r="AC931" s="1" t="s">
        <v>74</v>
      </c>
      <c r="AD931" s="1" t="s">
        <v>74</v>
      </c>
      <c r="AE931" s="1" t="s">
        <v>74</v>
      </c>
      <c r="AF931" s="1" t="s">
        <v>74</v>
      </c>
      <c r="AG931" s="1" t="s">
        <v>74</v>
      </c>
      <c r="AH931" s="1" t="s">
        <v>74</v>
      </c>
      <c r="AI931" s="1" t="s">
        <v>74</v>
      </c>
      <c r="AJ931" s="1" t="s">
        <v>74</v>
      </c>
      <c r="AK931" s="1" t="s">
        <v>74</v>
      </c>
      <c r="AL931" s="1" t="s">
        <v>74</v>
      </c>
      <c r="AM931" s="1" t="s">
        <v>74</v>
      </c>
      <c r="AN931" s="1" t="s">
        <v>74</v>
      </c>
      <c r="AO931" s="1" t="s">
        <v>884</v>
      </c>
      <c r="AP931" s="1" t="s">
        <v>9257</v>
      </c>
      <c r="AQ931" s="1" t="s">
        <v>74</v>
      </c>
      <c r="AR931" s="1" t="s">
        <v>74</v>
      </c>
      <c r="AS931" s="1" t="s">
        <v>74</v>
      </c>
      <c r="AT931" s="1" t="s">
        <v>939</v>
      </c>
      <c r="AU931" s="1">
        <v>2015.0</v>
      </c>
      <c r="AV931" s="1">
        <v>64.0</v>
      </c>
      <c r="AW931" s="1">
        <v>6.0</v>
      </c>
      <c r="AX931" s="1" t="s">
        <v>74</v>
      </c>
      <c r="AY931" s="1" t="s">
        <v>74</v>
      </c>
      <c r="AZ931" s="1" t="s">
        <v>74</v>
      </c>
      <c r="BA931" s="1" t="s">
        <v>74</v>
      </c>
      <c r="BB931" s="1">
        <v>740.0</v>
      </c>
      <c r="BC931" s="1">
        <v>749.0</v>
      </c>
      <c r="BD931" s="1" t="s">
        <v>74</v>
      </c>
      <c r="BE931" s="1" t="s">
        <v>9258</v>
      </c>
      <c r="BF931" s="2" t="str">
        <f>HYPERLINK("http://dx.doi.org/10.1002/pi.4845","http://dx.doi.org/10.1002/pi.4845")</f>
        <v>http://dx.doi.org/10.1002/pi.4845</v>
      </c>
      <c r="BG931" s="1" t="s">
        <v>74</v>
      </c>
      <c r="BH931" s="1" t="s">
        <v>74</v>
      </c>
      <c r="BI931" s="1" t="s">
        <v>74</v>
      </c>
      <c r="BJ931" s="1" t="s">
        <v>74</v>
      </c>
      <c r="BK931" s="1" t="s">
        <v>74</v>
      </c>
      <c r="BL931" s="1" t="s">
        <v>74</v>
      </c>
      <c r="BM931" s="1" t="s">
        <v>74</v>
      </c>
      <c r="BN931" s="1" t="s">
        <v>74</v>
      </c>
      <c r="BO931" s="1" t="s">
        <v>74</v>
      </c>
      <c r="BP931" s="1" t="s">
        <v>74</v>
      </c>
      <c r="BQ931" s="1" t="s">
        <v>74</v>
      </c>
      <c r="BR931" s="1" t="s">
        <v>74</v>
      </c>
      <c r="BS931" s="1" t="s">
        <v>9259</v>
      </c>
      <c r="BT931" s="1" t="str">
        <f>HYPERLINK("https%3A%2F%2Fwww.webofscience.com%2Fwos%2Fwoscc%2Ffull-record%2FWOS:000354031600005","View Full Record in Web of Science")</f>
        <v>View Full Record in Web of Science</v>
      </c>
    </row>
    <row r="932" ht="12.75" customHeight="1">
      <c r="A932" s="1" t="s">
        <v>86</v>
      </c>
      <c r="B932" s="1" t="s">
        <v>9260</v>
      </c>
      <c r="C932" s="1" t="s">
        <v>74</v>
      </c>
      <c r="D932" s="1" t="s">
        <v>9261</v>
      </c>
      <c r="E932" s="1" t="s">
        <v>74</v>
      </c>
      <c r="F932" s="1" t="s">
        <v>9262</v>
      </c>
      <c r="G932" s="1" t="s">
        <v>74</v>
      </c>
      <c r="H932" s="1" t="s">
        <v>74</v>
      </c>
      <c r="I932" s="1" t="s">
        <v>9263</v>
      </c>
      <c r="J932" s="1" t="s">
        <v>9264</v>
      </c>
      <c r="K932" s="1" t="s">
        <v>9265</v>
      </c>
      <c r="L932" s="1" t="s">
        <v>74</v>
      </c>
      <c r="M932" s="1" t="s">
        <v>74</v>
      </c>
      <c r="N932" s="1" t="s">
        <v>74</v>
      </c>
      <c r="O932" s="1" t="s">
        <v>9266</v>
      </c>
      <c r="P932" s="1" t="s">
        <v>9267</v>
      </c>
      <c r="Q932" s="1" t="s">
        <v>9268</v>
      </c>
      <c r="R932" s="1" t="s">
        <v>9269</v>
      </c>
      <c r="S932" s="1" t="s">
        <v>74</v>
      </c>
      <c r="T932" s="1" t="s">
        <v>74</v>
      </c>
      <c r="U932" s="1" t="s">
        <v>74</v>
      </c>
      <c r="V932" s="1" t="s">
        <v>9270</v>
      </c>
      <c r="W932" s="1" t="s">
        <v>74</v>
      </c>
      <c r="X932" s="1" t="s">
        <v>74</v>
      </c>
      <c r="Y932" s="1" t="s">
        <v>74</v>
      </c>
      <c r="Z932" s="1" t="s">
        <v>74</v>
      </c>
      <c r="AA932" s="1" t="s">
        <v>9271</v>
      </c>
      <c r="AB932" s="1" t="s">
        <v>9272</v>
      </c>
      <c r="AC932" s="1" t="s">
        <v>74</v>
      </c>
      <c r="AD932" s="1" t="s">
        <v>74</v>
      </c>
      <c r="AE932" s="1" t="s">
        <v>74</v>
      </c>
      <c r="AF932" s="1" t="s">
        <v>74</v>
      </c>
      <c r="AG932" s="1" t="s">
        <v>74</v>
      </c>
      <c r="AH932" s="1" t="s">
        <v>74</v>
      </c>
      <c r="AI932" s="1" t="s">
        <v>74</v>
      </c>
      <c r="AJ932" s="1" t="s">
        <v>74</v>
      </c>
      <c r="AK932" s="1" t="s">
        <v>74</v>
      </c>
      <c r="AL932" s="1" t="s">
        <v>74</v>
      </c>
      <c r="AM932" s="1" t="s">
        <v>74</v>
      </c>
      <c r="AN932" s="1" t="s">
        <v>74</v>
      </c>
      <c r="AO932" s="1" t="s">
        <v>334</v>
      </c>
      <c r="AP932" s="1" t="s">
        <v>335</v>
      </c>
      <c r="AQ932" s="1" t="s">
        <v>9273</v>
      </c>
      <c r="AR932" s="1" t="s">
        <v>74</v>
      </c>
      <c r="AS932" s="1" t="s">
        <v>74</v>
      </c>
      <c r="AT932" s="1" t="s">
        <v>74</v>
      </c>
      <c r="AU932" s="1">
        <v>2014.0</v>
      </c>
      <c r="AV932" s="1">
        <v>8857.0</v>
      </c>
      <c r="AW932" s="1" t="s">
        <v>74</v>
      </c>
      <c r="AX932" s="1" t="s">
        <v>74</v>
      </c>
      <c r="AY932" s="1" t="s">
        <v>74</v>
      </c>
      <c r="AZ932" s="1" t="s">
        <v>74</v>
      </c>
      <c r="BA932" s="1" t="s">
        <v>74</v>
      </c>
      <c r="BB932" s="1">
        <v>231.0</v>
      </c>
      <c r="BC932" s="1">
        <v>241.0</v>
      </c>
      <c r="BD932" s="1" t="s">
        <v>74</v>
      </c>
      <c r="BE932" s="1" t="s">
        <v>74</v>
      </c>
      <c r="BF932" s="1" t="s">
        <v>74</v>
      </c>
      <c r="BG932" s="1" t="s">
        <v>74</v>
      </c>
      <c r="BH932" s="1" t="s">
        <v>74</v>
      </c>
      <c r="BI932" s="1" t="s">
        <v>74</v>
      </c>
      <c r="BJ932" s="1" t="s">
        <v>74</v>
      </c>
      <c r="BK932" s="1" t="s">
        <v>74</v>
      </c>
      <c r="BL932" s="1" t="s">
        <v>74</v>
      </c>
      <c r="BM932" s="1" t="s">
        <v>74</v>
      </c>
      <c r="BN932" s="1" t="s">
        <v>74</v>
      </c>
      <c r="BO932" s="1" t="s">
        <v>74</v>
      </c>
      <c r="BP932" s="1" t="s">
        <v>74</v>
      </c>
      <c r="BQ932" s="1" t="s">
        <v>74</v>
      </c>
      <c r="BR932" s="1" t="s">
        <v>74</v>
      </c>
      <c r="BS932" s="1" t="s">
        <v>9274</v>
      </c>
      <c r="BT932" s="1" t="str">
        <f>HYPERLINK("https%3A%2F%2Fwww.webofscience.com%2Fwos%2Fwoscc%2Ffull-record%2FWOS:000354938000021","View Full Record in Web of Science")</f>
        <v>View Full Record in Web of Science</v>
      </c>
    </row>
    <row r="933" ht="12.75" customHeight="1">
      <c r="A933" s="1" t="s">
        <v>72</v>
      </c>
      <c r="B933" s="1" t="s">
        <v>9275</v>
      </c>
      <c r="C933" s="1" t="s">
        <v>74</v>
      </c>
      <c r="D933" s="1" t="s">
        <v>74</v>
      </c>
      <c r="E933" s="1" t="s">
        <v>74</v>
      </c>
      <c r="F933" s="1" t="s">
        <v>9276</v>
      </c>
      <c r="G933" s="1" t="s">
        <v>74</v>
      </c>
      <c r="H933" s="1" t="s">
        <v>74</v>
      </c>
      <c r="I933" s="1" t="s">
        <v>9277</v>
      </c>
      <c r="J933" s="1" t="s">
        <v>9278</v>
      </c>
      <c r="K933" s="1" t="s">
        <v>74</v>
      </c>
      <c r="L933" s="1" t="s">
        <v>74</v>
      </c>
      <c r="M933" s="1" t="s">
        <v>74</v>
      </c>
      <c r="N933" s="1" t="s">
        <v>74</v>
      </c>
      <c r="O933" s="1" t="s">
        <v>74</v>
      </c>
      <c r="P933" s="1" t="s">
        <v>74</v>
      </c>
      <c r="Q933" s="1" t="s">
        <v>74</v>
      </c>
      <c r="R933" s="1" t="s">
        <v>74</v>
      </c>
      <c r="S933" s="1" t="s">
        <v>74</v>
      </c>
      <c r="T933" s="1" t="s">
        <v>74</v>
      </c>
      <c r="U933" s="1" t="s">
        <v>74</v>
      </c>
      <c r="V933" s="1" t="s">
        <v>9279</v>
      </c>
      <c r="W933" s="1" t="s">
        <v>74</v>
      </c>
      <c r="X933" s="1" t="s">
        <v>74</v>
      </c>
      <c r="Y933" s="1" t="s">
        <v>74</v>
      </c>
      <c r="Z933" s="1" t="s">
        <v>74</v>
      </c>
      <c r="AA933" s="1" t="s">
        <v>9280</v>
      </c>
      <c r="AB933" s="1" t="s">
        <v>9281</v>
      </c>
      <c r="AC933" s="1" t="s">
        <v>74</v>
      </c>
      <c r="AD933" s="1" t="s">
        <v>74</v>
      </c>
      <c r="AE933" s="1" t="s">
        <v>74</v>
      </c>
      <c r="AF933" s="1" t="s">
        <v>74</v>
      </c>
      <c r="AG933" s="1" t="s">
        <v>74</v>
      </c>
      <c r="AH933" s="1" t="s">
        <v>74</v>
      </c>
      <c r="AI933" s="1" t="s">
        <v>74</v>
      </c>
      <c r="AJ933" s="1" t="s">
        <v>74</v>
      </c>
      <c r="AK933" s="1" t="s">
        <v>74</v>
      </c>
      <c r="AL933" s="1" t="s">
        <v>74</v>
      </c>
      <c r="AM933" s="1" t="s">
        <v>74</v>
      </c>
      <c r="AN933" s="1" t="s">
        <v>74</v>
      </c>
      <c r="AO933" s="1" t="s">
        <v>9282</v>
      </c>
      <c r="AP933" s="1" t="s">
        <v>74</v>
      </c>
      <c r="AQ933" s="1" t="s">
        <v>74</v>
      </c>
      <c r="AR933" s="1" t="s">
        <v>74</v>
      </c>
      <c r="AS933" s="1" t="s">
        <v>74</v>
      </c>
      <c r="AT933" s="1" t="s">
        <v>485</v>
      </c>
      <c r="AU933" s="1">
        <v>2013.0</v>
      </c>
      <c r="AV933" s="1">
        <v>51.0</v>
      </c>
      <c r="AW933" s="1" t="s">
        <v>74</v>
      </c>
      <c r="AX933" s="1" t="s">
        <v>74</v>
      </c>
      <c r="AY933" s="1" t="s">
        <v>74</v>
      </c>
      <c r="AZ933" s="1" t="s">
        <v>74</v>
      </c>
      <c r="BA933" s="1" t="s">
        <v>74</v>
      </c>
      <c r="BB933" s="1">
        <v>29.0</v>
      </c>
      <c r="BC933" s="1">
        <v>44.0</v>
      </c>
      <c r="BD933" s="1" t="s">
        <v>74</v>
      </c>
      <c r="BE933" s="1" t="s">
        <v>9283</v>
      </c>
      <c r="BF933" s="2" t="str">
        <f>HYPERLINK("http://dx.doi.org/10.1016/j.trb.2013.02.001","http://dx.doi.org/10.1016/j.trb.2013.02.001")</f>
        <v>http://dx.doi.org/10.1016/j.trb.2013.02.001</v>
      </c>
      <c r="BG933" s="1" t="s">
        <v>74</v>
      </c>
      <c r="BH933" s="1" t="s">
        <v>74</v>
      </c>
      <c r="BI933" s="1" t="s">
        <v>74</v>
      </c>
      <c r="BJ933" s="1" t="s">
        <v>74</v>
      </c>
      <c r="BK933" s="1" t="s">
        <v>74</v>
      </c>
      <c r="BL933" s="1" t="s">
        <v>74</v>
      </c>
      <c r="BM933" s="1" t="s">
        <v>74</v>
      </c>
      <c r="BN933" s="1" t="s">
        <v>74</v>
      </c>
      <c r="BO933" s="1" t="s">
        <v>74</v>
      </c>
      <c r="BP933" s="1" t="s">
        <v>74</v>
      </c>
      <c r="BQ933" s="1" t="s">
        <v>74</v>
      </c>
      <c r="BR933" s="1" t="s">
        <v>74</v>
      </c>
      <c r="BS933" s="1" t="s">
        <v>9284</v>
      </c>
      <c r="BT933" s="1" t="str">
        <f>HYPERLINK("https%3A%2F%2Fwww.webofscience.com%2Fwos%2Fwoscc%2Ffull-record%2FWOS:000318323000003","View Full Record in Web of Science")</f>
        <v>View Full Record in Web of Science</v>
      </c>
    </row>
    <row r="934" ht="12.75" customHeight="1">
      <c r="A934" s="1" t="s">
        <v>72</v>
      </c>
      <c r="B934" s="1" t="s">
        <v>9285</v>
      </c>
      <c r="C934" s="1" t="s">
        <v>74</v>
      </c>
      <c r="D934" s="1" t="s">
        <v>74</v>
      </c>
      <c r="E934" s="1" t="s">
        <v>74</v>
      </c>
      <c r="F934" s="1" t="s">
        <v>9286</v>
      </c>
      <c r="G934" s="1" t="s">
        <v>74</v>
      </c>
      <c r="H934" s="1" t="s">
        <v>74</v>
      </c>
      <c r="I934" s="1" t="s">
        <v>9287</v>
      </c>
      <c r="J934" s="1" t="s">
        <v>9288</v>
      </c>
      <c r="K934" s="1" t="s">
        <v>74</v>
      </c>
      <c r="L934" s="1" t="s">
        <v>74</v>
      </c>
      <c r="M934" s="1" t="s">
        <v>74</v>
      </c>
      <c r="N934" s="1" t="s">
        <v>74</v>
      </c>
      <c r="O934" s="1" t="s">
        <v>74</v>
      </c>
      <c r="P934" s="1" t="s">
        <v>74</v>
      </c>
      <c r="Q934" s="1" t="s">
        <v>74</v>
      </c>
      <c r="R934" s="1" t="s">
        <v>74</v>
      </c>
      <c r="S934" s="1" t="s">
        <v>74</v>
      </c>
      <c r="T934" s="1" t="s">
        <v>74</v>
      </c>
      <c r="U934" s="1" t="s">
        <v>74</v>
      </c>
      <c r="V934" s="1" t="s">
        <v>74</v>
      </c>
      <c r="W934" s="1" t="s">
        <v>74</v>
      </c>
      <c r="X934" s="1" t="s">
        <v>74</v>
      </c>
      <c r="Y934" s="1" t="s">
        <v>74</v>
      </c>
      <c r="Z934" s="1" t="s">
        <v>74</v>
      </c>
      <c r="AA934" s="1" t="s">
        <v>9289</v>
      </c>
      <c r="AB934" s="1" t="s">
        <v>9290</v>
      </c>
      <c r="AC934" s="1" t="s">
        <v>74</v>
      </c>
      <c r="AD934" s="1" t="s">
        <v>74</v>
      </c>
      <c r="AE934" s="1" t="s">
        <v>74</v>
      </c>
      <c r="AF934" s="1" t="s">
        <v>74</v>
      </c>
      <c r="AG934" s="1" t="s">
        <v>74</v>
      </c>
      <c r="AH934" s="1" t="s">
        <v>74</v>
      </c>
      <c r="AI934" s="1" t="s">
        <v>74</v>
      </c>
      <c r="AJ934" s="1" t="s">
        <v>74</v>
      </c>
      <c r="AK934" s="1" t="s">
        <v>74</v>
      </c>
      <c r="AL934" s="1" t="s">
        <v>74</v>
      </c>
      <c r="AM934" s="1" t="s">
        <v>74</v>
      </c>
      <c r="AN934" s="1" t="s">
        <v>74</v>
      </c>
      <c r="AO934" s="1" t="s">
        <v>9291</v>
      </c>
      <c r="AP934" s="1" t="s">
        <v>9292</v>
      </c>
      <c r="AQ934" s="1" t="s">
        <v>74</v>
      </c>
      <c r="AR934" s="1" t="s">
        <v>74</v>
      </c>
      <c r="AS934" s="1" t="s">
        <v>74</v>
      </c>
      <c r="AT934" s="1" t="s">
        <v>164</v>
      </c>
      <c r="AU934" s="1">
        <v>2011.0</v>
      </c>
      <c r="AV934" s="1">
        <v>9.0</v>
      </c>
      <c r="AW934" s="1" t="s">
        <v>74</v>
      </c>
      <c r="AX934" s="1" t="s">
        <v>74</v>
      </c>
      <c r="AY934" s="1">
        <v>2.0</v>
      </c>
      <c r="AZ934" s="1" t="s">
        <v>1416</v>
      </c>
      <c r="BA934" s="1" t="s">
        <v>9293</v>
      </c>
      <c r="BB934" s="1">
        <v>289.0</v>
      </c>
      <c r="BC934" s="1">
        <v>289.0</v>
      </c>
      <c r="BD934" s="1" t="s">
        <v>74</v>
      </c>
      <c r="BE934" s="1" t="s">
        <v>74</v>
      </c>
      <c r="BF934" s="1" t="s">
        <v>74</v>
      </c>
      <c r="BG934" s="1" t="s">
        <v>74</v>
      </c>
      <c r="BH934" s="1" t="s">
        <v>74</v>
      </c>
      <c r="BI934" s="1" t="s">
        <v>74</v>
      </c>
      <c r="BJ934" s="1" t="s">
        <v>74</v>
      </c>
      <c r="BK934" s="1" t="s">
        <v>74</v>
      </c>
      <c r="BL934" s="1" t="s">
        <v>74</v>
      </c>
      <c r="BM934" s="1" t="s">
        <v>74</v>
      </c>
      <c r="BN934" s="1" t="s">
        <v>74</v>
      </c>
      <c r="BO934" s="1" t="s">
        <v>74</v>
      </c>
      <c r="BP934" s="1" t="s">
        <v>74</v>
      </c>
      <c r="BQ934" s="1" t="s">
        <v>74</v>
      </c>
      <c r="BR934" s="1" t="s">
        <v>74</v>
      </c>
      <c r="BS934" s="1" t="s">
        <v>9294</v>
      </c>
      <c r="BT934" s="1" t="str">
        <f>HYPERLINK("https%3A%2F%2Fwww.webofscience.com%2Fwos%2Fwoscc%2Ffull-record%2FWOS:000208992800121","View Full Record in Web of Science")</f>
        <v>View Full Record in Web of Science</v>
      </c>
    </row>
    <row r="935" ht="12.75" customHeight="1">
      <c r="A935" s="1" t="s">
        <v>72</v>
      </c>
      <c r="B935" s="1" t="s">
        <v>9295</v>
      </c>
      <c r="C935" s="1" t="s">
        <v>74</v>
      </c>
      <c r="D935" s="1" t="s">
        <v>74</v>
      </c>
      <c r="E935" s="1" t="s">
        <v>74</v>
      </c>
      <c r="F935" s="1" t="s">
        <v>9296</v>
      </c>
      <c r="G935" s="1" t="s">
        <v>74</v>
      </c>
      <c r="H935" s="1" t="s">
        <v>74</v>
      </c>
      <c r="I935" s="1" t="s">
        <v>9297</v>
      </c>
      <c r="J935" s="1" t="s">
        <v>9298</v>
      </c>
      <c r="K935" s="1" t="s">
        <v>74</v>
      </c>
      <c r="L935" s="1" t="s">
        <v>74</v>
      </c>
      <c r="M935" s="1" t="s">
        <v>74</v>
      </c>
      <c r="N935" s="1" t="s">
        <v>74</v>
      </c>
      <c r="O935" s="1" t="s">
        <v>74</v>
      </c>
      <c r="P935" s="1" t="s">
        <v>74</v>
      </c>
      <c r="Q935" s="1" t="s">
        <v>74</v>
      </c>
      <c r="R935" s="1" t="s">
        <v>74</v>
      </c>
      <c r="S935" s="1" t="s">
        <v>74</v>
      </c>
      <c r="T935" s="1" t="s">
        <v>74</v>
      </c>
      <c r="U935" s="1" t="s">
        <v>74</v>
      </c>
      <c r="V935" s="1" t="s">
        <v>9299</v>
      </c>
      <c r="W935" s="1" t="s">
        <v>74</v>
      </c>
      <c r="X935" s="1" t="s">
        <v>74</v>
      </c>
      <c r="Y935" s="1" t="s">
        <v>74</v>
      </c>
      <c r="Z935" s="1" t="s">
        <v>74</v>
      </c>
      <c r="AA935" s="1" t="s">
        <v>9300</v>
      </c>
      <c r="AB935" s="1" t="s">
        <v>9301</v>
      </c>
      <c r="AC935" s="1" t="s">
        <v>74</v>
      </c>
      <c r="AD935" s="1" t="s">
        <v>74</v>
      </c>
      <c r="AE935" s="1" t="s">
        <v>74</v>
      </c>
      <c r="AF935" s="1" t="s">
        <v>74</v>
      </c>
      <c r="AG935" s="1" t="s">
        <v>74</v>
      </c>
      <c r="AH935" s="1" t="s">
        <v>74</v>
      </c>
      <c r="AI935" s="1" t="s">
        <v>74</v>
      </c>
      <c r="AJ935" s="1" t="s">
        <v>74</v>
      </c>
      <c r="AK935" s="1" t="s">
        <v>74</v>
      </c>
      <c r="AL935" s="1" t="s">
        <v>74</v>
      </c>
      <c r="AM935" s="1" t="s">
        <v>74</v>
      </c>
      <c r="AN935" s="1" t="s">
        <v>74</v>
      </c>
      <c r="AO935" s="1" t="s">
        <v>9302</v>
      </c>
      <c r="AP935" s="1" t="s">
        <v>74</v>
      </c>
      <c r="AQ935" s="1" t="s">
        <v>74</v>
      </c>
      <c r="AR935" s="1" t="s">
        <v>74</v>
      </c>
      <c r="AS935" s="1" t="s">
        <v>74</v>
      </c>
      <c r="AT935" s="1" t="s">
        <v>939</v>
      </c>
      <c r="AU935" s="1">
        <v>2011.0</v>
      </c>
      <c r="AV935" s="1">
        <v>31.0</v>
      </c>
      <c r="AW935" s="1">
        <v>6.0</v>
      </c>
      <c r="AX935" s="1" t="s">
        <v>74</v>
      </c>
      <c r="AY935" s="1" t="s">
        <v>74</v>
      </c>
      <c r="AZ935" s="1" t="s">
        <v>74</v>
      </c>
      <c r="BA935" s="1" t="s">
        <v>74</v>
      </c>
      <c r="BB935" s="1">
        <v>578.0</v>
      </c>
      <c r="BC935" s="1">
        <v>582.0</v>
      </c>
      <c r="BD935" s="1" t="s">
        <v>74</v>
      </c>
      <c r="BE935" s="1" t="s">
        <v>9303</v>
      </c>
      <c r="BF935" s="2" t="str">
        <f>HYPERLINK("http://dx.doi.org/10.1002/pd.2751","http://dx.doi.org/10.1002/pd.2751")</f>
        <v>http://dx.doi.org/10.1002/pd.2751</v>
      </c>
      <c r="BG935" s="1" t="s">
        <v>74</v>
      </c>
      <c r="BH935" s="1" t="s">
        <v>74</v>
      </c>
      <c r="BI935" s="1" t="s">
        <v>74</v>
      </c>
      <c r="BJ935" s="1" t="s">
        <v>74</v>
      </c>
      <c r="BK935" s="1" t="s">
        <v>74</v>
      </c>
      <c r="BL935" s="1" t="s">
        <v>74</v>
      </c>
      <c r="BM935" s="1" t="s">
        <v>74</v>
      </c>
      <c r="BN935" s="1">
        <v>2.1442629E7</v>
      </c>
      <c r="BO935" s="1" t="s">
        <v>74</v>
      </c>
      <c r="BP935" s="1" t="s">
        <v>74</v>
      </c>
      <c r="BQ935" s="1" t="s">
        <v>74</v>
      </c>
      <c r="BR935" s="1" t="s">
        <v>74</v>
      </c>
      <c r="BS935" s="1" t="s">
        <v>9304</v>
      </c>
      <c r="BT935" s="1" t="str">
        <f>HYPERLINK("https%3A%2F%2Fwww.webofscience.com%2Fwos%2Fwoscc%2Ffull-record%2FWOS:000291066100011","View Full Record in Web of Science")</f>
        <v>View Full Record in Web of Science</v>
      </c>
    </row>
    <row r="936" ht="12.75" customHeight="1">
      <c r="A936" s="1" t="s">
        <v>72</v>
      </c>
      <c r="B936" s="1" t="s">
        <v>9305</v>
      </c>
      <c r="C936" s="1" t="s">
        <v>74</v>
      </c>
      <c r="D936" s="1" t="s">
        <v>74</v>
      </c>
      <c r="E936" s="1" t="s">
        <v>74</v>
      </c>
      <c r="F936" s="1" t="s">
        <v>9306</v>
      </c>
      <c r="G936" s="1" t="s">
        <v>74</v>
      </c>
      <c r="H936" s="1" t="s">
        <v>74</v>
      </c>
      <c r="I936" s="1" t="s">
        <v>9307</v>
      </c>
      <c r="J936" s="1" t="s">
        <v>9308</v>
      </c>
      <c r="K936" s="1" t="s">
        <v>74</v>
      </c>
      <c r="L936" s="1" t="s">
        <v>74</v>
      </c>
      <c r="M936" s="1" t="s">
        <v>74</v>
      </c>
      <c r="N936" s="1" t="s">
        <v>74</v>
      </c>
      <c r="O936" s="1" t="s">
        <v>74</v>
      </c>
      <c r="P936" s="1" t="s">
        <v>74</v>
      </c>
      <c r="Q936" s="1" t="s">
        <v>74</v>
      </c>
      <c r="R936" s="1" t="s">
        <v>74</v>
      </c>
      <c r="S936" s="1" t="s">
        <v>74</v>
      </c>
      <c r="T936" s="1" t="s">
        <v>74</v>
      </c>
      <c r="U936" s="1" t="s">
        <v>74</v>
      </c>
      <c r="V936" s="1" t="s">
        <v>9309</v>
      </c>
      <c r="W936" s="1" t="s">
        <v>74</v>
      </c>
      <c r="X936" s="1" t="s">
        <v>74</v>
      </c>
      <c r="Y936" s="1" t="s">
        <v>74</v>
      </c>
      <c r="Z936" s="1" t="s">
        <v>74</v>
      </c>
      <c r="AA936" s="1" t="s">
        <v>7803</v>
      </c>
      <c r="AB936" s="1" t="s">
        <v>9310</v>
      </c>
      <c r="AC936" s="1" t="s">
        <v>74</v>
      </c>
      <c r="AD936" s="1" t="s">
        <v>74</v>
      </c>
      <c r="AE936" s="1" t="s">
        <v>74</v>
      </c>
      <c r="AF936" s="1" t="s">
        <v>74</v>
      </c>
      <c r="AG936" s="1" t="s">
        <v>74</v>
      </c>
      <c r="AH936" s="1" t="s">
        <v>74</v>
      </c>
      <c r="AI936" s="1" t="s">
        <v>74</v>
      </c>
      <c r="AJ936" s="1" t="s">
        <v>74</v>
      </c>
      <c r="AK936" s="1" t="s">
        <v>74</v>
      </c>
      <c r="AL936" s="1" t="s">
        <v>74</v>
      </c>
      <c r="AM936" s="1" t="s">
        <v>74</v>
      </c>
      <c r="AN936" s="1" t="s">
        <v>74</v>
      </c>
      <c r="AO936" s="1" t="s">
        <v>9311</v>
      </c>
      <c r="AP936" s="1" t="s">
        <v>9312</v>
      </c>
      <c r="AQ936" s="1" t="s">
        <v>74</v>
      </c>
      <c r="AR936" s="1" t="s">
        <v>74</v>
      </c>
      <c r="AS936" s="1" t="s">
        <v>74</v>
      </c>
      <c r="AT936" s="1" t="s">
        <v>235</v>
      </c>
      <c r="AU936" s="1">
        <v>2011.0</v>
      </c>
      <c r="AV936" s="1">
        <v>58.0</v>
      </c>
      <c r="AW936" s="1">
        <v>4.0</v>
      </c>
      <c r="AX936" s="1" t="s">
        <v>74</v>
      </c>
      <c r="AY936" s="1" t="s">
        <v>74</v>
      </c>
      <c r="AZ936" s="1" t="s">
        <v>74</v>
      </c>
      <c r="BA936" s="1" t="s">
        <v>74</v>
      </c>
      <c r="BB936" s="1">
        <v>1282.0</v>
      </c>
      <c r="BC936" s="1">
        <v>1293.0</v>
      </c>
      <c r="BD936" s="1" t="s">
        <v>74</v>
      </c>
      <c r="BE936" s="1" t="s">
        <v>9313</v>
      </c>
      <c r="BF936" s="2" t="str">
        <f>HYPERLINK("http://dx.doi.org/10.1109/TIE.2010.2068531","http://dx.doi.org/10.1109/TIE.2010.2068531")</f>
        <v>http://dx.doi.org/10.1109/TIE.2010.2068531</v>
      </c>
      <c r="BG936" s="1" t="s">
        <v>74</v>
      </c>
      <c r="BH936" s="1" t="s">
        <v>74</v>
      </c>
      <c r="BI936" s="1" t="s">
        <v>74</v>
      </c>
      <c r="BJ936" s="1" t="s">
        <v>74</v>
      </c>
      <c r="BK936" s="1" t="s">
        <v>74</v>
      </c>
      <c r="BL936" s="1" t="s">
        <v>74</v>
      </c>
      <c r="BM936" s="1" t="s">
        <v>74</v>
      </c>
      <c r="BN936" s="1" t="s">
        <v>74</v>
      </c>
      <c r="BO936" s="1" t="s">
        <v>74</v>
      </c>
      <c r="BP936" s="1" t="s">
        <v>74</v>
      </c>
      <c r="BQ936" s="1" t="s">
        <v>74</v>
      </c>
      <c r="BR936" s="1" t="s">
        <v>74</v>
      </c>
      <c r="BS936" s="1" t="s">
        <v>9314</v>
      </c>
      <c r="BT936" s="1" t="str">
        <f>HYPERLINK("https%3A%2F%2Fwww.webofscience.com%2Fwos%2Fwoscc%2Ffull-record%2FWOS:000288334300021","View Full Record in Web of Science")</f>
        <v>View Full Record in Web of Science</v>
      </c>
    </row>
    <row r="937" ht="12.75" customHeight="1">
      <c r="A937" s="1" t="s">
        <v>72</v>
      </c>
      <c r="B937" s="1" t="s">
        <v>9315</v>
      </c>
      <c r="C937" s="1" t="s">
        <v>74</v>
      </c>
      <c r="D937" s="1" t="s">
        <v>74</v>
      </c>
      <c r="E937" s="1" t="s">
        <v>74</v>
      </c>
      <c r="F937" s="1" t="s">
        <v>9316</v>
      </c>
      <c r="G937" s="1" t="s">
        <v>74</v>
      </c>
      <c r="H937" s="1" t="s">
        <v>74</v>
      </c>
      <c r="I937" s="1" t="s">
        <v>9317</v>
      </c>
      <c r="J937" s="1" t="s">
        <v>810</v>
      </c>
      <c r="K937" s="1" t="s">
        <v>74</v>
      </c>
      <c r="L937" s="1" t="s">
        <v>74</v>
      </c>
      <c r="M937" s="1" t="s">
        <v>74</v>
      </c>
      <c r="N937" s="1" t="s">
        <v>74</v>
      </c>
      <c r="O937" s="1" t="s">
        <v>74</v>
      </c>
      <c r="P937" s="1" t="s">
        <v>74</v>
      </c>
      <c r="Q937" s="1" t="s">
        <v>74</v>
      </c>
      <c r="R937" s="1" t="s">
        <v>74</v>
      </c>
      <c r="S937" s="1" t="s">
        <v>74</v>
      </c>
      <c r="T937" s="1" t="s">
        <v>74</v>
      </c>
      <c r="U937" s="1" t="s">
        <v>74</v>
      </c>
      <c r="V937" s="1" t="s">
        <v>9318</v>
      </c>
      <c r="W937" s="1" t="s">
        <v>74</v>
      </c>
      <c r="X937" s="1" t="s">
        <v>74</v>
      </c>
      <c r="Y937" s="1" t="s">
        <v>74</v>
      </c>
      <c r="Z937" s="1" t="s">
        <v>74</v>
      </c>
      <c r="AA937" s="1" t="s">
        <v>9319</v>
      </c>
      <c r="AB937" s="1" t="s">
        <v>9320</v>
      </c>
      <c r="AC937" s="1" t="s">
        <v>74</v>
      </c>
      <c r="AD937" s="1" t="s">
        <v>74</v>
      </c>
      <c r="AE937" s="1" t="s">
        <v>74</v>
      </c>
      <c r="AF937" s="1" t="s">
        <v>74</v>
      </c>
      <c r="AG937" s="1" t="s">
        <v>74</v>
      </c>
      <c r="AH937" s="1" t="s">
        <v>74</v>
      </c>
      <c r="AI937" s="1" t="s">
        <v>74</v>
      </c>
      <c r="AJ937" s="1" t="s">
        <v>74</v>
      </c>
      <c r="AK937" s="1" t="s">
        <v>74</v>
      </c>
      <c r="AL937" s="1" t="s">
        <v>74</v>
      </c>
      <c r="AM937" s="1" t="s">
        <v>74</v>
      </c>
      <c r="AN937" s="1" t="s">
        <v>74</v>
      </c>
      <c r="AO937" s="1" t="s">
        <v>814</v>
      </c>
      <c r="AP937" s="1" t="s">
        <v>74</v>
      </c>
      <c r="AQ937" s="1" t="s">
        <v>74</v>
      </c>
      <c r="AR937" s="1" t="s">
        <v>74</v>
      </c>
      <c r="AS937" s="1" t="s">
        <v>74</v>
      </c>
      <c r="AT937" s="1" t="s">
        <v>74</v>
      </c>
      <c r="AU937" s="1">
        <v>2011.0</v>
      </c>
      <c r="AV937" s="1">
        <v>22.0</v>
      </c>
      <c r="AW937" s="1">
        <v>12.0</v>
      </c>
      <c r="AX937" s="1" t="s">
        <v>74</v>
      </c>
      <c r="AY937" s="1" t="s">
        <v>74</v>
      </c>
      <c r="AZ937" s="1" t="s">
        <v>74</v>
      </c>
      <c r="BA937" s="1" t="s">
        <v>74</v>
      </c>
      <c r="BB937" s="1">
        <v>2344.0</v>
      </c>
      <c r="BC937" s="1" t="s">
        <v>9321</v>
      </c>
      <c r="BD937" s="1" t="s">
        <v>74</v>
      </c>
      <c r="BE937" s="1" t="s">
        <v>9322</v>
      </c>
      <c r="BF937" s="2" t="str">
        <f>HYPERLINK("http://dx.doi.org/10.1590/S0103-50532011001200015","http://dx.doi.org/10.1590/S0103-50532011001200015")</f>
        <v>http://dx.doi.org/10.1590/S0103-50532011001200015</v>
      </c>
      <c r="BG937" s="1" t="s">
        <v>74</v>
      </c>
      <c r="BH937" s="1" t="s">
        <v>74</v>
      </c>
      <c r="BI937" s="1" t="s">
        <v>74</v>
      </c>
      <c r="BJ937" s="1" t="s">
        <v>74</v>
      </c>
      <c r="BK937" s="1" t="s">
        <v>74</v>
      </c>
      <c r="BL937" s="1" t="s">
        <v>74</v>
      </c>
      <c r="BM937" s="1" t="s">
        <v>74</v>
      </c>
      <c r="BN937" s="1" t="s">
        <v>74</v>
      </c>
      <c r="BO937" s="1" t="s">
        <v>74</v>
      </c>
      <c r="BP937" s="1" t="s">
        <v>74</v>
      </c>
      <c r="BQ937" s="1" t="s">
        <v>74</v>
      </c>
      <c r="BR937" s="1" t="s">
        <v>74</v>
      </c>
      <c r="BS937" s="1" t="s">
        <v>9323</v>
      </c>
      <c r="BT937" s="1" t="str">
        <f>HYPERLINK("https%3A%2F%2Fwww.webofscience.com%2Fwos%2Fwoscc%2Ffull-record%2FWOS:000299000600014","View Full Record in Web of Science")</f>
        <v>View Full Record in Web of Science</v>
      </c>
    </row>
    <row r="938" ht="12.75" customHeight="1">
      <c r="A938" s="1" t="s">
        <v>72</v>
      </c>
      <c r="B938" s="1" t="s">
        <v>9324</v>
      </c>
      <c r="C938" s="1" t="s">
        <v>74</v>
      </c>
      <c r="D938" s="1" t="s">
        <v>74</v>
      </c>
      <c r="E938" s="1" t="s">
        <v>74</v>
      </c>
      <c r="F938" s="1" t="s">
        <v>9325</v>
      </c>
      <c r="G938" s="1" t="s">
        <v>74</v>
      </c>
      <c r="H938" s="1" t="s">
        <v>74</v>
      </c>
      <c r="I938" s="1" t="s">
        <v>9326</v>
      </c>
      <c r="J938" s="1" t="s">
        <v>890</v>
      </c>
      <c r="K938" s="1" t="s">
        <v>74</v>
      </c>
      <c r="L938" s="1" t="s">
        <v>74</v>
      </c>
      <c r="M938" s="1" t="s">
        <v>74</v>
      </c>
      <c r="N938" s="1" t="s">
        <v>74</v>
      </c>
      <c r="O938" s="1" t="s">
        <v>74</v>
      </c>
      <c r="P938" s="1" t="s">
        <v>74</v>
      </c>
      <c r="Q938" s="1" t="s">
        <v>74</v>
      </c>
      <c r="R938" s="1" t="s">
        <v>74</v>
      </c>
      <c r="S938" s="1" t="s">
        <v>74</v>
      </c>
      <c r="T938" s="1" t="s">
        <v>74</v>
      </c>
      <c r="U938" s="1" t="s">
        <v>74</v>
      </c>
      <c r="V938" s="1" t="s">
        <v>9327</v>
      </c>
      <c r="W938" s="1" t="s">
        <v>74</v>
      </c>
      <c r="X938" s="1" t="s">
        <v>74</v>
      </c>
      <c r="Y938" s="1" t="s">
        <v>74</v>
      </c>
      <c r="Z938" s="1" t="s">
        <v>74</v>
      </c>
      <c r="AA938" s="1" t="s">
        <v>9328</v>
      </c>
      <c r="AB938" s="1" t="s">
        <v>9329</v>
      </c>
      <c r="AC938" s="1" t="s">
        <v>74</v>
      </c>
      <c r="AD938" s="1" t="s">
        <v>74</v>
      </c>
      <c r="AE938" s="1" t="s">
        <v>74</v>
      </c>
      <c r="AF938" s="1" t="s">
        <v>74</v>
      </c>
      <c r="AG938" s="1" t="s">
        <v>74</v>
      </c>
      <c r="AH938" s="1" t="s">
        <v>74</v>
      </c>
      <c r="AI938" s="1" t="s">
        <v>74</v>
      </c>
      <c r="AJ938" s="1" t="s">
        <v>74</v>
      </c>
      <c r="AK938" s="1" t="s">
        <v>74</v>
      </c>
      <c r="AL938" s="1" t="s">
        <v>74</v>
      </c>
      <c r="AM938" s="1" t="s">
        <v>74</v>
      </c>
      <c r="AN938" s="1" t="s">
        <v>74</v>
      </c>
      <c r="AO938" s="1" t="s">
        <v>893</v>
      </c>
      <c r="AP938" s="1" t="s">
        <v>894</v>
      </c>
      <c r="AQ938" s="1" t="s">
        <v>74</v>
      </c>
      <c r="AR938" s="1" t="s">
        <v>74</v>
      </c>
      <c r="AS938" s="1" t="s">
        <v>74</v>
      </c>
      <c r="AT938" s="1" t="s">
        <v>441</v>
      </c>
      <c r="AU938" s="1">
        <v>2010.0</v>
      </c>
      <c r="AV938" s="1">
        <v>248.0</v>
      </c>
      <c r="AW938" s="1">
        <v>2.0</v>
      </c>
      <c r="AX938" s="1" t="s">
        <v>74</v>
      </c>
      <c r="AY938" s="1" t="s">
        <v>74</v>
      </c>
      <c r="AZ938" s="1" t="s">
        <v>74</v>
      </c>
      <c r="BA938" s="1" t="s">
        <v>74</v>
      </c>
      <c r="BB938" s="1">
        <v>309.0</v>
      </c>
      <c r="BC938" s="1">
        <v>327.0</v>
      </c>
      <c r="BD938" s="1" t="s">
        <v>74</v>
      </c>
      <c r="BE938" s="1" t="s">
        <v>9330</v>
      </c>
      <c r="BF938" s="2" t="str">
        <f>HYPERLINK("http://dx.doi.org/10.1016/j.jde.2009.08.008","http://dx.doi.org/10.1016/j.jde.2009.08.008")</f>
        <v>http://dx.doi.org/10.1016/j.jde.2009.08.008</v>
      </c>
      <c r="BG938" s="1" t="s">
        <v>74</v>
      </c>
      <c r="BH938" s="1" t="s">
        <v>74</v>
      </c>
      <c r="BI938" s="1" t="s">
        <v>74</v>
      </c>
      <c r="BJ938" s="1" t="s">
        <v>74</v>
      </c>
      <c r="BK938" s="1" t="s">
        <v>74</v>
      </c>
      <c r="BL938" s="1" t="s">
        <v>74</v>
      </c>
      <c r="BM938" s="1" t="s">
        <v>74</v>
      </c>
      <c r="BN938" s="1" t="s">
        <v>74</v>
      </c>
      <c r="BO938" s="1" t="s">
        <v>74</v>
      </c>
      <c r="BP938" s="1" t="s">
        <v>74</v>
      </c>
      <c r="BQ938" s="1" t="s">
        <v>74</v>
      </c>
      <c r="BR938" s="1" t="s">
        <v>74</v>
      </c>
      <c r="BS938" s="1" t="s">
        <v>9331</v>
      </c>
      <c r="BT938" s="1" t="str">
        <f>HYPERLINK("https%3A%2F%2Fwww.webofscience.com%2Fwos%2Fwoscc%2Ffull-record%2FWOS:000272692300005","View Full Record in Web of Science")</f>
        <v>View Full Record in Web of Science</v>
      </c>
    </row>
    <row r="939" ht="12.75" customHeight="1">
      <c r="A939" s="1" t="s">
        <v>72</v>
      </c>
      <c r="B939" s="1" t="s">
        <v>9332</v>
      </c>
      <c r="C939" s="1" t="s">
        <v>74</v>
      </c>
      <c r="D939" s="1" t="s">
        <v>74</v>
      </c>
      <c r="E939" s="1" t="s">
        <v>74</v>
      </c>
      <c r="F939" s="1" t="s">
        <v>9333</v>
      </c>
      <c r="G939" s="1" t="s">
        <v>74</v>
      </c>
      <c r="H939" s="1" t="s">
        <v>74</v>
      </c>
      <c r="I939" s="1" t="s">
        <v>9334</v>
      </c>
      <c r="J939" s="1" t="s">
        <v>9335</v>
      </c>
      <c r="K939" s="1" t="s">
        <v>74</v>
      </c>
      <c r="L939" s="1" t="s">
        <v>74</v>
      </c>
      <c r="M939" s="1" t="s">
        <v>74</v>
      </c>
      <c r="N939" s="1" t="s">
        <v>74</v>
      </c>
      <c r="O939" s="1" t="s">
        <v>74</v>
      </c>
      <c r="P939" s="1" t="s">
        <v>74</v>
      </c>
      <c r="Q939" s="1" t="s">
        <v>74</v>
      </c>
      <c r="R939" s="1" t="s">
        <v>74</v>
      </c>
      <c r="S939" s="1" t="s">
        <v>74</v>
      </c>
      <c r="T939" s="1" t="s">
        <v>74</v>
      </c>
      <c r="U939" s="1" t="s">
        <v>74</v>
      </c>
      <c r="V939" s="1" t="s">
        <v>9336</v>
      </c>
      <c r="W939" s="1" t="s">
        <v>74</v>
      </c>
      <c r="X939" s="1" t="s">
        <v>74</v>
      </c>
      <c r="Y939" s="1" t="s">
        <v>74</v>
      </c>
      <c r="Z939" s="1" t="s">
        <v>74</v>
      </c>
      <c r="AA939" s="1" t="s">
        <v>74</v>
      </c>
      <c r="AB939" s="1" t="s">
        <v>5500</v>
      </c>
      <c r="AC939" s="1" t="s">
        <v>74</v>
      </c>
      <c r="AD939" s="1" t="s">
        <v>74</v>
      </c>
      <c r="AE939" s="1" t="s">
        <v>74</v>
      </c>
      <c r="AF939" s="1" t="s">
        <v>74</v>
      </c>
      <c r="AG939" s="1" t="s">
        <v>74</v>
      </c>
      <c r="AH939" s="1" t="s">
        <v>74</v>
      </c>
      <c r="AI939" s="1" t="s">
        <v>74</v>
      </c>
      <c r="AJ939" s="1" t="s">
        <v>74</v>
      </c>
      <c r="AK939" s="1" t="s">
        <v>74</v>
      </c>
      <c r="AL939" s="1" t="s">
        <v>74</v>
      </c>
      <c r="AM939" s="1" t="s">
        <v>74</v>
      </c>
      <c r="AN939" s="1" t="s">
        <v>74</v>
      </c>
      <c r="AO939" s="1" t="s">
        <v>9337</v>
      </c>
      <c r="AP939" s="1" t="s">
        <v>9338</v>
      </c>
      <c r="AQ939" s="1" t="s">
        <v>74</v>
      </c>
      <c r="AR939" s="1" t="s">
        <v>74</v>
      </c>
      <c r="AS939" s="1" t="s">
        <v>74</v>
      </c>
      <c r="AT939" s="1" t="s">
        <v>201</v>
      </c>
      <c r="AU939" s="1">
        <v>2008.0</v>
      </c>
      <c r="AV939" s="1">
        <v>55.0</v>
      </c>
      <c r="AW939" s="1">
        <v>5.0</v>
      </c>
      <c r="AX939" s="1">
        <v>1.0</v>
      </c>
      <c r="AY939" s="1" t="s">
        <v>74</v>
      </c>
      <c r="AZ939" s="1" t="s">
        <v>74</v>
      </c>
      <c r="BA939" s="1" t="s">
        <v>74</v>
      </c>
      <c r="BB939" s="1">
        <v>2541.0</v>
      </c>
      <c r="BC939" s="1">
        <v>2545.0</v>
      </c>
      <c r="BD939" s="1" t="s">
        <v>74</v>
      </c>
      <c r="BE939" s="1" t="s">
        <v>9339</v>
      </c>
      <c r="BF939" s="2" t="str">
        <f>HYPERLINK("http://dx.doi.org/10.1109/TNS.2008.2002257","http://dx.doi.org/10.1109/TNS.2008.2002257")</f>
        <v>http://dx.doi.org/10.1109/TNS.2008.2002257</v>
      </c>
      <c r="BG939" s="1" t="s">
        <v>74</v>
      </c>
      <c r="BH939" s="1" t="s">
        <v>74</v>
      </c>
      <c r="BI939" s="1" t="s">
        <v>74</v>
      </c>
      <c r="BJ939" s="1" t="s">
        <v>74</v>
      </c>
      <c r="BK939" s="1" t="s">
        <v>74</v>
      </c>
      <c r="BL939" s="1" t="s">
        <v>74</v>
      </c>
      <c r="BM939" s="1" t="s">
        <v>74</v>
      </c>
      <c r="BN939" s="1">
        <v>2.5722497E7</v>
      </c>
      <c r="BO939" s="1" t="s">
        <v>74</v>
      </c>
      <c r="BP939" s="1" t="s">
        <v>74</v>
      </c>
      <c r="BQ939" s="1" t="s">
        <v>74</v>
      </c>
      <c r="BR939" s="1" t="s">
        <v>74</v>
      </c>
      <c r="BS939" s="1" t="s">
        <v>9340</v>
      </c>
      <c r="BT939" s="1" t="str">
        <f>HYPERLINK("https%3A%2F%2Fwww.webofscience.com%2Fwos%2Fwoscc%2Ffull-record%2FWOS:000262015700014","View Full Record in Web of Science")</f>
        <v>View Full Record in Web of Science</v>
      </c>
    </row>
    <row r="940" ht="12.75" customHeight="1">
      <c r="A940" s="1" t="s">
        <v>1313</v>
      </c>
      <c r="B940" s="1" t="s">
        <v>9341</v>
      </c>
      <c r="C940" s="1" t="s">
        <v>74</v>
      </c>
      <c r="D940" s="1" t="s">
        <v>9342</v>
      </c>
      <c r="E940" s="1" t="s">
        <v>74</v>
      </c>
      <c r="F940" s="1" t="s">
        <v>9343</v>
      </c>
      <c r="G940" s="1" t="s">
        <v>74</v>
      </c>
      <c r="H940" s="1" t="s">
        <v>74</v>
      </c>
      <c r="I940" s="1" t="s">
        <v>9344</v>
      </c>
      <c r="J940" s="1" t="s">
        <v>9345</v>
      </c>
      <c r="K940" s="1" t="s">
        <v>9346</v>
      </c>
      <c r="L940" s="1" t="s">
        <v>74</v>
      </c>
      <c r="M940" s="1" t="s">
        <v>74</v>
      </c>
      <c r="N940" s="1" t="s">
        <v>74</v>
      </c>
      <c r="O940" s="1" t="s">
        <v>74</v>
      </c>
      <c r="P940" s="1" t="s">
        <v>74</v>
      </c>
      <c r="Q940" s="1" t="s">
        <v>74</v>
      </c>
      <c r="R940" s="1" t="s">
        <v>74</v>
      </c>
      <c r="S940" s="1" t="s">
        <v>74</v>
      </c>
      <c r="T940" s="1" t="s">
        <v>74</v>
      </c>
      <c r="U940" s="1" t="s">
        <v>74</v>
      </c>
      <c r="V940" s="1" t="s">
        <v>74</v>
      </c>
      <c r="W940" s="1" t="s">
        <v>74</v>
      </c>
      <c r="X940" s="1" t="s">
        <v>74</v>
      </c>
      <c r="Y940" s="1" t="s">
        <v>74</v>
      </c>
      <c r="Z940" s="1" t="s">
        <v>74</v>
      </c>
      <c r="AA940" s="1" t="s">
        <v>9347</v>
      </c>
      <c r="AB940" s="1" t="s">
        <v>9348</v>
      </c>
      <c r="AC940" s="1" t="s">
        <v>74</v>
      </c>
      <c r="AD940" s="1" t="s">
        <v>74</v>
      </c>
      <c r="AE940" s="1" t="s">
        <v>74</v>
      </c>
      <c r="AF940" s="1" t="s">
        <v>74</v>
      </c>
      <c r="AG940" s="1" t="s">
        <v>74</v>
      </c>
      <c r="AH940" s="1" t="s">
        <v>74</v>
      </c>
      <c r="AI940" s="1" t="s">
        <v>74</v>
      </c>
      <c r="AJ940" s="1" t="s">
        <v>74</v>
      </c>
      <c r="AK940" s="1" t="s">
        <v>74</v>
      </c>
      <c r="AL940" s="1" t="s">
        <v>74</v>
      </c>
      <c r="AM940" s="1" t="s">
        <v>74</v>
      </c>
      <c r="AN940" s="1" t="s">
        <v>74</v>
      </c>
      <c r="AO940" s="1" t="s">
        <v>9349</v>
      </c>
      <c r="AP940" s="1" t="s">
        <v>74</v>
      </c>
      <c r="AQ940" s="1" t="s">
        <v>9350</v>
      </c>
      <c r="AR940" s="1" t="s">
        <v>74</v>
      </c>
      <c r="AS940" s="1" t="s">
        <v>74</v>
      </c>
      <c r="AT940" s="1" t="s">
        <v>74</v>
      </c>
      <c r="AU940" s="1">
        <v>2007.0</v>
      </c>
      <c r="AV940" s="1" t="s">
        <v>74</v>
      </c>
      <c r="AW940" s="1">
        <v>54.0</v>
      </c>
      <c r="AX940" s="1" t="s">
        <v>74</v>
      </c>
      <c r="AY940" s="1" t="s">
        <v>74</v>
      </c>
      <c r="AZ940" s="1" t="s">
        <v>74</v>
      </c>
      <c r="BA940" s="1" t="s">
        <v>74</v>
      </c>
      <c r="BB940" s="1">
        <v>52.0</v>
      </c>
      <c r="BC940" s="1">
        <v>62.0</v>
      </c>
      <c r="BD940" s="1" t="s">
        <v>74</v>
      </c>
      <c r="BE940" s="1" t="s">
        <v>74</v>
      </c>
      <c r="BF940" s="1" t="s">
        <v>74</v>
      </c>
      <c r="BG940" s="1" t="s">
        <v>9351</v>
      </c>
      <c r="BH940" s="1" t="s">
        <v>74</v>
      </c>
      <c r="BI940" s="1" t="s">
        <v>74</v>
      </c>
      <c r="BJ940" s="1" t="s">
        <v>74</v>
      </c>
      <c r="BK940" s="1" t="s">
        <v>74</v>
      </c>
      <c r="BL940" s="1" t="s">
        <v>74</v>
      </c>
      <c r="BM940" s="1" t="s">
        <v>74</v>
      </c>
      <c r="BN940" s="1" t="s">
        <v>74</v>
      </c>
      <c r="BO940" s="1" t="s">
        <v>74</v>
      </c>
      <c r="BP940" s="1" t="s">
        <v>74</v>
      </c>
      <c r="BQ940" s="1" t="s">
        <v>74</v>
      </c>
      <c r="BR940" s="1" t="s">
        <v>74</v>
      </c>
      <c r="BS940" s="1" t="s">
        <v>9352</v>
      </c>
      <c r="BT940" s="1" t="str">
        <f>HYPERLINK("https%3A%2F%2Fwww.webofscience.com%2Fwos%2Fwoscc%2Ffull-record%2FWOS:000285745700004","View Full Record in Web of Science")</f>
        <v>View Full Record in Web of Science</v>
      </c>
    </row>
    <row r="941" ht="12.75" customHeight="1">
      <c r="A941" s="1" t="s">
        <v>72</v>
      </c>
      <c r="B941" s="1" t="s">
        <v>9353</v>
      </c>
      <c r="C941" s="1" t="s">
        <v>74</v>
      </c>
      <c r="D941" s="1" t="s">
        <v>74</v>
      </c>
      <c r="E941" s="1" t="s">
        <v>74</v>
      </c>
      <c r="F941" s="1" t="s">
        <v>9353</v>
      </c>
      <c r="G941" s="1" t="s">
        <v>74</v>
      </c>
      <c r="H941" s="1" t="s">
        <v>74</v>
      </c>
      <c r="I941" s="1" t="s">
        <v>9354</v>
      </c>
      <c r="J941" s="1" t="s">
        <v>9355</v>
      </c>
      <c r="K941" s="1" t="s">
        <v>74</v>
      </c>
      <c r="L941" s="1" t="s">
        <v>74</v>
      </c>
      <c r="M941" s="1" t="s">
        <v>74</v>
      </c>
      <c r="N941" s="1" t="s">
        <v>74</v>
      </c>
      <c r="O941" s="1" t="s">
        <v>74</v>
      </c>
      <c r="P941" s="1" t="s">
        <v>74</v>
      </c>
      <c r="Q941" s="1" t="s">
        <v>74</v>
      </c>
      <c r="R941" s="1" t="s">
        <v>74</v>
      </c>
      <c r="S941" s="1" t="s">
        <v>74</v>
      </c>
      <c r="T941" s="1" t="s">
        <v>74</v>
      </c>
      <c r="U941" s="1" t="s">
        <v>74</v>
      </c>
      <c r="V941" s="1" t="s">
        <v>9356</v>
      </c>
      <c r="W941" s="1" t="s">
        <v>74</v>
      </c>
      <c r="X941" s="1" t="s">
        <v>74</v>
      </c>
      <c r="Y941" s="1" t="s">
        <v>74</v>
      </c>
      <c r="Z941" s="1" t="s">
        <v>74</v>
      </c>
      <c r="AA941" s="1" t="s">
        <v>9357</v>
      </c>
      <c r="AB941" s="1" t="s">
        <v>9358</v>
      </c>
      <c r="AC941" s="1" t="s">
        <v>74</v>
      </c>
      <c r="AD941" s="1" t="s">
        <v>74</v>
      </c>
      <c r="AE941" s="1" t="s">
        <v>74</v>
      </c>
      <c r="AF941" s="1" t="s">
        <v>74</v>
      </c>
      <c r="AG941" s="1" t="s">
        <v>74</v>
      </c>
      <c r="AH941" s="1" t="s">
        <v>74</v>
      </c>
      <c r="AI941" s="1" t="s">
        <v>74</v>
      </c>
      <c r="AJ941" s="1" t="s">
        <v>74</v>
      </c>
      <c r="AK941" s="1" t="s">
        <v>74</v>
      </c>
      <c r="AL941" s="1" t="s">
        <v>74</v>
      </c>
      <c r="AM941" s="1" t="s">
        <v>74</v>
      </c>
      <c r="AN941" s="1" t="s">
        <v>74</v>
      </c>
      <c r="AO941" s="1" t="s">
        <v>9359</v>
      </c>
      <c r="AP941" s="1" t="s">
        <v>74</v>
      </c>
      <c r="AQ941" s="1" t="s">
        <v>74</v>
      </c>
      <c r="AR941" s="1" t="s">
        <v>74</v>
      </c>
      <c r="AS941" s="1" t="s">
        <v>74</v>
      </c>
      <c r="AT941" s="1" t="s">
        <v>9360</v>
      </c>
      <c r="AU941" s="1">
        <v>2000.0</v>
      </c>
      <c r="AV941" s="1">
        <v>67.0</v>
      </c>
      <c r="AW941" s="1">
        <v>26.0</v>
      </c>
      <c r="AX941" s="1" t="s">
        <v>74</v>
      </c>
      <c r="AY941" s="1" t="s">
        <v>74</v>
      </c>
      <c r="AZ941" s="1" t="s">
        <v>74</v>
      </c>
      <c r="BA941" s="1" t="s">
        <v>74</v>
      </c>
      <c r="BB941" s="1">
        <v>3241.0</v>
      </c>
      <c r="BC941" s="1">
        <v>3247.0</v>
      </c>
      <c r="BD941" s="1" t="s">
        <v>74</v>
      </c>
      <c r="BE941" s="1" t="s">
        <v>9361</v>
      </c>
      <c r="BF941" s="2" t="str">
        <f>HYPERLINK("http://dx.doi.org/10.1016/S0024-3205(00)00906-1","http://dx.doi.org/10.1016/S0024-3205(00)00906-1")</f>
        <v>http://dx.doi.org/10.1016/S0024-3205(00)00906-1</v>
      </c>
      <c r="BG941" s="1" t="s">
        <v>74</v>
      </c>
      <c r="BH941" s="1" t="s">
        <v>74</v>
      </c>
      <c r="BI941" s="1" t="s">
        <v>74</v>
      </c>
      <c r="BJ941" s="1" t="s">
        <v>74</v>
      </c>
      <c r="BK941" s="1" t="s">
        <v>74</v>
      </c>
      <c r="BL941" s="1" t="s">
        <v>74</v>
      </c>
      <c r="BM941" s="1" t="s">
        <v>74</v>
      </c>
      <c r="BN941" s="1">
        <v>1.1191631E7</v>
      </c>
      <c r="BO941" s="1" t="s">
        <v>74</v>
      </c>
      <c r="BP941" s="1" t="s">
        <v>74</v>
      </c>
      <c r="BQ941" s="1" t="s">
        <v>74</v>
      </c>
      <c r="BR941" s="1" t="s">
        <v>74</v>
      </c>
      <c r="BS941" s="1" t="s">
        <v>9362</v>
      </c>
      <c r="BT941" s="1" t="str">
        <f>HYPERLINK("https%3A%2F%2Fwww.webofscience.com%2Fwos%2Fwoscc%2Ffull-record%2FWOS:000165476700012","View Full Record in Web of Science")</f>
        <v>View Full Record in Web of Science</v>
      </c>
    </row>
    <row r="942" ht="12.75" customHeight="1">
      <c r="A942" s="1" t="s">
        <v>72</v>
      </c>
      <c r="B942" s="1" t="s">
        <v>9363</v>
      </c>
      <c r="C942" s="1" t="s">
        <v>74</v>
      </c>
      <c r="D942" s="1" t="s">
        <v>74</v>
      </c>
      <c r="E942" s="1" t="s">
        <v>74</v>
      </c>
      <c r="F942" s="1" t="s">
        <v>9363</v>
      </c>
      <c r="G942" s="1" t="s">
        <v>74</v>
      </c>
      <c r="H942" s="1" t="s">
        <v>74</v>
      </c>
      <c r="I942" s="1" t="s">
        <v>9364</v>
      </c>
      <c r="J942" s="1" t="s">
        <v>9365</v>
      </c>
      <c r="K942" s="1" t="s">
        <v>74</v>
      </c>
      <c r="L942" s="1" t="s">
        <v>74</v>
      </c>
      <c r="M942" s="1" t="s">
        <v>74</v>
      </c>
      <c r="N942" s="1" t="s">
        <v>74</v>
      </c>
      <c r="O942" s="1" t="s">
        <v>74</v>
      </c>
      <c r="P942" s="1" t="s">
        <v>74</v>
      </c>
      <c r="Q942" s="1" t="s">
        <v>74</v>
      </c>
      <c r="R942" s="1" t="s">
        <v>74</v>
      </c>
      <c r="S942" s="1" t="s">
        <v>74</v>
      </c>
      <c r="T942" s="1" t="s">
        <v>74</v>
      </c>
      <c r="U942" s="1" t="s">
        <v>74</v>
      </c>
      <c r="V942" s="1" t="s">
        <v>9366</v>
      </c>
      <c r="W942" s="1" t="s">
        <v>74</v>
      </c>
      <c r="X942" s="1" t="s">
        <v>74</v>
      </c>
      <c r="Y942" s="1" t="s">
        <v>74</v>
      </c>
      <c r="Z942" s="1" t="s">
        <v>74</v>
      </c>
      <c r="AA942" s="1" t="s">
        <v>9367</v>
      </c>
      <c r="AB942" s="1" t="s">
        <v>9368</v>
      </c>
      <c r="AC942" s="1" t="s">
        <v>74</v>
      </c>
      <c r="AD942" s="1" t="s">
        <v>74</v>
      </c>
      <c r="AE942" s="1" t="s">
        <v>74</v>
      </c>
      <c r="AF942" s="1" t="s">
        <v>74</v>
      </c>
      <c r="AG942" s="1" t="s">
        <v>74</v>
      </c>
      <c r="AH942" s="1" t="s">
        <v>74</v>
      </c>
      <c r="AI942" s="1" t="s">
        <v>74</v>
      </c>
      <c r="AJ942" s="1" t="s">
        <v>74</v>
      </c>
      <c r="AK942" s="1" t="s">
        <v>74</v>
      </c>
      <c r="AL942" s="1" t="s">
        <v>74</v>
      </c>
      <c r="AM942" s="1" t="s">
        <v>74</v>
      </c>
      <c r="AN942" s="1" t="s">
        <v>74</v>
      </c>
      <c r="AO942" s="1" t="s">
        <v>9369</v>
      </c>
      <c r="AP942" s="1" t="s">
        <v>9370</v>
      </c>
      <c r="AQ942" s="1" t="s">
        <v>74</v>
      </c>
      <c r="AR942" s="1" t="s">
        <v>74</v>
      </c>
      <c r="AS942" s="1" t="s">
        <v>74</v>
      </c>
      <c r="AT942" s="1" t="s">
        <v>1018</v>
      </c>
      <c r="AU942" s="1">
        <v>2000.0</v>
      </c>
      <c r="AV942" s="1">
        <v>153.0</v>
      </c>
      <c r="AW942" s="1">
        <v>1.0</v>
      </c>
      <c r="AX942" s="1" t="s">
        <v>74</v>
      </c>
      <c r="AY942" s="1" t="s">
        <v>74</v>
      </c>
      <c r="AZ942" s="1" t="s">
        <v>74</v>
      </c>
      <c r="BA942" s="1" t="s">
        <v>74</v>
      </c>
      <c r="BB942" s="1">
        <v>74.0</v>
      </c>
      <c r="BC942" s="1">
        <v>81.0</v>
      </c>
      <c r="BD942" s="1" t="s">
        <v>74</v>
      </c>
      <c r="BE942" s="1" t="s">
        <v>9371</v>
      </c>
      <c r="BF942" s="2" t="str">
        <f>HYPERLINK("http://dx.doi.org/10.1006/jssc.2000.8749","http://dx.doi.org/10.1006/jssc.2000.8749")</f>
        <v>http://dx.doi.org/10.1006/jssc.2000.8749</v>
      </c>
      <c r="BG942" s="1" t="s">
        <v>74</v>
      </c>
      <c r="BH942" s="1" t="s">
        <v>74</v>
      </c>
      <c r="BI942" s="1" t="s">
        <v>74</v>
      </c>
      <c r="BJ942" s="1" t="s">
        <v>74</v>
      </c>
      <c r="BK942" s="1" t="s">
        <v>74</v>
      </c>
      <c r="BL942" s="1" t="s">
        <v>74</v>
      </c>
      <c r="BM942" s="1" t="s">
        <v>74</v>
      </c>
      <c r="BN942" s="1" t="s">
        <v>74</v>
      </c>
      <c r="BO942" s="1" t="s">
        <v>74</v>
      </c>
      <c r="BP942" s="1" t="s">
        <v>74</v>
      </c>
      <c r="BQ942" s="1" t="s">
        <v>74</v>
      </c>
      <c r="BR942" s="1" t="s">
        <v>74</v>
      </c>
      <c r="BS942" s="1" t="s">
        <v>9372</v>
      </c>
      <c r="BT942" s="1" t="str">
        <f>HYPERLINK("https%3A%2F%2Fwww.webofscience.com%2Fwos%2Fwoscc%2Ffull-record%2FWOS:000088600600011","View Full Record in Web of Science")</f>
        <v>View Full Record in Web of Science</v>
      </c>
    </row>
    <row r="943" ht="12.75" customHeight="1">
      <c r="A943" s="1" t="s">
        <v>72</v>
      </c>
      <c r="B943" s="1" t="s">
        <v>9373</v>
      </c>
      <c r="C943" s="1" t="s">
        <v>74</v>
      </c>
      <c r="D943" s="1" t="s">
        <v>74</v>
      </c>
      <c r="E943" s="1" t="s">
        <v>74</v>
      </c>
      <c r="F943" s="1" t="s">
        <v>9373</v>
      </c>
      <c r="G943" s="1" t="s">
        <v>74</v>
      </c>
      <c r="H943" s="1" t="s">
        <v>74</v>
      </c>
      <c r="I943" s="1" t="s">
        <v>9374</v>
      </c>
      <c r="J943" s="1" t="s">
        <v>1564</v>
      </c>
      <c r="K943" s="1" t="s">
        <v>74</v>
      </c>
      <c r="L943" s="1" t="s">
        <v>74</v>
      </c>
      <c r="M943" s="1" t="s">
        <v>74</v>
      </c>
      <c r="N943" s="1" t="s">
        <v>74</v>
      </c>
      <c r="O943" s="1" t="s">
        <v>74</v>
      </c>
      <c r="P943" s="1" t="s">
        <v>74</v>
      </c>
      <c r="Q943" s="1" t="s">
        <v>74</v>
      </c>
      <c r="R943" s="1" t="s">
        <v>74</v>
      </c>
      <c r="S943" s="1" t="s">
        <v>74</v>
      </c>
      <c r="T943" s="1" t="s">
        <v>74</v>
      </c>
      <c r="U943" s="1" t="s">
        <v>74</v>
      </c>
      <c r="V943" s="1" t="s">
        <v>9375</v>
      </c>
      <c r="W943" s="1" t="s">
        <v>74</v>
      </c>
      <c r="X943" s="1" t="s">
        <v>74</v>
      </c>
      <c r="Y943" s="1" t="s">
        <v>74</v>
      </c>
      <c r="Z943" s="1" t="s">
        <v>74</v>
      </c>
      <c r="AA943" s="1" t="s">
        <v>74</v>
      </c>
      <c r="AB943" s="1" t="s">
        <v>74</v>
      </c>
      <c r="AC943" s="1" t="s">
        <v>74</v>
      </c>
      <c r="AD943" s="1" t="s">
        <v>74</v>
      </c>
      <c r="AE943" s="1" t="s">
        <v>74</v>
      </c>
      <c r="AF943" s="1" t="s">
        <v>74</v>
      </c>
      <c r="AG943" s="1" t="s">
        <v>74</v>
      </c>
      <c r="AH943" s="1" t="s">
        <v>74</v>
      </c>
      <c r="AI943" s="1" t="s">
        <v>74</v>
      </c>
      <c r="AJ943" s="1" t="s">
        <v>74</v>
      </c>
      <c r="AK943" s="1" t="s">
        <v>74</v>
      </c>
      <c r="AL943" s="1" t="s">
        <v>74</v>
      </c>
      <c r="AM943" s="1" t="s">
        <v>74</v>
      </c>
      <c r="AN943" s="1" t="s">
        <v>74</v>
      </c>
      <c r="AO943" s="1" t="s">
        <v>1567</v>
      </c>
      <c r="AP943" s="1" t="s">
        <v>74</v>
      </c>
      <c r="AQ943" s="1" t="s">
        <v>74</v>
      </c>
      <c r="AR943" s="1" t="s">
        <v>74</v>
      </c>
      <c r="AS943" s="1" t="s">
        <v>74</v>
      </c>
      <c r="AT943" s="1" t="s">
        <v>939</v>
      </c>
      <c r="AU943" s="1">
        <v>1994.0</v>
      </c>
      <c r="AV943" s="1">
        <v>16.0</v>
      </c>
      <c r="AW943" s="1">
        <v>6.0</v>
      </c>
      <c r="AX943" s="1" t="s">
        <v>74</v>
      </c>
      <c r="AY943" s="1" t="s">
        <v>74</v>
      </c>
      <c r="AZ943" s="1" t="s">
        <v>74</v>
      </c>
      <c r="BA943" s="1" t="s">
        <v>74</v>
      </c>
      <c r="BB943" s="1">
        <v>851.0</v>
      </c>
      <c r="BC943" s="1">
        <v>853.0</v>
      </c>
      <c r="BD943" s="1" t="s">
        <v>74</v>
      </c>
      <c r="BE943" s="1" t="s">
        <v>9376</v>
      </c>
      <c r="BF943" s="2" t="str">
        <f>HYPERLINK("http://dx.doi.org/10.1016/0891-5849(94)90203-8","http://dx.doi.org/10.1016/0891-5849(94)90203-8")</f>
        <v>http://dx.doi.org/10.1016/0891-5849(94)90203-8</v>
      </c>
      <c r="BG943" s="1" t="s">
        <v>74</v>
      </c>
      <c r="BH943" s="1" t="s">
        <v>74</v>
      </c>
      <c r="BI943" s="1" t="s">
        <v>74</v>
      </c>
      <c r="BJ943" s="1" t="s">
        <v>74</v>
      </c>
      <c r="BK943" s="1" t="s">
        <v>74</v>
      </c>
      <c r="BL943" s="1" t="s">
        <v>74</v>
      </c>
      <c r="BM943" s="1" t="s">
        <v>74</v>
      </c>
      <c r="BN943" s="1">
        <v>8070691.0</v>
      </c>
      <c r="BO943" s="1" t="s">
        <v>74</v>
      </c>
      <c r="BP943" s="1" t="s">
        <v>74</v>
      </c>
      <c r="BQ943" s="1" t="s">
        <v>74</v>
      </c>
      <c r="BR943" s="1" t="s">
        <v>74</v>
      </c>
      <c r="BS943" s="1" t="s">
        <v>9377</v>
      </c>
      <c r="BT943" s="1" t="str">
        <f>HYPERLINK("https%3A%2F%2Fwww.webofscience.com%2Fwos%2Fwoscc%2Ffull-record%2FWOS:A1994NL95100022","View Full Record in Web of Science")</f>
        <v>View Full Record in Web of Science</v>
      </c>
    </row>
    <row r="944" ht="12.75" customHeight="1">
      <c r="A944" s="1" t="s">
        <v>72</v>
      </c>
      <c r="B944" s="1" t="s">
        <v>9378</v>
      </c>
      <c r="C944" s="1" t="s">
        <v>74</v>
      </c>
      <c r="D944" s="1" t="s">
        <v>74</v>
      </c>
      <c r="E944" s="1" t="s">
        <v>74</v>
      </c>
      <c r="F944" s="1" t="s">
        <v>9379</v>
      </c>
      <c r="G944" s="1" t="s">
        <v>74</v>
      </c>
      <c r="H944" s="1" t="s">
        <v>74</v>
      </c>
      <c r="I944" s="1" t="s">
        <v>9380</v>
      </c>
      <c r="J944" s="1" t="s">
        <v>9381</v>
      </c>
      <c r="K944" s="1" t="s">
        <v>74</v>
      </c>
      <c r="L944" s="1" t="s">
        <v>74</v>
      </c>
      <c r="M944" s="1" t="s">
        <v>74</v>
      </c>
      <c r="N944" s="1" t="s">
        <v>74</v>
      </c>
      <c r="O944" s="1" t="s">
        <v>74</v>
      </c>
      <c r="P944" s="1" t="s">
        <v>74</v>
      </c>
      <c r="Q944" s="1" t="s">
        <v>74</v>
      </c>
      <c r="R944" s="1" t="s">
        <v>74</v>
      </c>
      <c r="S944" s="1" t="s">
        <v>74</v>
      </c>
      <c r="T944" s="1" t="s">
        <v>74</v>
      </c>
      <c r="U944" s="1" t="s">
        <v>74</v>
      </c>
      <c r="V944" s="1" t="s">
        <v>9382</v>
      </c>
      <c r="W944" s="1" t="s">
        <v>74</v>
      </c>
      <c r="X944" s="1" t="s">
        <v>74</v>
      </c>
      <c r="Y944" s="1" t="s">
        <v>74</v>
      </c>
      <c r="Z944" s="1" t="s">
        <v>74</v>
      </c>
      <c r="AA944" s="1" t="s">
        <v>9383</v>
      </c>
      <c r="AB944" s="1" t="s">
        <v>9384</v>
      </c>
      <c r="AC944" s="1" t="s">
        <v>74</v>
      </c>
      <c r="AD944" s="1" t="s">
        <v>74</v>
      </c>
      <c r="AE944" s="1" t="s">
        <v>74</v>
      </c>
      <c r="AF944" s="1" t="s">
        <v>74</v>
      </c>
      <c r="AG944" s="1" t="s">
        <v>74</v>
      </c>
      <c r="AH944" s="1" t="s">
        <v>74</v>
      </c>
      <c r="AI944" s="1" t="s">
        <v>74</v>
      </c>
      <c r="AJ944" s="1" t="s">
        <v>74</v>
      </c>
      <c r="AK944" s="1" t="s">
        <v>74</v>
      </c>
      <c r="AL944" s="1" t="s">
        <v>74</v>
      </c>
      <c r="AM944" s="1" t="s">
        <v>74</v>
      </c>
      <c r="AN944" s="1" t="s">
        <v>74</v>
      </c>
      <c r="AO944" s="1" t="s">
        <v>9385</v>
      </c>
      <c r="AP944" s="1" t="s">
        <v>9386</v>
      </c>
      <c r="AQ944" s="1" t="s">
        <v>74</v>
      </c>
      <c r="AR944" s="1" t="s">
        <v>74</v>
      </c>
      <c r="AS944" s="1" t="s">
        <v>74</v>
      </c>
      <c r="AT944" s="1" t="s">
        <v>1213</v>
      </c>
      <c r="AU944" s="1">
        <v>2025.0</v>
      </c>
      <c r="AV944" s="1">
        <v>233.0</v>
      </c>
      <c r="AW944" s="1" t="s">
        <v>74</v>
      </c>
      <c r="AX944" s="1" t="s">
        <v>74</v>
      </c>
      <c r="AY944" s="1" t="s">
        <v>74</v>
      </c>
      <c r="AZ944" s="1" t="s">
        <v>74</v>
      </c>
      <c r="BA944" s="1" t="s">
        <v>74</v>
      </c>
      <c r="BB944" s="1" t="s">
        <v>74</v>
      </c>
      <c r="BC944" s="1" t="s">
        <v>74</v>
      </c>
      <c r="BD944" s="1">
        <v>113985.0</v>
      </c>
      <c r="BE944" s="1" t="s">
        <v>9387</v>
      </c>
      <c r="BF944" s="2" t="str">
        <f>HYPERLINK("http://dx.doi.org/10.1016/j.vacuum.2024.113985","http://dx.doi.org/10.1016/j.vacuum.2024.113985")</f>
        <v>http://dx.doi.org/10.1016/j.vacuum.2024.113985</v>
      </c>
      <c r="BG944" s="1" t="s">
        <v>74</v>
      </c>
      <c r="BH944" s="1" t="s">
        <v>1372</v>
      </c>
      <c r="BI944" s="1" t="s">
        <v>74</v>
      </c>
      <c r="BJ944" s="1" t="s">
        <v>74</v>
      </c>
      <c r="BK944" s="1" t="s">
        <v>74</v>
      </c>
      <c r="BL944" s="1" t="s">
        <v>74</v>
      </c>
      <c r="BM944" s="1" t="s">
        <v>74</v>
      </c>
      <c r="BN944" s="1" t="s">
        <v>74</v>
      </c>
      <c r="BO944" s="1" t="s">
        <v>74</v>
      </c>
      <c r="BP944" s="1" t="s">
        <v>74</v>
      </c>
      <c r="BQ944" s="1" t="s">
        <v>74</v>
      </c>
      <c r="BR944" s="1" t="s">
        <v>74</v>
      </c>
      <c r="BS944" s="1" t="s">
        <v>9388</v>
      </c>
      <c r="BT944" s="1" t="str">
        <f>HYPERLINK("https%3A%2F%2Fwww.webofscience.com%2Fwos%2Fwoscc%2Ffull-record%2FWOS:001398268100001","View Full Record in Web of Science")</f>
        <v>View Full Record in Web of Science</v>
      </c>
    </row>
    <row r="945" ht="12.75" customHeight="1">
      <c r="A945" s="1" t="s">
        <v>72</v>
      </c>
      <c r="B945" s="1" t="s">
        <v>9389</v>
      </c>
      <c r="C945" s="1" t="s">
        <v>74</v>
      </c>
      <c r="D945" s="1" t="s">
        <v>74</v>
      </c>
      <c r="E945" s="1" t="s">
        <v>74</v>
      </c>
      <c r="F945" s="1" t="s">
        <v>9390</v>
      </c>
      <c r="G945" s="1" t="s">
        <v>74</v>
      </c>
      <c r="H945" s="1" t="s">
        <v>74</v>
      </c>
      <c r="I945" s="1" t="s">
        <v>9391</v>
      </c>
      <c r="J945" s="1" t="s">
        <v>6068</v>
      </c>
      <c r="K945" s="1" t="s">
        <v>74</v>
      </c>
      <c r="L945" s="1" t="s">
        <v>74</v>
      </c>
      <c r="M945" s="1" t="s">
        <v>74</v>
      </c>
      <c r="N945" s="1" t="s">
        <v>74</v>
      </c>
      <c r="O945" s="1" t="s">
        <v>74</v>
      </c>
      <c r="P945" s="1" t="s">
        <v>74</v>
      </c>
      <c r="Q945" s="1" t="s">
        <v>74</v>
      </c>
      <c r="R945" s="1" t="s">
        <v>74</v>
      </c>
      <c r="S945" s="1" t="s">
        <v>74</v>
      </c>
      <c r="T945" s="1" t="s">
        <v>74</v>
      </c>
      <c r="U945" s="1" t="s">
        <v>74</v>
      </c>
      <c r="V945" s="1" t="s">
        <v>9392</v>
      </c>
      <c r="W945" s="1" t="s">
        <v>74</v>
      </c>
      <c r="X945" s="1" t="s">
        <v>74</v>
      </c>
      <c r="Y945" s="1" t="s">
        <v>74</v>
      </c>
      <c r="Z945" s="1" t="s">
        <v>74</v>
      </c>
      <c r="AA945" s="1" t="s">
        <v>9393</v>
      </c>
      <c r="AB945" s="1" t="s">
        <v>9394</v>
      </c>
      <c r="AC945" s="1" t="s">
        <v>74</v>
      </c>
      <c r="AD945" s="1" t="s">
        <v>74</v>
      </c>
      <c r="AE945" s="1" t="s">
        <v>74</v>
      </c>
      <c r="AF945" s="1" t="s">
        <v>74</v>
      </c>
      <c r="AG945" s="1" t="s">
        <v>74</v>
      </c>
      <c r="AH945" s="1" t="s">
        <v>74</v>
      </c>
      <c r="AI945" s="1" t="s">
        <v>74</v>
      </c>
      <c r="AJ945" s="1" t="s">
        <v>74</v>
      </c>
      <c r="AK945" s="1" t="s">
        <v>74</v>
      </c>
      <c r="AL945" s="1" t="s">
        <v>74</v>
      </c>
      <c r="AM945" s="1" t="s">
        <v>74</v>
      </c>
      <c r="AN945" s="1" t="s">
        <v>74</v>
      </c>
      <c r="AO945" s="1" t="s">
        <v>6071</v>
      </c>
      <c r="AP945" s="1" t="s">
        <v>6072</v>
      </c>
      <c r="AQ945" s="1" t="s">
        <v>74</v>
      </c>
      <c r="AR945" s="1" t="s">
        <v>74</v>
      </c>
      <c r="AS945" s="1" t="s">
        <v>74</v>
      </c>
      <c r="AT945" s="1" t="s">
        <v>8863</v>
      </c>
      <c r="AU945" s="1">
        <v>2024.0</v>
      </c>
      <c r="AV945" s="1">
        <v>125.0</v>
      </c>
      <c r="AW945" s="1">
        <v>26.0</v>
      </c>
      <c r="AX945" s="1" t="s">
        <v>74</v>
      </c>
      <c r="AY945" s="1" t="s">
        <v>74</v>
      </c>
      <c r="AZ945" s="1" t="s">
        <v>74</v>
      </c>
      <c r="BA945" s="1" t="s">
        <v>74</v>
      </c>
      <c r="BB945" s="1" t="s">
        <v>74</v>
      </c>
      <c r="BC945" s="1" t="s">
        <v>74</v>
      </c>
      <c r="BD945" s="1">
        <v>262402.0</v>
      </c>
      <c r="BE945" s="1" t="s">
        <v>9395</v>
      </c>
      <c r="BF945" s="2" t="str">
        <f>HYPERLINK("http://dx.doi.org/10.1063/5.0227594","http://dx.doi.org/10.1063/5.0227594")</f>
        <v>http://dx.doi.org/10.1063/5.0227594</v>
      </c>
      <c r="BG945" s="1" t="s">
        <v>74</v>
      </c>
      <c r="BH945" s="1" t="s">
        <v>74</v>
      </c>
      <c r="BI945" s="1" t="s">
        <v>74</v>
      </c>
      <c r="BJ945" s="1" t="s">
        <v>74</v>
      </c>
      <c r="BK945" s="1" t="s">
        <v>74</v>
      </c>
      <c r="BL945" s="1" t="s">
        <v>74</v>
      </c>
      <c r="BM945" s="1" t="s">
        <v>74</v>
      </c>
      <c r="BN945" s="1" t="s">
        <v>74</v>
      </c>
      <c r="BO945" s="1" t="s">
        <v>74</v>
      </c>
      <c r="BP945" s="1" t="s">
        <v>74</v>
      </c>
      <c r="BQ945" s="1" t="s">
        <v>74</v>
      </c>
      <c r="BR945" s="1" t="s">
        <v>74</v>
      </c>
      <c r="BS945" s="1" t="s">
        <v>9396</v>
      </c>
      <c r="BT945" s="1" t="str">
        <f>HYPERLINK("https%3A%2F%2Fwww.webofscience.com%2Fwos%2Fwoscc%2Ffull-record%2FWOS:001386148900004","View Full Record in Web of Science")</f>
        <v>View Full Record in Web of Science</v>
      </c>
    </row>
    <row r="946" ht="12.75" customHeight="1">
      <c r="A946" s="1" t="s">
        <v>72</v>
      </c>
      <c r="B946" s="1" t="s">
        <v>9397</v>
      </c>
      <c r="C946" s="1" t="s">
        <v>74</v>
      </c>
      <c r="D946" s="1" t="s">
        <v>74</v>
      </c>
      <c r="E946" s="1" t="s">
        <v>74</v>
      </c>
      <c r="F946" s="1" t="s">
        <v>9398</v>
      </c>
      <c r="G946" s="1" t="s">
        <v>74</v>
      </c>
      <c r="H946" s="1" t="s">
        <v>74</v>
      </c>
      <c r="I946" s="1" t="s">
        <v>9399</v>
      </c>
      <c r="J946" s="1" t="s">
        <v>9308</v>
      </c>
      <c r="K946" s="1" t="s">
        <v>74</v>
      </c>
      <c r="L946" s="1" t="s">
        <v>74</v>
      </c>
      <c r="M946" s="1" t="s">
        <v>74</v>
      </c>
      <c r="N946" s="1" t="s">
        <v>74</v>
      </c>
      <c r="O946" s="1" t="s">
        <v>74</v>
      </c>
      <c r="P946" s="1" t="s">
        <v>74</v>
      </c>
      <c r="Q946" s="1" t="s">
        <v>74</v>
      </c>
      <c r="R946" s="1" t="s">
        <v>74</v>
      </c>
      <c r="S946" s="1" t="s">
        <v>74</v>
      </c>
      <c r="T946" s="1" t="s">
        <v>74</v>
      </c>
      <c r="U946" s="1" t="s">
        <v>74</v>
      </c>
      <c r="V946" s="1" t="s">
        <v>9400</v>
      </c>
      <c r="W946" s="1" t="s">
        <v>74</v>
      </c>
      <c r="X946" s="1" t="s">
        <v>74</v>
      </c>
      <c r="Y946" s="1" t="s">
        <v>74</v>
      </c>
      <c r="Z946" s="1" t="s">
        <v>74</v>
      </c>
      <c r="AA946" s="1" t="s">
        <v>9401</v>
      </c>
      <c r="AB946" s="1" t="s">
        <v>9402</v>
      </c>
      <c r="AC946" s="1" t="s">
        <v>74</v>
      </c>
      <c r="AD946" s="1" t="s">
        <v>74</v>
      </c>
      <c r="AE946" s="1" t="s">
        <v>74</v>
      </c>
      <c r="AF946" s="1" t="s">
        <v>74</v>
      </c>
      <c r="AG946" s="1" t="s">
        <v>74</v>
      </c>
      <c r="AH946" s="1" t="s">
        <v>74</v>
      </c>
      <c r="AI946" s="1" t="s">
        <v>74</v>
      </c>
      <c r="AJ946" s="1" t="s">
        <v>74</v>
      </c>
      <c r="AK946" s="1" t="s">
        <v>74</v>
      </c>
      <c r="AL946" s="1" t="s">
        <v>74</v>
      </c>
      <c r="AM946" s="1" t="s">
        <v>74</v>
      </c>
      <c r="AN946" s="1" t="s">
        <v>74</v>
      </c>
      <c r="AO946" s="1" t="s">
        <v>9311</v>
      </c>
      <c r="AP946" s="1" t="s">
        <v>9312</v>
      </c>
      <c r="AQ946" s="1" t="s">
        <v>74</v>
      </c>
      <c r="AR946" s="1" t="s">
        <v>74</v>
      </c>
      <c r="AS946" s="1" t="s">
        <v>74</v>
      </c>
      <c r="AT946" s="1" t="s">
        <v>537</v>
      </c>
      <c r="AU946" s="1">
        <v>2024.0</v>
      </c>
      <c r="AV946" s="1">
        <v>71.0</v>
      </c>
      <c r="AW946" s="1">
        <v>11.0</v>
      </c>
      <c r="AX946" s="1" t="s">
        <v>74</v>
      </c>
      <c r="AY946" s="1" t="s">
        <v>74</v>
      </c>
      <c r="AZ946" s="1" t="s">
        <v>74</v>
      </c>
      <c r="BA946" s="1" t="s">
        <v>74</v>
      </c>
      <c r="BB946" s="1">
        <v>14287.0</v>
      </c>
      <c r="BC946" s="1">
        <v>14297.0</v>
      </c>
      <c r="BD946" s="1" t="s">
        <v>74</v>
      </c>
      <c r="BE946" s="1" t="s">
        <v>9403</v>
      </c>
      <c r="BF946" s="2" t="str">
        <f>HYPERLINK("http://dx.doi.org/10.1109/TIE.2024.3370982","http://dx.doi.org/10.1109/TIE.2024.3370982")</f>
        <v>http://dx.doi.org/10.1109/TIE.2024.3370982</v>
      </c>
      <c r="BG946" s="1" t="s">
        <v>74</v>
      </c>
      <c r="BH946" s="1" t="s">
        <v>3495</v>
      </c>
      <c r="BI946" s="1" t="s">
        <v>74</v>
      </c>
      <c r="BJ946" s="1" t="s">
        <v>74</v>
      </c>
      <c r="BK946" s="1" t="s">
        <v>74</v>
      </c>
      <c r="BL946" s="1" t="s">
        <v>74</v>
      </c>
      <c r="BM946" s="1" t="s">
        <v>74</v>
      </c>
      <c r="BN946" s="1" t="s">
        <v>74</v>
      </c>
      <c r="BO946" s="1" t="s">
        <v>74</v>
      </c>
      <c r="BP946" s="1" t="s">
        <v>74</v>
      </c>
      <c r="BQ946" s="1" t="s">
        <v>74</v>
      </c>
      <c r="BR946" s="1" t="s">
        <v>74</v>
      </c>
      <c r="BS946" s="1" t="s">
        <v>9404</v>
      </c>
      <c r="BT946" s="1" t="str">
        <f>HYPERLINK("https%3A%2F%2Fwww.webofscience.com%2Fwos%2Fwoscc%2Ffull-record%2FWOS:001189530900001","View Full Record in Web of Science")</f>
        <v>View Full Record in Web of Science</v>
      </c>
    </row>
    <row r="947" ht="12.75" customHeight="1">
      <c r="A947" s="1" t="s">
        <v>72</v>
      </c>
      <c r="B947" s="1" t="s">
        <v>9405</v>
      </c>
      <c r="C947" s="1" t="s">
        <v>74</v>
      </c>
      <c r="D947" s="1" t="s">
        <v>74</v>
      </c>
      <c r="E947" s="1" t="s">
        <v>74</v>
      </c>
      <c r="F947" s="1" t="s">
        <v>9406</v>
      </c>
      <c r="G947" s="1" t="s">
        <v>74</v>
      </c>
      <c r="H947" s="1" t="s">
        <v>74</v>
      </c>
      <c r="I947" s="1" t="s">
        <v>9407</v>
      </c>
      <c r="J947" s="1" t="s">
        <v>9408</v>
      </c>
      <c r="K947" s="1" t="s">
        <v>74</v>
      </c>
      <c r="L947" s="1" t="s">
        <v>74</v>
      </c>
      <c r="M947" s="1" t="s">
        <v>74</v>
      </c>
      <c r="N947" s="1" t="s">
        <v>74</v>
      </c>
      <c r="O947" s="1" t="s">
        <v>74</v>
      </c>
      <c r="P947" s="1" t="s">
        <v>74</v>
      </c>
      <c r="Q947" s="1" t="s">
        <v>74</v>
      </c>
      <c r="R947" s="1" t="s">
        <v>74</v>
      </c>
      <c r="S947" s="1" t="s">
        <v>74</v>
      </c>
      <c r="T947" s="1" t="s">
        <v>74</v>
      </c>
      <c r="U947" s="1" t="s">
        <v>74</v>
      </c>
      <c r="V947" s="1" t="s">
        <v>9409</v>
      </c>
      <c r="W947" s="1" t="s">
        <v>74</v>
      </c>
      <c r="X947" s="1" t="s">
        <v>74</v>
      </c>
      <c r="Y947" s="1" t="s">
        <v>74</v>
      </c>
      <c r="Z947" s="1" t="s">
        <v>74</v>
      </c>
      <c r="AA947" s="1" t="s">
        <v>9410</v>
      </c>
      <c r="AB947" s="1" t="s">
        <v>9411</v>
      </c>
      <c r="AC947" s="1" t="s">
        <v>74</v>
      </c>
      <c r="AD947" s="1" t="s">
        <v>74</v>
      </c>
      <c r="AE947" s="1" t="s">
        <v>74</v>
      </c>
      <c r="AF947" s="1" t="s">
        <v>74</v>
      </c>
      <c r="AG947" s="1" t="s">
        <v>74</v>
      </c>
      <c r="AH947" s="1" t="s">
        <v>74</v>
      </c>
      <c r="AI947" s="1" t="s">
        <v>74</v>
      </c>
      <c r="AJ947" s="1" t="s">
        <v>74</v>
      </c>
      <c r="AK947" s="1" t="s">
        <v>74</v>
      </c>
      <c r="AL947" s="1" t="s">
        <v>74</v>
      </c>
      <c r="AM947" s="1" t="s">
        <v>74</v>
      </c>
      <c r="AN947" s="1" t="s">
        <v>74</v>
      </c>
      <c r="AO947" s="1" t="s">
        <v>9412</v>
      </c>
      <c r="AP947" s="1" t="s">
        <v>9413</v>
      </c>
      <c r="AQ947" s="1" t="s">
        <v>74</v>
      </c>
      <c r="AR947" s="1" t="s">
        <v>74</v>
      </c>
      <c r="AS947" s="1" t="s">
        <v>74</v>
      </c>
      <c r="AT947" s="1" t="s">
        <v>485</v>
      </c>
      <c r="AU947" s="1">
        <v>2024.0</v>
      </c>
      <c r="AV947" s="1">
        <v>32.0</v>
      </c>
      <c r="AW947" s="1">
        <v>5.0</v>
      </c>
      <c r="AX947" s="1" t="s">
        <v>74</v>
      </c>
      <c r="AY947" s="1" t="s">
        <v>74</v>
      </c>
      <c r="AZ947" s="1" t="s">
        <v>74</v>
      </c>
      <c r="BA947" s="1" t="s">
        <v>74</v>
      </c>
      <c r="BB947" s="1">
        <v>2045.0</v>
      </c>
      <c r="BC947" s="1">
        <v>2058.0</v>
      </c>
      <c r="BD947" s="1" t="s">
        <v>74</v>
      </c>
      <c r="BE947" s="1" t="s">
        <v>9414</v>
      </c>
      <c r="BF947" s="2" t="str">
        <f>HYPERLINK("http://dx.doi.org/10.1007/s10924-023-03126-z","http://dx.doi.org/10.1007/s10924-023-03126-z")</f>
        <v>http://dx.doi.org/10.1007/s10924-023-03126-z</v>
      </c>
      <c r="BG947" s="1" t="s">
        <v>74</v>
      </c>
      <c r="BH947" s="1" t="s">
        <v>2385</v>
      </c>
      <c r="BI947" s="1" t="s">
        <v>74</v>
      </c>
      <c r="BJ947" s="1" t="s">
        <v>74</v>
      </c>
      <c r="BK947" s="1" t="s">
        <v>74</v>
      </c>
      <c r="BL947" s="1" t="s">
        <v>74</v>
      </c>
      <c r="BM947" s="1" t="s">
        <v>74</v>
      </c>
      <c r="BN947" s="1" t="s">
        <v>74</v>
      </c>
      <c r="BO947" s="1" t="s">
        <v>74</v>
      </c>
      <c r="BP947" s="1" t="s">
        <v>74</v>
      </c>
      <c r="BQ947" s="1" t="s">
        <v>74</v>
      </c>
      <c r="BR947" s="1" t="s">
        <v>74</v>
      </c>
      <c r="BS947" s="1" t="s">
        <v>9415</v>
      </c>
      <c r="BT947" s="1" t="str">
        <f>HYPERLINK("https%3A%2F%2Fwww.webofscience.com%2Fwos%2Fwoscc%2Ffull-record%2FWOS:001103688800001","View Full Record in Web of Science")</f>
        <v>View Full Record in Web of Science</v>
      </c>
    </row>
    <row r="948" ht="12.75" customHeight="1">
      <c r="A948" s="1" t="s">
        <v>72</v>
      </c>
      <c r="B948" s="1" t="s">
        <v>9416</v>
      </c>
      <c r="C948" s="1" t="s">
        <v>74</v>
      </c>
      <c r="D948" s="1" t="s">
        <v>74</v>
      </c>
      <c r="E948" s="1" t="s">
        <v>74</v>
      </c>
      <c r="F948" s="1" t="s">
        <v>9417</v>
      </c>
      <c r="G948" s="1" t="s">
        <v>74</v>
      </c>
      <c r="H948" s="1" t="s">
        <v>74</v>
      </c>
      <c r="I948" s="1" t="s">
        <v>9418</v>
      </c>
      <c r="J948" s="1" t="s">
        <v>8083</v>
      </c>
      <c r="K948" s="1" t="s">
        <v>74</v>
      </c>
      <c r="L948" s="1" t="s">
        <v>74</v>
      </c>
      <c r="M948" s="1" t="s">
        <v>74</v>
      </c>
      <c r="N948" s="1" t="s">
        <v>74</v>
      </c>
      <c r="O948" s="1" t="s">
        <v>74</v>
      </c>
      <c r="P948" s="1" t="s">
        <v>74</v>
      </c>
      <c r="Q948" s="1" t="s">
        <v>74</v>
      </c>
      <c r="R948" s="1" t="s">
        <v>74</v>
      </c>
      <c r="S948" s="1" t="s">
        <v>74</v>
      </c>
      <c r="T948" s="1" t="s">
        <v>74</v>
      </c>
      <c r="U948" s="1" t="s">
        <v>74</v>
      </c>
      <c r="V948" s="1" t="s">
        <v>9419</v>
      </c>
      <c r="W948" s="1" t="s">
        <v>74</v>
      </c>
      <c r="X948" s="1" t="s">
        <v>74</v>
      </c>
      <c r="Y948" s="1" t="s">
        <v>74</v>
      </c>
      <c r="Z948" s="1" t="s">
        <v>74</v>
      </c>
      <c r="AA948" s="1" t="s">
        <v>9420</v>
      </c>
      <c r="AB948" s="1" t="s">
        <v>3067</v>
      </c>
      <c r="AC948" s="1" t="s">
        <v>74</v>
      </c>
      <c r="AD948" s="1" t="s">
        <v>74</v>
      </c>
      <c r="AE948" s="1" t="s">
        <v>74</v>
      </c>
      <c r="AF948" s="1" t="s">
        <v>74</v>
      </c>
      <c r="AG948" s="1" t="s">
        <v>74</v>
      </c>
      <c r="AH948" s="1" t="s">
        <v>74</v>
      </c>
      <c r="AI948" s="1" t="s">
        <v>74</v>
      </c>
      <c r="AJ948" s="1" t="s">
        <v>74</v>
      </c>
      <c r="AK948" s="1" t="s">
        <v>74</v>
      </c>
      <c r="AL948" s="1" t="s">
        <v>74</v>
      </c>
      <c r="AM948" s="1" t="s">
        <v>74</v>
      </c>
      <c r="AN948" s="1" t="s">
        <v>74</v>
      </c>
      <c r="AO948" s="1" t="s">
        <v>8086</v>
      </c>
      <c r="AP948" s="1" t="s">
        <v>8087</v>
      </c>
      <c r="AQ948" s="1" t="s">
        <v>74</v>
      </c>
      <c r="AR948" s="1" t="s">
        <v>74</v>
      </c>
      <c r="AS948" s="1" t="s">
        <v>74</v>
      </c>
      <c r="AT948" s="1" t="s">
        <v>5710</v>
      </c>
      <c r="AU948" s="1">
        <v>2023.0</v>
      </c>
      <c r="AV948" s="1">
        <v>127.0</v>
      </c>
      <c r="AW948" s="1">
        <v>10.0</v>
      </c>
      <c r="AX948" s="1" t="s">
        <v>74</v>
      </c>
      <c r="AY948" s="1" t="s">
        <v>74</v>
      </c>
      <c r="AZ948" s="1" t="s">
        <v>74</v>
      </c>
      <c r="BA948" s="1" t="s">
        <v>74</v>
      </c>
      <c r="BB948" s="1">
        <v>2407.0</v>
      </c>
      <c r="BC948" s="1">
        <v>2414.0</v>
      </c>
      <c r="BD948" s="1" t="s">
        <v>74</v>
      </c>
      <c r="BE948" s="1" t="s">
        <v>9421</v>
      </c>
      <c r="BF948" s="2" t="str">
        <f>HYPERLINK("http://dx.doi.org/10.1021/acs.jpca.2c07955","http://dx.doi.org/10.1021/acs.jpca.2c07955")</f>
        <v>http://dx.doi.org/10.1021/acs.jpca.2c07955</v>
      </c>
      <c r="BG948" s="1" t="s">
        <v>74</v>
      </c>
      <c r="BH948" s="1" t="s">
        <v>9422</v>
      </c>
      <c r="BI948" s="1" t="s">
        <v>74</v>
      </c>
      <c r="BJ948" s="1" t="s">
        <v>74</v>
      </c>
      <c r="BK948" s="1" t="s">
        <v>74</v>
      </c>
      <c r="BL948" s="1" t="s">
        <v>74</v>
      </c>
      <c r="BM948" s="1" t="s">
        <v>74</v>
      </c>
      <c r="BN948" s="1">
        <v>3.6876889E7</v>
      </c>
      <c r="BO948" s="1" t="s">
        <v>74</v>
      </c>
      <c r="BP948" s="1" t="s">
        <v>74</v>
      </c>
      <c r="BQ948" s="1" t="s">
        <v>74</v>
      </c>
      <c r="BR948" s="1" t="s">
        <v>74</v>
      </c>
      <c r="BS948" s="1" t="s">
        <v>9423</v>
      </c>
      <c r="BT948" s="1" t="str">
        <f>HYPERLINK("https%3A%2F%2Fwww.webofscience.com%2Fwos%2Fwoscc%2Ffull-record%2FWOS:000945181800001","View Full Record in Web of Science")</f>
        <v>View Full Record in Web of Science</v>
      </c>
    </row>
    <row r="949" ht="12.75" customHeight="1">
      <c r="A949" s="1" t="s">
        <v>86</v>
      </c>
      <c r="B949" s="1" t="s">
        <v>9424</v>
      </c>
      <c r="C949" s="1" t="s">
        <v>74</v>
      </c>
      <c r="D949" s="1" t="s">
        <v>9425</v>
      </c>
      <c r="E949" s="1" t="s">
        <v>74</v>
      </c>
      <c r="F949" s="1" t="s">
        <v>9426</v>
      </c>
      <c r="G949" s="1" t="s">
        <v>74</v>
      </c>
      <c r="H949" s="1" t="s">
        <v>74</v>
      </c>
      <c r="I949" s="1" t="s">
        <v>9427</v>
      </c>
      <c r="J949" s="1" t="s">
        <v>9428</v>
      </c>
      <c r="K949" s="1" t="s">
        <v>9429</v>
      </c>
      <c r="L949" s="1" t="s">
        <v>74</v>
      </c>
      <c r="M949" s="1" t="s">
        <v>74</v>
      </c>
      <c r="N949" s="1" t="s">
        <v>74</v>
      </c>
      <c r="O949" s="1" t="s">
        <v>9430</v>
      </c>
      <c r="P949" s="1" t="s">
        <v>9431</v>
      </c>
      <c r="Q949" s="1" t="s">
        <v>9432</v>
      </c>
      <c r="R949" s="1" t="s">
        <v>9433</v>
      </c>
      <c r="S949" s="1" t="s">
        <v>74</v>
      </c>
      <c r="T949" s="1" t="s">
        <v>74</v>
      </c>
      <c r="U949" s="1" t="s">
        <v>74</v>
      </c>
      <c r="V949" s="1" t="s">
        <v>9434</v>
      </c>
      <c r="W949" s="1" t="s">
        <v>74</v>
      </c>
      <c r="X949" s="1" t="s">
        <v>74</v>
      </c>
      <c r="Y949" s="1" t="s">
        <v>74</v>
      </c>
      <c r="Z949" s="1" t="s">
        <v>74</v>
      </c>
      <c r="AA949" s="1" t="s">
        <v>9435</v>
      </c>
      <c r="AB949" s="1" t="s">
        <v>9436</v>
      </c>
      <c r="AC949" s="1" t="s">
        <v>74</v>
      </c>
      <c r="AD949" s="1" t="s">
        <v>74</v>
      </c>
      <c r="AE949" s="1" t="s">
        <v>74</v>
      </c>
      <c r="AF949" s="1" t="s">
        <v>74</v>
      </c>
      <c r="AG949" s="1" t="s">
        <v>74</v>
      </c>
      <c r="AH949" s="1" t="s">
        <v>74</v>
      </c>
      <c r="AI949" s="1" t="s">
        <v>74</v>
      </c>
      <c r="AJ949" s="1" t="s">
        <v>74</v>
      </c>
      <c r="AK949" s="1" t="s">
        <v>74</v>
      </c>
      <c r="AL949" s="1" t="s">
        <v>74</v>
      </c>
      <c r="AM949" s="1" t="s">
        <v>74</v>
      </c>
      <c r="AN949" s="1" t="s">
        <v>74</v>
      </c>
      <c r="AO949" s="1" t="s">
        <v>9437</v>
      </c>
      <c r="AP949" s="1" t="s">
        <v>74</v>
      </c>
      <c r="AQ949" s="1" t="s">
        <v>9438</v>
      </c>
      <c r="AR949" s="1" t="s">
        <v>74</v>
      </c>
      <c r="AS949" s="1" t="s">
        <v>74</v>
      </c>
      <c r="AT949" s="1" t="s">
        <v>74</v>
      </c>
      <c r="AU949" s="1">
        <v>2023.0</v>
      </c>
      <c r="AV949" s="1" t="s">
        <v>74</v>
      </c>
      <c r="AW949" s="1" t="s">
        <v>74</v>
      </c>
      <c r="AX949" s="1" t="s">
        <v>74</v>
      </c>
      <c r="AY949" s="1" t="s">
        <v>74</v>
      </c>
      <c r="AZ949" s="1" t="s">
        <v>74</v>
      </c>
      <c r="BA949" s="1" t="s">
        <v>74</v>
      </c>
      <c r="BB949" s="1" t="s">
        <v>74</v>
      </c>
      <c r="BC949" s="1" t="s">
        <v>74</v>
      </c>
      <c r="BD949" s="1" t="s">
        <v>74</v>
      </c>
      <c r="BE949" s="1" t="s">
        <v>9439</v>
      </c>
      <c r="BF949" s="2" t="str">
        <f>HYPERLINK("http://dx.doi.org/10.1109/COLCACI59285.2023.10226069","http://dx.doi.org/10.1109/COLCACI59285.2023.10226069")</f>
        <v>http://dx.doi.org/10.1109/COLCACI59285.2023.10226069</v>
      </c>
      <c r="BG949" s="1" t="s">
        <v>74</v>
      </c>
      <c r="BH949" s="1" t="s">
        <v>74</v>
      </c>
      <c r="BI949" s="1" t="s">
        <v>74</v>
      </c>
      <c r="BJ949" s="1" t="s">
        <v>74</v>
      </c>
      <c r="BK949" s="1" t="s">
        <v>74</v>
      </c>
      <c r="BL949" s="1" t="s">
        <v>74</v>
      </c>
      <c r="BM949" s="1" t="s">
        <v>74</v>
      </c>
      <c r="BN949" s="1" t="s">
        <v>74</v>
      </c>
      <c r="BO949" s="1" t="s">
        <v>74</v>
      </c>
      <c r="BP949" s="1" t="s">
        <v>74</v>
      </c>
      <c r="BQ949" s="1" t="s">
        <v>74</v>
      </c>
      <c r="BR949" s="1" t="s">
        <v>74</v>
      </c>
      <c r="BS949" s="1" t="s">
        <v>9440</v>
      </c>
      <c r="BT949" s="1" t="str">
        <f>HYPERLINK("https%3A%2F%2Fwww.webofscience.com%2Fwos%2Fwoscc%2Ffull-record%2FWOS:001062453300015","View Full Record in Web of Science")</f>
        <v>View Full Record in Web of Science</v>
      </c>
    </row>
    <row r="950" ht="12.75" customHeight="1">
      <c r="A950" s="1" t="s">
        <v>72</v>
      </c>
      <c r="B950" s="1" t="s">
        <v>9441</v>
      </c>
      <c r="C950" s="1" t="s">
        <v>74</v>
      </c>
      <c r="D950" s="1" t="s">
        <v>74</v>
      </c>
      <c r="E950" s="1" t="s">
        <v>74</v>
      </c>
      <c r="F950" s="1" t="s">
        <v>9442</v>
      </c>
      <c r="G950" s="1" t="s">
        <v>74</v>
      </c>
      <c r="H950" s="1" t="s">
        <v>74</v>
      </c>
      <c r="I950" s="1" t="s">
        <v>9443</v>
      </c>
      <c r="J950" s="1" t="s">
        <v>1353</v>
      </c>
      <c r="K950" s="1" t="s">
        <v>74</v>
      </c>
      <c r="L950" s="1" t="s">
        <v>74</v>
      </c>
      <c r="M950" s="1" t="s">
        <v>74</v>
      </c>
      <c r="N950" s="1" t="s">
        <v>74</v>
      </c>
      <c r="O950" s="1" t="s">
        <v>74</v>
      </c>
      <c r="P950" s="1" t="s">
        <v>74</v>
      </c>
      <c r="Q950" s="1" t="s">
        <v>74</v>
      </c>
      <c r="R950" s="1" t="s">
        <v>74</v>
      </c>
      <c r="S950" s="1" t="s">
        <v>74</v>
      </c>
      <c r="T950" s="1" t="s">
        <v>74</v>
      </c>
      <c r="U950" s="1" t="s">
        <v>74</v>
      </c>
      <c r="V950" s="1" t="s">
        <v>9444</v>
      </c>
      <c r="W950" s="1" t="s">
        <v>74</v>
      </c>
      <c r="X950" s="1" t="s">
        <v>74</v>
      </c>
      <c r="Y950" s="1" t="s">
        <v>74</v>
      </c>
      <c r="Z950" s="1" t="s">
        <v>74</v>
      </c>
      <c r="AA950" s="1" t="s">
        <v>9445</v>
      </c>
      <c r="AB950" s="1" t="s">
        <v>9446</v>
      </c>
      <c r="AC950" s="1" t="s">
        <v>74</v>
      </c>
      <c r="AD950" s="1" t="s">
        <v>74</v>
      </c>
      <c r="AE950" s="1" t="s">
        <v>74</v>
      </c>
      <c r="AF950" s="1" t="s">
        <v>74</v>
      </c>
      <c r="AG950" s="1" t="s">
        <v>74</v>
      </c>
      <c r="AH950" s="1" t="s">
        <v>74</v>
      </c>
      <c r="AI950" s="1" t="s">
        <v>74</v>
      </c>
      <c r="AJ950" s="1" t="s">
        <v>74</v>
      </c>
      <c r="AK950" s="1" t="s">
        <v>74</v>
      </c>
      <c r="AL950" s="1" t="s">
        <v>74</v>
      </c>
      <c r="AM950" s="1" t="s">
        <v>74</v>
      </c>
      <c r="AN950" s="1" t="s">
        <v>74</v>
      </c>
      <c r="AO950" s="1" t="s">
        <v>1357</v>
      </c>
      <c r="AP950" s="1" t="s">
        <v>1358</v>
      </c>
      <c r="AQ950" s="1" t="s">
        <v>74</v>
      </c>
      <c r="AR950" s="1" t="s">
        <v>74</v>
      </c>
      <c r="AS950" s="1" t="s">
        <v>74</v>
      </c>
      <c r="AT950" s="1" t="s">
        <v>164</v>
      </c>
      <c r="AU950" s="1">
        <v>2022.0</v>
      </c>
      <c r="AV950" s="1">
        <v>23.0</v>
      </c>
      <c r="AW950" s="1">
        <v>13.0</v>
      </c>
      <c r="AX950" s="1" t="s">
        <v>74</v>
      </c>
      <c r="AY950" s="1" t="s">
        <v>74</v>
      </c>
      <c r="AZ950" s="1" t="s">
        <v>74</v>
      </c>
      <c r="BA950" s="1" t="s">
        <v>74</v>
      </c>
      <c r="BB950" s="1" t="s">
        <v>74</v>
      </c>
      <c r="BC950" s="1" t="s">
        <v>74</v>
      </c>
      <c r="BD950" s="1">
        <v>7099.0</v>
      </c>
      <c r="BE950" s="1" t="s">
        <v>9447</v>
      </c>
      <c r="BF950" s="2" t="str">
        <f>HYPERLINK("http://dx.doi.org/10.3390/ijms23137099","http://dx.doi.org/10.3390/ijms23137099")</f>
        <v>http://dx.doi.org/10.3390/ijms23137099</v>
      </c>
      <c r="BG950" s="1" t="s">
        <v>74</v>
      </c>
      <c r="BH950" s="1" t="s">
        <v>74</v>
      </c>
      <c r="BI950" s="1" t="s">
        <v>74</v>
      </c>
      <c r="BJ950" s="1" t="s">
        <v>74</v>
      </c>
      <c r="BK950" s="1" t="s">
        <v>74</v>
      </c>
      <c r="BL950" s="1" t="s">
        <v>74</v>
      </c>
      <c r="BM950" s="1" t="s">
        <v>74</v>
      </c>
      <c r="BN950" s="1">
        <v>3.5806103E7</v>
      </c>
      <c r="BO950" s="1" t="s">
        <v>74</v>
      </c>
      <c r="BP950" s="1" t="s">
        <v>74</v>
      </c>
      <c r="BQ950" s="1" t="s">
        <v>74</v>
      </c>
      <c r="BR950" s="1" t="s">
        <v>74</v>
      </c>
      <c r="BS950" s="1" t="s">
        <v>9448</v>
      </c>
      <c r="BT950" s="1" t="str">
        <f>HYPERLINK("https%3A%2F%2Fwww.webofscience.com%2Fwos%2Fwoscc%2Ffull-record%2FWOS:000822144900001","View Full Record in Web of Science")</f>
        <v>View Full Record in Web of Science</v>
      </c>
    </row>
    <row r="951" ht="12.75" customHeight="1">
      <c r="A951" s="1" t="s">
        <v>72</v>
      </c>
      <c r="B951" s="1" t="s">
        <v>9449</v>
      </c>
      <c r="C951" s="1" t="s">
        <v>74</v>
      </c>
      <c r="D951" s="1" t="s">
        <v>74</v>
      </c>
      <c r="E951" s="1" t="s">
        <v>74</v>
      </c>
      <c r="F951" s="1" t="s">
        <v>9450</v>
      </c>
      <c r="G951" s="1" t="s">
        <v>74</v>
      </c>
      <c r="H951" s="1" t="s">
        <v>74</v>
      </c>
      <c r="I951" s="1" t="s">
        <v>9451</v>
      </c>
      <c r="J951" s="1" t="s">
        <v>9452</v>
      </c>
      <c r="K951" s="1" t="s">
        <v>74</v>
      </c>
      <c r="L951" s="1" t="s">
        <v>74</v>
      </c>
      <c r="M951" s="1" t="s">
        <v>74</v>
      </c>
      <c r="N951" s="1" t="s">
        <v>74</v>
      </c>
      <c r="O951" s="1" t="s">
        <v>74</v>
      </c>
      <c r="P951" s="1" t="s">
        <v>74</v>
      </c>
      <c r="Q951" s="1" t="s">
        <v>74</v>
      </c>
      <c r="R951" s="1" t="s">
        <v>74</v>
      </c>
      <c r="S951" s="1" t="s">
        <v>74</v>
      </c>
      <c r="T951" s="1" t="s">
        <v>74</v>
      </c>
      <c r="U951" s="1" t="s">
        <v>74</v>
      </c>
      <c r="V951" s="1" t="s">
        <v>9453</v>
      </c>
      <c r="W951" s="1" t="s">
        <v>74</v>
      </c>
      <c r="X951" s="1" t="s">
        <v>74</v>
      </c>
      <c r="Y951" s="1" t="s">
        <v>74</v>
      </c>
      <c r="Z951" s="1" t="s">
        <v>74</v>
      </c>
      <c r="AA951" s="1" t="s">
        <v>9454</v>
      </c>
      <c r="AB951" s="1" t="s">
        <v>9455</v>
      </c>
      <c r="AC951" s="1" t="s">
        <v>74</v>
      </c>
      <c r="AD951" s="1" t="s">
        <v>74</v>
      </c>
      <c r="AE951" s="1" t="s">
        <v>74</v>
      </c>
      <c r="AF951" s="1" t="s">
        <v>74</v>
      </c>
      <c r="AG951" s="1" t="s">
        <v>74</v>
      </c>
      <c r="AH951" s="1" t="s">
        <v>74</v>
      </c>
      <c r="AI951" s="1" t="s">
        <v>74</v>
      </c>
      <c r="AJ951" s="1" t="s">
        <v>74</v>
      </c>
      <c r="AK951" s="1" t="s">
        <v>74</v>
      </c>
      <c r="AL951" s="1" t="s">
        <v>74</v>
      </c>
      <c r="AM951" s="1" t="s">
        <v>74</v>
      </c>
      <c r="AN951" s="1" t="s">
        <v>74</v>
      </c>
      <c r="AO951" s="1" t="s">
        <v>9456</v>
      </c>
      <c r="AP951" s="1" t="s">
        <v>9457</v>
      </c>
      <c r="AQ951" s="1" t="s">
        <v>74</v>
      </c>
      <c r="AR951" s="1" t="s">
        <v>74</v>
      </c>
      <c r="AS951" s="1" t="s">
        <v>74</v>
      </c>
      <c r="AT951" s="1" t="s">
        <v>422</v>
      </c>
      <c r="AU951" s="1">
        <v>2022.0</v>
      </c>
      <c r="AV951" s="1">
        <v>156.0</v>
      </c>
      <c r="AW951" s="1" t="s">
        <v>74</v>
      </c>
      <c r="AX951" s="1" t="s">
        <v>74</v>
      </c>
      <c r="AY951" s="1" t="s">
        <v>74</v>
      </c>
      <c r="AZ951" s="1" t="s">
        <v>74</v>
      </c>
      <c r="BA951" s="1" t="s">
        <v>74</v>
      </c>
      <c r="BB951" s="1" t="s">
        <v>74</v>
      </c>
      <c r="BC951" s="1" t="s">
        <v>74</v>
      </c>
      <c r="BD951" s="1">
        <v>105065.0</v>
      </c>
      <c r="BE951" s="1" t="s">
        <v>9458</v>
      </c>
      <c r="BF951" s="2" t="str">
        <f>HYPERLINK("http://dx.doi.org/10.1016/j.fitote.2021.105065","http://dx.doi.org/10.1016/j.fitote.2021.105065")</f>
        <v>http://dx.doi.org/10.1016/j.fitote.2021.105065</v>
      </c>
      <c r="BG951" s="1" t="s">
        <v>74</v>
      </c>
      <c r="BH951" s="1" t="s">
        <v>297</v>
      </c>
      <c r="BI951" s="1" t="s">
        <v>74</v>
      </c>
      <c r="BJ951" s="1" t="s">
        <v>74</v>
      </c>
      <c r="BK951" s="1" t="s">
        <v>74</v>
      </c>
      <c r="BL951" s="1" t="s">
        <v>74</v>
      </c>
      <c r="BM951" s="1" t="s">
        <v>74</v>
      </c>
      <c r="BN951" s="1">
        <v>3.4688821E7</v>
      </c>
      <c r="BO951" s="1" t="s">
        <v>74</v>
      </c>
      <c r="BP951" s="1" t="s">
        <v>74</v>
      </c>
      <c r="BQ951" s="1" t="s">
        <v>74</v>
      </c>
      <c r="BR951" s="1" t="s">
        <v>74</v>
      </c>
      <c r="BS951" s="1" t="s">
        <v>9459</v>
      </c>
      <c r="BT951" s="1" t="str">
        <f>HYPERLINK("https%3A%2F%2Fwww.webofscience.com%2Fwos%2Fwoscc%2Ffull-record%2FWOS:000743466900010","View Full Record in Web of Science")</f>
        <v>View Full Record in Web of Science</v>
      </c>
    </row>
    <row r="952" ht="12.75" customHeight="1">
      <c r="A952" s="1" t="s">
        <v>72</v>
      </c>
      <c r="B952" s="1" t="s">
        <v>9460</v>
      </c>
      <c r="C952" s="1" t="s">
        <v>74</v>
      </c>
      <c r="D952" s="1" t="s">
        <v>74</v>
      </c>
      <c r="E952" s="1" t="s">
        <v>74</v>
      </c>
      <c r="F952" s="1" t="s">
        <v>9461</v>
      </c>
      <c r="G952" s="1" t="s">
        <v>74</v>
      </c>
      <c r="H952" s="1" t="s">
        <v>74</v>
      </c>
      <c r="I952" s="1" t="s">
        <v>9462</v>
      </c>
      <c r="J952" s="1" t="s">
        <v>447</v>
      </c>
      <c r="K952" s="1" t="s">
        <v>74</v>
      </c>
      <c r="L952" s="1" t="s">
        <v>74</v>
      </c>
      <c r="M952" s="1" t="s">
        <v>74</v>
      </c>
      <c r="N952" s="1" t="s">
        <v>74</v>
      </c>
      <c r="O952" s="1" t="s">
        <v>74</v>
      </c>
      <c r="P952" s="1" t="s">
        <v>74</v>
      </c>
      <c r="Q952" s="1" t="s">
        <v>74</v>
      </c>
      <c r="R952" s="1" t="s">
        <v>74</v>
      </c>
      <c r="S952" s="1" t="s">
        <v>74</v>
      </c>
      <c r="T952" s="1" t="s">
        <v>74</v>
      </c>
      <c r="U952" s="1" t="s">
        <v>74</v>
      </c>
      <c r="V952" s="1" t="s">
        <v>9463</v>
      </c>
      <c r="W952" s="1" t="s">
        <v>74</v>
      </c>
      <c r="X952" s="1" t="s">
        <v>74</v>
      </c>
      <c r="Y952" s="1" t="s">
        <v>74</v>
      </c>
      <c r="Z952" s="1" t="s">
        <v>74</v>
      </c>
      <c r="AA952" s="1" t="s">
        <v>9464</v>
      </c>
      <c r="AB952" s="1" t="s">
        <v>9465</v>
      </c>
      <c r="AC952" s="1" t="s">
        <v>74</v>
      </c>
      <c r="AD952" s="1" t="s">
        <v>74</v>
      </c>
      <c r="AE952" s="1" t="s">
        <v>74</v>
      </c>
      <c r="AF952" s="1" t="s">
        <v>74</v>
      </c>
      <c r="AG952" s="1" t="s">
        <v>74</v>
      </c>
      <c r="AH952" s="1" t="s">
        <v>74</v>
      </c>
      <c r="AI952" s="1" t="s">
        <v>74</v>
      </c>
      <c r="AJ952" s="1" t="s">
        <v>74</v>
      </c>
      <c r="AK952" s="1" t="s">
        <v>74</v>
      </c>
      <c r="AL952" s="1" t="s">
        <v>74</v>
      </c>
      <c r="AM952" s="1" t="s">
        <v>74</v>
      </c>
      <c r="AN952" s="1" t="s">
        <v>74</v>
      </c>
      <c r="AO952" s="1" t="s">
        <v>451</v>
      </c>
      <c r="AP952" s="1" t="s">
        <v>452</v>
      </c>
      <c r="AQ952" s="1" t="s">
        <v>74</v>
      </c>
      <c r="AR952" s="1" t="s">
        <v>74</v>
      </c>
      <c r="AS952" s="1" t="s">
        <v>74</v>
      </c>
      <c r="AT952" s="1" t="s">
        <v>164</v>
      </c>
      <c r="AU952" s="1">
        <v>2020.0</v>
      </c>
      <c r="AV952" s="1">
        <v>307.0</v>
      </c>
      <c r="AW952" s="1" t="s">
        <v>74</v>
      </c>
      <c r="AX952" s="1" t="s">
        <v>74</v>
      </c>
      <c r="AY952" s="1" t="s">
        <v>74</v>
      </c>
      <c r="AZ952" s="1" t="s">
        <v>74</v>
      </c>
      <c r="BA952" s="1" t="s">
        <v>74</v>
      </c>
      <c r="BB952" s="1" t="s">
        <v>74</v>
      </c>
      <c r="BC952" s="1" t="s">
        <v>74</v>
      </c>
      <c r="BD952" s="1">
        <v>123229.0</v>
      </c>
      <c r="BE952" s="1" t="s">
        <v>9466</v>
      </c>
      <c r="BF952" s="2" t="str">
        <f>HYPERLINK("http://dx.doi.org/10.1016/j.biortech.2020.123229","http://dx.doi.org/10.1016/j.biortech.2020.123229")</f>
        <v>http://dx.doi.org/10.1016/j.biortech.2020.123229</v>
      </c>
      <c r="BG952" s="1" t="s">
        <v>74</v>
      </c>
      <c r="BH952" s="1" t="s">
        <v>74</v>
      </c>
      <c r="BI952" s="1" t="s">
        <v>74</v>
      </c>
      <c r="BJ952" s="1" t="s">
        <v>74</v>
      </c>
      <c r="BK952" s="1" t="s">
        <v>74</v>
      </c>
      <c r="BL952" s="1" t="s">
        <v>74</v>
      </c>
      <c r="BM952" s="1" t="s">
        <v>74</v>
      </c>
      <c r="BN952" s="1">
        <v>3.224727E7</v>
      </c>
      <c r="BO952" s="1" t="s">
        <v>74</v>
      </c>
      <c r="BP952" s="1" t="s">
        <v>74</v>
      </c>
      <c r="BQ952" s="1" t="s">
        <v>74</v>
      </c>
      <c r="BR952" s="1" t="s">
        <v>74</v>
      </c>
      <c r="BS952" s="1" t="s">
        <v>9467</v>
      </c>
      <c r="BT952" s="1" t="str">
        <f>HYPERLINK("https%3A%2F%2Fwww.webofscience.com%2Fwos%2Fwoscc%2Ffull-record%2FWOS:000528857700059","View Full Record in Web of Science")</f>
        <v>View Full Record in Web of Science</v>
      </c>
    </row>
    <row r="953" ht="12.75" customHeight="1">
      <c r="A953" s="1" t="s">
        <v>72</v>
      </c>
      <c r="B953" s="1" t="s">
        <v>9468</v>
      </c>
      <c r="C953" s="1" t="s">
        <v>74</v>
      </c>
      <c r="D953" s="1" t="s">
        <v>74</v>
      </c>
      <c r="E953" s="1" t="s">
        <v>74</v>
      </c>
      <c r="F953" s="1" t="s">
        <v>9469</v>
      </c>
      <c r="G953" s="1" t="s">
        <v>74</v>
      </c>
      <c r="H953" s="1" t="s">
        <v>74</v>
      </c>
      <c r="I953" s="1" t="s">
        <v>9470</v>
      </c>
      <c r="J953" s="1" t="s">
        <v>9471</v>
      </c>
      <c r="K953" s="1" t="s">
        <v>74</v>
      </c>
      <c r="L953" s="1" t="s">
        <v>74</v>
      </c>
      <c r="M953" s="1" t="s">
        <v>74</v>
      </c>
      <c r="N953" s="1" t="s">
        <v>74</v>
      </c>
      <c r="O953" s="1" t="s">
        <v>74</v>
      </c>
      <c r="P953" s="1" t="s">
        <v>74</v>
      </c>
      <c r="Q953" s="1" t="s">
        <v>74</v>
      </c>
      <c r="R953" s="1" t="s">
        <v>74</v>
      </c>
      <c r="S953" s="1" t="s">
        <v>74</v>
      </c>
      <c r="T953" s="1" t="s">
        <v>74</v>
      </c>
      <c r="U953" s="1" t="s">
        <v>74</v>
      </c>
      <c r="V953" s="1" t="s">
        <v>9472</v>
      </c>
      <c r="W953" s="1" t="s">
        <v>74</v>
      </c>
      <c r="X953" s="1" t="s">
        <v>74</v>
      </c>
      <c r="Y953" s="1" t="s">
        <v>74</v>
      </c>
      <c r="Z953" s="1" t="s">
        <v>74</v>
      </c>
      <c r="AA953" s="1" t="s">
        <v>9473</v>
      </c>
      <c r="AB953" s="1" t="s">
        <v>74</v>
      </c>
      <c r="AC953" s="1" t="s">
        <v>74</v>
      </c>
      <c r="AD953" s="1" t="s">
        <v>74</v>
      </c>
      <c r="AE953" s="1" t="s">
        <v>74</v>
      </c>
      <c r="AF953" s="1" t="s">
        <v>74</v>
      </c>
      <c r="AG953" s="1" t="s">
        <v>74</v>
      </c>
      <c r="AH953" s="1" t="s">
        <v>74</v>
      </c>
      <c r="AI953" s="1" t="s">
        <v>74</v>
      </c>
      <c r="AJ953" s="1" t="s">
        <v>74</v>
      </c>
      <c r="AK953" s="1" t="s">
        <v>74</v>
      </c>
      <c r="AL953" s="1" t="s">
        <v>74</v>
      </c>
      <c r="AM953" s="1" t="s">
        <v>74</v>
      </c>
      <c r="AN953" s="1" t="s">
        <v>74</v>
      </c>
      <c r="AO953" s="1" t="s">
        <v>9474</v>
      </c>
      <c r="AP953" s="1" t="s">
        <v>9475</v>
      </c>
      <c r="AQ953" s="1" t="s">
        <v>74</v>
      </c>
      <c r="AR953" s="1" t="s">
        <v>74</v>
      </c>
      <c r="AS953" s="1" t="s">
        <v>74</v>
      </c>
      <c r="AT953" s="1" t="s">
        <v>939</v>
      </c>
      <c r="AU953" s="1">
        <v>2019.0</v>
      </c>
      <c r="AV953" s="1">
        <v>36.0</v>
      </c>
      <c r="AW953" s="1">
        <v>3.0</v>
      </c>
      <c r="AX953" s="1" t="s">
        <v>74</v>
      </c>
      <c r="AY953" s="1" t="s">
        <v>74</v>
      </c>
      <c r="AZ953" s="1" t="s">
        <v>74</v>
      </c>
      <c r="BA953" s="1" t="s">
        <v>74</v>
      </c>
      <c r="BB953" s="1">
        <v>318.0</v>
      </c>
      <c r="BC953" s="1">
        <v>330.0</v>
      </c>
      <c r="BD953" s="1" t="s">
        <v>74</v>
      </c>
      <c r="BE953" s="1" t="s">
        <v>74</v>
      </c>
      <c r="BF953" s="1" t="s">
        <v>74</v>
      </c>
      <c r="BG953" s="1" t="s">
        <v>74</v>
      </c>
      <c r="BH953" s="1" t="s">
        <v>74</v>
      </c>
      <c r="BI953" s="1" t="s">
        <v>74</v>
      </c>
      <c r="BJ953" s="1" t="s">
        <v>74</v>
      </c>
      <c r="BK953" s="1" t="s">
        <v>74</v>
      </c>
      <c r="BL953" s="1" t="s">
        <v>74</v>
      </c>
      <c r="BM953" s="1" t="s">
        <v>74</v>
      </c>
      <c r="BN953" s="1">
        <v>3.1859751E7</v>
      </c>
      <c r="BO953" s="1" t="s">
        <v>74</v>
      </c>
      <c r="BP953" s="1" t="s">
        <v>74</v>
      </c>
      <c r="BQ953" s="1" t="s">
        <v>74</v>
      </c>
      <c r="BR953" s="1" t="s">
        <v>74</v>
      </c>
      <c r="BS953" s="1" t="s">
        <v>9476</v>
      </c>
      <c r="BT953" s="1" t="str">
        <f>HYPERLINK("https%3A%2F%2Fwww.webofscience.com%2Fwos%2Fwoscc%2Ffull-record%2FWOS:000477862200009","View Full Record in Web of Science")</f>
        <v>View Full Record in Web of Science</v>
      </c>
    </row>
    <row r="954" ht="12.75" customHeight="1">
      <c r="A954" s="1" t="s">
        <v>72</v>
      </c>
      <c r="B954" s="1" t="s">
        <v>9477</v>
      </c>
      <c r="C954" s="1" t="s">
        <v>74</v>
      </c>
      <c r="D954" s="1" t="s">
        <v>74</v>
      </c>
      <c r="E954" s="1" t="s">
        <v>74</v>
      </c>
      <c r="F954" s="1" t="s">
        <v>9478</v>
      </c>
      <c r="G954" s="1" t="s">
        <v>74</v>
      </c>
      <c r="H954" s="1" t="s">
        <v>74</v>
      </c>
      <c r="I954" s="1" t="s">
        <v>9479</v>
      </c>
      <c r="J954" s="1" t="s">
        <v>9480</v>
      </c>
      <c r="K954" s="1" t="s">
        <v>74</v>
      </c>
      <c r="L954" s="1" t="s">
        <v>74</v>
      </c>
      <c r="M954" s="1" t="s">
        <v>74</v>
      </c>
      <c r="N954" s="1" t="s">
        <v>74</v>
      </c>
      <c r="O954" s="1" t="s">
        <v>74</v>
      </c>
      <c r="P954" s="1" t="s">
        <v>74</v>
      </c>
      <c r="Q954" s="1" t="s">
        <v>74</v>
      </c>
      <c r="R954" s="1" t="s">
        <v>74</v>
      </c>
      <c r="S954" s="1" t="s">
        <v>74</v>
      </c>
      <c r="T954" s="1" t="s">
        <v>74</v>
      </c>
      <c r="U954" s="1" t="s">
        <v>74</v>
      </c>
      <c r="V954" s="1" t="s">
        <v>9481</v>
      </c>
      <c r="W954" s="1" t="s">
        <v>74</v>
      </c>
      <c r="X954" s="1" t="s">
        <v>74</v>
      </c>
      <c r="Y954" s="1" t="s">
        <v>74</v>
      </c>
      <c r="Z954" s="1" t="s">
        <v>74</v>
      </c>
      <c r="AA954" s="1" t="s">
        <v>9482</v>
      </c>
      <c r="AB954" s="1" t="s">
        <v>9483</v>
      </c>
      <c r="AC954" s="1" t="s">
        <v>74</v>
      </c>
      <c r="AD954" s="1" t="s">
        <v>74</v>
      </c>
      <c r="AE954" s="1" t="s">
        <v>74</v>
      </c>
      <c r="AF954" s="1" t="s">
        <v>74</v>
      </c>
      <c r="AG954" s="1" t="s">
        <v>74</v>
      </c>
      <c r="AH954" s="1" t="s">
        <v>74</v>
      </c>
      <c r="AI954" s="1" t="s">
        <v>74</v>
      </c>
      <c r="AJ954" s="1" t="s">
        <v>74</v>
      </c>
      <c r="AK954" s="1" t="s">
        <v>74</v>
      </c>
      <c r="AL954" s="1" t="s">
        <v>74</v>
      </c>
      <c r="AM954" s="1" t="s">
        <v>74</v>
      </c>
      <c r="AN954" s="1" t="s">
        <v>74</v>
      </c>
      <c r="AO954" s="1" t="s">
        <v>9484</v>
      </c>
      <c r="AP954" s="1" t="s">
        <v>9485</v>
      </c>
      <c r="AQ954" s="1" t="s">
        <v>74</v>
      </c>
      <c r="AR954" s="1" t="s">
        <v>74</v>
      </c>
      <c r="AS954" s="1" t="s">
        <v>74</v>
      </c>
      <c r="AT954" s="1" t="s">
        <v>485</v>
      </c>
      <c r="AU954" s="1">
        <v>2019.0</v>
      </c>
      <c r="AV954" s="1">
        <v>93.0</v>
      </c>
      <c r="AW954" s="1" t="s">
        <v>74</v>
      </c>
      <c r="AX954" s="1" t="s">
        <v>74</v>
      </c>
      <c r="AY954" s="1" t="s">
        <v>74</v>
      </c>
      <c r="AZ954" s="1" t="s">
        <v>1416</v>
      </c>
      <c r="BA954" s="1" t="s">
        <v>74</v>
      </c>
      <c r="BB954" s="1">
        <v>148.0</v>
      </c>
      <c r="BC954" s="1">
        <v>163.0</v>
      </c>
      <c r="BD954" s="1" t="s">
        <v>74</v>
      </c>
      <c r="BE954" s="1" t="s">
        <v>9486</v>
      </c>
      <c r="BF954" s="2" t="str">
        <f>HYPERLINK("http://dx.doi.org/10.1016/j.simpat.2018.09.016","http://dx.doi.org/10.1016/j.simpat.2018.09.016")</f>
        <v>http://dx.doi.org/10.1016/j.simpat.2018.09.016</v>
      </c>
      <c r="BG954" s="1" t="s">
        <v>74</v>
      </c>
      <c r="BH954" s="1" t="s">
        <v>74</v>
      </c>
      <c r="BI954" s="1" t="s">
        <v>74</v>
      </c>
      <c r="BJ954" s="1" t="s">
        <v>74</v>
      </c>
      <c r="BK954" s="1" t="s">
        <v>74</v>
      </c>
      <c r="BL954" s="1" t="s">
        <v>74</v>
      </c>
      <c r="BM954" s="1" t="s">
        <v>74</v>
      </c>
      <c r="BN954" s="1" t="s">
        <v>74</v>
      </c>
      <c r="BO954" s="1" t="s">
        <v>74</v>
      </c>
      <c r="BP954" s="1" t="s">
        <v>74</v>
      </c>
      <c r="BQ954" s="1" t="s">
        <v>74</v>
      </c>
      <c r="BR954" s="1" t="s">
        <v>74</v>
      </c>
      <c r="BS954" s="1" t="s">
        <v>9487</v>
      </c>
      <c r="BT954" s="1" t="str">
        <f>HYPERLINK("https%3A%2F%2Fwww.webofscience.com%2Fwos%2Fwoscc%2Ffull-record%2FWOS:000462032200009","View Full Record in Web of Science")</f>
        <v>View Full Record in Web of Science</v>
      </c>
    </row>
    <row r="955" ht="12.75" customHeight="1">
      <c r="A955" s="1" t="s">
        <v>86</v>
      </c>
      <c r="B955" s="1" t="s">
        <v>9488</v>
      </c>
      <c r="C955" s="1" t="s">
        <v>74</v>
      </c>
      <c r="D955" s="1" t="s">
        <v>9489</v>
      </c>
      <c r="E955" s="1" t="s">
        <v>74</v>
      </c>
      <c r="F955" s="1" t="s">
        <v>9490</v>
      </c>
      <c r="G955" s="1" t="s">
        <v>74</v>
      </c>
      <c r="H955" s="1" t="s">
        <v>74</v>
      </c>
      <c r="I955" s="1" t="s">
        <v>9491</v>
      </c>
      <c r="J955" s="1" t="s">
        <v>9492</v>
      </c>
      <c r="K955" s="1" t="s">
        <v>1092</v>
      </c>
      <c r="L955" s="1" t="s">
        <v>74</v>
      </c>
      <c r="M955" s="1" t="s">
        <v>74</v>
      </c>
      <c r="N955" s="1" t="s">
        <v>74</v>
      </c>
      <c r="O955" s="1" t="s">
        <v>9493</v>
      </c>
      <c r="P955" s="1" t="s">
        <v>9494</v>
      </c>
      <c r="Q955" s="1" t="s">
        <v>9495</v>
      </c>
      <c r="R955" s="1" t="s">
        <v>9496</v>
      </c>
      <c r="S955" s="1" t="s">
        <v>74</v>
      </c>
      <c r="T955" s="1" t="s">
        <v>74</v>
      </c>
      <c r="U955" s="1" t="s">
        <v>74</v>
      </c>
      <c r="V955" s="1" t="s">
        <v>9497</v>
      </c>
      <c r="W955" s="1" t="s">
        <v>74</v>
      </c>
      <c r="X955" s="1" t="s">
        <v>74</v>
      </c>
      <c r="Y955" s="1" t="s">
        <v>74</v>
      </c>
      <c r="Z955" s="1" t="s">
        <v>74</v>
      </c>
      <c r="AA955" s="1" t="s">
        <v>9498</v>
      </c>
      <c r="AB955" s="1" t="s">
        <v>9499</v>
      </c>
      <c r="AC955" s="1" t="s">
        <v>74</v>
      </c>
      <c r="AD955" s="1" t="s">
        <v>74</v>
      </c>
      <c r="AE955" s="1" t="s">
        <v>74</v>
      </c>
      <c r="AF955" s="1" t="s">
        <v>74</v>
      </c>
      <c r="AG955" s="1" t="s">
        <v>74</v>
      </c>
      <c r="AH955" s="1" t="s">
        <v>74</v>
      </c>
      <c r="AI955" s="1" t="s">
        <v>74</v>
      </c>
      <c r="AJ955" s="1" t="s">
        <v>74</v>
      </c>
      <c r="AK955" s="1" t="s">
        <v>74</v>
      </c>
      <c r="AL955" s="1" t="s">
        <v>74</v>
      </c>
      <c r="AM955" s="1" t="s">
        <v>74</v>
      </c>
      <c r="AN955" s="1" t="s">
        <v>74</v>
      </c>
      <c r="AO955" s="1" t="s">
        <v>1100</v>
      </c>
      <c r="AP955" s="1" t="s">
        <v>74</v>
      </c>
      <c r="AQ955" s="1" t="s">
        <v>74</v>
      </c>
      <c r="AR955" s="1" t="s">
        <v>74</v>
      </c>
      <c r="AS955" s="1" t="s">
        <v>74</v>
      </c>
      <c r="AT955" s="1" t="s">
        <v>74</v>
      </c>
      <c r="AU955" s="1">
        <v>2019.0</v>
      </c>
      <c r="AV955" s="1">
        <v>162.0</v>
      </c>
      <c r="AW955" s="1" t="s">
        <v>74</v>
      </c>
      <c r="AX955" s="1" t="s">
        <v>74</v>
      </c>
      <c r="AY955" s="1" t="s">
        <v>74</v>
      </c>
      <c r="AZ955" s="1" t="s">
        <v>74</v>
      </c>
      <c r="BA955" s="1" t="s">
        <v>74</v>
      </c>
      <c r="BB955" s="1">
        <v>596.0</v>
      </c>
      <c r="BC955" s="1">
        <v>603.0</v>
      </c>
      <c r="BD955" s="1" t="s">
        <v>74</v>
      </c>
      <c r="BE955" s="1" t="s">
        <v>9500</v>
      </c>
      <c r="BF955" s="2" t="str">
        <f>HYPERLINK("http://dx.doi.org/10.1016/j.procs.2019.12.028","http://dx.doi.org/10.1016/j.procs.2019.12.028")</f>
        <v>http://dx.doi.org/10.1016/j.procs.2019.12.028</v>
      </c>
      <c r="BG955" s="1" t="s">
        <v>74</v>
      </c>
      <c r="BH955" s="1" t="s">
        <v>74</v>
      </c>
      <c r="BI955" s="1" t="s">
        <v>74</v>
      </c>
      <c r="BJ955" s="1" t="s">
        <v>74</v>
      </c>
      <c r="BK955" s="1" t="s">
        <v>74</v>
      </c>
      <c r="BL955" s="1" t="s">
        <v>74</v>
      </c>
      <c r="BM955" s="1" t="s">
        <v>74</v>
      </c>
      <c r="BN955" s="1" t="s">
        <v>74</v>
      </c>
      <c r="BO955" s="1" t="s">
        <v>74</v>
      </c>
      <c r="BP955" s="1" t="s">
        <v>74</v>
      </c>
      <c r="BQ955" s="1" t="s">
        <v>74</v>
      </c>
      <c r="BR955" s="1" t="s">
        <v>74</v>
      </c>
      <c r="BS955" s="1" t="s">
        <v>9501</v>
      </c>
      <c r="BT955" s="1" t="str">
        <f>HYPERLINK("https%3A%2F%2Fwww.webofscience.com%2Fwos%2Fwoscc%2Ffull-record%2FWOS:000514081500076","View Full Record in Web of Science")</f>
        <v>View Full Record in Web of Science</v>
      </c>
    </row>
    <row r="956" ht="12.75" customHeight="1">
      <c r="A956" s="1" t="s">
        <v>72</v>
      </c>
      <c r="B956" s="1" t="s">
        <v>9502</v>
      </c>
      <c r="C956" s="1" t="s">
        <v>74</v>
      </c>
      <c r="D956" s="1" t="s">
        <v>74</v>
      </c>
      <c r="E956" s="1" t="s">
        <v>74</v>
      </c>
      <c r="F956" s="1" t="s">
        <v>9503</v>
      </c>
      <c r="G956" s="1" t="s">
        <v>74</v>
      </c>
      <c r="H956" s="1" t="s">
        <v>74</v>
      </c>
      <c r="I956" s="1" t="s">
        <v>9504</v>
      </c>
      <c r="J956" s="1" t="s">
        <v>9505</v>
      </c>
      <c r="K956" s="1" t="s">
        <v>74</v>
      </c>
      <c r="L956" s="1" t="s">
        <v>74</v>
      </c>
      <c r="M956" s="1" t="s">
        <v>74</v>
      </c>
      <c r="N956" s="1" t="s">
        <v>74</v>
      </c>
      <c r="O956" s="1" t="s">
        <v>74</v>
      </c>
      <c r="P956" s="1" t="s">
        <v>74</v>
      </c>
      <c r="Q956" s="1" t="s">
        <v>74</v>
      </c>
      <c r="R956" s="1" t="s">
        <v>74</v>
      </c>
      <c r="S956" s="1" t="s">
        <v>74</v>
      </c>
      <c r="T956" s="1" t="s">
        <v>74</v>
      </c>
      <c r="U956" s="1" t="s">
        <v>74</v>
      </c>
      <c r="V956" s="1" t="s">
        <v>9506</v>
      </c>
      <c r="W956" s="1" t="s">
        <v>74</v>
      </c>
      <c r="X956" s="1" t="s">
        <v>74</v>
      </c>
      <c r="Y956" s="1" t="s">
        <v>74</v>
      </c>
      <c r="Z956" s="1" t="s">
        <v>74</v>
      </c>
      <c r="AA956" s="1" t="s">
        <v>9507</v>
      </c>
      <c r="AB956" s="1" t="s">
        <v>9508</v>
      </c>
      <c r="AC956" s="1" t="s">
        <v>74</v>
      </c>
      <c r="AD956" s="1" t="s">
        <v>74</v>
      </c>
      <c r="AE956" s="1" t="s">
        <v>74</v>
      </c>
      <c r="AF956" s="1" t="s">
        <v>74</v>
      </c>
      <c r="AG956" s="1" t="s">
        <v>74</v>
      </c>
      <c r="AH956" s="1" t="s">
        <v>74</v>
      </c>
      <c r="AI956" s="1" t="s">
        <v>74</v>
      </c>
      <c r="AJ956" s="1" t="s">
        <v>74</v>
      </c>
      <c r="AK956" s="1" t="s">
        <v>74</v>
      </c>
      <c r="AL956" s="1" t="s">
        <v>74</v>
      </c>
      <c r="AM956" s="1" t="s">
        <v>74</v>
      </c>
      <c r="AN956" s="1" t="s">
        <v>74</v>
      </c>
      <c r="AO956" s="1" t="s">
        <v>9509</v>
      </c>
      <c r="AP956" s="1" t="s">
        <v>74</v>
      </c>
      <c r="AQ956" s="1" t="s">
        <v>74</v>
      </c>
      <c r="AR956" s="1" t="s">
        <v>74</v>
      </c>
      <c r="AS956" s="1" t="s">
        <v>74</v>
      </c>
      <c r="AT956" s="1" t="s">
        <v>9510</v>
      </c>
      <c r="AU956" s="1">
        <v>2018.0</v>
      </c>
      <c r="AV956" s="1">
        <v>12.0</v>
      </c>
      <c r="AW956" s="1" t="s">
        <v>74</v>
      </c>
      <c r="AX956" s="1" t="s">
        <v>74</v>
      </c>
      <c r="AY956" s="1" t="s">
        <v>74</v>
      </c>
      <c r="AZ956" s="1" t="s">
        <v>74</v>
      </c>
      <c r="BA956" s="1" t="s">
        <v>74</v>
      </c>
      <c r="BB956" s="1" t="s">
        <v>74</v>
      </c>
      <c r="BC956" s="1" t="s">
        <v>74</v>
      </c>
      <c r="BD956" s="1">
        <v>444.0</v>
      </c>
      <c r="BE956" s="1" t="s">
        <v>9511</v>
      </c>
      <c r="BF956" s="2" t="str">
        <f>HYPERLINK("http://dx.doi.org/10.3389/fncel.2018.00444","http://dx.doi.org/10.3389/fncel.2018.00444")</f>
        <v>http://dx.doi.org/10.3389/fncel.2018.00444</v>
      </c>
      <c r="BG956" s="1" t="s">
        <v>74</v>
      </c>
      <c r="BH956" s="1" t="s">
        <v>74</v>
      </c>
      <c r="BI956" s="1" t="s">
        <v>74</v>
      </c>
      <c r="BJ956" s="1" t="s">
        <v>74</v>
      </c>
      <c r="BK956" s="1" t="s">
        <v>74</v>
      </c>
      <c r="BL956" s="1" t="s">
        <v>74</v>
      </c>
      <c r="BM956" s="1" t="s">
        <v>74</v>
      </c>
      <c r="BN956" s="1">
        <v>3.0559649E7</v>
      </c>
      <c r="BO956" s="1" t="s">
        <v>74</v>
      </c>
      <c r="BP956" s="1" t="s">
        <v>74</v>
      </c>
      <c r="BQ956" s="1" t="s">
        <v>74</v>
      </c>
      <c r="BR956" s="1" t="s">
        <v>74</v>
      </c>
      <c r="BS956" s="1" t="s">
        <v>9512</v>
      </c>
      <c r="BT956" s="1" t="str">
        <f>HYPERLINK("https%3A%2F%2Fwww.webofscience.com%2Fwos%2Fwoscc%2Ffull-record%2FWOS:000452124600001","View Full Record in Web of Science")</f>
        <v>View Full Record in Web of Science</v>
      </c>
    </row>
    <row r="957" ht="12.75" customHeight="1">
      <c r="A957" s="1" t="s">
        <v>72</v>
      </c>
      <c r="B957" s="1" t="s">
        <v>9513</v>
      </c>
      <c r="C957" s="1" t="s">
        <v>74</v>
      </c>
      <c r="D957" s="1" t="s">
        <v>74</v>
      </c>
      <c r="E957" s="1" t="s">
        <v>74</v>
      </c>
      <c r="F957" s="1" t="s">
        <v>9514</v>
      </c>
      <c r="G957" s="1" t="s">
        <v>74</v>
      </c>
      <c r="H957" s="1" t="s">
        <v>74</v>
      </c>
      <c r="I957" s="1" t="s">
        <v>9515</v>
      </c>
      <c r="J957" s="1" t="s">
        <v>9516</v>
      </c>
      <c r="K957" s="1" t="s">
        <v>74</v>
      </c>
      <c r="L957" s="1" t="s">
        <v>74</v>
      </c>
      <c r="M957" s="1" t="s">
        <v>74</v>
      </c>
      <c r="N957" s="1" t="s">
        <v>74</v>
      </c>
      <c r="O957" s="1" t="s">
        <v>74</v>
      </c>
      <c r="P957" s="1" t="s">
        <v>74</v>
      </c>
      <c r="Q957" s="1" t="s">
        <v>74</v>
      </c>
      <c r="R957" s="1" t="s">
        <v>74</v>
      </c>
      <c r="S957" s="1" t="s">
        <v>74</v>
      </c>
      <c r="T957" s="1" t="s">
        <v>74</v>
      </c>
      <c r="U957" s="1" t="s">
        <v>74</v>
      </c>
      <c r="V957" s="1" t="s">
        <v>9517</v>
      </c>
      <c r="W957" s="1" t="s">
        <v>74</v>
      </c>
      <c r="X957" s="1" t="s">
        <v>74</v>
      </c>
      <c r="Y957" s="1" t="s">
        <v>74</v>
      </c>
      <c r="Z957" s="1" t="s">
        <v>74</v>
      </c>
      <c r="AA957" s="1" t="s">
        <v>4858</v>
      </c>
      <c r="AB957" s="1" t="s">
        <v>9518</v>
      </c>
      <c r="AC957" s="1" t="s">
        <v>74</v>
      </c>
      <c r="AD957" s="1" t="s">
        <v>74</v>
      </c>
      <c r="AE957" s="1" t="s">
        <v>74</v>
      </c>
      <c r="AF957" s="1" t="s">
        <v>74</v>
      </c>
      <c r="AG957" s="1" t="s">
        <v>74</v>
      </c>
      <c r="AH957" s="1" t="s">
        <v>74</v>
      </c>
      <c r="AI957" s="1" t="s">
        <v>74</v>
      </c>
      <c r="AJ957" s="1" t="s">
        <v>74</v>
      </c>
      <c r="AK957" s="1" t="s">
        <v>74</v>
      </c>
      <c r="AL957" s="1" t="s">
        <v>74</v>
      </c>
      <c r="AM957" s="1" t="s">
        <v>74</v>
      </c>
      <c r="AN957" s="1" t="s">
        <v>74</v>
      </c>
      <c r="AO957" s="1" t="s">
        <v>9519</v>
      </c>
      <c r="AP957" s="1" t="s">
        <v>74</v>
      </c>
      <c r="AQ957" s="1" t="s">
        <v>74</v>
      </c>
      <c r="AR957" s="1" t="s">
        <v>74</v>
      </c>
      <c r="AS957" s="1" t="s">
        <v>74</v>
      </c>
      <c r="AT957" s="1" t="s">
        <v>307</v>
      </c>
      <c r="AU957" s="1">
        <v>2018.0</v>
      </c>
      <c r="AV957" s="1">
        <v>50.0</v>
      </c>
      <c r="AW957" s="1">
        <v>4.0</v>
      </c>
      <c r="AX957" s="1" t="s">
        <v>74</v>
      </c>
      <c r="AY957" s="1" t="s">
        <v>74</v>
      </c>
      <c r="AZ957" s="1" t="s">
        <v>74</v>
      </c>
      <c r="BA957" s="1" t="s">
        <v>74</v>
      </c>
      <c r="BB957" s="1">
        <v>537.0</v>
      </c>
      <c r="BC957" s="1">
        <v>556.0</v>
      </c>
      <c r="BD957" s="1" t="s">
        <v>74</v>
      </c>
      <c r="BE957" s="1" t="s">
        <v>9520</v>
      </c>
      <c r="BF957" s="2" t="str">
        <f>HYPERLINK("http://dx.doi.org/10.4067/S0717-73562018005001901","http://dx.doi.org/10.4067/S0717-73562018005001901")</f>
        <v>http://dx.doi.org/10.4067/S0717-73562018005001901</v>
      </c>
      <c r="BG957" s="1" t="s">
        <v>74</v>
      </c>
      <c r="BH957" s="1" t="s">
        <v>74</v>
      </c>
      <c r="BI957" s="1" t="s">
        <v>74</v>
      </c>
      <c r="BJ957" s="1" t="s">
        <v>74</v>
      </c>
      <c r="BK957" s="1" t="s">
        <v>74</v>
      </c>
      <c r="BL957" s="1" t="s">
        <v>74</v>
      </c>
      <c r="BM957" s="1" t="s">
        <v>74</v>
      </c>
      <c r="BN957" s="1" t="s">
        <v>74</v>
      </c>
      <c r="BO957" s="1" t="s">
        <v>74</v>
      </c>
      <c r="BP957" s="1" t="s">
        <v>74</v>
      </c>
      <c r="BQ957" s="1" t="s">
        <v>74</v>
      </c>
      <c r="BR957" s="1" t="s">
        <v>74</v>
      </c>
      <c r="BS957" s="1" t="s">
        <v>9521</v>
      </c>
      <c r="BT957" s="1" t="str">
        <f>HYPERLINK("https%3A%2F%2Fwww.webofscience.com%2Fwos%2Fwoscc%2Ffull-record%2FWOS:000455909800003","View Full Record in Web of Science")</f>
        <v>View Full Record in Web of Science</v>
      </c>
    </row>
    <row r="958" ht="12.75" customHeight="1">
      <c r="A958" s="1" t="s">
        <v>72</v>
      </c>
      <c r="B958" s="1" t="s">
        <v>9522</v>
      </c>
      <c r="C958" s="1" t="s">
        <v>74</v>
      </c>
      <c r="D958" s="1" t="s">
        <v>74</v>
      </c>
      <c r="E958" s="1" t="s">
        <v>74</v>
      </c>
      <c r="F958" s="1" t="s">
        <v>9523</v>
      </c>
      <c r="G958" s="1" t="s">
        <v>74</v>
      </c>
      <c r="H958" s="1" t="s">
        <v>74</v>
      </c>
      <c r="I958" s="1" t="s">
        <v>9524</v>
      </c>
      <c r="J958" s="1" t="s">
        <v>9525</v>
      </c>
      <c r="K958" s="1" t="s">
        <v>74</v>
      </c>
      <c r="L958" s="1" t="s">
        <v>74</v>
      </c>
      <c r="M958" s="1" t="s">
        <v>74</v>
      </c>
      <c r="N958" s="1" t="s">
        <v>74</v>
      </c>
      <c r="O958" s="1" t="s">
        <v>74</v>
      </c>
      <c r="P958" s="1" t="s">
        <v>74</v>
      </c>
      <c r="Q958" s="1" t="s">
        <v>74</v>
      </c>
      <c r="R958" s="1" t="s">
        <v>74</v>
      </c>
      <c r="S958" s="1" t="s">
        <v>74</v>
      </c>
      <c r="T958" s="1" t="s">
        <v>74</v>
      </c>
      <c r="U958" s="1" t="s">
        <v>74</v>
      </c>
      <c r="V958" s="1" t="s">
        <v>9526</v>
      </c>
      <c r="W958" s="1" t="s">
        <v>74</v>
      </c>
      <c r="X958" s="1" t="s">
        <v>74</v>
      </c>
      <c r="Y958" s="1" t="s">
        <v>74</v>
      </c>
      <c r="Z958" s="1" t="s">
        <v>74</v>
      </c>
      <c r="AA958" s="1" t="s">
        <v>74</v>
      </c>
      <c r="AB958" s="1" t="s">
        <v>74</v>
      </c>
      <c r="AC958" s="1" t="s">
        <v>74</v>
      </c>
      <c r="AD958" s="1" t="s">
        <v>74</v>
      </c>
      <c r="AE958" s="1" t="s">
        <v>74</v>
      </c>
      <c r="AF958" s="1" t="s">
        <v>74</v>
      </c>
      <c r="AG958" s="1" t="s">
        <v>74</v>
      </c>
      <c r="AH958" s="1" t="s">
        <v>74</v>
      </c>
      <c r="AI958" s="1" t="s">
        <v>74</v>
      </c>
      <c r="AJ958" s="1" t="s">
        <v>74</v>
      </c>
      <c r="AK958" s="1" t="s">
        <v>74</v>
      </c>
      <c r="AL958" s="1" t="s">
        <v>74</v>
      </c>
      <c r="AM958" s="1" t="s">
        <v>74</v>
      </c>
      <c r="AN958" s="1" t="s">
        <v>74</v>
      </c>
      <c r="AO958" s="1" t="s">
        <v>9527</v>
      </c>
      <c r="AP958" s="1" t="s">
        <v>74</v>
      </c>
      <c r="AQ958" s="1" t="s">
        <v>74</v>
      </c>
      <c r="AR958" s="1" t="s">
        <v>74</v>
      </c>
      <c r="AS958" s="1" t="s">
        <v>74</v>
      </c>
      <c r="AT958" s="1" t="s">
        <v>939</v>
      </c>
      <c r="AU958" s="1">
        <v>2017.0</v>
      </c>
      <c r="AV958" s="1">
        <v>23.0</v>
      </c>
      <c r="AW958" s="1">
        <v>1.0</v>
      </c>
      <c r="AX958" s="1" t="s">
        <v>74</v>
      </c>
      <c r="AY958" s="1" t="s">
        <v>74</v>
      </c>
      <c r="AZ958" s="1" t="s">
        <v>74</v>
      </c>
      <c r="BA958" s="1" t="s">
        <v>74</v>
      </c>
      <c r="BB958" s="1">
        <v>15.0</v>
      </c>
      <c r="BC958" s="1">
        <v>24.0</v>
      </c>
      <c r="BD958" s="1" t="s">
        <v>74</v>
      </c>
      <c r="BE958" s="1" t="s">
        <v>74</v>
      </c>
      <c r="BF958" s="1" t="s">
        <v>74</v>
      </c>
      <c r="BG958" s="1" t="s">
        <v>74</v>
      </c>
      <c r="BH958" s="1" t="s">
        <v>74</v>
      </c>
      <c r="BI958" s="1" t="s">
        <v>74</v>
      </c>
      <c r="BJ958" s="1" t="s">
        <v>74</v>
      </c>
      <c r="BK958" s="1" t="s">
        <v>74</v>
      </c>
      <c r="BL958" s="1" t="s">
        <v>74</v>
      </c>
      <c r="BM958" s="1" t="s">
        <v>74</v>
      </c>
      <c r="BN958" s="1" t="s">
        <v>74</v>
      </c>
      <c r="BO958" s="1" t="s">
        <v>74</v>
      </c>
      <c r="BP958" s="1" t="s">
        <v>74</v>
      </c>
      <c r="BQ958" s="1" t="s">
        <v>74</v>
      </c>
      <c r="BR958" s="1" t="s">
        <v>74</v>
      </c>
      <c r="BS958" s="1" t="s">
        <v>9528</v>
      </c>
      <c r="BT958" s="1" t="str">
        <f>HYPERLINK("https%3A%2F%2Fwww.webofscience.com%2Fwos%2Fwoscc%2Ffull-record%2FWOS:000408069000003","View Full Record in Web of Science")</f>
        <v>View Full Record in Web of Science</v>
      </c>
    </row>
    <row r="959" ht="12.75" customHeight="1">
      <c r="A959" s="1" t="s">
        <v>72</v>
      </c>
      <c r="B959" s="1" t="s">
        <v>9529</v>
      </c>
      <c r="C959" s="1" t="s">
        <v>74</v>
      </c>
      <c r="D959" s="1" t="s">
        <v>74</v>
      </c>
      <c r="E959" s="1" t="s">
        <v>74</v>
      </c>
      <c r="F959" s="1" t="s">
        <v>9530</v>
      </c>
      <c r="G959" s="1" t="s">
        <v>74</v>
      </c>
      <c r="H959" s="1" t="s">
        <v>74</v>
      </c>
      <c r="I959" s="1" t="s">
        <v>9531</v>
      </c>
      <c r="J959" s="1" t="s">
        <v>6339</v>
      </c>
      <c r="K959" s="1" t="s">
        <v>74</v>
      </c>
      <c r="L959" s="1" t="s">
        <v>74</v>
      </c>
      <c r="M959" s="1" t="s">
        <v>74</v>
      </c>
      <c r="N959" s="1" t="s">
        <v>74</v>
      </c>
      <c r="O959" s="1" t="s">
        <v>6340</v>
      </c>
      <c r="P959" s="1" t="s">
        <v>9532</v>
      </c>
      <c r="Q959" s="1" t="s">
        <v>9533</v>
      </c>
      <c r="R959" s="1" t="s">
        <v>6343</v>
      </c>
      <c r="S959" s="1" t="s">
        <v>74</v>
      </c>
      <c r="T959" s="1" t="s">
        <v>74</v>
      </c>
      <c r="U959" s="1" t="s">
        <v>74</v>
      </c>
      <c r="V959" s="1" t="s">
        <v>74</v>
      </c>
      <c r="W959" s="1" t="s">
        <v>74</v>
      </c>
      <c r="X959" s="1" t="s">
        <v>74</v>
      </c>
      <c r="Y959" s="1" t="s">
        <v>74</v>
      </c>
      <c r="Z959" s="1" t="s">
        <v>74</v>
      </c>
      <c r="AA959" s="1" t="s">
        <v>9534</v>
      </c>
      <c r="AB959" s="1" t="s">
        <v>9535</v>
      </c>
      <c r="AC959" s="1" t="s">
        <v>74</v>
      </c>
      <c r="AD959" s="1" t="s">
        <v>74</v>
      </c>
      <c r="AE959" s="1" t="s">
        <v>74</v>
      </c>
      <c r="AF959" s="1" t="s">
        <v>74</v>
      </c>
      <c r="AG959" s="1" t="s">
        <v>74</v>
      </c>
      <c r="AH959" s="1" t="s">
        <v>74</v>
      </c>
      <c r="AI959" s="1" t="s">
        <v>74</v>
      </c>
      <c r="AJ959" s="1" t="s">
        <v>74</v>
      </c>
      <c r="AK959" s="1" t="s">
        <v>74</v>
      </c>
      <c r="AL959" s="1" t="s">
        <v>74</v>
      </c>
      <c r="AM959" s="1" t="s">
        <v>74</v>
      </c>
      <c r="AN959" s="1" t="s">
        <v>74</v>
      </c>
      <c r="AO959" s="1" t="s">
        <v>6345</v>
      </c>
      <c r="AP959" s="1" t="s">
        <v>6346</v>
      </c>
      <c r="AQ959" s="1" t="s">
        <v>74</v>
      </c>
      <c r="AR959" s="1" t="s">
        <v>74</v>
      </c>
      <c r="AS959" s="1" t="s">
        <v>74</v>
      </c>
      <c r="AT959" s="1" t="s">
        <v>485</v>
      </c>
      <c r="AU959" s="1">
        <v>2017.0</v>
      </c>
      <c r="AV959" s="1">
        <v>49.0</v>
      </c>
      <c r="AW959" s="1">
        <v>5.0</v>
      </c>
      <c r="AX959" s="1" t="s">
        <v>74</v>
      </c>
      <c r="AY959" s="1">
        <v>1.0</v>
      </c>
      <c r="AZ959" s="1" t="s">
        <v>74</v>
      </c>
      <c r="BA959" s="1">
        <v>3207.0</v>
      </c>
      <c r="BB959" s="1">
        <v>908.0</v>
      </c>
      <c r="BC959" s="1" t="s">
        <v>142</v>
      </c>
      <c r="BD959" s="1" t="s">
        <v>74</v>
      </c>
      <c r="BE959" s="1" t="s">
        <v>9536</v>
      </c>
      <c r="BF959" s="2" t="str">
        <f>HYPERLINK("http://dx.doi.org/10.1249/01.mss.0000519471.14596.4d","http://dx.doi.org/10.1249/01.mss.0000519471.14596.4d")</f>
        <v>http://dx.doi.org/10.1249/01.mss.0000519471.14596.4d</v>
      </c>
      <c r="BG959" s="1" t="s">
        <v>74</v>
      </c>
      <c r="BH959" s="1" t="s">
        <v>74</v>
      </c>
      <c r="BI959" s="1" t="s">
        <v>74</v>
      </c>
      <c r="BJ959" s="1" t="s">
        <v>74</v>
      </c>
      <c r="BK959" s="1" t="s">
        <v>74</v>
      </c>
      <c r="BL959" s="1" t="s">
        <v>74</v>
      </c>
      <c r="BM959" s="1" t="s">
        <v>74</v>
      </c>
      <c r="BN959" s="1" t="s">
        <v>74</v>
      </c>
      <c r="BO959" s="1" t="s">
        <v>74</v>
      </c>
      <c r="BP959" s="1" t="s">
        <v>74</v>
      </c>
      <c r="BQ959" s="1" t="s">
        <v>74</v>
      </c>
      <c r="BR959" s="1" t="s">
        <v>74</v>
      </c>
      <c r="BS959" s="1" t="s">
        <v>9537</v>
      </c>
      <c r="BT959" s="1" t="str">
        <f>HYPERLINK("https%3A%2F%2Fwww.webofscience.com%2Fwos%2Fwoscc%2Ffull-record%2FWOS:000415216000264","View Full Record in Web of Science")</f>
        <v>View Full Record in Web of Science</v>
      </c>
    </row>
    <row r="960" ht="12.75" customHeight="1">
      <c r="A960" s="1" t="s">
        <v>72</v>
      </c>
      <c r="B960" s="1" t="s">
        <v>9538</v>
      </c>
      <c r="C960" s="1" t="s">
        <v>74</v>
      </c>
      <c r="D960" s="1" t="s">
        <v>74</v>
      </c>
      <c r="E960" s="1" t="s">
        <v>74</v>
      </c>
      <c r="F960" s="1" t="s">
        <v>9539</v>
      </c>
      <c r="G960" s="1" t="s">
        <v>74</v>
      </c>
      <c r="H960" s="1" t="s">
        <v>74</v>
      </c>
      <c r="I960" s="1" t="s">
        <v>9540</v>
      </c>
      <c r="J960" s="1" t="s">
        <v>9541</v>
      </c>
      <c r="K960" s="1" t="s">
        <v>74</v>
      </c>
      <c r="L960" s="1" t="s">
        <v>74</v>
      </c>
      <c r="M960" s="1" t="s">
        <v>74</v>
      </c>
      <c r="N960" s="1" t="s">
        <v>74</v>
      </c>
      <c r="O960" s="1" t="s">
        <v>74</v>
      </c>
      <c r="P960" s="1" t="s">
        <v>74</v>
      </c>
      <c r="Q960" s="1" t="s">
        <v>74</v>
      </c>
      <c r="R960" s="1" t="s">
        <v>74</v>
      </c>
      <c r="S960" s="1" t="s">
        <v>74</v>
      </c>
      <c r="T960" s="1" t="s">
        <v>74</v>
      </c>
      <c r="U960" s="1" t="s">
        <v>74</v>
      </c>
      <c r="V960" s="1" t="s">
        <v>9542</v>
      </c>
      <c r="W960" s="1" t="s">
        <v>74</v>
      </c>
      <c r="X960" s="1" t="s">
        <v>74</v>
      </c>
      <c r="Y960" s="1" t="s">
        <v>74</v>
      </c>
      <c r="Z960" s="1" t="s">
        <v>74</v>
      </c>
      <c r="AA960" s="1" t="s">
        <v>9543</v>
      </c>
      <c r="AB960" s="1" t="s">
        <v>9544</v>
      </c>
      <c r="AC960" s="1" t="s">
        <v>74</v>
      </c>
      <c r="AD960" s="1" t="s">
        <v>74</v>
      </c>
      <c r="AE960" s="1" t="s">
        <v>74</v>
      </c>
      <c r="AF960" s="1" t="s">
        <v>74</v>
      </c>
      <c r="AG960" s="1" t="s">
        <v>74</v>
      </c>
      <c r="AH960" s="1" t="s">
        <v>74</v>
      </c>
      <c r="AI960" s="1" t="s">
        <v>74</v>
      </c>
      <c r="AJ960" s="1" t="s">
        <v>74</v>
      </c>
      <c r="AK960" s="1" t="s">
        <v>74</v>
      </c>
      <c r="AL960" s="1" t="s">
        <v>74</v>
      </c>
      <c r="AM960" s="1" t="s">
        <v>74</v>
      </c>
      <c r="AN960" s="1" t="s">
        <v>74</v>
      </c>
      <c r="AO960" s="1" t="s">
        <v>9545</v>
      </c>
      <c r="AP960" s="1" t="s">
        <v>9546</v>
      </c>
      <c r="AQ960" s="1" t="s">
        <v>74</v>
      </c>
      <c r="AR960" s="1" t="s">
        <v>74</v>
      </c>
      <c r="AS960" s="1" t="s">
        <v>74</v>
      </c>
      <c r="AT960" s="1" t="s">
        <v>485</v>
      </c>
      <c r="AU960" s="1">
        <v>2017.0</v>
      </c>
      <c r="AV960" s="1">
        <v>128.0</v>
      </c>
      <c r="AW960" s="1">
        <v>2.0</v>
      </c>
      <c r="AX960" s="1" t="s">
        <v>74</v>
      </c>
      <c r="AY960" s="1" t="s">
        <v>74</v>
      </c>
      <c r="AZ960" s="1" t="s">
        <v>74</v>
      </c>
      <c r="BA960" s="1" t="s">
        <v>74</v>
      </c>
      <c r="BB960" s="1">
        <v>687.0</v>
      </c>
      <c r="BC960" s="1">
        <v>698.0</v>
      </c>
      <c r="BD960" s="1" t="s">
        <v>74</v>
      </c>
      <c r="BE960" s="1" t="s">
        <v>9547</v>
      </c>
      <c r="BF960" s="2" t="str">
        <f>HYPERLINK("http://dx.doi.org/10.1007/s10973-016-5961-1","http://dx.doi.org/10.1007/s10973-016-5961-1")</f>
        <v>http://dx.doi.org/10.1007/s10973-016-5961-1</v>
      </c>
      <c r="BG960" s="1" t="s">
        <v>74</v>
      </c>
      <c r="BH960" s="1" t="s">
        <v>74</v>
      </c>
      <c r="BI960" s="1" t="s">
        <v>74</v>
      </c>
      <c r="BJ960" s="1" t="s">
        <v>74</v>
      </c>
      <c r="BK960" s="1" t="s">
        <v>74</v>
      </c>
      <c r="BL960" s="1" t="s">
        <v>74</v>
      </c>
      <c r="BM960" s="1" t="s">
        <v>74</v>
      </c>
      <c r="BN960" s="1" t="s">
        <v>74</v>
      </c>
      <c r="BO960" s="1" t="s">
        <v>74</v>
      </c>
      <c r="BP960" s="1" t="s">
        <v>74</v>
      </c>
      <c r="BQ960" s="1" t="s">
        <v>74</v>
      </c>
      <c r="BR960" s="1" t="s">
        <v>74</v>
      </c>
      <c r="BS960" s="1" t="s">
        <v>9548</v>
      </c>
      <c r="BT960" s="1" t="str">
        <f>HYPERLINK("https%3A%2F%2Fwww.webofscience.com%2Fwos%2Fwoscc%2Ffull-record%2FWOS:000399242400006","View Full Record in Web of Science")</f>
        <v>View Full Record in Web of Science</v>
      </c>
    </row>
    <row r="961" ht="12.75" customHeight="1">
      <c r="A961" s="1" t="s">
        <v>72</v>
      </c>
      <c r="B961" s="1" t="s">
        <v>9549</v>
      </c>
      <c r="C961" s="1" t="s">
        <v>74</v>
      </c>
      <c r="D961" s="1" t="s">
        <v>74</v>
      </c>
      <c r="E961" s="1" t="s">
        <v>74</v>
      </c>
      <c r="F961" s="1" t="s">
        <v>9550</v>
      </c>
      <c r="G961" s="1" t="s">
        <v>74</v>
      </c>
      <c r="H961" s="1" t="s">
        <v>74</v>
      </c>
      <c r="I961" s="1" t="s">
        <v>9551</v>
      </c>
      <c r="J961" s="1" t="s">
        <v>4084</v>
      </c>
      <c r="K961" s="1" t="s">
        <v>74</v>
      </c>
      <c r="L961" s="1" t="s">
        <v>74</v>
      </c>
      <c r="M961" s="1" t="s">
        <v>74</v>
      </c>
      <c r="N961" s="1" t="s">
        <v>74</v>
      </c>
      <c r="O961" s="1" t="s">
        <v>74</v>
      </c>
      <c r="P961" s="1" t="s">
        <v>74</v>
      </c>
      <c r="Q961" s="1" t="s">
        <v>74</v>
      </c>
      <c r="R961" s="1" t="s">
        <v>74</v>
      </c>
      <c r="S961" s="1" t="s">
        <v>74</v>
      </c>
      <c r="T961" s="1" t="s">
        <v>74</v>
      </c>
      <c r="U961" s="1" t="s">
        <v>74</v>
      </c>
      <c r="V961" s="1" t="s">
        <v>9552</v>
      </c>
      <c r="W961" s="1" t="s">
        <v>74</v>
      </c>
      <c r="X961" s="1" t="s">
        <v>74</v>
      </c>
      <c r="Y961" s="1" t="s">
        <v>74</v>
      </c>
      <c r="Z961" s="1" t="s">
        <v>74</v>
      </c>
      <c r="AA961" s="1" t="s">
        <v>9553</v>
      </c>
      <c r="AB961" s="1" t="s">
        <v>9554</v>
      </c>
      <c r="AC961" s="1" t="s">
        <v>74</v>
      </c>
      <c r="AD961" s="1" t="s">
        <v>74</v>
      </c>
      <c r="AE961" s="1" t="s">
        <v>74</v>
      </c>
      <c r="AF961" s="1" t="s">
        <v>74</v>
      </c>
      <c r="AG961" s="1" t="s">
        <v>74</v>
      </c>
      <c r="AH961" s="1" t="s">
        <v>74</v>
      </c>
      <c r="AI961" s="1" t="s">
        <v>74</v>
      </c>
      <c r="AJ961" s="1" t="s">
        <v>74</v>
      </c>
      <c r="AK961" s="1" t="s">
        <v>74</v>
      </c>
      <c r="AL961" s="1" t="s">
        <v>74</v>
      </c>
      <c r="AM961" s="1" t="s">
        <v>74</v>
      </c>
      <c r="AN961" s="1" t="s">
        <v>74</v>
      </c>
      <c r="AO961" s="1" t="s">
        <v>4087</v>
      </c>
      <c r="AP961" s="1" t="s">
        <v>4088</v>
      </c>
      <c r="AQ961" s="1" t="s">
        <v>74</v>
      </c>
      <c r="AR961" s="1" t="s">
        <v>74</v>
      </c>
      <c r="AS961" s="1" t="s">
        <v>74</v>
      </c>
      <c r="AT961" s="1" t="s">
        <v>74</v>
      </c>
      <c r="AU961" s="1">
        <v>2017.0</v>
      </c>
      <c r="AV961" s="1">
        <v>17.0</v>
      </c>
      <c r="AW961" s="1">
        <v>3.0</v>
      </c>
      <c r="AX961" s="1" t="s">
        <v>74</v>
      </c>
      <c r="AY961" s="1" t="s">
        <v>74</v>
      </c>
      <c r="AZ961" s="1" t="s">
        <v>74</v>
      </c>
      <c r="BA961" s="1" t="s">
        <v>74</v>
      </c>
      <c r="BB961" s="1">
        <v>232.0</v>
      </c>
      <c r="BC961" s="1">
        <v>243.0</v>
      </c>
      <c r="BD961" s="1" t="s">
        <v>74</v>
      </c>
      <c r="BE961" s="1" t="s">
        <v>9555</v>
      </c>
      <c r="BF961" s="2" t="str">
        <f>HYPERLINK("http://dx.doi.org/10.1080/24748668.2017.1331573","http://dx.doi.org/10.1080/24748668.2017.1331573")</f>
        <v>http://dx.doi.org/10.1080/24748668.2017.1331573</v>
      </c>
      <c r="BG961" s="1" t="s">
        <v>74</v>
      </c>
      <c r="BH961" s="1" t="s">
        <v>74</v>
      </c>
      <c r="BI961" s="1" t="s">
        <v>74</v>
      </c>
      <c r="BJ961" s="1" t="s">
        <v>74</v>
      </c>
      <c r="BK961" s="1" t="s">
        <v>74</v>
      </c>
      <c r="BL961" s="1" t="s">
        <v>74</v>
      </c>
      <c r="BM961" s="1" t="s">
        <v>74</v>
      </c>
      <c r="BN961" s="1" t="s">
        <v>74</v>
      </c>
      <c r="BO961" s="1" t="s">
        <v>74</v>
      </c>
      <c r="BP961" s="1" t="s">
        <v>74</v>
      </c>
      <c r="BQ961" s="1" t="s">
        <v>74</v>
      </c>
      <c r="BR961" s="1" t="s">
        <v>74</v>
      </c>
      <c r="BS961" s="1" t="s">
        <v>9556</v>
      </c>
      <c r="BT961" s="1" t="str">
        <f>HYPERLINK("https%3A%2F%2Fwww.webofscience.com%2Fwos%2Fwoscc%2Ffull-record%2FWOS:000405313800005","View Full Record in Web of Science")</f>
        <v>View Full Record in Web of Science</v>
      </c>
    </row>
    <row r="962" ht="12.75" customHeight="1">
      <c r="A962" s="1" t="s">
        <v>72</v>
      </c>
      <c r="B962" s="1" t="s">
        <v>9557</v>
      </c>
      <c r="C962" s="1" t="s">
        <v>74</v>
      </c>
      <c r="D962" s="1" t="s">
        <v>74</v>
      </c>
      <c r="E962" s="1" t="s">
        <v>74</v>
      </c>
      <c r="F962" s="1" t="s">
        <v>9558</v>
      </c>
      <c r="G962" s="1" t="s">
        <v>74</v>
      </c>
      <c r="H962" s="1" t="s">
        <v>74</v>
      </c>
      <c r="I962" s="1" t="s">
        <v>9559</v>
      </c>
      <c r="J962" s="1" t="s">
        <v>700</v>
      </c>
      <c r="K962" s="1" t="s">
        <v>74</v>
      </c>
      <c r="L962" s="1" t="s">
        <v>74</v>
      </c>
      <c r="M962" s="1" t="s">
        <v>74</v>
      </c>
      <c r="N962" s="1" t="s">
        <v>74</v>
      </c>
      <c r="O962" s="1" t="s">
        <v>74</v>
      </c>
      <c r="P962" s="1" t="s">
        <v>74</v>
      </c>
      <c r="Q962" s="1" t="s">
        <v>74</v>
      </c>
      <c r="R962" s="1" t="s">
        <v>74</v>
      </c>
      <c r="S962" s="1" t="s">
        <v>74</v>
      </c>
      <c r="T962" s="1" t="s">
        <v>74</v>
      </c>
      <c r="U962" s="1" t="s">
        <v>74</v>
      </c>
      <c r="V962" s="1" t="s">
        <v>9560</v>
      </c>
      <c r="W962" s="1" t="s">
        <v>74</v>
      </c>
      <c r="X962" s="1" t="s">
        <v>74</v>
      </c>
      <c r="Y962" s="1" t="s">
        <v>74</v>
      </c>
      <c r="Z962" s="1" t="s">
        <v>74</v>
      </c>
      <c r="AA962" s="1" t="s">
        <v>9561</v>
      </c>
      <c r="AB962" s="1" t="s">
        <v>9562</v>
      </c>
      <c r="AC962" s="1" t="s">
        <v>74</v>
      </c>
      <c r="AD962" s="1" t="s">
        <v>74</v>
      </c>
      <c r="AE962" s="1" t="s">
        <v>74</v>
      </c>
      <c r="AF962" s="1" t="s">
        <v>74</v>
      </c>
      <c r="AG962" s="1" t="s">
        <v>74</v>
      </c>
      <c r="AH962" s="1" t="s">
        <v>74</v>
      </c>
      <c r="AI962" s="1" t="s">
        <v>74</v>
      </c>
      <c r="AJ962" s="1" t="s">
        <v>74</v>
      </c>
      <c r="AK962" s="1" t="s">
        <v>74</v>
      </c>
      <c r="AL962" s="1" t="s">
        <v>74</v>
      </c>
      <c r="AM962" s="1" t="s">
        <v>74</v>
      </c>
      <c r="AN962" s="1" t="s">
        <v>74</v>
      </c>
      <c r="AO962" s="1" t="s">
        <v>704</v>
      </c>
      <c r="AP962" s="1" t="s">
        <v>705</v>
      </c>
      <c r="AQ962" s="1" t="s">
        <v>74</v>
      </c>
      <c r="AR962" s="1" t="s">
        <v>74</v>
      </c>
      <c r="AS962" s="1" t="s">
        <v>74</v>
      </c>
      <c r="AT962" s="1" t="s">
        <v>348</v>
      </c>
      <c r="AU962" s="1">
        <v>2016.0</v>
      </c>
      <c r="AV962" s="1">
        <v>83.0</v>
      </c>
      <c r="AW962" s="1" t="s">
        <v>74</v>
      </c>
      <c r="AX962" s="1" t="s">
        <v>74</v>
      </c>
      <c r="AY962" s="1" t="s">
        <v>74</v>
      </c>
      <c r="AZ962" s="1" t="s">
        <v>74</v>
      </c>
      <c r="BA962" s="1" t="s">
        <v>74</v>
      </c>
      <c r="BB962" s="1">
        <v>434.0</v>
      </c>
      <c r="BC962" s="1">
        <v>441.0</v>
      </c>
      <c r="BD962" s="1" t="s">
        <v>74</v>
      </c>
      <c r="BE962" s="1" t="s">
        <v>9563</v>
      </c>
      <c r="BF962" s="2" t="str">
        <f>HYPERLINK("http://dx.doi.org/10.1016/j.physe.2016.01.021","http://dx.doi.org/10.1016/j.physe.2016.01.021")</f>
        <v>http://dx.doi.org/10.1016/j.physe.2016.01.021</v>
      </c>
      <c r="BG962" s="1" t="s">
        <v>74</v>
      </c>
      <c r="BH962" s="1" t="s">
        <v>74</v>
      </c>
      <c r="BI962" s="1" t="s">
        <v>74</v>
      </c>
      <c r="BJ962" s="1" t="s">
        <v>74</v>
      </c>
      <c r="BK962" s="1" t="s">
        <v>74</v>
      </c>
      <c r="BL962" s="1" t="s">
        <v>74</v>
      </c>
      <c r="BM962" s="1" t="s">
        <v>74</v>
      </c>
      <c r="BN962" s="1" t="s">
        <v>74</v>
      </c>
      <c r="BO962" s="1" t="s">
        <v>74</v>
      </c>
      <c r="BP962" s="1" t="s">
        <v>74</v>
      </c>
      <c r="BQ962" s="1" t="s">
        <v>74</v>
      </c>
      <c r="BR962" s="1" t="s">
        <v>74</v>
      </c>
      <c r="BS962" s="1" t="s">
        <v>9564</v>
      </c>
      <c r="BT962" s="1" t="str">
        <f>HYPERLINK("https%3A%2F%2Fwww.webofscience.com%2Fwos%2Fwoscc%2Ffull-record%2FWOS:000380221400060","View Full Record in Web of Science")</f>
        <v>View Full Record in Web of Science</v>
      </c>
    </row>
    <row r="963" ht="12.75" customHeight="1">
      <c r="A963" s="1" t="s">
        <v>72</v>
      </c>
      <c r="B963" s="1" t="s">
        <v>9565</v>
      </c>
      <c r="C963" s="1" t="s">
        <v>74</v>
      </c>
      <c r="D963" s="1" t="s">
        <v>74</v>
      </c>
      <c r="E963" s="1" t="s">
        <v>74</v>
      </c>
      <c r="F963" s="1" t="s">
        <v>9566</v>
      </c>
      <c r="G963" s="1" t="s">
        <v>74</v>
      </c>
      <c r="H963" s="1" t="s">
        <v>74</v>
      </c>
      <c r="I963" s="1" t="s">
        <v>9567</v>
      </c>
      <c r="J963" s="1" t="s">
        <v>77</v>
      </c>
      <c r="K963" s="1" t="s">
        <v>74</v>
      </c>
      <c r="L963" s="1" t="s">
        <v>74</v>
      </c>
      <c r="M963" s="1" t="s">
        <v>74</v>
      </c>
      <c r="N963" s="1" t="s">
        <v>74</v>
      </c>
      <c r="O963" s="1" t="s">
        <v>74</v>
      </c>
      <c r="P963" s="1" t="s">
        <v>74</v>
      </c>
      <c r="Q963" s="1" t="s">
        <v>74</v>
      </c>
      <c r="R963" s="1" t="s">
        <v>74</v>
      </c>
      <c r="S963" s="1" t="s">
        <v>74</v>
      </c>
      <c r="T963" s="1" t="s">
        <v>74</v>
      </c>
      <c r="U963" s="1" t="s">
        <v>74</v>
      </c>
      <c r="V963" s="1" t="s">
        <v>9568</v>
      </c>
      <c r="W963" s="1" t="s">
        <v>74</v>
      </c>
      <c r="X963" s="1" t="s">
        <v>74</v>
      </c>
      <c r="Y963" s="1" t="s">
        <v>74</v>
      </c>
      <c r="Z963" s="1" t="s">
        <v>74</v>
      </c>
      <c r="AA963" s="1" t="s">
        <v>9569</v>
      </c>
      <c r="AB963" s="1" t="s">
        <v>9570</v>
      </c>
      <c r="AC963" s="1" t="s">
        <v>74</v>
      </c>
      <c r="AD963" s="1" t="s">
        <v>74</v>
      </c>
      <c r="AE963" s="1" t="s">
        <v>74</v>
      </c>
      <c r="AF963" s="1" t="s">
        <v>74</v>
      </c>
      <c r="AG963" s="1" t="s">
        <v>74</v>
      </c>
      <c r="AH963" s="1" t="s">
        <v>74</v>
      </c>
      <c r="AI963" s="1" t="s">
        <v>74</v>
      </c>
      <c r="AJ963" s="1" t="s">
        <v>74</v>
      </c>
      <c r="AK963" s="1" t="s">
        <v>74</v>
      </c>
      <c r="AL963" s="1" t="s">
        <v>74</v>
      </c>
      <c r="AM963" s="1" t="s">
        <v>74</v>
      </c>
      <c r="AN963" s="1" t="s">
        <v>74</v>
      </c>
      <c r="AO963" s="1" t="s">
        <v>81</v>
      </c>
      <c r="AP963" s="1" t="s">
        <v>74</v>
      </c>
      <c r="AQ963" s="1" t="s">
        <v>74</v>
      </c>
      <c r="AR963" s="1" t="s">
        <v>74</v>
      </c>
      <c r="AS963" s="1" t="s">
        <v>74</v>
      </c>
      <c r="AT963" s="1" t="s">
        <v>2841</v>
      </c>
      <c r="AU963" s="1">
        <v>2016.0</v>
      </c>
      <c r="AV963" s="1">
        <v>11.0</v>
      </c>
      <c r="AW963" s="1">
        <v>7.0</v>
      </c>
      <c r="AX963" s="1" t="s">
        <v>74</v>
      </c>
      <c r="AY963" s="1" t="s">
        <v>74</v>
      </c>
      <c r="AZ963" s="1" t="s">
        <v>74</v>
      </c>
      <c r="BA963" s="1" t="s">
        <v>74</v>
      </c>
      <c r="BB963" s="1" t="s">
        <v>74</v>
      </c>
      <c r="BC963" s="1" t="s">
        <v>74</v>
      </c>
      <c r="BD963" s="1" t="s">
        <v>9571</v>
      </c>
      <c r="BE963" s="1" t="s">
        <v>9572</v>
      </c>
      <c r="BF963" s="2" t="str">
        <f>HYPERLINK("http://dx.doi.org/10.1371/journal.pone.0159096","http://dx.doi.org/10.1371/journal.pone.0159096")</f>
        <v>http://dx.doi.org/10.1371/journal.pone.0159096</v>
      </c>
      <c r="BG963" s="1" t="s">
        <v>74</v>
      </c>
      <c r="BH963" s="1" t="s">
        <v>74</v>
      </c>
      <c r="BI963" s="1" t="s">
        <v>74</v>
      </c>
      <c r="BJ963" s="1" t="s">
        <v>74</v>
      </c>
      <c r="BK963" s="1" t="s">
        <v>74</v>
      </c>
      <c r="BL963" s="1" t="s">
        <v>74</v>
      </c>
      <c r="BM963" s="1" t="s">
        <v>74</v>
      </c>
      <c r="BN963" s="1">
        <v>2.7416115E7</v>
      </c>
      <c r="BO963" s="1" t="s">
        <v>74</v>
      </c>
      <c r="BP963" s="1" t="s">
        <v>74</v>
      </c>
      <c r="BQ963" s="1" t="s">
        <v>74</v>
      </c>
      <c r="BR963" s="1" t="s">
        <v>74</v>
      </c>
      <c r="BS963" s="1" t="s">
        <v>9573</v>
      </c>
      <c r="BT963" s="1" t="str">
        <f>HYPERLINK("https%3A%2F%2Fwww.webofscience.com%2Fwos%2Fwoscc%2Ffull-record%2FWOS:000379579500074","View Full Record in Web of Science")</f>
        <v>View Full Record in Web of Science</v>
      </c>
    </row>
    <row r="964" ht="12.75" customHeight="1">
      <c r="A964" s="1" t="s">
        <v>72</v>
      </c>
      <c r="B964" s="1" t="s">
        <v>8041</v>
      </c>
      <c r="C964" s="1" t="s">
        <v>74</v>
      </c>
      <c r="D964" s="1" t="s">
        <v>74</v>
      </c>
      <c r="E964" s="1" t="s">
        <v>74</v>
      </c>
      <c r="F964" s="1" t="s">
        <v>8042</v>
      </c>
      <c r="G964" s="1" t="s">
        <v>74</v>
      </c>
      <c r="H964" s="1" t="s">
        <v>74</v>
      </c>
      <c r="I964" s="1" t="s">
        <v>9574</v>
      </c>
      <c r="J964" s="1" t="s">
        <v>4946</v>
      </c>
      <c r="K964" s="1" t="s">
        <v>74</v>
      </c>
      <c r="L964" s="1" t="s">
        <v>74</v>
      </c>
      <c r="M964" s="1" t="s">
        <v>74</v>
      </c>
      <c r="N964" s="1" t="s">
        <v>74</v>
      </c>
      <c r="O964" s="1" t="s">
        <v>74</v>
      </c>
      <c r="P964" s="1" t="s">
        <v>74</v>
      </c>
      <c r="Q964" s="1" t="s">
        <v>74</v>
      </c>
      <c r="R964" s="1" t="s">
        <v>74</v>
      </c>
      <c r="S964" s="1" t="s">
        <v>74</v>
      </c>
      <c r="T964" s="1" t="s">
        <v>74</v>
      </c>
      <c r="U964" s="1" t="s">
        <v>74</v>
      </c>
      <c r="V964" s="1" t="s">
        <v>9575</v>
      </c>
      <c r="W964" s="1" t="s">
        <v>74</v>
      </c>
      <c r="X964" s="1" t="s">
        <v>74</v>
      </c>
      <c r="Y964" s="1" t="s">
        <v>74</v>
      </c>
      <c r="Z964" s="1" t="s">
        <v>74</v>
      </c>
      <c r="AA964" s="1" t="s">
        <v>4948</v>
      </c>
      <c r="AB964" s="1" t="s">
        <v>4949</v>
      </c>
      <c r="AC964" s="1" t="s">
        <v>74</v>
      </c>
      <c r="AD964" s="1" t="s">
        <v>74</v>
      </c>
      <c r="AE964" s="1" t="s">
        <v>74</v>
      </c>
      <c r="AF964" s="1" t="s">
        <v>74</v>
      </c>
      <c r="AG964" s="1" t="s">
        <v>74</v>
      </c>
      <c r="AH964" s="1" t="s">
        <v>74</v>
      </c>
      <c r="AI964" s="1" t="s">
        <v>74</v>
      </c>
      <c r="AJ964" s="1" t="s">
        <v>74</v>
      </c>
      <c r="AK964" s="1" t="s">
        <v>74</v>
      </c>
      <c r="AL964" s="1" t="s">
        <v>74</v>
      </c>
      <c r="AM964" s="1" t="s">
        <v>74</v>
      </c>
      <c r="AN964" s="1" t="s">
        <v>74</v>
      </c>
      <c r="AO964" s="1" t="s">
        <v>4950</v>
      </c>
      <c r="AP964" s="1" t="s">
        <v>4951</v>
      </c>
      <c r="AQ964" s="1" t="s">
        <v>74</v>
      </c>
      <c r="AR964" s="1" t="s">
        <v>74</v>
      </c>
      <c r="AS964" s="1" t="s">
        <v>74</v>
      </c>
      <c r="AT964" s="1" t="s">
        <v>422</v>
      </c>
      <c r="AU964" s="1">
        <v>2015.0</v>
      </c>
      <c r="AV964" s="1">
        <v>64.0</v>
      </c>
      <c r="AW964" s="1" t="s">
        <v>74</v>
      </c>
      <c r="AX964" s="1" t="s">
        <v>74</v>
      </c>
      <c r="AY964" s="1" t="s">
        <v>74</v>
      </c>
      <c r="AZ964" s="1" t="s">
        <v>74</v>
      </c>
      <c r="BA964" s="1" t="s">
        <v>74</v>
      </c>
      <c r="BB964" s="1">
        <v>1141.0</v>
      </c>
      <c r="BC964" s="1">
        <v>1146.0</v>
      </c>
      <c r="BD964" s="1" t="s">
        <v>74</v>
      </c>
      <c r="BE964" s="1" t="s">
        <v>9576</v>
      </c>
      <c r="BF964" s="2" t="str">
        <f>HYPERLINK("http://dx.doi.org/10.1016/j.ijepes.2014.09.012","http://dx.doi.org/10.1016/j.ijepes.2014.09.012")</f>
        <v>http://dx.doi.org/10.1016/j.ijepes.2014.09.012</v>
      </c>
      <c r="BG964" s="1" t="s">
        <v>74</v>
      </c>
      <c r="BH964" s="1" t="s">
        <v>74</v>
      </c>
      <c r="BI964" s="1" t="s">
        <v>74</v>
      </c>
      <c r="BJ964" s="1" t="s">
        <v>74</v>
      </c>
      <c r="BK964" s="1" t="s">
        <v>74</v>
      </c>
      <c r="BL964" s="1" t="s">
        <v>74</v>
      </c>
      <c r="BM964" s="1" t="s">
        <v>74</v>
      </c>
      <c r="BN964" s="1" t="s">
        <v>74</v>
      </c>
      <c r="BO964" s="1" t="s">
        <v>74</v>
      </c>
      <c r="BP964" s="1" t="s">
        <v>74</v>
      </c>
      <c r="BQ964" s="1" t="s">
        <v>74</v>
      </c>
      <c r="BR964" s="1" t="s">
        <v>74</v>
      </c>
      <c r="BS964" s="1" t="s">
        <v>9577</v>
      </c>
      <c r="BT964" s="1" t="str">
        <f>HYPERLINK("https%3A%2F%2Fwww.webofscience.com%2Fwos%2Fwoscc%2Ffull-record%2FWOS:000344444200115","View Full Record in Web of Science")</f>
        <v>View Full Record in Web of Science</v>
      </c>
    </row>
    <row r="965" ht="12.75" customHeight="1">
      <c r="A965" s="1" t="s">
        <v>72</v>
      </c>
      <c r="B965" s="1" t="s">
        <v>8041</v>
      </c>
      <c r="C965" s="1" t="s">
        <v>74</v>
      </c>
      <c r="D965" s="1" t="s">
        <v>74</v>
      </c>
      <c r="E965" s="1" t="s">
        <v>74</v>
      </c>
      <c r="F965" s="1" t="s">
        <v>8042</v>
      </c>
      <c r="G965" s="1" t="s">
        <v>74</v>
      </c>
      <c r="H965" s="1" t="s">
        <v>74</v>
      </c>
      <c r="I965" s="1" t="s">
        <v>9578</v>
      </c>
      <c r="J965" s="1" t="s">
        <v>9579</v>
      </c>
      <c r="K965" s="1" t="s">
        <v>74</v>
      </c>
      <c r="L965" s="1" t="s">
        <v>74</v>
      </c>
      <c r="M965" s="1" t="s">
        <v>74</v>
      </c>
      <c r="N965" s="1" t="s">
        <v>74</v>
      </c>
      <c r="O965" s="1" t="s">
        <v>74</v>
      </c>
      <c r="P965" s="1" t="s">
        <v>74</v>
      </c>
      <c r="Q965" s="1" t="s">
        <v>74</v>
      </c>
      <c r="R965" s="1" t="s">
        <v>74</v>
      </c>
      <c r="S965" s="1" t="s">
        <v>74</v>
      </c>
      <c r="T965" s="1" t="s">
        <v>74</v>
      </c>
      <c r="U965" s="1" t="s">
        <v>74</v>
      </c>
      <c r="V965" s="1" t="s">
        <v>9580</v>
      </c>
      <c r="W965" s="1" t="s">
        <v>74</v>
      </c>
      <c r="X965" s="1" t="s">
        <v>74</v>
      </c>
      <c r="Y965" s="1" t="s">
        <v>74</v>
      </c>
      <c r="Z965" s="1" t="s">
        <v>74</v>
      </c>
      <c r="AA965" s="1" t="s">
        <v>4948</v>
      </c>
      <c r="AB965" s="1" t="s">
        <v>4949</v>
      </c>
      <c r="AC965" s="1" t="s">
        <v>74</v>
      </c>
      <c r="AD965" s="1" t="s">
        <v>74</v>
      </c>
      <c r="AE965" s="1" t="s">
        <v>74</v>
      </c>
      <c r="AF965" s="1" t="s">
        <v>74</v>
      </c>
      <c r="AG965" s="1" t="s">
        <v>74</v>
      </c>
      <c r="AH965" s="1" t="s">
        <v>74</v>
      </c>
      <c r="AI965" s="1" t="s">
        <v>74</v>
      </c>
      <c r="AJ965" s="1" t="s">
        <v>74</v>
      </c>
      <c r="AK965" s="1" t="s">
        <v>74</v>
      </c>
      <c r="AL965" s="1" t="s">
        <v>74</v>
      </c>
      <c r="AM965" s="1" t="s">
        <v>74</v>
      </c>
      <c r="AN965" s="1" t="s">
        <v>74</v>
      </c>
      <c r="AO965" s="1" t="s">
        <v>9581</v>
      </c>
      <c r="AP965" s="1" t="s">
        <v>9582</v>
      </c>
      <c r="AQ965" s="1" t="s">
        <v>74</v>
      </c>
      <c r="AR965" s="1" t="s">
        <v>74</v>
      </c>
      <c r="AS965" s="1" t="s">
        <v>74</v>
      </c>
      <c r="AT965" s="1" t="s">
        <v>123</v>
      </c>
      <c r="AU965" s="1">
        <v>2014.0</v>
      </c>
      <c r="AV965" s="1">
        <v>231.0</v>
      </c>
      <c r="AW965" s="1" t="s">
        <v>74</v>
      </c>
      <c r="AX965" s="1" t="s">
        <v>74</v>
      </c>
      <c r="AY965" s="1" t="s">
        <v>74</v>
      </c>
      <c r="AZ965" s="1" t="s">
        <v>74</v>
      </c>
      <c r="BA965" s="1" t="s">
        <v>74</v>
      </c>
      <c r="BB965" s="1">
        <v>386.0</v>
      </c>
      <c r="BC965" s="1">
        <v>394.0</v>
      </c>
      <c r="BD965" s="1" t="s">
        <v>74</v>
      </c>
      <c r="BE965" s="1" t="s">
        <v>9583</v>
      </c>
      <c r="BF965" s="2" t="str">
        <f>HYPERLINK("http://dx.doi.org/10.1016/j.amc.2014.01.024","http://dx.doi.org/10.1016/j.amc.2014.01.024")</f>
        <v>http://dx.doi.org/10.1016/j.amc.2014.01.024</v>
      </c>
      <c r="BG965" s="1" t="s">
        <v>74</v>
      </c>
      <c r="BH965" s="1" t="s">
        <v>74</v>
      </c>
      <c r="BI965" s="1" t="s">
        <v>74</v>
      </c>
      <c r="BJ965" s="1" t="s">
        <v>74</v>
      </c>
      <c r="BK965" s="1" t="s">
        <v>74</v>
      </c>
      <c r="BL965" s="1" t="s">
        <v>74</v>
      </c>
      <c r="BM965" s="1" t="s">
        <v>74</v>
      </c>
      <c r="BN965" s="1" t="s">
        <v>74</v>
      </c>
      <c r="BO965" s="1" t="s">
        <v>74</v>
      </c>
      <c r="BP965" s="1" t="s">
        <v>74</v>
      </c>
      <c r="BQ965" s="1" t="s">
        <v>74</v>
      </c>
      <c r="BR965" s="1" t="s">
        <v>74</v>
      </c>
      <c r="BS965" s="1" t="s">
        <v>9584</v>
      </c>
      <c r="BT965" s="1" t="str">
        <f>HYPERLINK("https%3A%2F%2Fwww.webofscience.com%2Fwos%2Fwoscc%2Ffull-record%2FWOS:000332525000035","View Full Record in Web of Science")</f>
        <v>View Full Record in Web of Science</v>
      </c>
    </row>
    <row r="966" ht="12.75" customHeight="1">
      <c r="A966" s="1" t="s">
        <v>72</v>
      </c>
      <c r="B966" s="1" t="s">
        <v>9585</v>
      </c>
      <c r="C966" s="1" t="s">
        <v>74</v>
      </c>
      <c r="D966" s="1" t="s">
        <v>74</v>
      </c>
      <c r="E966" s="1" t="s">
        <v>74</v>
      </c>
      <c r="F966" s="1" t="s">
        <v>9586</v>
      </c>
      <c r="G966" s="1" t="s">
        <v>74</v>
      </c>
      <c r="H966" s="1" t="s">
        <v>74</v>
      </c>
      <c r="I966" s="1" t="s">
        <v>9587</v>
      </c>
      <c r="J966" s="1" t="s">
        <v>9588</v>
      </c>
      <c r="K966" s="1" t="s">
        <v>74</v>
      </c>
      <c r="L966" s="1" t="s">
        <v>74</v>
      </c>
      <c r="M966" s="1" t="s">
        <v>74</v>
      </c>
      <c r="N966" s="1" t="s">
        <v>74</v>
      </c>
      <c r="O966" s="1" t="s">
        <v>74</v>
      </c>
      <c r="P966" s="1" t="s">
        <v>74</v>
      </c>
      <c r="Q966" s="1" t="s">
        <v>74</v>
      </c>
      <c r="R966" s="1" t="s">
        <v>74</v>
      </c>
      <c r="S966" s="1" t="s">
        <v>74</v>
      </c>
      <c r="T966" s="1" t="s">
        <v>74</v>
      </c>
      <c r="U966" s="1" t="s">
        <v>74</v>
      </c>
      <c r="V966" s="1" t="s">
        <v>9589</v>
      </c>
      <c r="W966" s="1" t="s">
        <v>74</v>
      </c>
      <c r="X966" s="1" t="s">
        <v>74</v>
      </c>
      <c r="Y966" s="1" t="s">
        <v>74</v>
      </c>
      <c r="Z966" s="1" t="s">
        <v>74</v>
      </c>
      <c r="AA966" s="1" t="s">
        <v>7827</v>
      </c>
      <c r="AB966" s="1" t="s">
        <v>1599</v>
      </c>
      <c r="AC966" s="1" t="s">
        <v>74</v>
      </c>
      <c r="AD966" s="1" t="s">
        <v>74</v>
      </c>
      <c r="AE966" s="1" t="s">
        <v>74</v>
      </c>
      <c r="AF966" s="1" t="s">
        <v>74</v>
      </c>
      <c r="AG966" s="1" t="s">
        <v>74</v>
      </c>
      <c r="AH966" s="1" t="s">
        <v>74</v>
      </c>
      <c r="AI966" s="1" t="s">
        <v>74</v>
      </c>
      <c r="AJ966" s="1" t="s">
        <v>74</v>
      </c>
      <c r="AK966" s="1" t="s">
        <v>74</v>
      </c>
      <c r="AL966" s="1" t="s">
        <v>74</v>
      </c>
      <c r="AM966" s="1" t="s">
        <v>74</v>
      </c>
      <c r="AN966" s="1" t="s">
        <v>74</v>
      </c>
      <c r="AO966" s="1" t="s">
        <v>9590</v>
      </c>
      <c r="AP966" s="1" t="s">
        <v>9591</v>
      </c>
      <c r="AQ966" s="1" t="s">
        <v>74</v>
      </c>
      <c r="AR966" s="1" t="s">
        <v>74</v>
      </c>
      <c r="AS966" s="1" t="s">
        <v>74</v>
      </c>
      <c r="AT966" s="1" t="s">
        <v>307</v>
      </c>
      <c r="AU966" s="1">
        <v>2013.0</v>
      </c>
      <c r="AV966" s="1">
        <v>32.0</v>
      </c>
      <c r="AW966" s="1">
        <v>2.0</v>
      </c>
      <c r="AX966" s="1" t="s">
        <v>74</v>
      </c>
      <c r="AY966" s="1" t="s">
        <v>74</v>
      </c>
      <c r="AZ966" s="1" t="s">
        <v>74</v>
      </c>
      <c r="BA966" s="1" t="s">
        <v>74</v>
      </c>
      <c r="BB966" s="1">
        <v>116.0</v>
      </c>
      <c r="BC966" s="1">
        <v>125.0</v>
      </c>
      <c r="BD966" s="1" t="s">
        <v>74</v>
      </c>
      <c r="BE966" s="1" t="s">
        <v>9592</v>
      </c>
      <c r="BF966" s="2" t="str">
        <f>HYPERLINK("http://dx.doi.org/10.1016/j.jfca.2013.09.007","http://dx.doi.org/10.1016/j.jfca.2013.09.007")</f>
        <v>http://dx.doi.org/10.1016/j.jfca.2013.09.007</v>
      </c>
      <c r="BG966" s="1" t="s">
        <v>74</v>
      </c>
      <c r="BH966" s="1" t="s">
        <v>74</v>
      </c>
      <c r="BI966" s="1" t="s">
        <v>74</v>
      </c>
      <c r="BJ966" s="1" t="s">
        <v>74</v>
      </c>
      <c r="BK966" s="1" t="s">
        <v>74</v>
      </c>
      <c r="BL966" s="1" t="s">
        <v>74</v>
      </c>
      <c r="BM966" s="1" t="s">
        <v>74</v>
      </c>
      <c r="BN966" s="1" t="s">
        <v>74</v>
      </c>
      <c r="BO966" s="1" t="s">
        <v>74</v>
      </c>
      <c r="BP966" s="1" t="s">
        <v>74</v>
      </c>
      <c r="BQ966" s="1" t="s">
        <v>74</v>
      </c>
      <c r="BR966" s="1" t="s">
        <v>74</v>
      </c>
      <c r="BS966" s="1" t="s">
        <v>9593</v>
      </c>
      <c r="BT966" s="1" t="str">
        <f>HYPERLINK("https%3A%2F%2Fwww.webofscience.com%2Fwos%2Fwoscc%2Ffull-record%2FWOS:000328594300002","View Full Record in Web of Science")</f>
        <v>View Full Record in Web of Science</v>
      </c>
    </row>
    <row r="967" ht="12.75" customHeight="1">
      <c r="A967" s="1" t="s">
        <v>72</v>
      </c>
      <c r="B967" s="1" t="s">
        <v>9594</v>
      </c>
      <c r="C967" s="1" t="s">
        <v>74</v>
      </c>
      <c r="D967" s="1" t="s">
        <v>74</v>
      </c>
      <c r="E967" s="1" t="s">
        <v>74</v>
      </c>
      <c r="F967" s="1" t="s">
        <v>9595</v>
      </c>
      <c r="G967" s="1" t="s">
        <v>74</v>
      </c>
      <c r="H967" s="1" t="s">
        <v>74</v>
      </c>
      <c r="I967" s="1" t="s">
        <v>9596</v>
      </c>
      <c r="J967" s="1" t="s">
        <v>7099</v>
      </c>
      <c r="K967" s="1" t="s">
        <v>74</v>
      </c>
      <c r="L967" s="1" t="s">
        <v>74</v>
      </c>
      <c r="M967" s="1" t="s">
        <v>74</v>
      </c>
      <c r="N967" s="1" t="s">
        <v>74</v>
      </c>
      <c r="O967" s="1" t="s">
        <v>74</v>
      </c>
      <c r="P967" s="1" t="s">
        <v>74</v>
      </c>
      <c r="Q967" s="1" t="s">
        <v>74</v>
      </c>
      <c r="R967" s="1" t="s">
        <v>74</v>
      </c>
      <c r="S967" s="1" t="s">
        <v>74</v>
      </c>
      <c r="T967" s="1" t="s">
        <v>74</v>
      </c>
      <c r="U967" s="1" t="s">
        <v>74</v>
      </c>
      <c r="V967" s="1" t="s">
        <v>9597</v>
      </c>
      <c r="W967" s="1" t="s">
        <v>74</v>
      </c>
      <c r="X967" s="1" t="s">
        <v>74</v>
      </c>
      <c r="Y967" s="1" t="s">
        <v>74</v>
      </c>
      <c r="Z967" s="1" t="s">
        <v>74</v>
      </c>
      <c r="AA967" s="1" t="s">
        <v>9598</v>
      </c>
      <c r="AB967" s="1" t="s">
        <v>9599</v>
      </c>
      <c r="AC967" s="1" t="s">
        <v>74</v>
      </c>
      <c r="AD967" s="1" t="s">
        <v>74</v>
      </c>
      <c r="AE967" s="1" t="s">
        <v>74</v>
      </c>
      <c r="AF967" s="1" t="s">
        <v>74</v>
      </c>
      <c r="AG967" s="1" t="s">
        <v>74</v>
      </c>
      <c r="AH967" s="1" t="s">
        <v>74</v>
      </c>
      <c r="AI967" s="1" t="s">
        <v>74</v>
      </c>
      <c r="AJ967" s="1" t="s">
        <v>74</v>
      </c>
      <c r="AK967" s="1" t="s">
        <v>74</v>
      </c>
      <c r="AL967" s="1" t="s">
        <v>74</v>
      </c>
      <c r="AM967" s="1" t="s">
        <v>74</v>
      </c>
      <c r="AN967" s="1" t="s">
        <v>74</v>
      </c>
      <c r="AO967" s="1" t="s">
        <v>7103</v>
      </c>
      <c r="AP967" s="1" t="s">
        <v>8392</v>
      </c>
      <c r="AQ967" s="1" t="s">
        <v>74</v>
      </c>
      <c r="AR967" s="1" t="s">
        <v>74</v>
      </c>
      <c r="AS967" s="1" t="s">
        <v>74</v>
      </c>
      <c r="AT967" s="1" t="s">
        <v>7668</v>
      </c>
      <c r="AU967" s="1">
        <v>2012.0</v>
      </c>
      <c r="AV967" s="1">
        <v>116.0</v>
      </c>
      <c r="AW967" s="1">
        <v>29.0</v>
      </c>
      <c r="AX967" s="1" t="s">
        <v>74</v>
      </c>
      <c r="AY967" s="1" t="s">
        <v>74</v>
      </c>
      <c r="AZ967" s="1" t="s">
        <v>74</v>
      </c>
      <c r="BA967" s="1" t="s">
        <v>74</v>
      </c>
      <c r="BB967" s="1">
        <v>15329.0</v>
      </c>
      <c r="BC967" s="1">
        <v>15341.0</v>
      </c>
      <c r="BD967" s="1" t="s">
        <v>74</v>
      </c>
      <c r="BE967" s="1" t="s">
        <v>9600</v>
      </c>
      <c r="BF967" s="2" t="str">
        <f>HYPERLINK("http://dx.doi.org/10.1021/jp301093q","http://dx.doi.org/10.1021/jp301093q")</f>
        <v>http://dx.doi.org/10.1021/jp301093q</v>
      </c>
      <c r="BG967" s="1" t="s">
        <v>74</v>
      </c>
      <c r="BH967" s="1" t="s">
        <v>74</v>
      </c>
      <c r="BI967" s="1" t="s">
        <v>74</v>
      </c>
      <c r="BJ967" s="1" t="s">
        <v>74</v>
      </c>
      <c r="BK967" s="1" t="s">
        <v>74</v>
      </c>
      <c r="BL967" s="1" t="s">
        <v>74</v>
      </c>
      <c r="BM967" s="1" t="s">
        <v>74</v>
      </c>
      <c r="BN967" s="1" t="s">
        <v>74</v>
      </c>
      <c r="BO967" s="1" t="s">
        <v>74</v>
      </c>
      <c r="BP967" s="1" t="s">
        <v>74</v>
      </c>
      <c r="BQ967" s="1" t="s">
        <v>74</v>
      </c>
      <c r="BR967" s="1" t="s">
        <v>74</v>
      </c>
      <c r="BS967" s="1" t="s">
        <v>9601</v>
      </c>
      <c r="BT967" s="1" t="str">
        <f>HYPERLINK("https%3A%2F%2Fwww.webofscience.com%2Fwos%2Fwoscc%2Ffull-record%2FWOS:000306725200017","View Full Record in Web of Science")</f>
        <v>View Full Record in Web of Science</v>
      </c>
    </row>
    <row r="968" ht="12.75" customHeight="1">
      <c r="A968" s="1" t="s">
        <v>72</v>
      </c>
      <c r="B968" s="1" t="s">
        <v>9602</v>
      </c>
      <c r="C968" s="1" t="s">
        <v>74</v>
      </c>
      <c r="D968" s="1" t="s">
        <v>74</v>
      </c>
      <c r="E968" s="1" t="s">
        <v>74</v>
      </c>
      <c r="F968" s="1" t="s">
        <v>9603</v>
      </c>
      <c r="G968" s="1" t="s">
        <v>74</v>
      </c>
      <c r="H968" s="1" t="s">
        <v>74</v>
      </c>
      <c r="I968" s="1" t="s">
        <v>9604</v>
      </c>
      <c r="J968" s="1" t="s">
        <v>148</v>
      </c>
      <c r="K968" s="1" t="s">
        <v>74</v>
      </c>
      <c r="L968" s="1" t="s">
        <v>74</v>
      </c>
      <c r="M968" s="1" t="s">
        <v>74</v>
      </c>
      <c r="N968" s="1" t="s">
        <v>74</v>
      </c>
      <c r="O968" s="1" t="s">
        <v>74</v>
      </c>
      <c r="P968" s="1" t="s">
        <v>74</v>
      </c>
      <c r="Q968" s="1" t="s">
        <v>74</v>
      </c>
      <c r="R968" s="1" t="s">
        <v>74</v>
      </c>
      <c r="S968" s="1" t="s">
        <v>74</v>
      </c>
      <c r="T968" s="1" t="s">
        <v>74</v>
      </c>
      <c r="U968" s="1" t="s">
        <v>74</v>
      </c>
      <c r="V968" s="1" t="s">
        <v>9605</v>
      </c>
      <c r="W968" s="1" t="s">
        <v>74</v>
      </c>
      <c r="X968" s="1" t="s">
        <v>74</v>
      </c>
      <c r="Y968" s="1" t="s">
        <v>74</v>
      </c>
      <c r="Z968" s="1" t="s">
        <v>74</v>
      </c>
      <c r="AA968" s="1" t="s">
        <v>9606</v>
      </c>
      <c r="AB968" s="1" t="s">
        <v>9607</v>
      </c>
      <c r="AC968" s="1" t="s">
        <v>74</v>
      </c>
      <c r="AD968" s="1" t="s">
        <v>74</v>
      </c>
      <c r="AE968" s="1" t="s">
        <v>74</v>
      </c>
      <c r="AF968" s="1" t="s">
        <v>74</v>
      </c>
      <c r="AG968" s="1" t="s">
        <v>74</v>
      </c>
      <c r="AH968" s="1" t="s">
        <v>74</v>
      </c>
      <c r="AI968" s="1" t="s">
        <v>74</v>
      </c>
      <c r="AJ968" s="1" t="s">
        <v>74</v>
      </c>
      <c r="AK968" s="1" t="s">
        <v>74</v>
      </c>
      <c r="AL968" s="1" t="s">
        <v>74</v>
      </c>
      <c r="AM968" s="1" t="s">
        <v>74</v>
      </c>
      <c r="AN968" s="1" t="s">
        <v>74</v>
      </c>
      <c r="AO968" s="1" t="s">
        <v>151</v>
      </c>
      <c r="AP968" s="1" t="s">
        <v>152</v>
      </c>
      <c r="AQ968" s="1" t="s">
        <v>74</v>
      </c>
      <c r="AR968" s="1" t="s">
        <v>74</v>
      </c>
      <c r="AS968" s="1" t="s">
        <v>74</v>
      </c>
      <c r="AT968" s="1" t="s">
        <v>3926</v>
      </c>
      <c r="AU968" s="1">
        <v>2011.0</v>
      </c>
      <c r="AV968" s="1">
        <v>419.0</v>
      </c>
      <c r="AW968" s="1">
        <v>2.0</v>
      </c>
      <c r="AX968" s="1" t="s">
        <v>74</v>
      </c>
      <c r="AY968" s="1" t="s">
        <v>74</v>
      </c>
      <c r="AZ968" s="1" t="s">
        <v>74</v>
      </c>
      <c r="BA968" s="1" t="s">
        <v>74</v>
      </c>
      <c r="BB968" s="1">
        <v>284.0</v>
      </c>
      <c r="BC968" s="1">
        <v>291.0</v>
      </c>
      <c r="BD968" s="1" t="s">
        <v>74</v>
      </c>
      <c r="BE968" s="1" t="s">
        <v>9608</v>
      </c>
      <c r="BF968" s="2" t="str">
        <f>HYPERLINK("http://dx.doi.org/10.1016/j.ab.2011.08.048","http://dx.doi.org/10.1016/j.ab.2011.08.048")</f>
        <v>http://dx.doi.org/10.1016/j.ab.2011.08.048</v>
      </c>
      <c r="BG968" s="1" t="s">
        <v>74</v>
      </c>
      <c r="BH968" s="1" t="s">
        <v>74</v>
      </c>
      <c r="BI968" s="1" t="s">
        <v>74</v>
      </c>
      <c r="BJ968" s="1" t="s">
        <v>74</v>
      </c>
      <c r="BK968" s="1" t="s">
        <v>74</v>
      </c>
      <c r="BL968" s="1" t="s">
        <v>74</v>
      </c>
      <c r="BM968" s="1" t="s">
        <v>74</v>
      </c>
      <c r="BN968" s="1">
        <v>2.1945352E7</v>
      </c>
      <c r="BO968" s="1" t="s">
        <v>74</v>
      </c>
      <c r="BP968" s="1" t="s">
        <v>74</v>
      </c>
      <c r="BQ968" s="1" t="s">
        <v>74</v>
      </c>
      <c r="BR968" s="1" t="s">
        <v>74</v>
      </c>
      <c r="BS968" s="1" t="s">
        <v>9609</v>
      </c>
      <c r="BT968" s="1" t="str">
        <f>HYPERLINK("https%3A%2F%2Fwww.webofscience.com%2Fwos%2Fwoscc%2Ffull-record%2FWOS:000296119400031","View Full Record in Web of Science")</f>
        <v>View Full Record in Web of Science</v>
      </c>
    </row>
    <row r="969" ht="12.75" customHeight="1">
      <c r="A969" s="1" t="s">
        <v>72</v>
      </c>
      <c r="B969" s="1" t="s">
        <v>9610</v>
      </c>
      <c r="C969" s="1" t="s">
        <v>74</v>
      </c>
      <c r="D969" s="1" t="s">
        <v>74</v>
      </c>
      <c r="E969" s="1" t="s">
        <v>74</v>
      </c>
      <c r="F969" s="1" t="s">
        <v>9611</v>
      </c>
      <c r="G969" s="1" t="s">
        <v>74</v>
      </c>
      <c r="H969" s="1" t="s">
        <v>74</v>
      </c>
      <c r="I969" s="1" t="s">
        <v>9612</v>
      </c>
      <c r="J969" s="1" t="s">
        <v>354</v>
      </c>
      <c r="K969" s="1" t="s">
        <v>74</v>
      </c>
      <c r="L969" s="1" t="s">
        <v>74</v>
      </c>
      <c r="M969" s="1" t="s">
        <v>74</v>
      </c>
      <c r="N969" s="1" t="s">
        <v>74</v>
      </c>
      <c r="O969" s="1" t="s">
        <v>74</v>
      </c>
      <c r="P969" s="1" t="s">
        <v>74</v>
      </c>
      <c r="Q969" s="1" t="s">
        <v>74</v>
      </c>
      <c r="R969" s="1" t="s">
        <v>74</v>
      </c>
      <c r="S969" s="1" t="s">
        <v>74</v>
      </c>
      <c r="T969" s="1" t="s">
        <v>74</v>
      </c>
      <c r="U969" s="1" t="s">
        <v>74</v>
      </c>
      <c r="V969" s="1" t="s">
        <v>9613</v>
      </c>
      <c r="W969" s="1" t="s">
        <v>74</v>
      </c>
      <c r="X969" s="1" t="s">
        <v>74</v>
      </c>
      <c r="Y969" s="1" t="s">
        <v>74</v>
      </c>
      <c r="Z969" s="1" t="s">
        <v>74</v>
      </c>
      <c r="AA969" s="1" t="s">
        <v>9614</v>
      </c>
      <c r="AB969" s="1" t="s">
        <v>9615</v>
      </c>
      <c r="AC969" s="1" t="s">
        <v>74</v>
      </c>
      <c r="AD969" s="1" t="s">
        <v>74</v>
      </c>
      <c r="AE969" s="1" t="s">
        <v>74</v>
      </c>
      <c r="AF969" s="1" t="s">
        <v>74</v>
      </c>
      <c r="AG969" s="1" t="s">
        <v>74</v>
      </c>
      <c r="AH969" s="1" t="s">
        <v>74</v>
      </c>
      <c r="AI969" s="1" t="s">
        <v>74</v>
      </c>
      <c r="AJ969" s="1" t="s">
        <v>74</v>
      </c>
      <c r="AK969" s="1" t="s">
        <v>74</v>
      </c>
      <c r="AL969" s="1" t="s">
        <v>74</v>
      </c>
      <c r="AM969" s="1" t="s">
        <v>74</v>
      </c>
      <c r="AN969" s="1" t="s">
        <v>74</v>
      </c>
      <c r="AO969" s="1" t="s">
        <v>358</v>
      </c>
      <c r="AP969" s="1" t="s">
        <v>359</v>
      </c>
      <c r="AQ969" s="1" t="s">
        <v>74</v>
      </c>
      <c r="AR969" s="1" t="s">
        <v>74</v>
      </c>
      <c r="AS969" s="1" t="s">
        <v>74</v>
      </c>
      <c r="AT969" s="1" t="s">
        <v>3308</v>
      </c>
      <c r="AU969" s="1">
        <v>2011.0</v>
      </c>
      <c r="AV969" s="1">
        <v>56.0</v>
      </c>
      <c r="AW969" s="1">
        <v>24.0</v>
      </c>
      <c r="AX969" s="1" t="s">
        <v>74</v>
      </c>
      <c r="AY969" s="1" t="s">
        <v>74</v>
      </c>
      <c r="AZ969" s="1" t="s">
        <v>74</v>
      </c>
      <c r="BA969" s="1" t="s">
        <v>74</v>
      </c>
      <c r="BB969" s="1">
        <v>8484.0</v>
      </c>
      <c r="BC969" s="1">
        <v>8491.0</v>
      </c>
      <c r="BD969" s="1" t="s">
        <v>74</v>
      </c>
      <c r="BE969" s="1" t="s">
        <v>9616</v>
      </c>
      <c r="BF969" s="2" t="str">
        <f>HYPERLINK("http://dx.doi.org/10.1016/j.electacta.2011.07.057","http://dx.doi.org/10.1016/j.electacta.2011.07.057")</f>
        <v>http://dx.doi.org/10.1016/j.electacta.2011.07.057</v>
      </c>
      <c r="BG969" s="1" t="s">
        <v>74</v>
      </c>
      <c r="BH969" s="1" t="s">
        <v>74</v>
      </c>
      <c r="BI969" s="1" t="s">
        <v>74</v>
      </c>
      <c r="BJ969" s="1" t="s">
        <v>74</v>
      </c>
      <c r="BK969" s="1" t="s">
        <v>74</v>
      </c>
      <c r="BL969" s="1" t="s">
        <v>74</v>
      </c>
      <c r="BM969" s="1" t="s">
        <v>74</v>
      </c>
      <c r="BN969" s="1" t="s">
        <v>74</v>
      </c>
      <c r="BO969" s="1" t="s">
        <v>74</v>
      </c>
      <c r="BP969" s="1" t="s">
        <v>74</v>
      </c>
      <c r="BQ969" s="1" t="s">
        <v>74</v>
      </c>
      <c r="BR969" s="1" t="s">
        <v>74</v>
      </c>
      <c r="BS969" s="1" t="s">
        <v>9617</v>
      </c>
      <c r="BT969" s="1" t="str">
        <f>HYPERLINK("https%3A%2F%2Fwww.webofscience.com%2Fwos%2Fwoscc%2Ffull-record%2FWOS:000295601600052","View Full Record in Web of Science")</f>
        <v>View Full Record in Web of Science</v>
      </c>
    </row>
    <row r="970" ht="12.75" customHeight="1">
      <c r="A970" s="1" t="s">
        <v>72</v>
      </c>
      <c r="B970" s="1" t="s">
        <v>9618</v>
      </c>
      <c r="C970" s="1" t="s">
        <v>74</v>
      </c>
      <c r="D970" s="1" t="s">
        <v>74</v>
      </c>
      <c r="E970" s="1" t="s">
        <v>74</v>
      </c>
      <c r="F970" s="1" t="s">
        <v>9619</v>
      </c>
      <c r="G970" s="1" t="s">
        <v>74</v>
      </c>
      <c r="H970" s="1" t="s">
        <v>74</v>
      </c>
      <c r="I970" s="1" t="s">
        <v>9620</v>
      </c>
      <c r="J970" s="1" t="s">
        <v>9621</v>
      </c>
      <c r="K970" s="1" t="s">
        <v>74</v>
      </c>
      <c r="L970" s="1" t="s">
        <v>74</v>
      </c>
      <c r="M970" s="1" t="s">
        <v>74</v>
      </c>
      <c r="N970" s="1" t="s">
        <v>74</v>
      </c>
      <c r="O970" s="1" t="s">
        <v>74</v>
      </c>
      <c r="P970" s="1" t="s">
        <v>74</v>
      </c>
      <c r="Q970" s="1" t="s">
        <v>74</v>
      </c>
      <c r="R970" s="1" t="s">
        <v>74</v>
      </c>
      <c r="S970" s="1" t="s">
        <v>74</v>
      </c>
      <c r="T970" s="1" t="s">
        <v>74</v>
      </c>
      <c r="U970" s="1" t="s">
        <v>74</v>
      </c>
      <c r="V970" s="1" t="s">
        <v>9622</v>
      </c>
      <c r="W970" s="1" t="s">
        <v>74</v>
      </c>
      <c r="X970" s="1" t="s">
        <v>74</v>
      </c>
      <c r="Y970" s="1" t="s">
        <v>74</v>
      </c>
      <c r="Z970" s="1" t="s">
        <v>74</v>
      </c>
      <c r="AA970" s="1" t="s">
        <v>9623</v>
      </c>
      <c r="AB970" s="1" t="s">
        <v>74</v>
      </c>
      <c r="AC970" s="1" t="s">
        <v>74</v>
      </c>
      <c r="AD970" s="1" t="s">
        <v>74</v>
      </c>
      <c r="AE970" s="1" t="s">
        <v>74</v>
      </c>
      <c r="AF970" s="1" t="s">
        <v>74</v>
      </c>
      <c r="AG970" s="1" t="s">
        <v>74</v>
      </c>
      <c r="AH970" s="1" t="s">
        <v>74</v>
      </c>
      <c r="AI970" s="1" t="s">
        <v>74</v>
      </c>
      <c r="AJ970" s="1" t="s">
        <v>74</v>
      </c>
      <c r="AK970" s="1" t="s">
        <v>74</v>
      </c>
      <c r="AL970" s="1" t="s">
        <v>74</v>
      </c>
      <c r="AM970" s="1" t="s">
        <v>74</v>
      </c>
      <c r="AN970" s="1" t="s">
        <v>74</v>
      </c>
      <c r="AO970" s="1" t="s">
        <v>9624</v>
      </c>
      <c r="AP970" s="1" t="s">
        <v>9625</v>
      </c>
      <c r="AQ970" s="1" t="s">
        <v>74</v>
      </c>
      <c r="AR970" s="1" t="s">
        <v>74</v>
      </c>
      <c r="AS970" s="1" t="s">
        <v>74</v>
      </c>
      <c r="AT970" s="1" t="s">
        <v>74</v>
      </c>
      <c r="AU970" s="1">
        <v>2010.0</v>
      </c>
      <c r="AV970" s="1">
        <v>13.0</v>
      </c>
      <c r="AW970" s="1">
        <v>2.0</v>
      </c>
      <c r="AX970" s="1" t="s">
        <v>74</v>
      </c>
      <c r="AY970" s="1" t="s">
        <v>74</v>
      </c>
      <c r="AZ970" s="1" t="s">
        <v>74</v>
      </c>
      <c r="BA970" s="1" t="s">
        <v>74</v>
      </c>
      <c r="BB970" s="1">
        <v>40.0</v>
      </c>
      <c r="BC970" s="1">
        <v>52.0</v>
      </c>
      <c r="BD970" s="1" t="s">
        <v>74</v>
      </c>
      <c r="BE970" s="1" t="s">
        <v>74</v>
      </c>
      <c r="BF970" s="1" t="s">
        <v>74</v>
      </c>
      <c r="BG970" s="1" t="s">
        <v>74</v>
      </c>
      <c r="BH970" s="1" t="s">
        <v>74</v>
      </c>
      <c r="BI970" s="1" t="s">
        <v>74</v>
      </c>
      <c r="BJ970" s="1" t="s">
        <v>74</v>
      </c>
      <c r="BK970" s="1" t="s">
        <v>74</v>
      </c>
      <c r="BL970" s="1" t="s">
        <v>74</v>
      </c>
      <c r="BM970" s="1" t="s">
        <v>74</v>
      </c>
      <c r="BN970" s="1" t="s">
        <v>74</v>
      </c>
      <c r="BO970" s="1" t="s">
        <v>74</v>
      </c>
      <c r="BP970" s="1" t="s">
        <v>74</v>
      </c>
      <c r="BQ970" s="1" t="s">
        <v>74</v>
      </c>
      <c r="BR970" s="1" t="s">
        <v>74</v>
      </c>
      <c r="BS970" s="1" t="s">
        <v>9626</v>
      </c>
      <c r="BT970" s="1" t="str">
        <f>HYPERLINK("https%3A%2F%2Fwww.webofscience.com%2Fwos%2Fwoscc%2Ffull-record%2FWOS:000280549000004","View Full Record in Web of Science")</f>
        <v>View Full Record in Web of Science</v>
      </c>
    </row>
    <row r="971" ht="12.75" customHeight="1">
      <c r="A971" s="1" t="s">
        <v>72</v>
      </c>
      <c r="B971" s="1" t="s">
        <v>9627</v>
      </c>
      <c r="C971" s="1" t="s">
        <v>74</v>
      </c>
      <c r="D971" s="1" t="s">
        <v>74</v>
      </c>
      <c r="E971" s="1" t="s">
        <v>74</v>
      </c>
      <c r="F971" s="1" t="s">
        <v>9628</v>
      </c>
      <c r="G971" s="1" t="s">
        <v>74</v>
      </c>
      <c r="H971" s="1" t="s">
        <v>74</v>
      </c>
      <c r="I971" s="1" t="s">
        <v>9629</v>
      </c>
      <c r="J971" s="1" t="s">
        <v>9630</v>
      </c>
      <c r="K971" s="1" t="s">
        <v>74</v>
      </c>
      <c r="L971" s="1" t="s">
        <v>74</v>
      </c>
      <c r="M971" s="1" t="s">
        <v>74</v>
      </c>
      <c r="N971" s="1" t="s">
        <v>74</v>
      </c>
      <c r="O971" s="1" t="s">
        <v>74</v>
      </c>
      <c r="P971" s="1" t="s">
        <v>74</v>
      </c>
      <c r="Q971" s="1" t="s">
        <v>74</v>
      </c>
      <c r="R971" s="1" t="s">
        <v>74</v>
      </c>
      <c r="S971" s="1" t="s">
        <v>74</v>
      </c>
      <c r="T971" s="1" t="s">
        <v>74</v>
      </c>
      <c r="U971" s="1" t="s">
        <v>74</v>
      </c>
      <c r="V971" s="1" t="s">
        <v>9631</v>
      </c>
      <c r="W971" s="1" t="s">
        <v>74</v>
      </c>
      <c r="X971" s="1" t="s">
        <v>74</v>
      </c>
      <c r="Y971" s="1" t="s">
        <v>74</v>
      </c>
      <c r="Z971" s="1" t="s">
        <v>74</v>
      </c>
      <c r="AA971" s="1" t="s">
        <v>74</v>
      </c>
      <c r="AB971" s="1" t="s">
        <v>9632</v>
      </c>
      <c r="AC971" s="1" t="s">
        <v>74</v>
      </c>
      <c r="AD971" s="1" t="s">
        <v>74</v>
      </c>
      <c r="AE971" s="1" t="s">
        <v>74</v>
      </c>
      <c r="AF971" s="1" t="s">
        <v>74</v>
      </c>
      <c r="AG971" s="1" t="s">
        <v>74</v>
      </c>
      <c r="AH971" s="1" t="s">
        <v>74</v>
      </c>
      <c r="AI971" s="1" t="s">
        <v>74</v>
      </c>
      <c r="AJ971" s="1" t="s">
        <v>74</v>
      </c>
      <c r="AK971" s="1" t="s">
        <v>74</v>
      </c>
      <c r="AL971" s="1" t="s">
        <v>74</v>
      </c>
      <c r="AM971" s="1" t="s">
        <v>74</v>
      </c>
      <c r="AN971" s="1" t="s">
        <v>74</v>
      </c>
      <c r="AO971" s="1" t="s">
        <v>9633</v>
      </c>
      <c r="AP971" s="1" t="s">
        <v>9634</v>
      </c>
      <c r="AQ971" s="1" t="s">
        <v>74</v>
      </c>
      <c r="AR971" s="1" t="s">
        <v>74</v>
      </c>
      <c r="AS971" s="1" t="s">
        <v>74</v>
      </c>
      <c r="AT971" s="1" t="s">
        <v>728</v>
      </c>
      <c r="AU971" s="1">
        <v>2009.0</v>
      </c>
      <c r="AV971" s="1">
        <v>694.0</v>
      </c>
      <c r="AW971" s="1">
        <v>23.0</v>
      </c>
      <c r="AX971" s="1" t="s">
        <v>74</v>
      </c>
      <c r="AY971" s="1" t="s">
        <v>74</v>
      </c>
      <c r="AZ971" s="1" t="s">
        <v>74</v>
      </c>
      <c r="BA971" s="1" t="s">
        <v>74</v>
      </c>
      <c r="BB971" s="1">
        <v>3749.0</v>
      </c>
      <c r="BC971" s="1">
        <v>3752.0</v>
      </c>
      <c r="BD971" s="1" t="s">
        <v>74</v>
      </c>
      <c r="BE971" s="1" t="s">
        <v>9635</v>
      </c>
      <c r="BF971" s="2" t="str">
        <f>HYPERLINK("http://dx.doi.org/10.1016/j.jorganchem.2009.07.035","http://dx.doi.org/10.1016/j.jorganchem.2009.07.035")</f>
        <v>http://dx.doi.org/10.1016/j.jorganchem.2009.07.035</v>
      </c>
      <c r="BG971" s="1" t="s">
        <v>74</v>
      </c>
      <c r="BH971" s="1" t="s">
        <v>74</v>
      </c>
      <c r="BI971" s="1" t="s">
        <v>74</v>
      </c>
      <c r="BJ971" s="1" t="s">
        <v>74</v>
      </c>
      <c r="BK971" s="1" t="s">
        <v>74</v>
      </c>
      <c r="BL971" s="1" t="s">
        <v>74</v>
      </c>
      <c r="BM971" s="1" t="s">
        <v>74</v>
      </c>
      <c r="BN971" s="1" t="s">
        <v>74</v>
      </c>
      <c r="BO971" s="1" t="s">
        <v>74</v>
      </c>
      <c r="BP971" s="1" t="s">
        <v>74</v>
      </c>
      <c r="BQ971" s="1" t="s">
        <v>74</v>
      </c>
      <c r="BR971" s="1" t="s">
        <v>74</v>
      </c>
      <c r="BS971" s="1" t="s">
        <v>9636</v>
      </c>
      <c r="BT971" s="1" t="str">
        <f>HYPERLINK("https%3A%2F%2Fwww.webofscience.com%2Fwos%2Fwoscc%2Ffull-record%2FWOS:000270369400010","View Full Record in Web of Science")</f>
        <v>View Full Record in Web of Science</v>
      </c>
    </row>
    <row r="972" ht="12.75" customHeight="1">
      <c r="A972" s="1" t="s">
        <v>72</v>
      </c>
      <c r="B972" s="1" t="s">
        <v>9637</v>
      </c>
      <c r="C972" s="1" t="s">
        <v>74</v>
      </c>
      <c r="D972" s="1" t="s">
        <v>74</v>
      </c>
      <c r="E972" s="1" t="s">
        <v>74</v>
      </c>
      <c r="F972" s="1" t="s">
        <v>9638</v>
      </c>
      <c r="G972" s="1" t="s">
        <v>74</v>
      </c>
      <c r="H972" s="1" t="s">
        <v>74</v>
      </c>
      <c r="I972" s="1" t="s">
        <v>9639</v>
      </c>
      <c r="J972" s="1" t="s">
        <v>9640</v>
      </c>
      <c r="K972" s="1" t="s">
        <v>74</v>
      </c>
      <c r="L972" s="1" t="s">
        <v>74</v>
      </c>
      <c r="M972" s="1" t="s">
        <v>74</v>
      </c>
      <c r="N972" s="1" t="s">
        <v>74</v>
      </c>
      <c r="O972" s="1" t="s">
        <v>74</v>
      </c>
      <c r="P972" s="1" t="s">
        <v>74</v>
      </c>
      <c r="Q972" s="1" t="s">
        <v>74</v>
      </c>
      <c r="R972" s="1" t="s">
        <v>74</v>
      </c>
      <c r="S972" s="1" t="s">
        <v>74</v>
      </c>
      <c r="T972" s="1" t="s">
        <v>74</v>
      </c>
      <c r="U972" s="1" t="s">
        <v>74</v>
      </c>
      <c r="V972" s="1" t="s">
        <v>9641</v>
      </c>
      <c r="W972" s="1" t="s">
        <v>74</v>
      </c>
      <c r="X972" s="1" t="s">
        <v>74</v>
      </c>
      <c r="Y972" s="1" t="s">
        <v>74</v>
      </c>
      <c r="Z972" s="1" t="s">
        <v>74</v>
      </c>
      <c r="AA972" s="1" t="s">
        <v>9642</v>
      </c>
      <c r="AB972" s="1" t="s">
        <v>9643</v>
      </c>
      <c r="AC972" s="1" t="s">
        <v>74</v>
      </c>
      <c r="AD972" s="1" t="s">
        <v>74</v>
      </c>
      <c r="AE972" s="1" t="s">
        <v>74</v>
      </c>
      <c r="AF972" s="1" t="s">
        <v>74</v>
      </c>
      <c r="AG972" s="1" t="s">
        <v>74</v>
      </c>
      <c r="AH972" s="1" t="s">
        <v>74</v>
      </c>
      <c r="AI972" s="1" t="s">
        <v>74</v>
      </c>
      <c r="AJ972" s="1" t="s">
        <v>74</v>
      </c>
      <c r="AK972" s="1" t="s">
        <v>74</v>
      </c>
      <c r="AL972" s="1" t="s">
        <v>74</v>
      </c>
      <c r="AM972" s="1" t="s">
        <v>74</v>
      </c>
      <c r="AN972" s="1" t="s">
        <v>74</v>
      </c>
      <c r="AO972" s="1" t="s">
        <v>9644</v>
      </c>
      <c r="AP972" s="1" t="s">
        <v>9645</v>
      </c>
      <c r="AQ972" s="1" t="s">
        <v>74</v>
      </c>
      <c r="AR972" s="1" t="s">
        <v>74</v>
      </c>
      <c r="AS972" s="1" t="s">
        <v>74</v>
      </c>
      <c r="AT972" s="1" t="s">
        <v>74</v>
      </c>
      <c r="AU972" s="1">
        <v>2007.0</v>
      </c>
      <c r="AV972" s="1">
        <v>19.0</v>
      </c>
      <c r="AW972" s="1">
        <v>5.0</v>
      </c>
      <c r="AX972" s="1" t="s">
        <v>74</v>
      </c>
      <c r="AY972" s="1" t="s">
        <v>74</v>
      </c>
      <c r="AZ972" s="1" t="s">
        <v>74</v>
      </c>
      <c r="BA972" s="1" t="s">
        <v>74</v>
      </c>
      <c r="BB972" s="1">
        <v>634.0</v>
      </c>
      <c r="BC972" s="1">
        <v>640.0</v>
      </c>
      <c r="BD972" s="1" t="s">
        <v>74</v>
      </c>
      <c r="BE972" s="1" t="s">
        <v>9646</v>
      </c>
      <c r="BF972" s="2" t="str">
        <f>HYPERLINK("http://dx.doi.org/10.1071/RD06146","http://dx.doi.org/10.1071/RD06146")</f>
        <v>http://dx.doi.org/10.1071/RD06146</v>
      </c>
      <c r="BG972" s="1" t="s">
        <v>74</v>
      </c>
      <c r="BH972" s="1" t="s">
        <v>74</v>
      </c>
      <c r="BI972" s="1" t="s">
        <v>74</v>
      </c>
      <c r="BJ972" s="1" t="s">
        <v>74</v>
      </c>
      <c r="BK972" s="1" t="s">
        <v>74</v>
      </c>
      <c r="BL972" s="1" t="s">
        <v>74</v>
      </c>
      <c r="BM972" s="1" t="s">
        <v>74</v>
      </c>
      <c r="BN972" s="1">
        <v>1.7601411E7</v>
      </c>
      <c r="BO972" s="1" t="s">
        <v>74</v>
      </c>
      <c r="BP972" s="1" t="s">
        <v>74</v>
      </c>
      <c r="BQ972" s="1" t="s">
        <v>74</v>
      </c>
      <c r="BR972" s="1" t="s">
        <v>74</v>
      </c>
      <c r="BS972" s="1" t="s">
        <v>9647</v>
      </c>
      <c r="BT972" s="1" t="str">
        <f>HYPERLINK("https%3A%2F%2Fwww.webofscience.com%2Fwos%2Fwoscc%2Ffull-record%2FWOS:000247738900005","View Full Record in Web of Science")</f>
        <v>View Full Record in Web of Science</v>
      </c>
    </row>
    <row r="973" ht="12.75" customHeight="1">
      <c r="A973" s="1" t="s">
        <v>72</v>
      </c>
      <c r="B973" s="1" t="s">
        <v>9648</v>
      </c>
      <c r="C973" s="1" t="s">
        <v>74</v>
      </c>
      <c r="D973" s="1" t="s">
        <v>74</v>
      </c>
      <c r="E973" s="1" t="s">
        <v>74</v>
      </c>
      <c r="F973" s="1" t="s">
        <v>9648</v>
      </c>
      <c r="G973" s="1" t="s">
        <v>74</v>
      </c>
      <c r="H973" s="1" t="s">
        <v>74</v>
      </c>
      <c r="I973" s="1" t="s">
        <v>9649</v>
      </c>
      <c r="J973" s="1" t="s">
        <v>3218</v>
      </c>
      <c r="K973" s="1" t="s">
        <v>74</v>
      </c>
      <c r="L973" s="1" t="s">
        <v>74</v>
      </c>
      <c r="M973" s="1" t="s">
        <v>74</v>
      </c>
      <c r="N973" s="1" t="s">
        <v>74</v>
      </c>
      <c r="O973" s="1" t="s">
        <v>74</v>
      </c>
      <c r="P973" s="1" t="s">
        <v>74</v>
      </c>
      <c r="Q973" s="1" t="s">
        <v>74</v>
      </c>
      <c r="R973" s="1" t="s">
        <v>74</v>
      </c>
      <c r="S973" s="1" t="s">
        <v>74</v>
      </c>
      <c r="T973" s="1" t="s">
        <v>74</v>
      </c>
      <c r="U973" s="1" t="s">
        <v>74</v>
      </c>
      <c r="V973" s="1" t="s">
        <v>9650</v>
      </c>
      <c r="W973" s="1" t="s">
        <v>74</v>
      </c>
      <c r="X973" s="1" t="s">
        <v>74</v>
      </c>
      <c r="Y973" s="1" t="s">
        <v>74</v>
      </c>
      <c r="Z973" s="1" t="s">
        <v>74</v>
      </c>
      <c r="AA973" s="1" t="s">
        <v>9651</v>
      </c>
      <c r="AB973" s="1" t="s">
        <v>9652</v>
      </c>
      <c r="AC973" s="1" t="s">
        <v>74</v>
      </c>
      <c r="AD973" s="1" t="s">
        <v>74</v>
      </c>
      <c r="AE973" s="1" t="s">
        <v>74</v>
      </c>
      <c r="AF973" s="1" t="s">
        <v>74</v>
      </c>
      <c r="AG973" s="1" t="s">
        <v>74</v>
      </c>
      <c r="AH973" s="1" t="s">
        <v>74</v>
      </c>
      <c r="AI973" s="1" t="s">
        <v>74</v>
      </c>
      <c r="AJ973" s="1" t="s">
        <v>74</v>
      </c>
      <c r="AK973" s="1" t="s">
        <v>74</v>
      </c>
      <c r="AL973" s="1" t="s">
        <v>74</v>
      </c>
      <c r="AM973" s="1" t="s">
        <v>74</v>
      </c>
      <c r="AN973" s="1" t="s">
        <v>74</v>
      </c>
      <c r="AO973" s="1" t="s">
        <v>4210</v>
      </c>
      <c r="AP973" s="1" t="s">
        <v>4211</v>
      </c>
      <c r="AQ973" s="1" t="s">
        <v>74</v>
      </c>
      <c r="AR973" s="1" t="s">
        <v>74</v>
      </c>
      <c r="AS973" s="1" t="s">
        <v>74</v>
      </c>
      <c r="AT973" s="1" t="s">
        <v>728</v>
      </c>
      <c r="AU973" s="1">
        <v>2001.0</v>
      </c>
      <c r="AV973" s="1">
        <v>64.0</v>
      </c>
      <c r="AW973" s="1">
        <v>18.0</v>
      </c>
      <c r="AX973" s="1" t="s">
        <v>74</v>
      </c>
      <c r="AY973" s="1" t="s">
        <v>74</v>
      </c>
      <c r="AZ973" s="1" t="s">
        <v>74</v>
      </c>
      <c r="BA973" s="1" t="s">
        <v>74</v>
      </c>
      <c r="BB973" s="1" t="s">
        <v>74</v>
      </c>
      <c r="BC973" s="1" t="s">
        <v>74</v>
      </c>
      <c r="BD973" s="1">
        <v>184103.0</v>
      </c>
      <c r="BE973" s="1" t="s">
        <v>9653</v>
      </c>
      <c r="BF973" s="2" t="str">
        <f>HYPERLINK("http://dx.doi.org/10.1103/PhysRevB.64.184103","http://dx.doi.org/10.1103/PhysRevB.64.184103")</f>
        <v>http://dx.doi.org/10.1103/PhysRevB.64.184103</v>
      </c>
      <c r="BG973" s="1" t="s">
        <v>74</v>
      </c>
      <c r="BH973" s="1" t="s">
        <v>74</v>
      </c>
      <c r="BI973" s="1" t="s">
        <v>74</v>
      </c>
      <c r="BJ973" s="1" t="s">
        <v>74</v>
      </c>
      <c r="BK973" s="1" t="s">
        <v>74</v>
      </c>
      <c r="BL973" s="1" t="s">
        <v>74</v>
      </c>
      <c r="BM973" s="1" t="s">
        <v>74</v>
      </c>
      <c r="BN973" s="1" t="s">
        <v>74</v>
      </c>
      <c r="BO973" s="1" t="s">
        <v>74</v>
      </c>
      <c r="BP973" s="1" t="s">
        <v>74</v>
      </c>
      <c r="BQ973" s="1" t="s">
        <v>74</v>
      </c>
      <c r="BR973" s="1" t="s">
        <v>74</v>
      </c>
      <c r="BS973" s="1" t="s">
        <v>9654</v>
      </c>
      <c r="BT973" s="1" t="str">
        <f>HYPERLINK("https%3A%2F%2Fwww.webofscience.com%2Fwos%2Fwoscc%2Ffull-record%2FWOS:000172239400031","View Full Record in Web of Science")</f>
        <v>View Full Record in Web of Science</v>
      </c>
    </row>
    <row r="974" ht="12.75" customHeight="1">
      <c r="A974" s="1" t="s">
        <v>72</v>
      </c>
      <c r="B974" s="1" t="s">
        <v>9655</v>
      </c>
      <c r="C974" s="1" t="s">
        <v>74</v>
      </c>
      <c r="D974" s="1" t="s">
        <v>74</v>
      </c>
      <c r="E974" s="1" t="s">
        <v>74</v>
      </c>
      <c r="F974" s="1" t="s">
        <v>9655</v>
      </c>
      <c r="G974" s="1" t="s">
        <v>74</v>
      </c>
      <c r="H974" s="1" t="s">
        <v>74</v>
      </c>
      <c r="I974" s="1" t="s">
        <v>9656</v>
      </c>
      <c r="J974" s="1" t="s">
        <v>9657</v>
      </c>
      <c r="K974" s="1" t="s">
        <v>74</v>
      </c>
      <c r="L974" s="1" t="s">
        <v>74</v>
      </c>
      <c r="M974" s="1" t="s">
        <v>74</v>
      </c>
      <c r="N974" s="1" t="s">
        <v>74</v>
      </c>
      <c r="O974" s="1" t="s">
        <v>74</v>
      </c>
      <c r="P974" s="1" t="s">
        <v>74</v>
      </c>
      <c r="Q974" s="1" t="s">
        <v>74</v>
      </c>
      <c r="R974" s="1" t="s">
        <v>74</v>
      </c>
      <c r="S974" s="1" t="s">
        <v>74</v>
      </c>
      <c r="T974" s="1" t="s">
        <v>74</v>
      </c>
      <c r="U974" s="1" t="s">
        <v>74</v>
      </c>
      <c r="V974" s="1" t="s">
        <v>74</v>
      </c>
      <c r="W974" s="1" t="s">
        <v>74</v>
      </c>
      <c r="X974" s="1" t="s">
        <v>74</v>
      </c>
      <c r="Y974" s="1" t="s">
        <v>74</v>
      </c>
      <c r="Z974" s="1" t="s">
        <v>74</v>
      </c>
      <c r="AA974" s="1" t="s">
        <v>160</v>
      </c>
      <c r="AB974" s="1" t="s">
        <v>74</v>
      </c>
      <c r="AC974" s="1" t="s">
        <v>74</v>
      </c>
      <c r="AD974" s="1" t="s">
        <v>74</v>
      </c>
      <c r="AE974" s="1" t="s">
        <v>74</v>
      </c>
      <c r="AF974" s="1" t="s">
        <v>74</v>
      </c>
      <c r="AG974" s="1" t="s">
        <v>74</v>
      </c>
      <c r="AH974" s="1" t="s">
        <v>74</v>
      </c>
      <c r="AI974" s="1" t="s">
        <v>74</v>
      </c>
      <c r="AJ974" s="1" t="s">
        <v>74</v>
      </c>
      <c r="AK974" s="1" t="s">
        <v>74</v>
      </c>
      <c r="AL974" s="1" t="s">
        <v>74</v>
      </c>
      <c r="AM974" s="1" t="s">
        <v>74</v>
      </c>
      <c r="AN974" s="1" t="s">
        <v>74</v>
      </c>
      <c r="AO974" s="1" t="s">
        <v>9658</v>
      </c>
      <c r="AP974" s="1" t="s">
        <v>74</v>
      </c>
      <c r="AQ974" s="1" t="s">
        <v>74</v>
      </c>
      <c r="AR974" s="1" t="s">
        <v>74</v>
      </c>
      <c r="AS974" s="1" t="s">
        <v>74</v>
      </c>
      <c r="AT974" s="1" t="s">
        <v>318</v>
      </c>
      <c r="AU974" s="1">
        <v>2000.0</v>
      </c>
      <c r="AV974" s="1">
        <v>523.0</v>
      </c>
      <c r="AW974" s="1" t="s">
        <v>74</v>
      </c>
      <c r="AX974" s="1" t="s">
        <v>74</v>
      </c>
      <c r="AY974" s="1" t="s">
        <v>1313</v>
      </c>
      <c r="AZ974" s="1" t="s">
        <v>74</v>
      </c>
      <c r="BA974" s="1" t="s">
        <v>74</v>
      </c>
      <c r="BB974" s="1" t="s">
        <v>9659</v>
      </c>
      <c r="BC974" s="1" t="s">
        <v>9660</v>
      </c>
      <c r="BD974" s="1" t="s">
        <v>74</v>
      </c>
      <c r="BE974" s="1" t="s">
        <v>74</v>
      </c>
      <c r="BF974" s="1" t="s">
        <v>74</v>
      </c>
      <c r="BG974" s="1" t="s">
        <v>74</v>
      </c>
      <c r="BH974" s="1" t="s">
        <v>74</v>
      </c>
      <c r="BI974" s="1" t="s">
        <v>74</v>
      </c>
      <c r="BJ974" s="1" t="s">
        <v>74</v>
      </c>
      <c r="BK974" s="1" t="s">
        <v>74</v>
      </c>
      <c r="BL974" s="1" t="s">
        <v>74</v>
      </c>
      <c r="BM974" s="1" t="s">
        <v>74</v>
      </c>
      <c r="BN974" s="1" t="s">
        <v>74</v>
      </c>
      <c r="BO974" s="1" t="s">
        <v>74</v>
      </c>
      <c r="BP974" s="1" t="s">
        <v>74</v>
      </c>
      <c r="BQ974" s="1" t="s">
        <v>74</v>
      </c>
      <c r="BR974" s="1" t="s">
        <v>74</v>
      </c>
      <c r="BS974" s="1" t="s">
        <v>9661</v>
      </c>
      <c r="BT974" s="1" t="str">
        <f>HYPERLINK("https%3A%2F%2Fwww.webofscience.com%2Fwos%2Fwoscc%2Ffull-record%2FWOS:000085937100169","View Full Record in Web of Science")</f>
        <v>View Full Record in Web of Science</v>
      </c>
    </row>
    <row r="975" ht="12.75" customHeight="1">
      <c r="A975" s="1" t="s">
        <v>72</v>
      </c>
      <c r="B975" s="1" t="s">
        <v>9662</v>
      </c>
      <c r="C975" s="1" t="s">
        <v>74</v>
      </c>
      <c r="D975" s="1" t="s">
        <v>74</v>
      </c>
      <c r="E975" s="1" t="s">
        <v>74</v>
      </c>
      <c r="F975" s="1" t="s">
        <v>9662</v>
      </c>
      <c r="G975" s="1" t="s">
        <v>74</v>
      </c>
      <c r="H975" s="1" t="s">
        <v>74</v>
      </c>
      <c r="I975" s="1" t="s">
        <v>9663</v>
      </c>
      <c r="J975" s="1" t="s">
        <v>9664</v>
      </c>
      <c r="K975" s="1" t="s">
        <v>74</v>
      </c>
      <c r="L975" s="1" t="s">
        <v>74</v>
      </c>
      <c r="M975" s="1" t="s">
        <v>74</v>
      </c>
      <c r="N975" s="1" t="s">
        <v>74</v>
      </c>
      <c r="O975" s="1" t="s">
        <v>74</v>
      </c>
      <c r="P975" s="1" t="s">
        <v>74</v>
      </c>
      <c r="Q975" s="1" t="s">
        <v>74</v>
      </c>
      <c r="R975" s="1" t="s">
        <v>74</v>
      </c>
      <c r="S975" s="1" t="s">
        <v>74</v>
      </c>
      <c r="T975" s="1" t="s">
        <v>74</v>
      </c>
      <c r="U975" s="1" t="s">
        <v>74</v>
      </c>
      <c r="V975" s="1" t="s">
        <v>9665</v>
      </c>
      <c r="W975" s="1" t="s">
        <v>74</v>
      </c>
      <c r="X975" s="1" t="s">
        <v>74</v>
      </c>
      <c r="Y975" s="1" t="s">
        <v>74</v>
      </c>
      <c r="Z975" s="1" t="s">
        <v>74</v>
      </c>
      <c r="AA975" s="1" t="s">
        <v>2974</v>
      </c>
      <c r="AB975" s="1" t="s">
        <v>2975</v>
      </c>
      <c r="AC975" s="1" t="s">
        <v>74</v>
      </c>
      <c r="AD975" s="1" t="s">
        <v>74</v>
      </c>
      <c r="AE975" s="1" t="s">
        <v>74</v>
      </c>
      <c r="AF975" s="1" t="s">
        <v>74</v>
      </c>
      <c r="AG975" s="1" t="s">
        <v>74</v>
      </c>
      <c r="AH975" s="1" t="s">
        <v>74</v>
      </c>
      <c r="AI975" s="1" t="s">
        <v>74</v>
      </c>
      <c r="AJ975" s="1" t="s">
        <v>74</v>
      </c>
      <c r="AK975" s="1" t="s">
        <v>74</v>
      </c>
      <c r="AL975" s="1" t="s">
        <v>74</v>
      </c>
      <c r="AM975" s="1" t="s">
        <v>74</v>
      </c>
      <c r="AN975" s="1" t="s">
        <v>74</v>
      </c>
      <c r="AO975" s="1" t="s">
        <v>9666</v>
      </c>
      <c r="AP975" s="1" t="s">
        <v>74</v>
      </c>
      <c r="AQ975" s="1" t="s">
        <v>74</v>
      </c>
      <c r="AR975" s="1" t="s">
        <v>74</v>
      </c>
      <c r="AS975" s="1" t="s">
        <v>74</v>
      </c>
      <c r="AT975" s="1" t="s">
        <v>2024</v>
      </c>
      <c r="AU975" s="1">
        <v>1999.0</v>
      </c>
      <c r="AV975" s="1">
        <v>116.0</v>
      </c>
      <c r="AW975" s="1">
        <v>1.0</v>
      </c>
      <c r="AX975" s="1" t="s">
        <v>74</v>
      </c>
      <c r="AY975" s="1" t="s">
        <v>74</v>
      </c>
      <c r="AZ975" s="1" t="s">
        <v>74</v>
      </c>
      <c r="BA975" s="1" t="s">
        <v>74</v>
      </c>
      <c r="BB975" s="1">
        <v>51.0</v>
      </c>
      <c r="BC975" s="1">
        <v>58.0</v>
      </c>
      <c r="BD975" s="1" t="s">
        <v>74</v>
      </c>
      <c r="BE975" s="1" t="s">
        <v>9667</v>
      </c>
      <c r="BF975" s="2" t="str">
        <f>HYPERLINK("http://dx.doi.org/10.1016/S0165-3806(99)00074-7","http://dx.doi.org/10.1016/S0165-3806(99)00074-7")</f>
        <v>http://dx.doi.org/10.1016/S0165-3806(99)00074-7</v>
      </c>
      <c r="BG975" s="1" t="s">
        <v>74</v>
      </c>
      <c r="BH975" s="1" t="s">
        <v>74</v>
      </c>
      <c r="BI975" s="1" t="s">
        <v>74</v>
      </c>
      <c r="BJ975" s="1" t="s">
        <v>74</v>
      </c>
      <c r="BK975" s="1" t="s">
        <v>74</v>
      </c>
      <c r="BL975" s="1" t="s">
        <v>74</v>
      </c>
      <c r="BM975" s="1" t="s">
        <v>74</v>
      </c>
      <c r="BN975" s="1">
        <v>1.0446346E7</v>
      </c>
      <c r="BO975" s="1" t="s">
        <v>74</v>
      </c>
      <c r="BP975" s="1" t="s">
        <v>74</v>
      </c>
      <c r="BQ975" s="1" t="s">
        <v>74</v>
      </c>
      <c r="BR975" s="1" t="s">
        <v>74</v>
      </c>
      <c r="BS975" s="1" t="s">
        <v>9668</v>
      </c>
      <c r="BT975" s="1" t="str">
        <f>HYPERLINK("https%3A%2F%2Fwww.webofscience.com%2Fwos%2Fwoscc%2Ffull-record%2FWOS:000081993400006","View Full Record in Web of Science")</f>
        <v>View Full Record in Web of Science</v>
      </c>
    </row>
    <row r="976" ht="12.75" customHeight="1">
      <c r="A976" s="1" t="s">
        <v>72</v>
      </c>
      <c r="B976" s="1" t="s">
        <v>9669</v>
      </c>
      <c r="C976" s="1" t="s">
        <v>74</v>
      </c>
      <c r="D976" s="1" t="s">
        <v>74</v>
      </c>
      <c r="E976" s="1" t="s">
        <v>74</v>
      </c>
      <c r="F976" s="1" t="s">
        <v>9669</v>
      </c>
      <c r="G976" s="1" t="s">
        <v>74</v>
      </c>
      <c r="H976" s="1" t="s">
        <v>74</v>
      </c>
      <c r="I976" s="1" t="s">
        <v>9670</v>
      </c>
      <c r="J976" s="1" t="s">
        <v>9671</v>
      </c>
      <c r="K976" s="1" t="s">
        <v>74</v>
      </c>
      <c r="L976" s="1" t="s">
        <v>74</v>
      </c>
      <c r="M976" s="1" t="s">
        <v>74</v>
      </c>
      <c r="N976" s="1" t="s">
        <v>74</v>
      </c>
      <c r="O976" s="1" t="s">
        <v>74</v>
      </c>
      <c r="P976" s="1" t="s">
        <v>74</v>
      </c>
      <c r="Q976" s="1" t="s">
        <v>74</v>
      </c>
      <c r="R976" s="1" t="s">
        <v>74</v>
      </c>
      <c r="S976" s="1" t="s">
        <v>74</v>
      </c>
      <c r="T976" s="1" t="s">
        <v>74</v>
      </c>
      <c r="U976" s="1" t="s">
        <v>74</v>
      </c>
      <c r="V976" s="1" t="s">
        <v>9672</v>
      </c>
      <c r="W976" s="1" t="s">
        <v>74</v>
      </c>
      <c r="X976" s="1" t="s">
        <v>74</v>
      </c>
      <c r="Y976" s="1" t="s">
        <v>74</v>
      </c>
      <c r="Z976" s="1" t="s">
        <v>74</v>
      </c>
      <c r="AA976" s="1" t="s">
        <v>2974</v>
      </c>
      <c r="AB976" s="1" t="s">
        <v>2975</v>
      </c>
      <c r="AC976" s="1" t="s">
        <v>74</v>
      </c>
      <c r="AD976" s="1" t="s">
        <v>74</v>
      </c>
      <c r="AE976" s="1" t="s">
        <v>74</v>
      </c>
      <c r="AF976" s="1" t="s">
        <v>74</v>
      </c>
      <c r="AG976" s="1" t="s">
        <v>74</v>
      </c>
      <c r="AH976" s="1" t="s">
        <v>74</v>
      </c>
      <c r="AI976" s="1" t="s">
        <v>74</v>
      </c>
      <c r="AJ976" s="1" t="s">
        <v>74</v>
      </c>
      <c r="AK976" s="1" t="s">
        <v>74</v>
      </c>
      <c r="AL976" s="1" t="s">
        <v>74</v>
      </c>
      <c r="AM976" s="1" t="s">
        <v>74</v>
      </c>
      <c r="AN976" s="1" t="s">
        <v>74</v>
      </c>
      <c r="AO976" s="1" t="s">
        <v>9673</v>
      </c>
      <c r="AP976" s="1" t="s">
        <v>74</v>
      </c>
      <c r="AQ976" s="1" t="s">
        <v>74</v>
      </c>
      <c r="AR976" s="1" t="s">
        <v>74</v>
      </c>
      <c r="AS976" s="1" t="s">
        <v>74</v>
      </c>
      <c r="AT976" s="1" t="s">
        <v>235</v>
      </c>
      <c r="AU976" s="1">
        <v>1998.0</v>
      </c>
      <c r="AV976" s="1">
        <v>16.0</v>
      </c>
      <c r="AW976" s="1">
        <v>2.0</v>
      </c>
      <c r="AX976" s="1" t="s">
        <v>74</v>
      </c>
      <c r="AY976" s="1" t="s">
        <v>74</v>
      </c>
      <c r="AZ976" s="1" t="s">
        <v>74</v>
      </c>
      <c r="BA976" s="1" t="s">
        <v>74</v>
      </c>
      <c r="BB976" s="1">
        <v>75.0</v>
      </c>
      <c r="BC976" s="1">
        <v>84.0</v>
      </c>
      <c r="BD976" s="1" t="s">
        <v>74</v>
      </c>
      <c r="BE976" s="1" t="s">
        <v>9674</v>
      </c>
      <c r="BF976" s="2" t="str">
        <f>HYPERLINK("http://dx.doi.org/10.1016/S0736-5748(98)00010-0","http://dx.doi.org/10.1016/S0736-5748(98)00010-0")</f>
        <v>http://dx.doi.org/10.1016/S0736-5748(98)00010-0</v>
      </c>
      <c r="BG976" s="1" t="s">
        <v>74</v>
      </c>
      <c r="BH976" s="1" t="s">
        <v>74</v>
      </c>
      <c r="BI976" s="1" t="s">
        <v>74</v>
      </c>
      <c r="BJ976" s="1" t="s">
        <v>74</v>
      </c>
      <c r="BK976" s="1" t="s">
        <v>74</v>
      </c>
      <c r="BL976" s="1" t="s">
        <v>74</v>
      </c>
      <c r="BM976" s="1" t="s">
        <v>74</v>
      </c>
      <c r="BN976" s="1">
        <v>9762580.0</v>
      </c>
      <c r="BO976" s="1" t="s">
        <v>74</v>
      </c>
      <c r="BP976" s="1" t="s">
        <v>74</v>
      </c>
      <c r="BQ976" s="1" t="s">
        <v>74</v>
      </c>
      <c r="BR976" s="1" t="s">
        <v>74</v>
      </c>
      <c r="BS976" s="1" t="s">
        <v>9675</v>
      </c>
      <c r="BT976" s="1" t="str">
        <f>HYPERLINK("https%3A%2F%2Fwww.webofscience.com%2Fwos%2Fwoscc%2Ffull-record%2FWOS:000075503100001","View Full Record in Web of Science")</f>
        <v>View Full Record in Web of Science</v>
      </c>
    </row>
    <row r="977" ht="12.75" customHeight="1">
      <c r="A977" s="1" t="s">
        <v>72</v>
      </c>
      <c r="B977" s="1" t="s">
        <v>9676</v>
      </c>
      <c r="C977" s="1" t="s">
        <v>74</v>
      </c>
      <c r="D977" s="1" t="s">
        <v>74</v>
      </c>
      <c r="E977" s="1" t="s">
        <v>74</v>
      </c>
      <c r="F977" s="1" t="s">
        <v>9676</v>
      </c>
      <c r="G977" s="1" t="s">
        <v>74</v>
      </c>
      <c r="H977" s="1" t="s">
        <v>74</v>
      </c>
      <c r="I977" s="1" t="s">
        <v>9677</v>
      </c>
      <c r="J977" s="1" t="s">
        <v>4983</v>
      </c>
      <c r="K977" s="1" t="s">
        <v>74</v>
      </c>
      <c r="L977" s="1" t="s">
        <v>74</v>
      </c>
      <c r="M977" s="1" t="s">
        <v>74</v>
      </c>
      <c r="N977" s="1" t="s">
        <v>74</v>
      </c>
      <c r="O977" s="1" t="s">
        <v>9678</v>
      </c>
      <c r="P977" s="1" t="s">
        <v>9679</v>
      </c>
      <c r="Q977" s="1" t="s">
        <v>2673</v>
      </c>
      <c r="R977" s="1" t="s">
        <v>9680</v>
      </c>
      <c r="S977" s="1" t="s">
        <v>74</v>
      </c>
      <c r="T977" s="1" t="s">
        <v>74</v>
      </c>
      <c r="U977" s="1" t="s">
        <v>74</v>
      </c>
      <c r="V977" s="1" t="s">
        <v>9681</v>
      </c>
      <c r="W977" s="1" t="s">
        <v>74</v>
      </c>
      <c r="X977" s="1" t="s">
        <v>74</v>
      </c>
      <c r="Y977" s="1" t="s">
        <v>74</v>
      </c>
      <c r="Z977" s="1" t="s">
        <v>74</v>
      </c>
      <c r="AA977" s="1" t="s">
        <v>74</v>
      </c>
      <c r="AB977" s="1" t="s">
        <v>1293</v>
      </c>
      <c r="AC977" s="1" t="s">
        <v>74</v>
      </c>
      <c r="AD977" s="1" t="s">
        <v>74</v>
      </c>
      <c r="AE977" s="1" t="s">
        <v>74</v>
      </c>
      <c r="AF977" s="1" t="s">
        <v>74</v>
      </c>
      <c r="AG977" s="1" t="s">
        <v>74</v>
      </c>
      <c r="AH977" s="1" t="s">
        <v>74</v>
      </c>
      <c r="AI977" s="1" t="s">
        <v>74</v>
      </c>
      <c r="AJ977" s="1" t="s">
        <v>74</v>
      </c>
      <c r="AK977" s="1" t="s">
        <v>74</v>
      </c>
      <c r="AL977" s="1" t="s">
        <v>74</v>
      </c>
      <c r="AM977" s="1" t="s">
        <v>74</v>
      </c>
      <c r="AN977" s="1" t="s">
        <v>74</v>
      </c>
      <c r="AO977" s="1" t="s">
        <v>4990</v>
      </c>
      <c r="AP977" s="1" t="s">
        <v>9682</v>
      </c>
      <c r="AQ977" s="1" t="s">
        <v>74</v>
      </c>
      <c r="AR977" s="1" t="s">
        <v>74</v>
      </c>
      <c r="AS977" s="1" t="s">
        <v>74</v>
      </c>
      <c r="AT977" s="1" t="s">
        <v>164</v>
      </c>
      <c r="AU977" s="1">
        <v>1995.0</v>
      </c>
      <c r="AV977" s="1">
        <v>67.0</v>
      </c>
      <c r="AW977" s="1">
        <v>7.0</v>
      </c>
      <c r="AX977" s="1" t="s">
        <v>74</v>
      </c>
      <c r="AY977" s="1" t="s">
        <v>74</v>
      </c>
      <c r="AZ977" s="1" t="s">
        <v>74</v>
      </c>
      <c r="BA977" s="1" t="s">
        <v>74</v>
      </c>
      <c r="BB977" s="1">
        <v>1045.0</v>
      </c>
      <c r="BC977" s="1">
        <v>1052.0</v>
      </c>
      <c r="BD977" s="1" t="s">
        <v>74</v>
      </c>
      <c r="BE977" s="1" t="s">
        <v>9683</v>
      </c>
      <c r="BF977" s="2" t="str">
        <f>HYPERLINK("http://dx.doi.org/10.1351/pac199567071045","http://dx.doi.org/10.1351/pac199567071045")</f>
        <v>http://dx.doi.org/10.1351/pac199567071045</v>
      </c>
      <c r="BG977" s="1" t="s">
        <v>74</v>
      </c>
      <c r="BH977" s="1" t="s">
        <v>74</v>
      </c>
      <c r="BI977" s="1" t="s">
        <v>74</v>
      </c>
      <c r="BJ977" s="1" t="s">
        <v>74</v>
      </c>
      <c r="BK977" s="1" t="s">
        <v>74</v>
      </c>
      <c r="BL977" s="1" t="s">
        <v>74</v>
      </c>
      <c r="BM977" s="1" t="s">
        <v>74</v>
      </c>
      <c r="BN977" s="1" t="s">
        <v>74</v>
      </c>
      <c r="BO977" s="1" t="s">
        <v>74</v>
      </c>
      <c r="BP977" s="1" t="s">
        <v>74</v>
      </c>
      <c r="BQ977" s="1" t="s">
        <v>74</v>
      </c>
      <c r="BR977" s="1" t="s">
        <v>74</v>
      </c>
      <c r="BS977" s="1" t="s">
        <v>9684</v>
      </c>
      <c r="BT977" s="1" t="str">
        <f>HYPERLINK("https%3A%2F%2Fwww.webofscience.com%2Fwos%2Fwoscc%2Ffull-record%2FWOS:A1995RK77300004","View Full Record in Web of Science")</f>
        <v>View Full Record in Web of Science</v>
      </c>
    </row>
    <row r="978" ht="12.75" customHeight="1">
      <c r="A978" s="1" t="s">
        <v>72</v>
      </c>
      <c r="B978" s="1" t="s">
        <v>9685</v>
      </c>
      <c r="C978" s="1" t="s">
        <v>74</v>
      </c>
      <c r="D978" s="1" t="s">
        <v>74</v>
      </c>
      <c r="E978" s="1" t="s">
        <v>74</v>
      </c>
      <c r="F978" s="1" t="s">
        <v>9685</v>
      </c>
      <c r="G978" s="1" t="s">
        <v>74</v>
      </c>
      <c r="H978" s="1" t="s">
        <v>74</v>
      </c>
      <c r="I978" s="1" t="s">
        <v>9686</v>
      </c>
      <c r="J978" s="1" t="s">
        <v>354</v>
      </c>
      <c r="K978" s="1" t="s">
        <v>74</v>
      </c>
      <c r="L978" s="1" t="s">
        <v>74</v>
      </c>
      <c r="M978" s="1" t="s">
        <v>74</v>
      </c>
      <c r="N978" s="1" t="s">
        <v>74</v>
      </c>
      <c r="O978" s="1" t="s">
        <v>9687</v>
      </c>
      <c r="P978" s="1" t="s">
        <v>9688</v>
      </c>
      <c r="Q978" s="1" t="s">
        <v>9689</v>
      </c>
      <c r="R978" s="1" t="s">
        <v>74</v>
      </c>
      <c r="S978" s="1" t="s">
        <v>74</v>
      </c>
      <c r="T978" s="1" t="s">
        <v>74</v>
      </c>
      <c r="U978" s="1" t="s">
        <v>74</v>
      </c>
      <c r="V978" s="1" t="s">
        <v>9690</v>
      </c>
      <c r="W978" s="1" t="s">
        <v>74</v>
      </c>
      <c r="X978" s="1" t="s">
        <v>74</v>
      </c>
      <c r="Y978" s="1" t="s">
        <v>74</v>
      </c>
      <c r="Z978" s="1" t="s">
        <v>74</v>
      </c>
      <c r="AA978" s="1" t="s">
        <v>74</v>
      </c>
      <c r="AB978" s="1" t="s">
        <v>74</v>
      </c>
      <c r="AC978" s="1" t="s">
        <v>74</v>
      </c>
      <c r="AD978" s="1" t="s">
        <v>74</v>
      </c>
      <c r="AE978" s="1" t="s">
        <v>74</v>
      </c>
      <c r="AF978" s="1" t="s">
        <v>74</v>
      </c>
      <c r="AG978" s="1" t="s">
        <v>74</v>
      </c>
      <c r="AH978" s="1" t="s">
        <v>74</v>
      </c>
      <c r="AI978" s="1" t="s">
        <v>74</v>
      </c>
      <c r="AJ978" s="1" t="s">
        <v>74</v>
      </c>
      <c r="AK978" s="1" t="s">
        <v>74</v>
      </c>
      <c r="AL978" s="1" t="s">
        <v>74</v>
      </c>
      <c r="AM978" s="1" t="s">
        <v>74</v>
      </c>
      <c r="AN978" s="1" t="s">
        <v>74</v>
      </c>
      <c r="AO978" s="1" t="s">
        <v>358</v>
      </c>
      <c r="AP978" s="1" t="s">
        <v>74</v>
      </c>
      <c r="AQ978" s="1" t="s">
        <v>74</v>
      </c>
      <c r="AR978" s="1" t="s">
        <v>74</v>
      </c>
      <c r="AS978" s="1" t="s">
        <v>74</v>
      </c>
      <c r="AT978" s="1" t="s">
        <v>1018</v>
      </c>
      <c r="AU978" s="1">
        <v>1994.0</v>
      </c>
      <c r="AV978" s="1">
        <v>39.0</v>
      </c>
      <c r="AW978" s="1" t="s">
        <v>8765</v>
      </c>
      <c r="AX978" s="1" t="s">
        <v>74</v>
      </c>
      <c r="AY978" s="1" t="s">
        <v>74</v>
      </c>
      <c r="AZ978" s="1" t="s">
        <v>74</v>
      </c>
      <c r="BA978" s="1" t="s">
        <v>74</v>
      </c>
      <c r="BB978" s="1">
        <v>1579.0</v>
      </c>
      <c r="BC978" s="1">
        <v>1584.0</v>
      </c>
      <c r="BD978" s="1" t="s">
        <v>74</v>
      </c>
      <c r="BE978" s="1" t="s">
        <v>9691</v>
      </c>
      <c r="BF978" s="2" t="str">
        <f>HYPERLINK("http://dx.doi.org/10.1016/0013-4686(94)85138-7","http://dx.doi.org/10.1016/0013-4686(94)85138-7")</f>
        <v>http://dx.doi.org/10.1016/0013-4686(94)85138-7</v>
      </c>
      <c r="BG978" s="1" t="s">
        <v>74</v>
      </c>
      <c r="BH978" s="1" t="s">
        <v>74</v>
      </c>
      <c r="BI978" s="1" t="s">
        <v>74</v>
      </c>
      <c r="BJ978" s="1" t="s">
        <v>74</v>
      </c>
      <c r="BK978" s="1" t="s">
        <v>74</v>
      </c>
      <c r="BL978" s="1" t="s">
        <v>74</v>
      </c>
      <c r="BM978" s="1" t="s">
        <v>74</v>
      </c>
      <c r="BN978" s="1" t="s">
        <v>74</v>
      </c>
      <c r="BO978" s="1" t="s">
        <v>74</v>
      </c>
      <c r="BP978" s="1" t="s">
        <v>74</v>
      </c>
      <c r="BQ978" s="1" t="s">
        <v>74</v>
      </c>
      <c r="BR978" s="1" t="s">
        <v>74</v>
      </c>
      <c r="BS978" s="1" t="s">
        <v>9692</v>
      </c>
      <c r="BT978" s="1" t="str">
        <f>HYPERLINK("https%3A%2F%2Fwww.webofscience.com%2Fwos%2Fwoscc%2Ffull-record%2FWOS:A1994PC03400017","View Full Record in Web of Science")</f>
        <v>View Full Record in Web of Science</v>
      </c>
    </row>
    <row r="979" ht="12.75" customHeight="1">
      <c r="A979" s="1" t="s">
        <v>72</v>
      </c>
      <c r="B979" s="1" t="s">
        <v>9693</v>
      </c>
      <c r="C979" s="1" t="s">
        <v>74</v>
      </c>
      <c r="D979" s="1" t="s">
        <v>74</v>
      </c>
      <c r="E979" s="1" t="s">
        <v>74</v>
      </c>
      <c r="F979" s="1" t="s">
        <v>9693</v>
      </c>
      <c r="G979" s="1" t="s">
        <v>74</v>
      </c>
      <c r="H979" s="1" t="s">
        <v>74</v>
      </c>
      <c r="I979" s="1" t="s">
        <v>9694</v>
      </c>
      <c r="J979" s="1" t="s">
        <v>1966</v>
      </c>
      <c r="K979" s="1" t="s">
        <v>74</v>
      </c>
      <c r="L979" s="1" t="s">
        <v>74</v>
      </c>
      <c r="M979" s="1" t="s">
        <v>74</v>
      </c>
      <c r="N979" s="1" t="s">
        <v>74</v>
      </c>
      <c r="O979" s="1" t="s">
        <v>74</v>
      </c>
      <c r="P979" s="1" t="s">
        <v>74</v>
      </c>
      <c r="Q979" s="1" t="s">
        <v>74</v>
      </c>
      <c r="R979" s="1" t="s">
        <v>74</v>
      </c>
      <c r="S979" s="1" t="s">
        <v>74</v>
      </c>
      <c r="T979" s="1" t="s">
        <v>74</v>
      </c>
      <c r="U979" s="1" t="s">
        <v>74</v>
      </c>
      <c r="V979" s="1" t="s">
        <v>9695</v>
      </c>
      <c r="W979" s="1" t="s">
        <v>74</v>
      </c>
      <c r="X979" s="1" t="s">
        <v>74</v>
      </c>
      <c r="Y979" s="1" t="s">
        <v>74</v>
      </c>
      <c r="Z979" s="1" t="s">
        <v>74</v>
      </c>
      <c r="AA979" s="1" t="s">
        <v>9696</v>
      </c>
      <c r="AB979" s="1" t="s">
        <v>9697</v>
      </c>
      <c r="AC979" s="1" t="s">
        <v>74</v>
      </c>
      <c r="AD979" s="1" t="s">
        <v>74</v>
      </c>
      <c r="AE979" s="1" t="s">
        <v>74</v>
      </c>
      <c r="AF979" s="1" t="s">
        <v>74</v>
      </c>
      <c r="AG979" s="1" t="s">
        <v>74</v>
      </c>
      <c r="AH979" s="1" t="s">
        <v>74</v>
      </c>
      <c r="AI979" s="1" t="s">
        <v>74</v>
      </c>
      <c r="AJ979" s="1" t="s">
        <v>74</v>
      </c>
      <c r="AK979" s="1" t="s">
        <v>74</v>
      </c>
      <c r="AL979" s="1" t="s">
        <v>74</v>
      </c>
      <c r="AM979" s="1" t="s">
        <v>74</v>
      </c>
      <c r="AN979" s="1" t="s">
        <v>74</v>
      </c>
      <c r="AO979" s="1" t="s">
        <v>1970</v>
      </c>
      <c r="AP979" s="1" t="s">
        <v>1971</v>
      </c>
      <c r="AQ979" s="1" t="s">
        <v>74</v>
      </c>
      <c r="AR979" s="1" t="s">
        <v>74</v>
      </c>
      <c r="AS979" s="1" t="s">
        <v>74</v>
      </c>
      <c r="AT979" s="1" t="s">
        <v>235</v>
      </c>
      <c r="AU979" s="1">
        <v>1994.0</v>
      </c>
      <c r="AV979" s="1">
        <v>49.0</v>
      </c>
      <c r="AW979" s="1">
        <v>4.0</v>
      </c>
      <c r="AX979" s="1" t="s">
        <v>74</v>
      </c>
      <c r="AY979" s="1" t="s">
        <v>74</v>
      </c>
      <c r="AZ979" s="1" t="s">
        <v>74</v>
      </c>
      <c r="BA979" s="1" t="s">
        <v>74</v>
      </c>
      <c r="BB979" s="1">
        <v>2690.0</v>
      </c>
      <c r="BC979" s="1">
        <v>2695.0</v>
      </c>
      <c r="BD979" s="1" t="s">
        <v>74</v>
      </c>
      <c r="BE979" s="1" t="s">
        <v>9698</v>
      </c>
      <c r="BF979" s="2" t="str">
        <f>HYPERLINK("http://dx.doi.org/10.1103/PhysRevA.49.2690","http://dx.doi.org/10.1103/PhysRevA.49.2690")</f>
        <v>http://dx.doi.org/10.1103/PhysRevA.49.2690</v>
      </c>
      <c r="BG979" s="1" t="s">
        <v>74</v>
      </c>
      <c r="BH979" s="1" t="s">
        <v>74</v>
      </c>
      <c r="BI979" s="1" t="s">
        <v>74</v>
      </c>
      <c r="BJ979" s="1" t="s">
        <v>74</v>
      </c>
      <c r="BK979" s="1" t="s">
        <v>74</v>
      </c>
      <c r="BL979" s="1" t="s">
        <v>74</v>
      </c>
      <c r="BM979" s="1" t="s">
        <v>74</v>
      </c>
      <c r="BN979" s="1">
        <v>9910547.0</v>
      </c>
      <c r="BO979" s="1" t="s">
        <v>74</v>
      </c>
      <c r="BP979" s="1" t="s">
        <v>74</v>
      </c>
      <c r="BQ979" s="1" t="s">
        <v>74</v>
      </c>
      <c r="BR979" s="1" t="s">
        <v>74</v>
      </c>
      <c r="BS979" s="1" t="s">
        <v>9699</v>
      </c>
      <c r="BT979" s="1" t="str">
        <f>HYPERLINK("https%3A%2F%2Fwww.webofscience.com%2Fwos%2Fwoscc%2Ffull-record%2FWOS:A1994NG48500063","View Full Record in Web of Science")</f>
        <v>View Full Record in Web of Science</v>
      </c>
    </row>
    <row r="980" ht="12.75" customHeight="1">
      <c r="A980" s="1" t="s">
        <v>72</v>
      </c>
      <c r="B980" s="1" t="s">
        <v>9700</v>
      </c>
      <c r="C980" s="1" t="s">
        <v>74</v>
      </c>
      <c r="D980" s="1" t="s">
        <v>74</v>
      </c>
      <c r="E980" s="1" t="s">
        <v>74</v>
      </c>
      <c r="F980" s="1" t="s">
        <v>9700</v>
      </c>
      <c r="G980" s="1" t="s">
        <v>74</v>
      </c>
      <c r="H980" s="1" t="s">
        <v>74</v>
      </c>
      <c r="I980" s="1" t="s">
        <v>9701</v>
      </c>
      <c r="J980" s="1" t="s">
        <v>2339</v>
      </c>
      <c r="K980" s="1" t="s">
        <v>74</v>
      </c>
      <c r="L980" s="1" t="s">
        <v>74</v>
      </c>
      <c r="M980" s="1" t="s">
        <v>74</v>
      </c>
      <c r="N980" s="1" t="s">
        <v>74</v>
      </c>
      <c r="O980" s="1" t="s">
        <v>74</v>
      </c>
      <c r="P980" s="1" t="s">
        <v>74</v>
      </c>
      <c r="Q980" s="1" t="s">
        <v>74</v>
      </c>
      <c r="R980" s="1" t="s">
        <v>74</v>
      </c>
      <c r="S980" s="1" t="s">
        <v>74</v>
      </c>
      <c r="T980" s="1" t="s">
        <v>74</v>
      </c>
      <c r="U980" s="1" t="s">
        <v>74</v>
      </c>
      <c r="V980" s="1" t="s">
        <v>9702</v>
      </c>
      <c r="W980" s="1" t="s">
        <v>74</v>
      </c>
      <c r="X980" s="1" t="s">
        <v>74</v>
      </c>
      <c r="Y980" s="1" t="s">
        <v>74</v>
      </c>
      <c r="Z980" s="1" t="s">
        <v>74</v>
      </c>
      <c r="AA980" s="1" t="s">
        <v>74</v>
      </c>
      <c r="AB980" s="1" t="s">
        <v>74</v>
      </c>
      <c r="AC980" s="1" t="s">
        <v>74</v>
      </c>
      <c r="AD980" s="1" t="s">
        <v>74</v>
      </c>
      <c r="AE980" s="1" t="s">
        <v>74</v>
      </c>
      <c r="AF980" s="1" t="s">
        <v>74</v>
      </c>
      <c r="AG980" s="1" t="s">
        <v>74</v>
      </c>
      <c r="AH980" s="1" t="s">
        <v>74</v>
      </c>
      <c r="AI980" s="1" t="s">
        <v>74</v>
      </c>
      <c r="AJ980" s="1" t="s">
        <v>74</v>
      </c>
      <c r="AK980" s="1" t="s">
        <v>74</v>
      </c>
      <c r="AL980" s="1" t="s">
        <v>74</v>
      </c>
      <c r="AM980" s="1" t="s">
        <v>74</v>
      </c>
      <c r="AN980" s="1" t="s">
        <v>74</v>
      </c>
      <c r="AO980" s="1" t="s">
        <v>2343</v>
      </c>
      <c r="AP980" s="1" t="s">
        <v>74</v>
      </c>
      <c r="AQ980" s="1" t="s">
        <v>74</v>
      </c>
      <c r="AR980" s="1" t="s">
        <v>74</v>
      </c>
      <c r="AS980" s="1" t="s">
        <v>74</v>
      </c>
      <c r="AT980" s="1" t="s">
        <v>2097</v>
      </c>
      <c r="AU980" s="1">
        <v>1992.0</v>
      </c>
      <c r="AV980" s="1">
        <v>48.0</v>
      </c>
      <c r="AW980" s="1" t="s">
        <v>74</v>
      </c>
      <c r="AX980" s="1">
        <v>10.0</v>
      </c>
      <c r="AY980" s="1" t="s">
        <v>74</v>
      </c>
      <c r="AZ980" s="1" t="s">
        <v>74</v>
      </c>
      <c r="BA980" s="1" t="s">
        <v>74</v>
      </c>
      <c r="BB980" s="1">
        <v>1751.0</v>
      </c>
      <c r="BC980" s="1">
        <v>1754.0</v>
      </c>
      <c r="BD980" s="1" t="s">
        <v>74</v>
      </c>
      <c r="BE980" s="1" t="s">
        <v>9703</v>
      </c>
      <c r="BF980" s="2" t="str">
        <f>HYPERLINK("http://dx.doi.org/10.1107/S0108270192001860","http://dx.doi.org/10.1107/S0108270192001860")</f>
        <v>http://dx.doi.org/10.1107/S0108270192001860</v>
      </c>
      <c r="BG980" s="1" t="s">
        <v>74</v>
      </c>
      <c r="BH980" s="1" t="s">
        <v>74</v>
      </c>
      <c r="BI980" s="1" t="s">
        <v>74</v>
      </c>
      <c r="BJ980" s="1" t="s">
        <v>74</v>
      </c>
      <c r="BK980" s="1" t="s">
        <v>74</v>
      </c>
      <c r="BL980" s="1" t="s">
        <v>74</v>
      </c>
      <c r="BM980" s="1" t="s">
        <v>74</v>
      </c>
      <c r="BN980" s="1" t="s">
        <v>74</v>
      </c>
      <c r="BO980" s="1" t="s">
        <v>74</v>
      </c>
      <c r="BP980" s="1" t="s">
        <v>74</v>
      </c>
      <c r="BQ980" s="1" t="s">
        <v>74</v>
      </c>
      <c r="BR980" s="1" t="s">
        <v>74</v>
      </c>
      <c r="BS980" s="1" t="s">
        <v>9704</v>
      </c>
      <c r="BT980" s="1" t="str">
        <f>HYPERLINK("https%3A%2F%2Fwww.webofscience.com%2Fwos%2Fwoscc%2Ffull-record%2FWOS:A1992JW26100005","View Full Record in Web of Science")</f>
        <v>View Full Record in Web of Science</v>
      </c>
    </row>
    <row r="981" ht="12.75" customHeight="1">
      <c r="A981" s="1" t="s">
        <v>72</v>
      </c>
      <c r="B981" s="1" t="s">
        <v>9705</v>
      </c>
      <c r="C981" s="1" t="s">
        <v>74</v>
      </c>
      <c r="D981" s="1" t="s">
        <v>74</v>
      </c>
      <c r="E981" s="1" t="s">
        <v>74</v>
      </c>
      <c r="F981" s="1" t="s">
        <v>9706</v>
      </c>
      <c r="G981" s="1" t="s">
        <v>74</v>
      </c>
      <c r="H981" s="1" t="s">
        <v>74</v>
      </c>
      <c r="I981" s="1" t="s">
        <v>9707</v>
      </c>
      <c r="J981" s="1" t="s">
        <v>9708</v>
      </c>
      <c r="K981" s="1" t="s">
        <v>74</v>
      </c>
      <c r="L981" s="1" t="s">
        <v>74</v>
      </c>
      <c r="M981" s="1" t="s">
        <v>74</v>
      </c>
      <c r="N981" s="1" t="s">
        <v>74</v>
      </c>
      <c r="O981" s="1" t="s">
        <v>6340</v>
      </c>
      <c r="P981" s="1" t="s">
        <v>9709</v>
      </c>
      <c r="Q981" s="1" t="s">
        <v>7403</v>
      </c>
      <c r="R981" s="1" t="s">
        <v>6343</v>
      </c>
      <c r="S981" s="1" t="s">
        <v>74</v>
      </c>
      <c r="T981" s="1" t="s">
        <v>74</v>
      </c>
      <c r="U981" s="1" t="s">
        <v>74</v>
      </c>
      <c r="V981" s="1" t="s">
        <v>74</v>
      </c>
      <c r="W981" s="1" t="s">
        <v>74</v>
      </c>
      <c r="X981" s="1" t="s">
        <v>74</v>
      </c>
      <c r="Y981" s="1" t="s">
        <v>74</v>
      </c>
      <c r="Z981" s="1" t="s">
        <v>74</v>
      </c>
      <c r="AA981" s="1" t="s">
        <v>9710</v>
      </c>
      <c r="AB981" s="1" t="s">
        <v>9711</v>
      </c>
      <c r="AC981" s="1" t="s">
        <v>74</v>
      </c>
      <c r="AD981" s="1" t="s">
        <v>74</v>
      </c>
      <c r="AE981" s="1" t="s">
        <v>74</v>
      </c>
      <c r="AF981" s="1" t="s">
        <v>74</v>
      </c>
      <c r="AG981" s="1" t="s">
        <v>74</v>
      </c>
      <c r="AH981" s="1" t="s">
        <v>74</v>
      </c>
      <c r="AI981" s="1" t="s">
        <v>74</v>
      </c>
      <c r="AJ981" s="1" t="s">
        <v>74</v>
      </c>
      <c r="AK981" s="1" t="s">
        <v>74</v>
      </c>
      <c r="AL981" s="1" t="s">
        <v>74</v>
      </c>
      <c r="AM981" s="1" t="s">
        <v>74</v>
      </c>
      <c r="AN981" s="1" t="s">
        <v>74</v>
      </c>
      <c r="AO981" s="1" t="s">
        <v>6345</v>
      </c>
      <c r="AP981" s="1" t="s">
        <v>6346</v>
      </c>
      <c r="AQ981" s="1" t="s">
        <v>74</v>
      </c>
      <c r="AR981" s="1" t="s">
        <v>74</v>
      </c>
      <c r="AS981" s="1" t="s">
        <v>74</v>
      </c>
      <c r="AT981" s="1" t="s">
        <v>201</v>
      </c>
      <c r="AU981" s="1">
        <v>2024.0</v>
      </c>
      <c r="AV981" s="1">
        <v>56.0</v>
      </c>
      <c r="AW981" s="1">
        <v>10.0</v>
      </c>
      <c r="AX981" s="1" t="s">
        <v>74</v>
      </c>
      <c r="AY981" s="1" t="s">
        <v>1313</v>
      </c>
      <c r="AZ981" s="1" t="s">
        <v>74</v>
      </c>
      <c r="BA981" s="1">
        <v>330.0</v>
      </c>
      <c r="BB981" s="1">
        <v>106.0</v>
      </c>
      <c r="BC981" s="1">
        <v>106.0</v>
      </c>
      <c r="BD981" s="1" t="s">
        <v>74</v>
      </c>
      <c r="BE981" s="1" t="s">
        <v>74</v>
      </c>
      <c r="BF981" s="1" t="s">
        <v>74</v>
      </c>
      <c r="BG981" s="1" t="s">
        <v>74</v>
      </c>
      <c r="BH981" s="1" t="s">
        <v>74</v>
      </c>
      <c r="BI981" s="1" t="s">
        <v>74</v>
      </c>
      <c r="BJ981" s="1" t="s">
        <v>74</v>
      </c>
      <c r="BK981" s="1" t="s">
        <v>74</v>
      </c>
      <c r="BL981" s="1" t="s">
        <v>74</v>
      </c>
      <c r="BM981" s="1" t="s">
        <v>74</v>
      </c>
      <c r="BN981" s="1" t="s">
        <v>74</v>
      </c>
      <c r="BO981" s="1" t="s">
        <v>74</v>
      </c>
      <c r="BP981" s="1" t="s">
        <v>74</v>
      </c>
      <c r="BQ981" s="1" t="s">
        <v>74</v>
      </c>
      <c r="BR981" s="1" t="s">
        <v>74</v>
      </c>
      <c r="BS981" s="1" t="s">
        <v>9712</v>
      </c>
      <c r="BT981" s="1" t="str">
        <f>HYPERLINK("https%3A%2F%2Fwww.webofscience.com%2Fwos%2Fwoscc%2Ffull-record%2FWOS:001315123200229","View Full Record in Web of Science")</f>
        <v>View Full Record in Web of Science</v>
      </c>
    </row>
    <row r="982" ht="12.75" customHeight="1">
      <c r="A982" s="1" t="s">
        <v>72</v>
      </c>
      <c r="B982" s="1" t="s">
        <v>9713</v>
      </c>
      <c r="C982" s="1" t="s">
        <v>74</v>
      </c>
      <c r="D982" s="1" t="s">
        <v>74</v>
      </c>
      <c r="E982" s="1" t="s">
        <v>74</v>
      </c>
      <c r="F982" s="1" t="s">
        <v>9714</v>
      </c>
      <c r="G982" s="1" t="s">
        <v>74</v>
      </c>
      <c r="H982" s="1" t="s">
        <v>74</v>
      </c>
      <c r="I982" s="1" t="s">
        <v>9715</v>
      </c>
      <c r="J982" s="1" t="s">
        <v>9716</v>
      </c>
      <c r="K982" s="1" t="s">
        <v>74</v>
      </c>
      <c r="L982" s="1" t="s">
        <v>74</v>
      </c>
      <c r="M982" s="1" t="s">
        <v>74</v>
      </c>
      <c r="N982" s="1" t="s">
        <v>74</v>
      </c>
      <c r="O982" s="1" t="s">
        <v>74</v>
      </c>
      <c r="P982" s="1" t="s">
        <v>74</v>
      </c>
      <c r="Q982" s="1" t="s">
        <v>74</v>
      </c>
      <c r="R982" s="1" t="s">
        <v>74</v>
      </c>
      <c r="S982" s="1" t="s">
        <v>74</v>
      </c>
      <c r="T982" s="1" t="s">
        <v>74</v>
      </c>
      <c r="U982" s="1" t="s">
        <v>74</v>
      </c>
      <c r="V982" s="1" t="s">
        <v>9717</v>
      </c>
      <c r="W982" s="1" t="s">
        <v>74</v>
      </c>
      <c r="X982" s="1" t="s">
        <v>74</v>
      </c>
      <c r="Y982" s="1" t="s">
        <v>74</v>
      </c>
      <c r="Z982" s="1" t="s">
        <v>74</v>
      </c>
      <c r="AA982" s="1" t="s">
        <v>9718</v>
      </c>
      <c r="AB982" s="1" t="s">
        <v>9719</v>
      </c>
      <c r="AC982" s="1" t="s">
        <v>74</v>
      </c>
      <c r="AD982" s="1" t="s">
        <v>74</v>
      </c>
      <c r="AE982" s="1" t="s">
        <v>74</v>
      </c>
      <c r="AF982" s="1" t="s">
        <v>74</v>
      </c>
      <c r="AG982" s="1" t="s">
        <v>74</v>
      </c>
      <c r="AH982" s="1" t="s">
        <v>74</v>
      </c>
      <c r="AI982" s="1" t="s">
        <v>74</v>
      </c>
      <c r="AJ982" s="1" t="s">
        <v>74</v>
      </c>
      <c r="AK982" s="1" t="s">
        <v>74</v>
      </c>
      <c r="AL982" s="1" t="s">
        <v>74</v>
      </c>
      <c r="AM982" s="1" t="s">
        <v>74</v>
      </c>
      <c r="AN982" s="1" t="s">
        <v>74</v>
      </c>
      <c r="AO982" s="1" t="s">
        <v>9720</v>
      </c>
      <c r="AP982" s="1" t="s">
        <v>9721</v>
      </c>
      <c r="AQ982" s="1" t="s">
        <v>74</v>
      </c>
      <c r="AR982" s="1" t="s">
        <v>74</v>
      </c>
      <c r="AS982" s="1" t="s">
        <v>74</v>
      </c>
      <c r="AT982" s="1" t="s">
        <v>422</v>
      </c>
      <c r="AU982" s="1">
        <v>2024.0</v>
      </c>
      <c r="AV982" s="1">
        <v>36.0</v>
      </c>
      <c r="AW982" s="1">
        <v>1.0</v>
      </c>
      <c r="AX982" s="1" t="s">
        <v>74</v>
      </c>
      <c r="AY982" s="1" t="s">
        <v>74</v>
      </c>
      <c r="AZ982" s="1" t="s">
        <v>74</v>
      </c>
      <c r="BA982" s="1" t="s">
        <v>74</v>
      </c>
      <c r="BB982" s="1" t="s">
        <v>74</v>
      </c>
      <c r="BC982" s="1" t="s">
        <v>74</v>
      </c>
      <c r="BD982" s="1">
        <v>13125.0</v>
      </c>
      <c r="BE982" s="1" t="s">
        <v>9722</v>
      </c>
      <c r="BF982" s="2" t="str">
        <f>HYPERLINK("http://dx.doi.org/10.1063/5.0180570","http://dx.doi.org/10.1063/5.0180570")</f>
        <v>http://dx.doi.org/10.1063/5.0180570</v>
      </c>
      <c r="BG982" s="1" t="s">
        <v>74</v>
      </c>
      <c r="BH982" s="1" t="s">
        <v>74</v>
      </c>
      <c r="BI982" s="1" t="s">
        <v>74</v>
      </c>
      <c r="BJ982" s="1" t="s">
        <v>74</v>
      </c>
      <c r="BK982" s="1" t="s">
        <v>74</v>
      </c>
      <c r="BL982" s="1" t="s">
        <v>74</v>
      </c>
      <c r="BM982" s="1" t="s">
        <v>74</v>
      </c>
      <c r="BN982" s="1" t="s">
        <v>74</v>
      </c>
      <c r="BO982" s="1" t="s">
        <v>74</v>
      </c>
      <c r="BP982" s="1" t="s">
        <v>74</v>
      </c>
      <c r="BQ982" s="1" t="s">
        <v>74</v>
      </c>
      <c r="BR982" s="1" t="s">
        <v>74</v>
      </c>
      <c r="BS982" s="1" t="s">
        <v>9723</v>
      </c>
      <c r="BT982" s="1" t="str">
        <f>HYPERLINK("https%3A%2F%2Fwww.webofscience.com%2Fwos%2Fwoscc%2Ffull-record%2FWOS:001153963000005","View Full Record in Web of Science")</f>
        <v>View Full Record in Web of Science</v>
      </c>
    </row>
    <row r="983" ht="12.75" customHeight="1">
      <c r="A983" s="1" t="s">
        <v>72</v>
      </c>
      <c r="B983" s="1" t="s">
        <v>9724</v>
      </c>
      <c r="C983" s="1" t="s">
        <v>74</v>
      </c>
      <c r="D983" s="1" t="s">
        <v>74</v>
      </c>
      <c r="E983" s="1" t="s">
        <v>74</v>
      </c>
      <c r="F983" s="1" t="s">
        <v>9725</v>
      </c>
      <c r="G983" s="1" t="s">
        <v>74</v>
      </c>
      <c r="H983" s="1" t="s">
        <v>74</v>
      </c>
      <c r="I983" s="1" t="s">
        <v>9726</v>
      </c>
      <c r="J983" s="1" t="s">
        <v>4493</v>
      </c>
      <c r="K983" s="1" t="s">
        <v>74</v>
      </c>
      <c r="L983" s="1" t="s">
        <v>74</v>
      </c>
      <c r="M983" s="1" t="s">
        <v>74</v>
      </c>
      <c r="N983" s="1" t="s">
        <v>74</v>
      </c>
      <c r="O983" s="1" t="s">
        <v>74</v>
      </c>
      <c r="P983" s="1" t="s">
        <v>74</v>
      </c>
      <c r="Q983" s="1" t="s">
        <v>74</v>
      </c>
      <c r="R983" s="1" t="s">
        <v>74</v>
      </c>
      <c r="S983" s="1" t="s">
        <v>74</v>
      </c>
      <c r="T983" s="1" t="s">
        <v>74</v>
      </c>
      <c r="U983" s="1" t="s">
        <v>74</v>
      </c>
      <c r="V983" s="1" t="s">
        <v>9727</v>
      </c>
      <c r="W983" s="1" t="s">
        <v>74</v>
      </c>
      <c r="X983" s="1" t="s">
        <v>74</v>
      </c>
      <c r="Y983" s="1" t="s">
        <v>74</v>
      </c>
      <c r="Z983" s="1" t="s">
        <v>74</v>
      </c>
      <c r="AA983" s="1" t="s">
        <v>9728</v>
      </c>
      <c r="AB983" s="1" t="s">
        <v>9729</v>
      </c>
      <c r="AC983" s="1" t="s">
        <v>74</v>
      </c>
      <c r="AD983" s="1" t="s">
        <v>74</v>
      </c>
      <c r="AE983" s="1" t="s">
        <v>74</v>
      </c>
      <c r="AF983" s="1" t="s">
        <v>74</v>
      </c>
      <c r="AG983" s="1" t="s">
        <v>74</v>
      </c>
      <c r="AH983" s="1" t="s">
        <v>74</v>
      </c>
      <c r="AI983" s="1" t="s">
        <v>74</v>
      </c>
      <c r="AJ983" s="1" t="s">
        <v>74</v>
      </c>
      <c r="AK983" s="1" t="s">
        <v>74</v>
      </c>
      <c r="AL983" s="1" t="s">
        <v>74</v>
      </c>
      <c r="AM983" s="1" t="s">
        <v>74</v>
      </c>
      <c r="AN983" s="1" t="s">
        <v>74</v>
      </c>
      <c r="AO983" s="1" t="s">
        <v>4495</v>
      </c>
      <c r="AP983" s="1" t="s">
        <v>74</v>
      </c>
      <c r="AQ983" s="1" t="s">
        <v>74</v>
      </c>
      <c r="AR983" s="1" t="s">
        <v>74</v>
      </c>
      <c r="AS983" s="1" t="s">
        <v>74</v>
      </c>
      <c r="AT983" s="1" t="s">
        <v>9730</v>
      </c>
      <c r="AU983" s="1">
        <v>2023.0</v>
      </c>
      <c r="AV983" s="1">
        <v>13.0</v>
      </c>
      <c r="AW983" s="1">
        <v>1.0</v>
      </c>
      <c r="AX983" s="1" t="s">
        <v>74</v>
      </c>
      <c r="AY983" s="1" t="s">
        <v>74</v>
      </c>
      <c r="AZ983" s="1" t="s">
        <v>74</v>
      </c>
      <c r="BA983" s="1" t="s">
        <v>74</v>
      </c>
      <c r="BB983" s="1" t="s">
        <v>74</v>
      </c>
      <c r="BC983" s="1" t="s">
        <v>74</v>
      </c>
      <c r="BD983" s="1">
        <v>17742.0</v>
      </c>
      <c r="BE983" s="1" t="s">
        <v>9731</v>
      </c>
      <c r="BF983" s="2" t="str">
        <f>HYPERLINK("http://dx.doi.org/10.1038/s41598-023-45012-7","http://dx.doi.org/10.1038/s41598-023-45012-7")</f>
        <v>http://dx.doi.org/10.1038/s41598-023-45012-7</v>
      </c>
      <c r="BG983" s="1" t="s">
        <v>74</v>
      </c>
      <c r="BH983" s="1" t="s">
        <v>74</v>
      </c>
      <c r="BI983" s="1" t="s">
        <v>74</v>
      </c>
      <c r="BJ983" s="1" t="s">
        <v>74</v>
      </c>
      <c r="BK983" s="1" t="s">
        <v>74</v>
      </c>
      <c r="BL983" s="1" t="s">
        <v>74</v>
      </c>
      <c r="BM983" s="1" t="s">
        <v>74</v>
      </c>
      <c r="BN983" s="1">
        <v>3.7853104E7</v>
      </c>
      <c r="BO983" s="1" t="s">
        <v>74</v>
      </c>
      <c r="BP983" s="1" t="s">
        <v>74</v>
      </c>
      <c r="BQ983" s="1" t="s">
        <v>74</v>
      </c>
      <c r="BR983" s="1" t="s">
        <v>74</v>
      </c>
      <c r="BS983" s="1" t="s">
        <v>9732</v>
      </c>
      <c r="BT983" s="1" t="str">
        <f>HYPERLINK("https%3A%2F%2Fwww.webofscience.com%2Fwos%2Fwoscc%2Ffull-record%2FWOS:001094254900083","View Full Record in Web of Science")</f>
        <v>View Full Record in Web of Science</v>
      </c>
    </row>
    <row r="984" ht="12.75" customHeight="1">
      <c r="A984" s="1" t="s">
        <v>72</v>
      </c>
      <c r="B984" s="1" t="s">
        <v>5013</v>
      </c>
      <c r="C984" s="1" t="s">
        <v>74</v>
      </c>
      <c r="D984" s="1" t="s">
        <v>74</v>
      </c>
      <c r="E984" s="1" t="s">
        <v>74</v>
      </c>
      <c r="F984" s="1" t="s">
        <v>5014</v>
      </c>
      <c r="G984" s="1" t="s">
        <v>74</v>
      </c>
      <c r="H984" s="1" t="s">
        <v>74</v>
      </c>
      <c r="I984" s="1" t="s">
        <v>9733</v>
      </c>
      <c r="J984" s="1" t="s">
        <v>5016</v>
      </c>
      <c r="K984" s="1" t="s">
        <v>74</v>
      </c>
      <c r="L984" s="1" t="s">
        <v>74</v>
      </c>
      <c r="M984" s="1" t="s">
        <v>74</v>
      </c>
      <c r="N984" s="1" t="s">
        <v>74</v>
      </c>
      <c r="O984" s="1" t="s">
        <v>74</v>
      </c>
      <c r="P984" s="1" t="s">
        <v>74</v>
      </c>
      <c r="Q984" s="1" t="s">
        <v>74</v>
      </c>
      <c r="R984" s="1" t="s">
        <v>74</v>
      </c>
      <c r="S984" s="1" t="s">
        <v>74</v>
      </c>
      <c r="T984" s="1" t="s">
        <v>74</v>
      </c>
      <c r="U984" s="1" t="s">
        <v>74</v>
      </c>
      <c r="V984" s="1" t="s">
        <v>74</v>
      </c>
      <c r="W984" s="1" t="s">
        <v>74</v>
      </c>
      <c r="X984" s="1" t="s">
        <v>74</v>
      </c>
      <c r="Y984" s="1" t="s">
        <v>74</v>
      </c>
      <c r="Z984" s="1" t="s">
        <v>74</v>
      </c>
      <c r="AA984" s="1" t="s">
        <v>5018</v>
      </c>
      <c r="AB984" s="1" t="s">
        <v>74</v>
      </c>
      <c r="AC984" s="1" t="s">
        <v>74</v>
      </c>
      <c r="AD984" s="1" t="s">
        <v>74</v>
      </c>
      <c r="AE984" s="1" t="s">
        <v>74</v>
      </c>
      <c r="AF984" s="1" t="s">
        <v>74</v>
      </c>
      <c r="AG984" s="1" t="s">
        <v>74</v>
      </c>
      <c r="AH984" s="1" t="s">
        <v>74</v>
      </c>
      <c r="AI984" s="1" t="s">
        <v>74</v>
      </c>
      <c r="AJ984" s="1" t="s">
        <v>74</v>
      </c>
      <c r="AK984" s="1" t="s">
        <v>74</v>
      </c>
      <c r="AL984" s="1" t="s">
        <v>74</v>
      </c>
      <c r="AM984" s="1" t="s">
        <v>74</v>
      </c>
      <c r="AN984" s="1" t="s">
        <v>74</v>
      </c>
      <c r="AO984" s="1" t="s">
        <v>5020</v>
      </c>
      <c r="AP984" s="1" t="s">
        <v>5021</v>
      </c>
      <c r="AQ984" s="1" t="s">
        <v>74</v>
      </c>
      <c r="AR984" s="1" t="s">
        <v>74</v>
      </c>
      <c r="AS984" s="1" t="s">
        <v>74</v>
      </c>
      <c r="AT984" s="1" t="s">
        <v>348</v>
      </c>
      <c r="AU984" s="1">
        <v>2023.0</v>
      </c>
      <c r="AV984" s="1">
        <v>46.0</v>
      </c>
      <c r="AW984" s="1">
        <v>3.0</v>
      </c>
      <c r="AX984" s="1" t="s">
        <v>74</v>
      </c>
      <c r="AY984" s="1" t="s">
        <v>74</v>
      </c>
      <c r="AZ984" s="1" t="s">
        <v>74</v>
      </c>
      <c r="BA984" s="1" t="s">
        <v>74</v>
      </c>
      <c r="BB984" s="1">
        <v>459.0</v>
      </c>
      <c r="BC984" s="1">
        <v>459.0</v>
      </c>
      <c r="BD984" s="1" t="s">
        <v>74</v>
      </c>
      <c r="BE984" s="1" t="s">
        <v>9734</v>
      </c>
      <c r="BF984" s="2" t="str">
        <f>HYPERLINK("http://dx.doi.org/10.1007/s11133-023-09538-6","http://dx.doi.org/10.1007/s11133-023-09538-6")</f>
        <v>http://dx.doi.org/10.1007/s11133-023-09538-6</v>
      </c>
      <c r="BG984" s="1" t="s">
        <v>74</v>
      </c>
      <c r="BH984" s="1" t="s">
        <v>2425</v>
      </c>
      <c r="BI984" s="1" t="s">
        <v>74</v>
      </c>
      <c r="BJ984" s="1" t="s">
        <v>74</v>
      </c>
      <c r="BK984" s="1" t="s">
        <v>74</v>
      </c>
      <c r="BL984" s="1" t="s">
        <v>74</v>
      </c>
      <c r="BM984" s="1" t="s">
        <v>74</v>
      </c>
      <c r="BN984" s="1">
        <v>3.7359312E7</v>
      </c>
      <c r="BO984" s="1" t="s">
        <v>74</v>
      </c>
      <c r="BP984" s="1" t="s">
        <v>74</v>
      </c>
      <c r="BQ984" s="1" t="s">
        <v>74</v>
      </c>
      <c r="BR984" s="1" t="s">
        <v>74</v>
      </c>
      <c r="BS984" s="1" t="s">
        <v>9735</v>
      </c>
      <c r="BT984" s="1" t="str">
        <f>HYPERLINK("https%3A%2F%2Fwww.webofscience.com%2Fwos%2Fwoscc%2Ffull-record%2FWOS:001008633100001","View Full Record in Web of Science")</f>
        <v>View Full Record in Web of Science</v>
      </c>
    </row>
    <row r="985" ht="12.75" customHeight="1">
      <c r="A985" s="1" t="s">
        <v>72</v>
      </c>
      <c r="B985" s="1" t="s">
        <v>9736</v>
      </c>
      <c r="C985" s="1" t="s">
        <v>74</v>
      </c>
      <c r="D985" s="1" t="s">
        <v>74</v>
      </c>
      <c r="E985" s="1" t="s">
        <v>74</v>
      </c>
      <c r="F985" s="1" t="s">
        <v>9737</v>
      </c>
      <c r="G985" s="1" t="s">
        <v>74</v>
      </c>
      <c r="H985" s="1" t="s">
        <v>74</v>
      </c>
      <c r="I985" s="1" t="s">
        <v>9738</v>
      </c>
      <c r="J985" s="1" t="s">
        <v>9739</v>
      </c>
      <c r="K985" s="1" t="s">
        <v>74</v>
      </c>
      <c r="L985" s="1" t="s">
        <v>74</v>
      </c>
      <c r="M985" s="1" t="s">
        <v>74</v>
      </c>
      <c r="N985" s="1" t="s">
        <v>74</v>
      </c>
      <c r="O985" s="1" t="s">
        <v>74</v>
      </c>
      <c r="P985" s="1" t="s">
        <v>74</v>
      </c>
      <c r="Q985" s="1" t="s">
        <v>74</v>
      </c>
      <c r="R985" s="1" t="s">
        <v>74</v>
      </c>
      <c r="S985" s="1" t="s">
        <v>74</v>
      </c>
      <c r="T985" s="1" t="s">
        <v>74</v>
      </c>
      <c r="U985" s="1" t="s">
        <v>74</v>
      </c>
      <c r="V985" s="1" t="s">
        <v>9740</v>
      </c>
      <c r="W985" s="1" t="s">
        <v>74</v>
      </c>
      <c r="X985" s="1" t="s">
        <v>74</v>
      </c>
      <c r="Y985" s="1" t="s">
        <v>74</v>
      </c>
      <c r="Z985" s="1" t="s">
        <v>74</v>
      </c>
      <c r="AA985" s="1" t="s">
        <v>74</v>
      </c>
      <c r="AB985" s="1" t="s">
        <v>9741</v>
      </c>
      <c r="AC985" s="1" t="s">
        <v>74</v>
      </c>
      <c r="AD985" s="1" t="s">
        <v>74</v>
      </c>
      <c r="AE985" s="1" t="s">
        <v>74</v>
      </c>
      <c r="AF985" s="1" t="s">
        <v>74</v>
      </c>
      <c r="AG985" s="1" t="s">
        <v>74</v>
      </c>
      <c r="AH985" s="1" t="s">
        <v>74</v>
      </c>
      <c r="AI985" s="1" t="s">
        <v>74</v>
      </c>
      <c r="AJ985" s="1" t="s">
        <v>74</v>
      </c>
      <c r="AK985" s="1" t="s">
        <v>74</v>
      </c>
      <c r="AL985" s="1" t="s">
        <v>74</v>
      </c>
      <c r="AM985" s="1" t="s">
        <v>74</v>
      </c>
      <c r="AN985" s="1" t="s">
        <v>74</v>
      </c>
      <c r="AO985" s="1" t="s">
        <v>9742</v>
      </c>
      <c r="AP985" s="1" t="s">
        <v>9743</v>
      </c>
      <c r="AQ985" s="1" t="s">
        <v>74</v>
      </c>
      <c r="AR985" s="1" t="s">
        <v>74</v>
      </c>
      <c r="AS985" s="1" t="s">
        <v>74</v>
      </c>
      <c r="AT985" s="1" t="s">
        <v>164</v>
      </c>
      <c r="AU985" s="1">
        <v>2023.0</v>
      </c>
      <c r="AV985" s="1">
        <v>127.0</v>
      </c>
      <c r="AW985" s="1" t="s">
        <v>74</v>
      </c>
      <c r="AX985" s="1" t="s">
        <v>74</v>
      </c>
      <c r="AY985" s="1" t="s">
        <v>74</v>
      </c>
      <c r="AZ985" s="1" t="s">
        <v>74</v>
      </c>
      <c r="BA985" s="1" t="s">
        <v>74</v>
      </c>
      <c r="BB985" s="1" t="s">
        <v>74</v>
      </c>
      <c r="BC985" s="1" t="s">
        <v>74</v>
      </c>
      <c r="BD985" s="1">
        <v>104425.0</v>
      </c>
      <c r="BE985" s="1" t="s">
        <v>9744</v>
      </c>
      <c r="BF985" s="2" t="str">
        <f>HYPERLINK("http://dx.doi.org/10.1016/j.jsames.2023.104425","http://dx.doi.org/10.1016/j.jsames.2023.104425")</f>
        <v>http://dx.doi.org/10.1016/j.jsames.2023.104425</v>
      </c>
      <c r="BG985" s="1" t="s">
        <v>74</v>
      </c>
      <c r="BH985" s="1" t="s">
        <v>2425</v>
      </c>
      <c r="BI985" s="1" t="s">
        <v>74</v>
      </c>
      <c r="BJ985" s="1" t="s">
        <v>74</v>
      </c>
      <c r="BK985" s="1" t="s">
        <v>74</v>
      </c>
      <c r="BL985" s="1" t="s">
        <v>74</v>
      </c>
      <c r="BM985" s="1" t="s">
        <v>74</v>
      </c>
      <c r="BN985" s="1" t="s">
        <v>74</v>
      </c>
      <c r="BO985" s="1" t="s">
        <v>74</v>
      </c>
      <c r="BP985" s="1" t="s">
        <v>74</v>
      </c>
      <c r="BQ985" s="1" t="s">
        <v>74</v>
      </c>
      <c r="BR985" s="1" t="s">
        <v>74</v>
      </c>
      <c r="BS985" s="1" t="s">
        <v>9745</v>
      </c>
      <c r="BT985" s="1" t="str">
        <f>HYPERLINK("https%3A%2F%2Fwww.webofscience.com%2Fwos%2Fwoscc%2Ffull-record%2FWOS:001011562600001","View Full Record in Web of Science")</f>
        <v>View Full Record in Web of Science</v>
      </c>
    </row>
    <row r="986" ht="12.75" customHeight="1">
      <c r="A986" s="1" t="s">
        <v>72</v>
      </c>
      <c r="B986" s="1" t="s">
        <v>9746</v>
      </c>
      <c r="C986" s="1" t="s">
        <v>74</v>
      </c>
      <c r="D986" s="1" t="s">
        <v>74</v>
      </c>
      <c r="E986" s="1" t="s">
        <v>74</v>
      </c>
      <c r="F986" s="1" t="s">
        <v>9747</v>
      </c>
      <c r="G986" s="1" t="s">
        <v>74</v>
      </c>
      <c r="H986" s="1" t="s">
        <v>74</v>
      </c>
      <c r="I986" s="1" t="s">
        <v>9748</v>
      </c>
      <c r="J986" s="1" t="s">
        <v>77</v>
      </c>
      <c r="K986" s="1" t="s">
        <v>74</v>
      </c>
      <c r="L986" s="1" t="s">
        <v>74</v>
      </c>
      <c r="M986" s="1" t="s">
        <v>74</v>
      </c>
      <c r="N986" s="1" t="s">
        <v>74</v>
      </c>
      <c r="O986" s="1" t="s">
        <v>74</v>
      </c>
      <c r="P986" s="1" t="s">
        <v>74</v>
      </c>
      <c r="Q986" s="1" t="s">
        <v>74</v>
      </c>
      <c r="R986" s="1" t="s">
        <v>74</v>
      </c>
      <c r="S986" s="1" t="s">
        <v>74</v>
      </c>
      <c r="T986" s="1" t="s">
        <v>74</v>
      </c>
      <c r="U986" s="1" t="s">
        <v>74</v>
      </c>
      <c r="V986" s="1" t="s">
        <v>9749</v>
      </c>
      <c r="W986" s="1" t="s">
        <v>74</v>
      </c>
      <c r="X986" s="1" t="s">
        <v>74</v>
      </c>
      <c r="Y986" s="1" t="s">
        <v>74</v>
      </c>
      <c r="Z986" s="1" t="s">
        <v>74</v>
      </c>
      <c r="AA986" s="1" t="s">
        <v>9750</v>
      </c>
      <c r="AB986" s="1" t="s">
        <v>9751</v>
      </c>
      <c r="AC986" s="1" t="s">
        <v>74</v>
      </c>
      <c r="AD986" s="1" t="s">
        <v>74</v>
      </c>
      <c r="AE986" s="1" t="s">
        <v>74</v>
      </c>
      <c r="AF986" s="1" t="s">
        <v>74</v>
      </c>
      <c r="AG986" s="1" t="s">
        <v>74</v>
      </c>
      <c r="AH986" s="1" t="s">
        <v>74</v>
      </c>
      <c r="AI986" s="1" t="s">
        <v>74</v>
      </c>
      <c r="AJ986" s="1" t="s">
        <v>74</v>
      </c>
      <c r="AK986" s="1" t="s">
        <v>74</v>
      </c>
      <c r="AL986" s="1" t="s">
        <v>74</v>
      </c>
      <c r="AM986" s="1" t="s">
        <v>74</v>
      </c>
      <c r="AN986" s="1" t="s">
        <v>74</v>
      </c>
      <c r="AO986" s="1" t="s">
        <v>81</v>
      </c>
      <c r="AP986" s="1" t="s">
        <v>74</v>
      </c>
      <c r="AQ986" s="1" t="s">
        <v>74</v>
      </c>
      <c r="AR986" s="1" t="s">
        <v>74</v>
      </c>
      <c r="AS986" s="1" t="s">
        <v>74</v>
      </c>
      <c r="AT986" s="1" t="s">
        <v>5442</v>
      </c>
      <c r="AU986" s="1">
        <v>2022.0</v>
      </c>
      <c r="AV986" s="1">
        <v>17.0</v>
      </c>
      <c r="AW986" s="1">
        <v>10.0</v>
      </c>
      <c r="AX986" s="1" t="s">
        <v>74</v>
      </c>
      <c r="AY986" s="1" t="s">
        <v>74</v>
      </c>
      <c r="AZ986" s="1" t="s">
        <v>74</v>
      </c>
      <c r="BA986" s="1" t="s">
        <v>74</v>
      </c>
      <c r="BB986" s="1" t="s">
        <v>74</v>
      </c>
      <c r="BC986" s="1" t="s">
        <v>74</v>
      </c>
      <c r="BD986" s="1" t="s">
        <v>9752</v>
      </c>
      <c r="BE986" s="1" t="s">
        <v>9753</v>
      </c>
      <c r="BF986" s="2" t="str">
        <f>HYPERLINK("http://dx.doi.org/10.1371/journal.pone.0273392","http://dx.doi.org/10.1371/journal.pone.0273392")</f>
        <v>http://dx.doi.org/10.1371/journal.pone.0273392</v>
      </c>
      <c r="BG986" s="1" t="s">
        <v>74</v>
      </c>
      <c r="BH986" s="1" t="s">
        <v>74</v>
      </c>
      <c r="BI986" s="1" t="s">
        <v>74</v>
      </c>
      <c r="BJ986" s="1" t="s">
        <v>74</v>
      </c>
      <c r="BK986" s="1" t="s">
        <v>74</v>
      </c>
      <c r="BL986" s="1" t="s">
        <v>74</v>
      </c>
      <c r="BM986" s="1" t="s">
        <v>74</v>
      </c>
      <c r="BN986" s="1">
        <v>3.6206251E7</v>
      </c>
      <c r="BO986" s="1" t="s">
        <v>74</v>
      </c>
      <c r="BP986" s="1" t="s">
        <v>74</v>
      </c>
      <c r="BQ986" s="1" t="s">
        <v>74</v>
      </c>
      <c r="BR986" s="1" t="s">
        <v>74</v>
      </c>
      <c r="BS986" s="1" t="s">
        <v>9754</v>
      </c>
      <c r="BT986" s="1" t="str">
        <f>HYPERLINK("https%3A%2F%2Fwww.webofscience.com%2Fwos%2Fwoscc%2Ffull-record%2FWOS:000908422200021","View Full Record in Web of Science")</f>
        <v>View Full Record in Web of Science</v>
      </c>
    </row>
    <row r="987" ht="12.75" customHeight="1">
      <c r="A987" s="1" t="s">
        <v>72</v>
      </c>
      <c r="B987" s="1" t="s">
        <v>9755</v>
      </c>
      <c r="C987" s="1" t="s">
        <v>74</v>
      </c>
      <c r="D987" s="1" t="s">
        <v>74</v>
      </c>
      <c r="E987" s="1" t="s">
        <v>74</v>
      </c>
      <c r="F987" s="1" t="s">
        <v>9756</v>
      </c>
      <c r="G987" s="1" t="s">
        <v>74</v>
      </c>
      <c r="H987" s="1" t="s">
        <v>74</v>
      </c>
      <c r="I987" s="1" t="s">
        <v>9757</v>
      </c>
      <c r="J987" s="1" t="s">
        <v>9758</v>
      </c>
      <c r="K987" s="1" t="s">
        <v>74</v>
      </c>
      <c r="L987" s="1" t="s">
        <v>74</v>
      </c>
      <c r="M987" s="1" t="s">
        <v>74</v>
      </c>
      <c r="N987" s="1" t="s">
        <v>74</v>
      </c>
      <c r="O987" s="1" t="s">
        <v>74</v>
      </c>
      <c r="P987" s="1" t="s">
        <v>74</v>
      </c>
      <c r="Q987" s="1" t="s">
        <v>74</v>
      </c>
      <c r="R987" s="1" t="s">
        <v>74</v>
      </c>
      <c r="S987" s="1" t="s">
        <v>74</v>
      </c>
      <c r="T987" s="1" t="s">
        <v>74</v>
      </c>
      <c r="U987" s="1" t="s">
        <v>74</v>
      </c>
      <c r="V987" s="1" t="s">
        <v>9759</v>
      </c>
      <c r="W987" s="1" t="s">
        <v>74</v>
      </c>
      <c r="X987" s="1" t="s">
        <v>74</v>
      </c>
      <c r="Y987" s="1" t="s">
        <v>74</v>
      </c>
      <c r="Z987" s="1" t="s">
        <v>74</v>
      </c>
      <c r="AA987" s="1" t="s">
        <v>9760</v>
      </c>
      <c r="AB987" s="1" t="s">
        <v>4604</v>
      </c>
      <c r="AC987" s="1" t="s">
        <v>74</v>
      </c>
      <c r="AD987" s="1" t="s">
        <v>74</v>
      </c>
      <c r="AE987" s="1" t="s">
        <v>74</v>
      </c>
      <c r="AF987" s="1" t="s">
        <v>74</v>
      </c>
      <c r="AG987" s="1" t="s">
        <v>74</v>
      </c>
      <c r="AH987" s="1" t="s">
        <v>74</v>
      </c>
      <c r="AI987" s="1" t="s">
        <v>74</v>
      </c>
      <c r="AJ987" s="1" t="s">
        <v>74</v>
      </c>
      <c r="AK987" s="1" t="s">
        <v>74</v>
      </c>
      <c r="AL987" s="1" t="s">
        <v>74</v>
      </c>
      <c r="AM987" s="1" t="s">
        <v>74</v>
      </c>
      <c r="AN987" s="1" t="s">
        <v>74</v>
      </c>
      <c r="AO987" s="1" t="s">
        <v>9761</v>
      </c>
      <c r="AP987" s="1" t="s">
        <v>9762</v>
      </c>
      <c r="AQ987" s="1" t="s">
        <v>74</v>
      </c>
      <c r="AR987" s="1" t="s">
        <v>74</v>
      </c>
      <c r="AS987" s="1" t="s">
        <v>74</v>
      </c>
      <c r="AT987" s="1" t="s">
        <v>537</v>
      </c>
      <c r="AU987" s="1">
        <v>2022.0</v>
      </c>
      <c r="AV987" s="1">
        <v>57.0</v>
      </c>
      <c r="AW987" s="1" t="s">
        <v>74</v>
      </c>
      <c r="AX987" s="1" t="s">
        <v>74</v>
      </c>
      <c r="AY987" s="1" t="s">
        <v>74</v>
      </c>
      <c r="AZ987" s="1" t="s">
        <v>74</v>
      </c>
      <c r="BA987" s="1" t="s">
        <v>74</v>
      </c>
      <c r="BB987" s="1">
        <v>1.0</v>
      </c>
      <c r="BC987" s="1">
        <v>5.0</v>
      </c>
      <c r="BD987" s="1" t="s">
        <v>74</v>
      </c>
      <c r="BE987" s="1" t="s">
        <v>9763</v>
      </c>
      <c r="BF987" s="2" t="str">
        <f>HYPERLINK("http://dx.doi.org/10.1016/j.jveb.2022.07.014","http://dx.doi.org/10.1016/j.jveb.2022.07.014")</f>
        <v>http://dx.doi.org/10.1016/j.jveb.2022.07.014</v>
      </c>
      <c r="BG987" s="1" t="s">
        <v>74</v>
      </c>
      <c r="BH987" s="1" t="s">
        <v>9764</v>
      </c>
      <c r="BI987" s="1" t="s">
        <v>74</v>
      </c>
      <c r="BJ987" s="1" t="s">
        <v>74</v>
      </c>
      <c r="BK987" s="1" t="s">
        <v>74</v>
      </c>
      <c r="BL987" s="1" t="s">
        <v>74</v>
      </c>
      <c r="BM987" s="1" t="s">
        <v>74</v>
      </c>
      <c r="BN987" s="1" t="s">
        <v>74</v>
      </c>
      <c r="BO987" s="1" t="s">
        <v>74</v>
      </c>
      <c r="BP987" s="1" t="s">
        <v>74</v>
      </c>
      <c r="BQ987" s="1" t="s">
        <v>74</v>
      </c>
      <c r="BR987" s="1" t="s">
        <v>74</v>
      </c>
      <c r="BS987" s="1" t="s">
        <v>9765</v>
      </c>
      <c r="BT987" s="1" t="str">
        <f>HYPERLINK("https%3A%2F%2Fwww.webofscience.com%2Fwos%2Fwoscc%2Ffull-record%2FWOS:000880111700001","View Full Record in Web of Science")</f>
        <v>View Full Record in Web of Science</v>
      </c>
    </row>
    <row r="988" ht="12.75" customHeight="1">
      <c r="A988" s="1" t="s">
        <v>72</v>
      </c>
      <c r="B988" s="1" t="s">
        <v>9766</v>
      </c>
      <c r="C988" s="1" t="s">
        <v>74</v>
      </c>
      <c r="D988" s="1" t="s">
        <v>74</v>
      </c>
      <c r="E988" s="1" t="s">
        <v>74</v>
      </c>
      <c r="F988" s="1" t="s">
        <v>9767</v>
      </c>
      <c r="G988" s="1" t="s">
        <v>74</v>
      </c>
      <c r="H988" s="1" t="s">
        <v>74</v>
      </c>
      <c r="I988" s="1" t="s">
        <v>9768</v>
      </c>
      <c r="J988" s="1" t="s">
        <v>3861</v>
      </c>
      <c r="K988" s="1" t="s">
        <v>74</v>
      </c>
      <c r="L988" s="1" t="s">
        <v>74</v>
      </c>
      <c r="M988" s="1" t="s">
        <v>74</v>
      </c>
      <c r="N988" s="1" t="s">
        <v>74</v>
      </c>
      <c r="O988" s="1" t="s">
        <v>74</v>
      </c>
      <c r="P988" s="1" t="s">
        <v>74</v>
      </c>
      <c r="Q988" s="1" t="s">
        <v>74</v>
      </c>
      <c r="R988" s="1" t="s">
        <v>74</v>
      </c>
      <c r="S988" s="1" t="s">
        <v>74</v>
      </c>
      <c r="T988" s="1" t="s">
        <v>74</v>
      </c>
      <c r="U988" s="1" t="s">
        <v>74</v>
      </c>
      <c r="V988" s="1" t="s">
        <v>9769</v>
      </c>
      <c r="W988" s="1" t="s">
        <v>74</v>
      </c>
      <c r="X988" s="1" t="s">
        <v>74</v>
      </c>
      <c r="Y988" s="1" t="s">
        <v>74</v>
      </c>
      <c r="Z988" s="1" t="s">
        <v>74</v>
      </c>
      <c r="AA988" s="1" t="s">
        <v>9770</v>
      </c>
      <c r="AB988" s="1" t="s">
        <v>9771</v>
      </c>
      <c r="AC988" s="1" t="s">
        <v>74</v>
      </c>
      <c r="AD988" s="1" t="s">
        <v>74</v>
      </c>
      <c r="AE988" s="1" t="s">
        <v>74</v>
      </c>
      <c r="AF988" s="1" t="s">
        <v>74</v>
      </c>
      <c r="AG988" s="1" t="s">
        <v>74</v>
      </c>
      <c r="AH988" s="1" t="s">
        <v>74</v>
      </c>
      <c r="AI988" s="1" t="s">
        <v>74</v>
      </c>
      <c r="AJ988" s="1" t="s">
        <v>74</v>
      </c>
      <c r="AK988" s="1" t="s">
        <v>74</v>
      </c>
      <c r="AL988" s="1" t="s">
        <v>74</v>
      </c>
      <c r="AM988" s="1" t="s">
        <v>74</v>
      </c>
      <c r="AN988" s="1" t="s">
        <v>74</v>
      </c>
      <c r="AO988" s="1" t="s">
        <v>74</v>
      </c>
      <c r="AP988" s="1" t="s">
        <v>3865</v>
      </c>
      <c r="AQ988" s="1" t="s">
        <v>74</v>
      </c>
      <c r="AR988" s="1" t="s">
        <v>74</v>
      </c>
      <c r="AS988" s="1" t="s">
        <v>74</v>
      </c>
      <c r="AT988" s="1" t="s">
        <v>235</v>
      </c>
      <c r="AU988" s="1">
        <v>2022.0</v>
      </c>
      <c r="AV988" s="1">
        <v>11.0</v>
      </c>
      <c r="AW988" s="1">
        <v>7.0</v>
      </c>
      <c r="AX988" s="1" t="s">
        <v>74</v>
      </c>
      <c r="AY988" s="1" t="s">
        <v>74</v>
      </c>
      <c r="AZ988" s="1" t="s">
        <v>74</v>
      </c>
      <c r="BA988" s="1" t="s">
        <v>74</v>
      </c>
      <c r="BB988" s="1" t="s">
        <v>74</v>
      </c>
      <c r="BC988" s="1" t="s">
        <v>74</v>
      </c>
      <c r="BD988" s="1">
        <v>901.0</v>
      </c>
      <c r="BE988" s="1" t="s">
        <v>9772</v>
      </c>
      <c r="BF988" s="2" t="str">
        <f>HYPERLINK("http://dx.doi.org/10.3390/foods11070901","http://dx.doi.org/10.3390/foods11070901")</f>
        <v>http://dx.doi.org/10.3390/foods11070901</v>
      </c>
      <c r="BG988" s="1" t="s">
        <v>74</v>
      </c>
      <c r="BH988" s="1" t="s">
        <v>74</v>
      </c>
      <c r="BI988" s="1" t="s">
        <v>74</v>
      </c>
      <c r="BJ988" s="1" t="s">
        <v>74</v>
      </c>
      <c r="BK988" s="1" t="s">
        <v>74</v>
      </c>
      <c r="BL988" s="1" t="s">
        <v>74</v>
      </c>
      <c r="BM988" s="1" t="s">
        <v>74</v>
      </c>
      <c r="BN988" s="1">
        <v>3.5406988E7</v>
      </c>
      <c r="BO988" s="1" t="s">
        <v>74</v>
      </c>
      <c r="BP988" s="1" t="s">
        <v>74</v>
      </c>
      <c r="BQ988" s="1" t="s">
        <v>74</v>
      </c>
      <c r="BR988" s="1" t="s">
        <v>74</v>
      </c>
      <c r="BS988" s="1" t="s">
        <v>9773</v>
      </c>
      <c r="BT988" s="1" t="str">
        <f>HYPERLINK("https%3A%2F%2Fwww.webofscience.com%2Fwos%2Fwoscc%2Ffull-record%2FWOS:000782081000001","View Full Record in Web of Science")</f>
        <v>View Full Record in Web of Science</v>
      </c>
    </row>
    <row r="989" ht="12.75" customHeight="1">
      <c r="A989" s="1" t="s">
        <v>72</v>
      </c>
      <c r="B989" s="1" t="s">
        <v>9774</v>
      </c>
      <c r="C989" s="1" t="s">
        <v>74</v>
      </c>
      <c r="D989" s="1" t="s">
        <v>74</v>
      </c>
      <c r="E989" s="1" t="s">
        <v>74</v>
      </c>
      <c r="F989" s="1" t="s">
        <v>9775</v>
      </c>
      <c r="G989" s="1" t="s">
        <v>74</v>
      </c>
      <c r="H989" s="1" t="s">
        <v>74</v>
      </c>
      <c r="I989" s="1" t="s">
        <v>9776</v>
      </c>
      <c r="J989" s="1" t="s">
        <v>595</v>
      </c>
      <c r="K989" s="1" t="s">
        <v>74</v>
      </c>
      <c r="L989" s="1" t="s">
        <v>74</v>
      </c>
      <c r="M989" s="1" t="s">
        <v>74</v>
      </c>
      <c r="N989" s="1" t="s">
        <v>74</v>
      </c>
      <c r="O989" s="1" t="s">
        <v>74</v>
      </c>
      <c r="P989" s="1" t="s">
        <v>74</v>
      </c>
      <c r="Q989" s="1" t="s">
        <v>74</v>
      </c>
      <c r="R989" s="1" t="s">
        <v>74</v>
      </c>
      <c r="S989" s="1" t="s">
        <v>74</v>
      </c>
      <c r="T989" s="1" t="s">
        <v>74</v>
      </c>
      <c r="U989" s="1" t="s">
        <v>74</v>
      </c>
      <c r="V989" s="1" t="s">
        <v>9777</v>
      </c>
      <c r="W989" s="1" t="s">
        <v>74</v>
      </c>
      <c r="X989" s="1" t="s">
        <v>74</v>
      </c>
      <c r="Y989" s="1" t="s">
        <v>74</v>
      </c>
      <c r="Z989" s="1" t="s">
        <v>74</v>
      </c>
      <c r="AA989" s="1" t="s">
        <v>9778</v>
      </c>
      <c r="AB989" s="1" t="s">
        <v>9779</v>
      </c>
      <c r="AC989" s="1" t="s">
        <v>74</v>
      </c>
      <c r="AD989" s="1" t="s">
        <v>74</v>
      </c>
      <c r="AE989" s="1" t="s">
        <v>74</v>
      </c>
      <c r="AF989" s="1" t="s">
        <v>74</v>
      </c>
      <c r="AG989" s="1" t="s">
        <v>74</v>
      </c>
      <c r="AH989" s="1" t="s">
        <v>74</v>
      </c>
      <c r="AI989" s="1" t="s">
        <v>74</v>
      </c>
      <c r="AJ989" s="1" t="s">
        <v>74</v>
      </c>
      <c r="AK989" s="1" t="s">
        <v>74</v>
      </c>
      <c r="AL989" s="1" t="s">
        <v>74</v>
      </c>
      <c r="AM989" s="1" t="s">
        <v>74</v>
      </c>
      <c r="AN989" s="1" t="s">
        <v>74</v>
      </c>
      <c r="AO989" s="1" t="s">
        <v>74</v>
      </c>
      <c r="AP989" s="1" t="s">
        <v>599</v>
      </c>
      <c r="AQ989" s="1" t="s">
        <v>74</v>
      </c>
      <c r="AR989" s="1" t="s">
        <v>74</v>
      </c>
      <c r="AS989" s="1" t="s">
        <v>74</v>
      </c>
      <c r="AT989" s="1" t="s">
        <v>1213</v>
      </c>
      <c r="AU989" s="1">
        <v>2022.0</v>
      </c>
      <c r="AV989" s="1">
        <v>14.0</v>
      </c>
      <c r="AW989" s="1">
        <v>5.0</v>
      </c>
      <c r="AX989" s="1" t="s">
        <v>74</v>
      </c>
      <c r="AY989" s="1" t="s">
        <v>74</v>
      </c>
      <c r="AZ989" s="1" t="s">
        <v>74</v>
      </c>
      <c r="BA989" s="1" t="s">
        <v>74</v>
      </c>
      <c r="BB989" s="1" t="s">
        <v>74</v>
      </c>
      <c r="BC989" s="1" t="s">
        <v>74</v>
      </c>
      <c r="BD989" s="1">
        <v>945.0</v>
      </c>
      <c r="BE989" s="1" t="s">
        <v>9780</v>
      </c>
      <c r="BF989" s="2" t="str">
        <f>HYPERLINK("http://dx.doi.org/10.3390/polym14050945","http://dx.doi.org/10.3390/polym14050945")</f>
        <v>http://dx.doi.org/10.3390/polym14050945</v>
      </c>
      <c r="BG989" s="1" t="s">
        <v>74</v>
      </c>
      <c r="BH989" s="1" t="s">
        <v>74</v>
      </c>
      <c r="BI989" s="1" t="s">
        <v>74</v>
      </c>
      <c r="BJ989" s="1" t="s">
        <v>74</v>
      </c>
      <c r="BK989" s="1" t="s">
        <v>74</v>
      </c>
      <c r="BL989" s="1" t="s">
        <v>74</v>
      </c>
      <c r="BM989" s="1" t="s">
        <v>74</v>
      </c>
      <c r="BN989" s="1">
        <v>3.5267768E7</v>
      </c>
      <c r="BO989" s="1" t="s">
        <v>74</v>
      </c>
      <c r="BP989" s="1" t="s">
        <v>74</v>
      </c>
      <c r="BQ989" s="1" t="s">
        <v>74</v>
      </c>
      <c r="BR989" s="1" t="s">
        <v>74</v>
      </c>
      <c r="BS989" s="1" t="s">
        <v>9781</v>
      </c>
      <c r="BT989" s="1" t="str">
        <f>HYPERLINK("https%3A%2F%2Fwww.webofscience.com%2Fwos%2Fwoscc%2Ffull-record%2FWOS:000775321900001","View Full Record in Web of Science")</f>
        <v>View Full Record in Web of Science</v>
      </c>
    </row>
    <row r="990" ht="12.75" customHeight="1">
      <c r="A990" s="1" t="s">
        <v>72</v>
      </c>
      <c r="B990" s="1" t="s">
        <v>9782</v>
      </c>
      <c r="C990" s="1" t="s">
        <v>74</v>
      </c>
      <c r="D990" s="1" t="s">
        <v>74</v>
      </c>
      <c r="E990" s="1" t="s">
        <v>74</v>
      </c>
      <c r="F990" s="1" t="s">
        <v>9783</v>
      </c>
      <c r="G990" s="1" t="s">
        <v>74</v>
      </c>
      <c r="H990" s="1" t="s">
        <v>74</v>
      </c>
      <c r="I990" s="1" t="s">
        <v>9784</v>
      </c>
      <c r="J990" s="1" t="s">
        <v>9785</v>
      </c>
      <c r="K990" s="1" t="s">
        <v>74</v>
      </c>
      <c r="L990" s="1" t="s">
        <v>74</v>
      </c>
      <c r="M990" s="1" t="s">
        <v>74</v>
      </c>
      <c r="N990" s="1" t="s">
        <v>74</v>
      </c>
      <c r="O990" s="1" t="s">
        <v>74</v>
      </c>
      <c r="P990" s="1" t="s">
        <v>74</v>
      </c>
      <c r="Q990" s="1" t="s">
        <v>74</v>
      </c>
      <c r="R990" s="1" t="s">
        <v>74</v>
      </c>
      <c r="S990" s="1" t="s">
        <v>74</v>
      </c>
      <c r="T990" s="1" t="s">
        <v>74</v>
      </c>
      <c r="U990" s="1" t="s">
        <v>74</v>
      </c>
      <c r="V990" s="1" t="s">
        <v>9786</v>
      </c>
      <c r="W990" s="1" t="s">
        <v>74</v>
      </c>
      <c r="X990" s="1" t="s">
        <v>74</v>
      </c>
      <c r="Y990" s="1" t="s">
        <v>74</v>
      </c>
      <c r="Z990" s="1" t="s">
        <v>74</v>
      </c>
      <c r="AA990" s="1" t="s">
        <v>9787</v>
      </c>
      <c r="AB990" s="1" t="s">
        <v>9788</v>
      </c>
      <c r="AC990" s="1" t="s">
        <v>74</v>
      </c>
      <c r="AD990" s="1" t="s">
        <v>74</v>
      </c>
      <c r="AE990" s="1" t="s">
        <v>74</v>
      </c>
      <c r="AF990" s="1" t="s">
        <v>74</v>
      </c>
      <c r="AG990" s="1" t="s">
        <v>74</v>
      </c>
      <c r="AH990" s="1" t="s">
        <v>74</v>
      </c>
      <c r="AI990" s="1" t="s">
        <v>74</v>
      </c>
      <c r="AJ990" s="1" t="s">
        <v>74</v>
      </c>
      <c r="AK990" s="1" t="s">
        <v>74</v>
      </c>
      <c r="AL990" s="1" t="s">
        <v>74</v>
      </c>
      <c r="AM990" s="1" t="s">
        <v>74</v>
      </c>
      <c r="AN990" s="1" t="s">
        <v>74</v>
      </c>
      <c r="AO990" s="1" t="s">
        <v>9789</v>
      </c>
      <c r="AP990" s="1" t="s">
        <v>9790</v>
      </c>
      <c r="AQ990" s="1" t="s">
        <v>74</v>
      </c>
      <c r="AR990" s="1" t="s">
        <v>74</v>
      </c>
      <c r="AS990" s="1" t="s">
        <v>74</v>
      </c>
      <c r="AT990" s="1" t="s">
        <v>1123</v>
      </c>
      <c r="AU990" s="1">
        <v>2022.0</v>
      </c>
      <c r="AV990" s="1">
        <v>13.0</v>
      </c>
      <c r="AW990" s="1">
        <v>3.0</v>
      </c>
      <c r="AX990" s="1" t="s">
        <v>74</v>
      </c>
      <c r="AY990" s="1" t="s">
        <v>74</v>
      </c>
      <c r="AZ990" s="1" t="s">
        <v>74</v>
      </c>
      <c r="BA990" s="1" t="s">
        <v>74</v>
      </c>
      <c r="BB990" s="1">
        <v>1370.0</v>
      </c>
      <c r="BC990" s="1">
        <v>1379.0</v>
      </c>
      <c r="BD990" s="1" t="s">
        <v>74</v>
      </c>
      <c r="BE990" s="1" t="s">
        <v>9791</v>
      </c>
      <c r="BF990" s="2" t="str">
        <f>HYPERLINK("http://dx.doi.org/10.1039/d1fo03688b","http://dx.doi.org/10.1039/d1fo03688b")</f>
        <v>http://dx.doi.org/10.1039/d1fo03688b</v>
      </c>
      <c r="BG990" s="1" t="s">
        <v>74</v>
      </c>
      <c r="BH990" s="1" t="s">
        <v>297</v>
      </c>
      <c r="BI990" s="1" t="s">
        <v>74</v>
      </c>
      <c r="BJ990" s="1" t="s">
        <v>74</v>
      </c>
      <c r="BK990" s="1" t="s">
        <v>74</v>
      </c>
      <c r="BL990" s="1" t="s">
        <v>74</v>
      </c>
      <c r="BM990" s="1" t="s">
        <v>74</v>
      </c>
      <c r="BN990" s="1">
        <v>3.5044402E7</v>
      </c>
      <c r="BO990" s="1" t="s">
        <v>74</v>
      </c>
      <c r="BP990" s="1" t="s">
        <v>74</v>
      </c>
      <c r="BQ990" s="1" t="s">
        <v>74</v>
      </c>
      <c r="BR990" s="1" t="s">
        <v>74</v>
      </c>
      <c r="BS990" s="1" t="s">
        <v>9792</v>
      </c>
      <c r="BT990" s="1" t="str">
        <f>HYPERLINK("https%3A%2F%2Fwww.webofscience.com%2Fwos%2Fwoscc%2Ffull-record%2FWOS:000744899300001","View Full Record in Web of Science")</f>
        <v>View Full Record in Web of Science</v>
      </c>
    </row>
    <row r="991" ht="12.75" customHeight="1">
      <c r="A991" s="1" t="s">
        <v>72</v>
      </c>
      <c r="B991" s="1" t="s">
        <v>9793</v>
      </c>
      <c r="C991" s="1" t="s">
        <v>74</v>
      </c>
      <c r="D991" s="1" t="s">
        <v>74</v>
      </c>
      <c r="E991" s="1" t="s">
        <v>74</v>
      </c>
      <c r="F991" s="1" t="s">
        <v>9794</v>
      </c>
      <c r="G991" s="1" t="s">
        <v>74</v>
      </c>
      <c r="H991" s="1" t="s">
        <v>74</v>
      </c>
      <c r="I991" s="1" t="s">
        <v>9795</v>
      </c>
      <c r="J991" s="1" t="s">
        <v>5831</v>
      </c>
      <c r="K991" s="1" t="s">
        <v>74</v>
      </c>
      <c r="L991" s="1" t="s">
        <v>74</v>
      </c>
      <c r="M991" s="1" t="s">
        <v>74</v>
      </c>
      <c r="N991" s="1" t="s">
        <v>74</v>
      </c>
      <c r="O991" s="1" t="s">
        <v>74</v>
      </c>
      <c r="P991" s="1" t="s">
        <v>74</v>
      </c>
      <c r="Q991" s="1" t="s">
        <v>74</v>
      </c>
      <c r="R991" s="1" t="s">
        <v>74</v>
      </c>
      <c r="S991" s="1" t="s">
        <v>74</v>
      </c>
      <c r="T991" s="1" t="s">
        <v>74</v>
      </c>
      <c r="U991" s="1" t="s">
        <v>74</v>
      </c>
      <c r="V991" s="1" t="s">
        <v>9796</v>
      </c>
      <c r="W991" s="1" t="s">
        <v>74</v>
      </c>
      <c r="X991" s="1" t="s">
        <v>74</v>
      </c>
      <c r="Y991" s="1" t="s">
        <v>74</v>
      </c>
      <c r="Z991" s="1" t="s">
        <v>74</v>
      </c>
      <c r="AA991" s="1" t="s">
        <v>9797</v>
      </c>
      <c r="AB991" s="1" t="s">
        <v>9798</v>
      </c>
      <c r="AC991" s="1" t="s">
        <v>74</v>
      </c>
      <c r="AD991" s="1" t="s">
        <v>74</v>
      </c>
      <c r="AE991" s="1" t="s">
        <v>74</v>
      </c>
      <c r="AF991" s="1" t="s">
        <v>74</v>
      </c>
      <c r="AG991" s="1" t="s">
        <v>74</v>
      </c>
      <c r="AH991" s="1" t="s">
        <v>74</v>
      </c>
      <c r="AI991" s="1" t="s">
        <v>74</v>
      </c>
      <c r="AJ991" s="1" t="s">
        <v>74</v>
      </c>
      <c r="AK991" s="1" t="s">
        <v>74</v>
      </c>
      <c r="AL991" s="1" t="s">
        <v>74</v>
      </c>
      <c r="AM991" s="1" t="s">
        <v>74</v>
      </c>
      <c r="AN991" s="1" t="s">
        <v>74</v>
      </c>
      <c r="AO991" s="1" t="s">
        <v>74</v>
      </c>
      <c r="AP991" s="1" t="s">
        <v>5835</v>
      </c>
      <c r="AQ991" s="1" t="s">
        <v>74</v>
      </c>
      <c r="AR991" s="1" t="s">
        <v>74</v>
      </c>
      <c r="AS991" s="1" t="s">
        <v>74</v>
      </c>
      <c r="AT991" s="1" t="s">
        <v>422</v>
      </c>
      <c r="AU991" s="1">
        <v>2022.0</v>
      </c>
      <c r="AV991" s="1">
        <v>15.0</v>
      </c>
      <c r="AW991" s="1">
        <v>2.0</v>
      </c>
      <c r="AX991" s="1" t="s">
        <v>74</v>
      </c>
      <c r="AY991" s="1" t="s">
        <v>74</v>
      </c>
      <c r="AZ991" s="1" t="s">
        <v>74</v>
      </c>
      <c r="BA991" s="1" t="s">
        <v>74</v>
      </c>
      <c r="BB991" s="1" t="s">
        <v>74</v>
      </c>
      <c r="BC991" s="1" t="s">
        <v>74</v>
      </c>
      <c r="BD991" s="1">
        <v>615.0</v>
      </c>
      <c r="BE991" s="1" t="s">
        <v>9799</v>
      </c>
      <c r="BF991" s="2" t="str">
        <f>HYPERLINK("http://dx.doi.org/10.3390/ma15020615","http://dx.doi.org/10.3390/ma15020615")</f>
        <v>http://dx.doi.org/10.3390/ma15020615</v>
      </c>
      <c r="BG991" s="1" t="s">
        <v>74</v>
      </c>
      <c r="BH991" s="1" t="s">
        <v>74</v>
      </c>
      <c r="BI991" s="1" t="s">
        <v>74</v>
      </c>
      <c r="BJ991" s="1" t="s">
        <v>74</v>
      </c>
      <c r="BK991" s="1" t="s">
        <v>74</v>
      </c>
      <c r="BL991" s="1" t="s">
        <v>74</v>
      </c>
      <c r="BM991" s="1" t="s">
        <v>74</v>
      </c>
      <c r="BN991" s="1">
        <v>3.5057329E7</v>
      </c>
      <c r="BO991" s="1" t="s">
        <v>74</v>
      </c>
      <c r="BP991" s="1" t="s">
        <v>74</v>
      </c>
      <c r="BQ991" s="1" t="s">
        <v>74</v>
      </c>
      <c r="BR991" s="1" t="s">
        <v>74</v>
      </c>
      <c r="BS991" s="1" t="s">
        <v>9800</v>
      </c>
      <c r="BT991" s="1" t="str">
        <f>HYPERLINK("https%3A%2F%2Fwww.webofscience.com%2Fwos%2Fwoscc%2Ffull-record%2FWOS:000747037600001","View Full Record in Web of Science")</f>
        <v>View Full Record in Web of Science</v>
      </c>
    </row>
    <row r="992" ht="12.75" customHeight="1">
      <c r="A992" s="1" t="s">
        <v>72</v>
      </c>
      <c r="B992" s="1" t="s">
        <v>9801</v>
      </c>
      <c r="C992" s="1" t="s">
        <v>74</v>
      </c>
      <c r="D992" s="1" t="s">
        <v>74</v>
      </c>
      <c r="E992" s="1" t="s">
        <v>74</v>
      </c>
      <c r="F992" s="1" t="s">
        <v>9802</v>
      </c>
      <c r="G992" s="1" t="s">
        <v>74</v>
      </c>
      <c r="H992" s="1" t="s">
        <v>74</v>
      </c>
      <c r="I992" s="1" t="s">
        <v>9803</v>
      </c>
      <c r="J992" s="1" t="s">
        <v>9804</v>
      </c>
      <c r="K992" s="1" t="s">
        <v>74</v>
      </c>
      <c r="L992" s="1" t="s">
        <v>74</v>
      </c>
      <c r="M992" s="1" t="s">
        <v>74</v>
      </c>
      <c r="N992" s="1" t="s">
        <v>74</v>
      </c>
      <c r="O992" s="1" t="s">
        <v>74</v>
      </c>
      <c r="P992" s="1" t="s">
        <v>74</v>
      </c>
      <c r="Q992" s="1" t="s">
        <v>74</v>
      </c>
      <c r="R992" s="1" t="s">
        <v>74</v>
      </c>
      <c r="S992" s="1" t="s">
        <v>74</v>
      </c>
      <c r="T992" s="1" t="s">
        <v>74</v>
      </c>
      <c r="U992" s="1" t="s">
        <v>74</v>
      </c>
      <c r="V992" s="1" t="s">
        <v>9805</v>
      </c>
      <c r="W992" s="1" t="s">
        <v>74</v>
      </c>
      <c r="X992" s="1" t="s">
        <v>74</v>
      </c>
      <c r="Y992" s="1" t="s">
        <v>74</v>
      </c>
      <c r="Z992" s="1" t="s">
        <v>74</v>
      </c>
      <c r="AA992" s="1" t="s">
        <v>9806</v>
      </c>
      <c r="AB992" s="1" t="s">
        <v>9807</v>
      </c>
      <c r="AC992" s="1" t="s">
        <v>74</v>
      </c>
      <c r="AD992" s="1" t="s">
        <v>74</v>
      </c>
      <c r="AE992" s="1" t="s">
        <v>74</v>
      </c>
      <c r="AF992" s="1" t="s">
        <v>74</v>
      </c>
      <c r="AG992" s="1" t="s">
        <v>74</v>
      </c>
      <c r="AH992" s="1" t="s">
        <v>74</v>
      </c>
      <c r="AI992" s="1" t="s">
        <v>74</v>
      </c>
      <c r="AJ992" s="1" t="s">
        <v>74</v>
      </c>
      <c r="AK992" s="1" t="s">
        <v>74</v>
      </c>
      <c r="AL992" s="1" t="s">
        <v>74</v>
      </c>
      <c r="AM992" s="1" t="s">
        <v>74</v>
      </c>
      <c r="AN992" s="1" t="s">
        <v>74</v>
      </c>
      <c r="AO992" s="1" t="s">
        <v>9808</v>
      </c>
      <c r="AP992" s="1" t="s">
        <v>74</v>
      </c>
      <c r="AQ992" s="1" t="s">
        <v>74</v>
      </c>
      <c r="AR992" s="1" t="s">
        <v>74</v>
      </c>
      <c r="AS992" s="1" t="s">
        <v>74</v>
      </c>
      <c r="AT992" s="1" t="s">
        <v>537</v>
      </c>
      <c r="AU992" s="1">
        <v>2021.0</v>
      </c>
      <c r="AV992" s="1" t="s">
        <v>74</v>
      </c>
      <c r="AW992" s="1">
        <v>81.0</v>
      </c>
      <c r="AX992" s="1" t="s">
        <v>74</v>
      </c>
      <c r="AY992" s="1" t="s">
        <v>74</v>
      </c>
      <c r="AZ992" s="1" t="s">
        <v>74</v>
      </c>
      <c r="BA992" s="1" t="s">
        <v>74</v>
      </c>
      <c r="BB992" s="1">
        <v>105.0</v>
      </c>
      <c r="BC992" s="1">
        <v>138.0</v>
      </c>
      <c r="BD992" s="1" t="s">
        <v>74</v>
      </c>
      <c r="BE992" s="1" t="s">
        <v>74</v>
      </c>
      <c r="BF992" s="1" t="s">
        <v>74</v>
      </c>
      <c r="BG992" s="1" t="s">
        <v>74</v>
      </c>
      <c r="BH992" s="1" t="s">
        <v>74</v>
      </c>
      <c r="BI992" s="1" t="s">
        <v>74</v>
      </c>
      <c r="BJ992" s="1" t="s">
        <v>74</v>
      </c>
      <c r="BK992" s="1" t="s">
        <v>74</v>
      </c>
      <c r="BL992" s="1" t="s">
        <v>74</v>
      </c>
      <c r="BM992" s="1" t="s">
        <v>74</v>
      </c>
      <c r="BN992" s="1" t="s">
        <v>74</v>
      </c>
      <c r="BO992" s="1" t="s">
        <v>74</v>
      </c>
      <c r="BP992" s="1" t="s">
        <v>74</v>
      </c>
      <c r="BQ992" s="1" t="s">
        <v>74</v>
      </c>
      <c r="BR992" s="1" t="s">
        <v>74</v>
      </c>
      <c r="BS992" s="1" t="s">
        <v>9809</v>
      </c>
      <c r="BT992" s="1" t="str">
        <f>HYPERLINK("https%3A%2F%2Fwww.webofscience.com%2Fwos%2Fwoscc%2Ffull-record%2FWOS:000849857500004","View Full Record in Web of Science")</f>
        <v>View Full Record in Web of Science</v>
      </c>
    </row>
    <row r="993" ht="12.75" customHeight="1">
      <c r="A993" s="1" t="s">
        <v>72</v>
      </c>
      <c r="B993" s="1" t="s">
        <v>9810</v>
      </c>
      <c r="C993" s="1" t="s">
        <v>74</v>
      </c>
      <c r="D993" s="1" t="s">
        <v>74</v>
      </c>
      <c r="E993" s="1" t="s">
        <v>74</v>
      </c>
      <c r="F993" s="1" t="s">
        <v>9811</v>
      </c>
      <c r="G993" s="1" t="s">
        <v>74</v>
      </c>
      <c r="H993" s="1" t="s">
        <v>74</v>
      </c>
      <c r="I993" s="1" t="s">
        <v>9812</v>
      </c>
      <c r="J993" s="1" t="s">
        <v>9813</v>
      </c>
      <c r="K993" s="1" t="s">
        <v>74</v>
      </c>
      <c r="L993" s="1" t="s">
        <v>74</v>
      </c>
      <c r="M993" s="1" t="s">
        <v>74</v>
      </c>
      <c r="N993" s="1" t="s">
        <v>74</v>
      </c>
      <c r="O993" s="1" t="s">
        <v>74</v>
      </c>
      <c r="P993" s="1" t="s">
        <v>74</v>
      </c>
      <c r="Q993" s="1" t="s">
        <v>74</v>
      </c>
      <c r="R993" s="1" t="s">
        <v>74</v>
      </c>
      <c r="S993" s="1" t="s">
        <v>74</v>
      </c>
      <c r="T993" s="1" t="s">
        <v>74</v>
      </c>
      <c r="U993" s="1" t="s">
        <v>74</v>
      </c>
      <c r="V993" s="1" t="s">
        <v>9814</v>
      </c>
      <c r="W993" s="1" t="s">
        <v>74</v>
      </c>
      <c r="X993" s="1" t="s">
        <v>74</v>
      </c>
      <c r="Y993" s="1" t="s">
        <v>74</v>
      </c>
      <c r="Z993" s="1" t="s">
        <v>74</v>
      </c>
      <c r="AA993" s="1" t="s">
        <v>9815</v>
      </c>
      <c r="AB993" s="1" t="s">
        <v>9816</v>
      </c>
      <c r="AC993" s="1" t="s">
        <v>74</v>
      </c>
      <c r="AD993" s="1" t="s">
        <v>74</v>
      </c>
      <c r="AE993" s="1" t="s">
        <v>74</v>
      </c>
      <c r="AF993" s="1" t="s">
        <v>74</v>
      </c>
      <c r="AG993" s="1" t="s">
        <v>74</v>
      </c>
      <c r="AH993" s="1" t="s">
        <v>74</v>
      </c>
      <c r="AI993" s="1" t="s">
        <v>74</v>
      </c>
      <c r="AJ993" s="1" t="s">
        <v>74</v>
      </c>
      <c r="AK993" s="1" t="s">
        <v>74</v>
      </c>
      <c r="AL993" s="1" t="s">
        <v>74</v>
      </c>
      <c r="AM993" s="1" t="s">
        <v>74</v>
      </c>
      <c r="AN993" s="1" t="s">
        <v>74</v>
      </c>
      <c r="AO993" s="1" t="s">
        <v>74</v>
      </c>
      <c r="AP993" s="1" t="s">
        <v>9817</v>
      </c>
      <c r="AQ993" s="1" t="s">
        <v>74</v>
      </c>
      <c r="AR993" s="1" t="s">
        <v>74</v>
      </c>
      <c r="AS993" s="1" t="s">
        <v>74</v>
      </c>
      <c r="AT993" s="1" t="s">
        <v>485</v>
      </c>
      <c r="AU993" s="1">
        <v>2021.0</v>
      </c>
      <c r="AV993" s="1">
        <v>9.0</v>
      </c>
      <c r="AW993" s="1">
        <v>5.0</v>
      </c>
      <c r="AX993" s="1" t="s">
        <v>74</v>
      </c>
      <c r="AY993" s="1" t="s">
        <v>74</v>
      </c>
      <c r="AZ993" s="1" t="s">
        <v>74</v>
      </c>
      <c r="BA993" s="1" t="s">
        <v>74</v>
      </c>
      <c r="BB993" s="1" t="s">
        <v>74</v>
      </c>
      <c r="BC993" s="1" t="s">
        <v>74</v>
      </c>
      <c r="BD993" s="1">
        <v>88.0</v>
      </c>
      <c r="BE993" s="1" t="s">
        <v>9818</v>
      </c>
      <c r="BF993" s="2" t="str">
        <f>HYPERLINK("http://dx.doi.org/10.3390/chemosensors9050088","http://dx.doi.org/10.3390/chemosensors9050088")</f>
        <v>http://dx.doi.org/10.3390/chemosensors9050088</v>
      </c>
      <c r="BG993" s="1" t="s">
        <v>74</v>
      </c>
      <c r="BH993" s="1" t="s">
        <v>74</v>
      </c>
      <c r="BI993" s="1" t="s">
        <v>74</v>
      </c>
      <c r="BJ993" s="1" t="s">
        <v>74</v>
      </c>
      <c r="BK993" s="1" t="s">
        <v>74</v>
      </c>
      <c r="BL993" s="1" t="s">
        <v>74</v>
      </c>
      <c r="BM993" s="1" t="s">
        <v>74</v>
      </c>
      <c r="BN993" s="1" t="s">
        <v>74</v>
      </c>
      <c r="BO993" s="1" t="s">
        <v>74</v>
      </c>
      <c r="BP993" s="1" t="s">
        <v>74</v>
      </c>
      <c r="BQ993" s="1" t="s">
        <v>74</v>
      </c>
      <c r="BR993" s="1" t="s">
        <v>74</v>
      </c>
      <c r="BS993" s="1" t="s">
        <v>9819</v>
      </c>
      <c r="BT993" s="1" t="str">
        <f>HYPERLINK("https%3A%2F%2Fwww.webofscience.com%2Fwos%2Fwoscc%2Ffull-record%2FWOS:000653570100001","View Full Record in Web of Science")</f>
        <v>View Full Record in Web of Science</v>
      </c>
    </row>
    <row r="994" ht="12.75" customHeight="1">
      <c r="A994" s="1" t="s">
        <v>72</v>
      </c>
      <c r="B994" s="1" t="s">
        <v>9820</v>
      </c>
      <c r="C994" s="1" t="s">
        <v>74</v>
      </c>
      <c r="D994" s="1" t="s">
        <v>74</v>
      </c>
      <c r="E994" s="1" t="s">
        <v>74</v>
      </c>
      <c r="F994" s="1" t="s">
        <v>9821</v>
      </c>
      <c r="G994" s="1" t="s">
        <v>74</v>
      </c>
      <c r="H994" s="1" t="s">
        <v>74</v>
      </c>
      <c r="I994" s="1" t="s">
        <v>9822</v>
      </c>
      <c r="J994" s="1" t="s">
        <v>2030</v>
      </c>
      <c r="K994" s="1" t="s">
        <v>74</v>
      </c>
      <c r="L994" s="1" t="s">
        <v>74</v>
      </c>
      <c r="M994" s="1" t="s">
        <v>74</v>
      </c>
      <c r="N994" s="1" t="s">
        <v>74</v>
      </c>
      <c r="O994" s="1" t="s">
        <v>74</v>
      </c>
      <c r="P994" s="1" t="s">
        <v>74</v>
      </c>
      <c r="Q994" s="1" t="s">
        <v>74</v>
      </c>
      <c r="R994" s="1" t="s">
        <v>74</v>
      </c>
      <c r="S994" s="1" t="s">
        <v>74</v>
      </c>
      <c r="T994" s="1" t="s">
        <v>74</v>
      </c>
      <c r="U994" s="1" t="s">
        <v>74</v>
      </c>
      <c r="V994" s="1" t="s">
        <v>9823</v>
      </c>
      <c r="W994" s="1" t="s">
        <v>74</v>
      </c>
      <c r="X994" s="1" t="s">
        <v>74</v>
      </c>
      <c r="Y994" s="1" t="s">
        <v>74</v>
      </c>
      <c r="Z994" s="1" t="s">
        <v>74</v>
      </c>
      <c r="AA994" s="1" t="s">
        <v>9824</v>
      </c>
      <c r="AB994" s="1" t="s">
        <v>9825</v>
      </c>
      <c r="AC994" s="1" t="s">
        <v>74</v>
      </c>
      <c r="AD994" s="1" t="s">
        <v>74</v>
      </c>
      <c r="AE994" s="1" t="s">
        <v>74</v>
      </c>
      <c r="AF994" s="1" t="s">
        <v>74</v>
      </c>
      <c r="AG994" s="1" t="s">
        <v>74</v>
      </c>
      <c r="AH994" s="1" t="s">
        <v>74</v>
      </c>
      <c r="AI994" s="1" t="s">
        <v>74</v>
      </c>
      <c r="AJ994" s="1" t="s">
        <v>74</v>
      </c>
      <c r="AK994" s="1" t="s">
        <v>74</v>
      </c>
      <c r="AL994" s="1" t="s">
        <v>74</v>
      </c>
      <c r="AM994" s="1" t="s">
        <v>74</v>
      </c>
      <c r="AN994" s="1" t="s">
        <v>74</v>
      </c>
      <c r="AO994" s="1" t="s">
        <v>74</v>
      </c>
      <c r="AP994" s="1" t="s">
        <v>2034</v>
      </c>
      <c r="AQ994" s="1" t="s">
        <v>74</v>
      </c>
      <c r="AR994" s="1" t="s">
        <v>74</v>
      </c>
      <c r="AS994" s="1" t="s">
        <v>74</v>
      </c>
      <c r="AT994" s="1" t="s">
        <v>1213</v>
      </c>
      <c r="AU994" s="1">
        <v>2021.0</v>
      </c>
      <c r="AV994" s="1">
        <v>13.0</v>
      </c>
      <c r="AW994" s="1">
        <v>6.0</v>
      </c>
      <c r="AX994" s="1" t="s">
        <v>74</v>
      </c>
      <c r="AY994" s="1" t="s">
        <v>74</v>
      </c>
      <c r="AZ994" s="1" t="s">
        <v>74</v>
      </c>
      <c r="BA994" s="1" t="s">
        <v>74</v>
      </c>
      <c r="BB994" s="1" t="s">
        <v>74</v>
      </c>
      <c r="BC994" s="1" t="s">
        <v>74</v>
      </c>
      <c r="BD994" s="1">
        <v>3298.0</v>
      </c>
      <c r="BE994" s="1" t="s">
        <v>9826</v>
      </c>
      <c r="BF994" s="2" t="str">
        <f>HYPERLINK("http://dx.doi.org/10.3390/su13063298","http://dx.doi.org/10.3390/su13063298")</f>
        <v>http://dx.doi.org/10.3390/su13063298</v>
      </c>
      <c r="BG994" s="1" t="s">
        <v>74</v>
      </c>
      <c r="BH994" s="1" t="s">
        <v>74</v>
      </c>
      <c r="BI994" s="1" t="s">
        <v>74</v>
      </c>
      <c r="BJ994" s="1" t="s">
        <v>74</v>
      </c>
      <c r="BK994" s="1" t="s">
        <v>74</v>
      </c>
      <c r="BL994" s="1" t="s">
        <v>74</v>
      </c>
      <c r="BM994" s="1" t="s">
        <v>74</v>
      </c>
      <c r="BN994" s="1" t="s">
        <v>74</v>
      </c>
      <c r="BO994" s="1" t="s">
        <v>74</v>
      </c>
      <c r="BP994" s="1" t="s">
        <v>74</v>
      </c>
      <c r="BQ994" s="1" t="s">
        <v>74</v>
      </c>
      <c r="BR994" s="1" t="s">
        <v>74</v>
      </c>
      <c r="BS994" s="1" t="s">
        <v>9827</v>
      </c>
      <c r="BT994" s="1" t="str">
        <f>HYPERLINK("https%3A%2F%2Fwww.webofscience.com%2Fwos%2Fwoscc%2Ffull-record%2FWOS:000645708500001","View Full Record in Web of Science")</f>
        <v>View Full Record in Web of Science</v>
      </c>
    </row>
    <row r="995" ht="12.75" customHeight="1">
      <c r="A995" s="1" t="s">
        <v>72</v>
      </c>
      <c r="B995" s="1" t="s">
        <v>9828</v>
      </c>
      <c r="C995" s="1" t="s">
        <v>74</v>
      </c>
      <c r="D995" s="1" t="s">
        <v>74</v>
      </c>
      <c r="E995" s="1" t="s">
        <v>74</v>
      </c>
      <c r="F995" s="1" t="s">
        <v>9829</v>
      </c>
      <c r="G995" s="1" t="s">
        <v>74</v>
      </c>
      <c r="H995" s="1" t="s">
        <v>74</v>
      </c>
      <c r="I995" s="1" t="s">
        <v>9830</v>
      </c>
      <c r="J995" s="1" t="s">
        <v>4510</v>
      </c>
      <c r="K995" s="1" t="s">
        <v>74</v>
      </c>
      <c r="L995" s="1" t="s">
        <v>74</v>
      </c>
      <c r="M995" s="1" t="s">
        <v>74</v>
      </c>
      <c r="N995" s="1" t="s">
        <v>74</v>
      </c>
      <c r="O995" s="1" t="s">
        <v>74</v>
      </c>
      <c r="P995" s="1" t="s">
        <v>74</v>
      </c>
      <c r="Q995" s="1" t="s">
        <v>74</v>
      </c>
      <c r="R995" s="1" t="s">
        <v>74</v>
      </c>
      <c r="S995" s="1" t="s">
        <v>74</v>
      </c>
      <c r="T995" s="1" t="s">
        <v>74</v>
      </c>
      <c r="U995" s="1" t="s">
        <v>74</v>
      </c>
      <c r="V995" s="1" t="s">
        <v>74</v>
      </c>
      <c r="W995" s="1" t="s">
        <v>74</v>
      </c>
      <c r="X995" s="1" t="s">
        <v>74</v>
      </c>
      <c r="Y995" s="1" t="s">
        <v>74</v>
      </c>
      <c r="Z995" s="1" t="s">
        <v>74</v>
      </c>
      <c r="AA995" s="1" t="s">
        <v>9831</v>
      </c>
      <c r="AB995" s="1" t="s">
        <v>9832</v>
      </c>
      <c r="AC995" s="1" t="s">
        <v>74</v>
      </c>
      <c r="AD995" s="1" t="s">
        <v>74</v>
      </c>
      <c r="AE995" s="1" t="s">
        <v>74</v>
      </c>
      <c r="AF995" s="1" t="s">
        <v>74</v>
      </c>
      <c r="AG995" s="1" t="s">
        <v>74</v>
      </c>
      <c r="AH995" s="1" t="s">
        <v>74</v>
      </c>
      <c r="AI995" s="1" t="s">
        <v>74</v>
      </c>
      <c r="AJ995" s="1" t="s">
        <v>74</v>
      </c>
      <c r="AK995" s="1" t="s">
        <v>74</v>
      </c>
      <c r="AL995" s="1" t="s">
        <v>74</v>
      </c>
      <c r="AM995" s="1" t="s">
        <v>74</v>
      </c>
      <c r="AN995" s="1" t="s">
        <v>74</v>
      </c>
      <c r="AO995" s="1" t="s">
        <v>4514</v>
      </c>
      <c r="AP995" s="1" t="s">
        <v>74</v>
      </c>
      <c r="AQ995" s="1" t="s">
        <v>74</v>
      </c>
      <c r="AR995" s="1" t="s">
        <v>74</v>
      </c>
      <c r="AS995" s="1" t="s">
        <v>74</v>
      </c>
      <c r="AT995" s="1" t="s">
        <v>9833</v>
      </c>
      <c r="AU995" s="1">
        <v>2021.0</v>
      </c>
      <c r="AV995" s="1">
        <v>11.0</v>
      </c>
      <c r="AW995" s="1" t="s">
        <v>74</v>
      </c>
      <c r="AX995" s="1" t="s">
        <v>74</v>
      </c>
      <c r="AY995" s="1" t="s">
        <v>74</v>
      </c>
      <c r="AZ995" s="1" t="s">
        <v>74</v>
      </c>
      <c r="BA995" s="1" t="s">
        <v>74</v>
      </c>
      <c r="BB995" s="1" t="s">
        <v>74</v>
      </c>
      <c r="BC995" s="1" t="s">
        <v>74</v>
      </c>
      <c r="BD995" s="1">
        <v>548546.0</v>
      </c>
      <c r="BE995" s="1" t="s">
        <v>9834</v>
      </c>
      <c r="BF995" s="2" t="str">
        <f>HYPERLINK("http://dx.doi.org/10.3389/fpsyg.2020.548546","http://dx.doi.org/10.3389/fpsyg.2020.548546")</f>
        <v>http://dx.doi.org/10.3389/fpsyg.2020.548546</v>
      </c>
      <c r="BG995" s="1" t="s">
        <v>74</v>
      </c>
      <c r="BH995" s="1" t="s">
        <v>74</v>
      </c>
      <c r="BI995" s="1" t="s">
        <v>74</v>
      </c>
      <c r="BJ995" s="1" t="s">
        <v>74</v>
      </c>
      <c r="BK995" s="1" t="s">
        <v>74</v>
      </c>
      <c r="BL995" s="1" t="s">
        <v>74</v>
      </c>
      <c r="BM995" s="1" t="s">
        <v>74</v>
      </c>
      <c r="BN995" s="1">
        <v>3.3584398E7</v>
      </c>
      <c r="BO995" s="1" t="s">
        <v>74</v>
      </c>
      <c r="BP995" s="1" t="s">
        <v>74</v>
      </c>
      <c r="BQ995" s="1" t="s">
        <v>74</v>
      </c>
      <c r="BR995" s="1" t="s">
        <v>74</v>
      </c>
      <c r="BS995" s="1" t="s">
        <v>9835</v>
      </c>
      <c r="BT995" s="1" t="str">
        <f>HYPERLINK("https%3A%2F%2Fwww.webofscience.com%2Fwos%2Fwoscc%2Ffull-record%2FWOS:000617297700001","View Full Record in Web of Science")</f>
        <v>View Full Record in Web of Science</v>
      </c>
    </row>
    <row r="996" ht="12.75" customHeight="1">
      <c r="A996" s="1" t="s">
        <v>72</v>
      </c>
      <c r="B996" s="1" t="s">
        <v>9836</v>
      </c>
      <c r="C996" s="1" t="s">
        <v>74</v>
      </c>
      <c r="D996" s="1" t="s">
        <v>74</v>
      </c>
      <c r="E996" s="1" t="s">
        <v>74</v>
      </c>
      <c r="F996" s="1" t="s">
        <v>9837</v>
      </c>
      <c r="G996" s="1" t="s">
        <v>74</v>
      </c>
      <c r="H996" s="1" t="s">
        <v>74</v>
      </c>
      <c r="I996" s="1" t="s">
        <v>9838</v>
      </c>
      <c r="J996" s="1" t="s">
        <v>469</v>
      </c>
      <c r="K996" s="1" t="s">
        <v>74</v>
      </c>
      <c r="L996" s="1" t="s">
        <v>74</v>
      </c>
      <c r="M996" s="1" t="s">
        <v>74</v>
      </c>
      <c r="N996" s="1" t="s">
        <v>74</v>
      </c>
      <c r="O996" s="1" t="s">
        <v>74</v>
      </c>
      <c r="P996" s="1" t="s">
        <v>74</v>
      </c>
      <c r="Q996" s="1" t="s">
        <v>74</v>
      </c>
      <c r="R996" s="1" t="s">
        <v>74</v>
      </c>
      <c r="S996" s="1" t="s">
        <v>74</v>
      </c>
      <c r="T996" s="1" t="s">
        <v>74</v>
      </c>
      <c r="U996" s="1" t="s">
        <v>74</v>
      </c>
      <c r="V996" s="1" t="s">
        <v>9839</v>
      </c>
      <c r="W996" s="1" t="s">
        <v>74</v>
      </c>
      <c r="X996" s="1" t="s">
        <v>74</v>
      </c>
      <c r="Y996" s="1" t="s">
        <v>74</v>
      </c>
      <c r="Z996" s="1" t="s">
        <v>74</v>
      </c>
      <c r="AA996" s="1" t="s">
        <v>9840</v>
      </c>
      <c r="AB996" s="1" t="s">
        <v>9841</v>
      </c>
      <c r="AC996" s="1" t="s">
        <v>74</v>
      </c>
      <c r="AD996" s="1" t="s">
        <v>74</v>
      </c>
      <c r="AE996" s="1" t="s">
        <v>74</v>
      </c>
      <c r="AF996" s="1" t="s">
        <v>74</v>
      </c>
      <c r="AG996" s="1" t="s">
        <v>74</v>
      </c>
      <c r="AH996" s="1" t="s">
        <v>74</v>
      </c>
      <c r="AI996" s="1" t="s">
        <v>74</v>
      </c>
      <c r="AJ996" s="1" t="s">
        <v>74</v>
      </c>
      <c r="AK996" s="1" t="s">
        <v>74</v>
      </c>
      <c r="AL996" s="1" t="s">
        <v>74</v>
      </c>
      <c r="AM996" s="1" t="s">
        <v>74</v>
      </c>
      <c r="AN996" s="1" t="s">
        <v>74</v>
      </c>
      <c r="AO996" s="1" t="s">
        <v>473</v>
      </c>
      <c r="AP996" s="1" t="s">
        <v>474</v>
      </c>
      <c r="AQ996" s="1" t="s">
        <v>74</v>
      </c>
      <c r="AR996" s="1" t="s">
        <v>74</v>
      </c>
      <c r="AS996" s="1" t="s">
        <v>74</v>
      </c>
      <c r="AT996" s="1" t="s">
        <v>235</v>
      </c>
      <c r="AU996" s="1">
        <v>2021.0</v>
      </c>
      <c r="AV996" s="1">
        <v>25.0</v>
      </c>
      <c r="AW996" s="1">
        <v>4.0</v>
      </c>
      <c r="AX996" s="1" t="s">
        <v>74</v>
      </c>
      <c r="AY996" s="1" t="s">
        <v>74</v>
      </c>
      <c r="AZ996" s="1" t="s">
        <v>74</v>
      </c>
      <c r="BA996" s="1" t="s">
        <v>74</v>
      </c>
      <c r="BB996" s="1">
        <v>1131.0</v>
      </c>
      <c r="BC996" s="1">
        <v>1138.0</v>
      </c>
      <c r="BD996" s="1" t="s">
        <v>74</v>
      </c>
      <c r="BE996" s="1" t="s">
        <v>9842</v>
      </c>
      <c r="BF996" s="2" t="str">
        <f>HYPERLINK("http://dx.doi.org/10.1007/s10008-020-04888-5","http://dx.doi.org/10.1007/s10008-020-04888-5")</f>
        <v>http://dx.doi.org/10.1007/s10008-020-04888-5</v>
      </c>
      <c r="BG996" s="1" t="s">
        <v>74</v>
      </c>
      <c r="BH996" s="1" t="s">
        <v>625</v>
      </c>
      <c r="BI996" s="1" t="s">
        <v>74</v>
      </c>
      <c r="BJ996" s="1" t="s">
        <v>74</v>
      </c>
      <c r="BK996" s="1" t="s">
        <v>74</v>
      </c>
      <c r="BL996" s="1" t="s">
        <v>74</v>
      </c>
      <c r="BM996" s="1" t="s">
        <v>74</v>
      </c>
      <c r="BN996" s="1" t="s">
        <v>74</v>
      </c>
      <c r="BO996" s="1" t="s">
        <v>74</v>
      </c>
      <c r="BP996" s="1" t="s">
        <v>74</v>
      </c>
      <c r="BQ996" s="1" t="s">
        <v>74</v>
      </c>
      <c r="BR996" s="1" t="s">
        <v>74</v>
      </c>
      <c r="BS996" s="1" t="s">
        <v>9843</v>
      </c>
      <c r="BT996" s="1" t="str">
        <f>HYPERLINK("https%3A%2F%2Fwww.webofscience.com%2Fwos%2Fwoscc%2Ffull-record%2FWOS:000605896100003","View Full Record in Web of Science")</f>
        <v>View Full Record in Web of Science</v>
      </c>
    </row>
    <row r="997" ht="12.75" customHeight="1">
      <c r="A997" s="1" t="s">
        <v>72</v>
      </c>
      <c r="B997" s="1" t="s">
        <v>9844</v>
      </c>
      <c r="C997" s="1" t="s">
        <v>74</v>
      </c>
      <c r="D997" s="1" t="s">
        <v>74</v>
      </c>
      <c r="E997" s="1" t="s">
        <v>74</v>
      </c>
      <c r="F997" s="1" t="s">
        <v>9845</v>
      </c>
      <c r="G997" s="1" t="s">
        <v>74</v>
      </c>
      <c r="H997" s="1" t="s">
        <v>74</v>
      </c>
      <c r="I997" s="1" t="s">
        <v>9846</v>
      </c>
      <c r="J997" s="1" t="s">
        <v>9847</v>
      </c>
      <c r="K997" s="1" t="s">
        <v>74</v>
      </c>
      <c r="L997" s="1" t="s">
        <v>74</v>
      </c>
      <c r="M997" s="1" t="s">
        <v>74</v>
      </c>
      <c r="N997" s="1" t="s">
        <v>74</v>
      </c>
      <c r="O997" s="1" t="s">
        <v>74</v>
      </c>
      <c r="P997" s="1" t="s">
        <v>74</v>
      </c>
      <c r="Q997" s="1" t="s">
        <v>74</v>
      </c>
      <c r="R997" s="1" t="s">
        <v>74</v>
      </c>
      <c r="S997" s="1" t="s">
        <v>74</v>
      </c>
      <c r="T997" s="1" t="s">
        <v>74</v>
      </c>
      <c r="U997" s="1" t="s">
        <v>74</v>
      </c>
      <c r="V997" s="1" t="s">
        <v>74</v>
      </c>
      <c r="W997" s="1" t="s">
        <v>74</v>
      </c>
      <c r="X997" s="1" t="s">
        <v>74</v>
      </c>
      <c r="Y997" s="1" t="s">
        <v>74</v>
      </c>
      <c r="Z997" s="1" t="s">
        <v>74</v>
      </c>
      <c r="AA997" s="1" t="s">
        <v>231</v>
      </c>
      <c r="AB997" s="1" t="s">
        <v>232</v>
      </c>
      <c r="AC997" s="1" t="s">
        <v>74</v>
      </c>
      <c r="AD997" s="1" t="s">
        <v>74</v>
      </c>
      <c r="AE997" s="1" t="s">
        <v>74</v>
      </c>
      <c r="AF997" s="1" t="s">
        <v>74</v>
      </c>
      <c r="AG997" s="1" t="s">
        <v>74</v>
      </c>
      <c r="AH997" s="1" t="s">
        <v>74</v>
      </c>
      <c r="AI997" s="1" t="s">
        <v>74</v>
      </c>
      <c r="AJ997" s="1" t="s">
        <v>74</v>
      </c>
      <c r="AK997" s="1" t="s">
        <v>74</v>
      </c>
      <c r="AL997" s="1" t="s">
        <v>74</v>
      </c>
      <c r="AM997" s="1" t="s">
        <v>74</v>
      </c>
      <c r="AN997" s="1" t="s">
        <v>74</v>
      </c>
      <c r="AO997" s="1" t="s">
        <v>9848</v>
      </c>
      <c r="AP997" s="1" t="s">
        <v>9849</v>
      </c>
      <c r="AQ997" s="1" t="s">
        <v>74</v>
      </c>
      <c r="AR997" s="1" t="s">
        <v>74</v>
      </c>
      <c r="AS997" s="1" t="s">
        <v>74</v>
      </c>
      <c r="AT997" s="1" t="s">
        <v>348</v>
      </c>
      <c r="AU997" s="1">
        <v>2021.0</v>
      </c>
      <c r="AV997" s="1">
        <v>29.0</v>
      </c>
      <c r="AW997" s="1">
        <v>6.0</v>
      </c>
      <c r="AX997" s="1" t="s">
        <v>74</v>
      </c>
      <c r="AY997" s="1" t="s">
        <v>74</v>
      </c>
      <c r="AZ997" s="1" t="s">
        <v>74</v>
      </c>
      <c r="BA997" s="1" t="s">
        <v>74</v>
      </c>
      <c r="BB997" s="1">
        <v>639.0</v>
      </c>
      <c r="BC997" s="1">
        <v>639.0</v>
      </c>
      <c r="BD997" s="1">
        <v>1.06689692093966E15</v>
      </c>
      <c r="BE997" s="1" t="s">
        <v>9850</v>
      </c>
      <c r="BF997" s="2" t="str">
        <f>HYPERLINK("http://dx.doi.org/10.1177/1066896920939660","http://dx.doi.org/10.1177/1066896920939660")</f>
        <v>http://dx.doi.org/10.1177/1066896920939660</v>
      </c>
      <c r="BG997" s="1" t="s">
        <v>74</v>
      </c>
      <c r="BH997" s="1" t="s">
        <v>9851</v>
      </c>
      <c r="BI997" s="1" t="s">
        <v>74</v>
      </c>
      <c r="BJ997" s="1" t="s">
        <v>74</v>
      </c>
      <c r="BK997" s="1" t="s">
        <v>74</v>
      </c>
      <c r="BL997" s="1" t="s">
        <v>74</v>
      </c>
      <c r="BM997" s="1" t="s">
        <v>74</v>
      </c>
      <c r="BN997" s="1">
        <v>3.2631104E7</v>
      </c>
      <c r="BO997" s="1" t="s">
        <v>74</v>
      </c>
      <c r="BP997" s="1" t="s">
        <v>74</v>
      </c>
      <c r="BQ997" s="1" t="s">
        <v>74</v>
      </c>
      <c r="BR997" s="1" t="s">
        <v>74</v>
      </c>
      <c r="BS997" s="1" t="s">
        <v>9852</v>
      </c>
      <c r="BT997" s="1" t="str">
        <f>HYPERLINK("https%3A%2F%2Fwww.webofscience.com%2Fwos%2Fwoscc%2Ffull-record%2FWOS:000546413200001","View Full Record in Web of Science")</f>
        <v>View Full Record in Web of Science</v>
      </c>
    </row>
    <row r="998" ht="12.75" customHeight="1">
      <c r="A998" s="1" t="s">
        <v>72</v>
      </c>
      <c r="B998" s="1" t="s">
        <v>9853</v>
      </c>
      <c r="C998" s="1" t="s">
        <v>74</v>
      </c>
      <c r="D998" s="1" t="s">
        <v>74</v>
      </c>
      <c r="E998" s="1" t="s">
        <v>74</v>
      </c>
      <c r="F998" s="1" t="s">
        <v>9854</v>
      </c>
      <c r="G998" s="1" t="s">
        <v>74</v>
      </c>
      <c r="H998" s="1" t="s">
        <v>74</v>
      </c>
      <c r="I998" s="1" t="s">
        <v>9855</v>
      </c>
      <c r="J998" s="1" t="s">
        <v>9856</v>
      </c>
      <c r="K998" s="1" t="s">
        <v>74</v>
      </c>
      <c r="L998" s="1" t="s">
        <v>74</v>
      </c>
      <c r="M998" s="1" t="s">
        <v>74</v>
      </c>
      <c r="N998" s="1" t="s">
        <v>74</v>
      </c>
      <c r="O998" s="1" t="s">
        <v>74</v>
      </c>
      <c r="P998" s="1" t="s">
        <v>74</v>
      </c>
      <c r="Q998" s="1" t="s">
        <v>74</v>
      </c>
      <c r="R998" s="1" t="s">
        <v>74</v>
      </c>
      <c r="S998" s="1" t="s">
        <v>74</v>
      </c>
      <c r="T998" s="1" t="s">
        <v>74</v>
      </c>
      <c r="U998" s="1" t="s">
        <v>74</v>
      </c>
      <c r="V998" s="1" t="s">
        <v>9857</v>
      </c>
      <c r="W998" s="1" t="s">
        <v>74</v>
      </c>
      <c r="X998" s="1" t="s">
        <v>74</v>
      </c>
      <c r="Y998" s="1" t="s">
        <v>74</v>
      </c>
      <c r="Z998" s="1" t="s">
        <v>74</v>
      </c>
      <c r="AA998" s="1" t="s">
        <v>9858</v>
      </c>
      <c r="AB998" s="1" t="s">
        <v>9859</v>
      </c>
      <c r="AC998" s="1" t="s">
        <v>74</v>
      </c>
      <c r="AD998" s="1" t="s">
        <v>74</v>
      </c>
      <c r="AE998" s="1" t="s">
        <v>74</v>
      </c>
      <c r="AF998" s="1" t="s">
        <v>74</v>
      </c>
      <c r="AG998" s="1" t="s">
        <v>74</v>
      </c>
      <c r="AH998" s="1" t="s">
        <v>74</v>
      </c>
      <c r="AI998" s="1" t="s">
        <v>74</v>
      </c>
      <c r="AJ998" s="1" t="s">
        <v>74</v>
      </c>
      <c r="AK998" s="1" t="s">
        <v>74</v>
      </c>
      <c r="AL998" s="1" t="s">
        <v>74</v>
      </c>
      <c r="AM998" s="1" t="s">
        <v>74</v>
      </c>
      <c r="AN998" s="1" t="s">
        <v>74</v>
      </c>
      <c r="AO998" s="1" t="s">
        <v>9860</v>
      </c>
      <c r="AP998" s="1" t="s">
        <v>9861</v>
      </c>
      <c r="AQ998" s="1" t="s">
        <v>74</v>
      </c>
      <c r="AR998" s="1" t="s">
        <v>74</v>
      </c>
      <c r="AS998" s="1" t="s">
        <v>74</v>
      </c>
      <c r="AT998" s="1" t="s">
        <v>537</v>
      </c>
      <c r="AU998" s="1">
        <v>2019.0</v>
      </c>
      <c r="AV998" s="1">
        <v>7.0</v>
      </c>
      <c r="AW998" s="1">
        <v>11.0</v>
      </c>
      <c r="AX998" s="1" t="s">
        <v>74</v>
      </c>
      <c r="AY998" s="1" t="s">
        <v>74</v>
      </c>
      <c r="AZ998" s="1" t="s">
        <v>74</v>
      </c>
      <c r="BA998" s="1" t="s">
        <v>74</v>
      </c>
      <c r="BB998" s="1" t="s">
        <v>74</v>
      </c>
      <c r="BC998" s="1" t="s">
        <v>74</v>
      </c>
      <c r="BD998" s="1">
        <v>1900698.0</v>
      </c>
      <c r="BE998" s="1" t="s">
        <v>9862</v>
      </c>
      <c r="BF998" s="2" t="str">
        <f>HYPERLINK("http://dx.doi.org/10.1002/ente.201900698","http://dx.doi.org/10.1002/ente.201900698")</f>
        <v>http://dx.doi.org/10.1002/ente.201900698</v>
      </c>
      <c r="BG998" s="1" t="s">
        <v>74</v>
      </c>
      <c r="BH998" s="1" t="s">
        <v>9863</v>
      </c>
      <c r="BI998" s="1" t="s">
        <v>74</v>
      </c>
      <c r="BJ998" s="1" t="s">
        <v>74</v>
      </c>
      <c r="BK998" s="1" t="s">
        <v>74</v>
      </c>
      <c r="BL998" s="1" t="s">
        <v>74</v>
      </c>
      <c r="BM998" s="1" t="s">
        <v>74</v>
      </c>
      <c r="BN998" s="1" t="s">
        <v>74</v>
      </c>
      <c r="BO998" s="1" t="s">
        <v>74</v>
      </c>
      <c r="BP998" s="1" t="s">
        <v>74</v>
      </c>
      <c r="BQ998" s="1" t="s">
        <v>74</v>
      </c>
      <c r="BR998" s="1" t="s">
        <v>74</v>
      </c>
      <c r="BS998" s="1" t="s">
        <v>9864</v>
      </c>
      <c r="BT998" s="1" t="str">
        <f>HYPERLINK("https%3A%2F%2Fwww.webofscience.com%2Fwos%2Fwoscc%2Ffull-record%2FWOS:000486871800001","View Full Record in Web of Science")</f>
        <v>View Full Record in Web of Science</v>
      </c>
    </row>
    <row r="999" ht="12.75" customHeight="1">
      <c r="A999" s="1" t="s">
        <v>72</v>
      </c>
      <c r="B999" s="1" t="s">
        <v>9865</v>
      </c>
      <c r="C999" s="1" t="s">
        <v>74</v>
      </c>
      <c r="D999" s="1" t="s">
        <v>74</v>
      </c>
      <c r="E999" s="1" t="s">
        <v>74</v>
      </c>
      <c r="F999" s="1" t="s">
        <v>9866</v>
      </c>
      <c r="G999" s="1" t="s">
        <v>74</v>
      </c>
      <c r="H999" s="1" t="s">
        <v>74</v>
      </c>
      <c r="I999" s="1" t="s">
        <v>9867</v>
      </c>
      <c r="J999" s="1" t="s">
        <v>7215</v>
      </c>
      <c r="K999" s="1" t="s">
        <v>74</v>
      </c>
      <c r="L999" s="1" t="s">
        <v>74</v>
      </c>
      <c r="M999" s="1" t="s">
        <v>74</v>
      </c>
      <c r="N999" s="1" t="s">
        <v>74</v>
      </c>
      <c r="O999" s="1" t="s">
        <v>74</v>
      </c>
      <c r="P999" s="1" t="s">
        <v>74</v>
      </c>
      <c r="Q999" s="1" t="s">
        <v>74</v>
      </c>
      <c r="R999" s="1" t="s">
        <v>74</v>
      </c>
      <c r="S999" s="1" t="s">
        <v>74</v>
      </c>
      <c r="T999" s="1" t="s">
        <v>74</v>
      </c>
      <c r="U999" s="1" t="s">
        <v>74</v>
      </c>
      <c r="V999" s="1" t="s">
        <v>9868</v>
      </c>
      <c r="W999" s="1" t="s">
        <v>74</v>
      </c>
      <c r="X999" s="1" t="s">
        <v>74</v>
      </c>
      <c r="Y999" s="1" t="s">
        <v>74</v>
      </c>
      <c r="Z999" s="1" t="s">
        <v>74</v>
      </c>
      <c r="AA999" s="1" t="s">
        <v>9869</v>
      </c>
      <c r="AB999" s="1" t="s">
        <v>9870</v>
      </c>
      <c r="AC999" s="1" t="s">
        <v>74</v>
      </c>
      <c r="AD999" s="1" t="s">
        <v>74</v>
      </c>
      <c r="AE999" s="1" t="s">
        <v>74</v>
      </c>
      <c r="AF999" s="1" t="s">
        <v>74</v>
      </c>
      <c r="AG999" s="1" t="s">
        <v>74</v>
      </c>
      <c r="AH999" s="1" t="s">
        <v>74</v>
      </c>
      <c r="AI999" s="1" t="s">
        <v>74</v>
      </c>
      <c r="AJ999" s="1" t="s">
        <v>74</v>
      </c>
      <c r="AK999" s="1" t="s">
        <v>74</v>
      </c>
      <c r="AL999" s="1" t="s">
        <v>74</v>
      </c>
      <c r="AM999" s="1" t="s">
        <v>74</v>
      </c>
      <c r="AN999" s="1" t="s">
        <v>74</v>
      </c>
      <c r="AO999" s="1" t="s">
        <v>7219</v>
      </c>
      <c r="AP999" s="1" t="s">
        <v>7220</v>
      </c>
      <c r="AQ999" s="1" t="s">
        <v>74</v>
      </c>
      <c r="AR999" s="1" t="s">
        <v>74</v>
      </c>
      <c r="AS999" s="1" t="s">
        <v>74</v>
      </c>
      <c r="AT999" s="1" t="s">
        <v>235</v>
      </c>
      <c r="AU999" s="1">
        <v>2019.0</v>
      </c>
      <c r="AV999" s="1">
        <v>31.0</v>
      </c>
      <c r="AW999" s="1">
        <v>4.0</v>
      </c>
      <c r="AX999" s="1" t="s">
        <v>74</v>
      </c>
      <c r="AY999" s="1" t="s">
        <v>74</v>
      </c>
      <c r="AZ999" s="1" t="s">
        <v>74</v>
      </c>
      <c r="BA999" s="1" t="s">
        <v>74</v>
      </c>
      <c r="BB999" s="1">
        <v>671.0</v>
      </c>
      <c r="BC999" s="1">
        <v>677.0</v>
      </c>
      <c r="BD999" s="1" t="s">
        <v>74</v>
      </c>
      <c r="BE999" s="1" t="s">
        <v>9871</v>
      </c>
      <c r="BF999" s="2" t="str">
        <f>HYPERLINK("http://dx.doi.org/10.1002/elan.201800771","http://dx.doi.org/10.1002/elan.201800771")</f>
        <v>http://dx.doi.org/10.1002/elan.201800771</v>
      </c>
      <c r="BG999" s="1" t="s">
        <v>74</v>
      </c>
      <c r="BH999" s="1" t="s">
        <v>74</v>
      </c>
      <c r="BI999" s="1" t="s">
        <v>74</v>
      </c>
      <c r="BJ999" s="1" t="s">
        <v>74</v>
      </c>
      <c r="BK999" s="1" t="s">
        <v>74</v>
      </c>
      <c r="BL999" s="1" t="s">
        <v>74</v>
      </c>
      <c r="BM999" s="1" t="s">
        <v>74</v>
      </c>
      <c r="BN999" s="1" t="s">
        <v>74</v>
      </c>
      <c r="BO999" s="1" t="s">
        <v>74</v>
      </c>
      <c r="BP999" s="1" t="s">
        <v>74</v>
      </c>
      <c r="BQ999" s="1" t="s">
        <v>74</v>
      </c>
      <c r="BR999" s="1" t="s">
        <v>74</v>
      </c>
      <c r="BS999" s="1" t="s">
        <v>9872</v>
      </c>
      <c r="BT999" s="1" t="str">
        <f>HYPERLINK("https%3A%2F%2Fwww.webofscience.com%2Fwos%2Fwoscc%2Ffull-record%2FWOS:000465095800013","View Full Record in Web of Science")</f>
        <v>View Full Record in Web of Science</v>
      </c>
    </row>
    <row r="1000" ht="12.75" customHeight="1">
      <c r="A1000" s="1" t="s">
        <v>72</v>
      </c>
      <c r="B1000" s="1" t="s">
        <v>9873</v>
      </c>
      <c r="C1000" s="1" t="s">
        <v>74</v>
      </c>
      <c r="D1000" s="1" t="s">
        <v>74</v>
      </c>
      <c r="E1000" s="1" t="s">
        <v>74</v>
      </c>
      <c r="F1000" s="1" t="s">
        <v>9874</v>
      </c>
      <c r="G1000" s="1" t="s">
        <v>74</v>
      </c>
      <c r="H1000" s="1" t="s">
        <v>74</v>
      </c>
      <c r="I1000" s="1" t="s">
        <v>9875</v>
      </c>
      <c r="J1000" s="1" t="s">
        <v>9876</v>
      </c>
      <c r="K1000" s="1" t="s">
        <v>74</v>
      </c>
      <c r="L1000" s="1" t="s">
        <v>74</v>
      </c>
      <c r="M1000" s="1" t="s">
        <v>74</v>
      </c>
      <c r="N1000" s="1" t="s">
        <v>74</v>
      </c>
      <c r="O1000" s="1" t="s">
        <v>74</v>
      </c>
      <c r="P1000" s="1" t="s">
        <v>74</v>
      </c>
      <c r="Q1000" s="1" t="s">
        <v>74</v>
      </c>
      <c r="R1000" s="1" t="s">
        <v>74</v>
      </c>
      <c r="S1000" s="1" t="s">
        <v>74</v>
      </c>
      <c r="T1000" s="1" t="s">
        <v>74</v>
      </c>
      <c r="U1000" s="1" t="s">
        <v>74</v>
      </c>
      <c r="V1000" s="1" t="s">
        <v>9877</v>
      </c>
      <c r="W1000" s="1" t="s">
        <v>74</v>
      </c>
      <c r="X1000" s="1" t="s">
        <v>74</v>
      </c>
      <c r="Y1000" s="1" t="s">
        <v>74</v>
      </c>
      <c r="Z1000" s="1" t="s">
        <v>74</v>
      </c>
      <c r="AA1000" s="1" t="s">
        <v>9878</v>
      </c>
      <c r="AB1000" s="1" t="s">
        <v>9879</v>
      </c>
      <c r="AC1000" s="1" t="s">
        <v>74</v>
      </c>
      <c r="AD1000" s="1" t="s">
        <v>74</v>
      </c>
      <c r="AE1000" s="1" t="s">
        <v>74</v>
      </c>
      <c r="AF1000" s="1" t="s">
        <v>74</v>
      </c>
      <c r="AG1000" s="1" t="s">
        <v>74</v>
      </c>
      <c r="AH1000" s="1" t="s">
        <v>74</v>
      </c>
      <c r="AI1000" s="1" t="s">
        <v>74</v>
      </c>
      <c r="AJ1000" s="1" t="s">
        <v>74</v>
      </c>
      <c r="AK1000" s="1" t="s">
        <v>74</v>
      </c>
      <c r="AL1000" s="1" t="s">
        <v>74</v>
      </c>
      <c r="AM1000" s="1" t="s">
        <v>74</v>
      </c>
      <c r="AN1000" s="1" t="s">
        <v>74</v>
      </c>
      <c r="AO1000" s="1" t="s">
        <v>9880</v>
      </c>
      <c r="AP1000" s="1" t="s">
        <v>9881</v>
      </c>
      <c r="AQ1000" s="1" t="s">
        <v>74</v>
      </c>
      <c r="AR1000" s="1" t="s">
        <v>74</v>
      </c>
      <c r="AS1000" s="1" t="s">
        <v>74</v>
      </c>
      <c r="AT1000" s="1" t="s">
        <v>74</v>
      </c>
      <c r="AU1000" s="1">
        <v>2019.0</v>
      </c>
      <c r="AV1000" s="1">
        <v>25.0</v>
      </c>
      <c r="AW1000" s="1">
        <v>2.0</v>
      </c>
      <c r="AX1000" s="1" t="s">
        <v>74</v>
      </c>
      <c r="AY1000" s="1" t="s">
        <v>74</v>
      </c>
      <c r="AZ1000" s="1" t="s">
        <v>74</v>
      </c>
      <c r="BA1000" s="1" t="s">
        <v>74</v>
      </c>
      <c r="BB1000" s="1">
        <v>190.0</v>
      </c>
      <c r="BC1000" s="1">
        <v>212.0</v>
      </c>
      <c r="BD1000" s="1" t="s">
        <v>74</v>
      </c>
      <c r="BE1000" s="1" t="s">
        <v>9882</v>
      </c>
      <c r="BF1000" s="2" t="str">
        <f>HYPERLINK("http://dx.doi.org/10.1080/13569775.2018.1504426","http://dx.doi.org/10.1080/13569775.2018.1504426")</f>
        <v>http://dx.doi.org/10.1080/13569775.2018.1504426</v>
      </c>
      <c r="BG1000" s="1" t="s">
        <v>74</v>
      </c>
      <c r="BH1000" s="1" t="s">
        <v>74</v>
      </c>
      <c r="BI1000" s="1" t="s">
        <v>74</v>
      </c>
      <c r="BJ1000" s="1" t="s">
        <v>74</v>
      </c>
      <c r="BK1000" s="1" t="s">
        <v>74</v>
      </c>
      <c r="BL1000" s="1" t="s">
        <v>74</v>
      </c>
      <c r="BM1000" s="1" t="s">
        <v>74</v>
      </c>
      <c r="BN1000" s="1" t="s">
        <v>74</v>
      </c>
      <c r="BO1000" s="1" t="s">
        <v>74</v>
      </c>
      <c r="BP1000" s="1" t="s">
        <v>74</v>
      </c>
      <c r="BQ1000" s="1" t="s">
        <v>74</v>
      </c>
      <c r="BR1000" s="1" t="s">
        <v>74</v>
      </c>
      <c r="BS1000" s="1" t="s">
        <v>9883</v>
      </c>
      <c r="BT1000" s="1" t="str">
        <f>HYPERLINK("https%3A%2F%2Fwww.webofscience.com%2Fwos%2Fwoscc%2Ffull-record%2FWOS:000461573500004","View Full Record in Web of Science")</f>
        <v>View Full Record in Web of Science</v>
      </c>
    </row>
    <row r="1001" ht="12.75" customHeight="1">
      <c r="A1001" s="1" t="s">
        <v>86</v>
      </c>
      <c r="B1001" s="1" t="s">
        <v>9884</v>
      </c>
      <c r="C1001" s="1" t="s">
        <v>74</v>
      </c>
      <c r="D1001" s="1" t="s">
        <v>4400</v>
      </c>
      <c r="E1001" s="1" t="s">
        <v>74</v>
      </c>
      <c r="F1001" s="1" t="s">
        <v>9885</v>
      </c>
      <c r="G1001" s="1" t="s">
        <v>74</v>
      </c>
      <c r="H1001" s="1" t="s">
        <v>74</v>
      </c>
      <c r="I1001" s="1" t="s">
        <v>9886</v>
      </c>
      <c r="J1001" s="1" t="s">
        <v>4403</v>
      </c>
      <c r="K1001" s="1" t="s">
        <v>74</v>
      </c>
      <c r="L1001" s="1" t="s">
        <v>74</v>
      </c>
      <c r="M1001" s="1" t="s">
        <v>74</v>
      </c>
      <c r="N1001" s="1" t="s">
        <v>74</v>
      </c>
      <c r="O1001" s="1" t="s">
        <v>4404</v>
      </c>
      <c r="P1001" s="1" t="s">
        <v>4405</v>
      </c>
      <c r="Q1001" s="1" t="s">
        <v>4406</v>
      </c>
      <c r="R1001" s="1" t="s">
        <v>4407</v>
      </c>
      <c r="S1001" s="1" t="s">
        <v>74</v>
      </c>
      <c r="T1001" s="1" t="s">
        <v>74</v>
      </c>
      <c r="U1001" s="1" t="s">
        <v>74</v>
      </c>
      <c r="V1001" s="1" t="s">
        <v>9887</v>
      </c>
      <c r="W1001" s="1" t="s">
        <v>74</v>
      </c>
      <c r="X1001" s="1" t="s">
        <v>74</v>
      </c>
      <c r="Y1001" s="1" t="s">
        <v>74</v>
      </c>
      <c r="Z1001" s="1" t="s">
        <v>74</v>
      </c>
      <c r="AA1001" s="1" t="s">
        <v>9888</v>
      </c>
      <c r="AB1001" s="1" t="s">
        <v>9889</v>
      </c>
      <c r="AC1001" s="1" t="s">
        <v>74</v>
      </c>
      <c r="AD1001" s="1" t="s">
        <v>74</v>
      </c>
      <c r="AE1001" s="1" t="s">
        <v>74</v>
      </c>
      <c r="AF1001" s="1" t="s">
        <v>74</v>
      </c>
      <c r="AG1001" s="1" t="s">
        <v>74</v>
      </c>
      <c r="AH1001" s="1" t="s">
        <v>74</v>
      </c>
      <c r="AI1001" s="1" t="s">
        <v>74</v>
      </c>
      <c r="AJ1001" s="1" t="s">
        <v>74</v>
      </c>
      <c r="AK1001" s="1" t="s">
        <v>74</v>
      </c>
      <c r="AL1001" s="1" t="s">
        <v>74</v>
      </c>
      <c r="AM1001" s="1" t="s">
        <v>74</v>
      </c>
      <c r="AN1001" s="1" t="s">
        <v>74</v>
      </c>
      <c r="AO1001" s="1" t="s">
        <v>74</v>
      </c>
      <c r="AP1001" s="1" t="s">
        <v>74</v>
      </c>
      <c r="AQ1001" s="1" t="s">
        <v>4411</v>
      </c>
      <c r="AR1001" s="1" t="s">
        <v>74</v>
      </c>
      <c r="AS1001" s="1" t="s">
        <v>74</v>
      </c>
      <c r="AT1001" s="1" t="s">
        <v>74</v>
      </c>
      <c r="AU1001" s="1">
        <v>2018.0</v>
      </c>
      <c r="AV1001" s="1" t="s">
        <v>74</v>
      </c>
      <c r="AW1001" s="1" t="s">
        <v>74</v>
      </c>
      <c r="AX1001" s="1" t="s">
        <v>74</v>
      </c>
      <c r="AY1001" s="1" t="s">
        <v>74</v>
      </c>
      <c r="AZ1001" s="1" t="s">
        <v>74</v>
      </c>
      <c r="BA1001" s="1" t="s">
        <v>74</v>
      </c>
      <c r="BB1001" s="1">
        <v>270.0</v>
      </c>
      <c r="BC1001" s="1">
        <v>275.0</v>
      </c>
      <c r="BD1001" s="1" t="s">
        <v>74</v>
      </c>
      <c r="BE1001" s="1" t="s">
        <v>74</v>
      </c>
      <c r="BF1001" s="1" t="s">
        <v>74</v>
      </c>
      <c r="BG1001" s="1" t="s">
        <v>74</v>
      </c>
      <c r="BH1001" s="1" t="s">
        <v>74</v>
      </c>
      <c r="BI1001" s="1" t="s">
        <v>74</v>
      </c>
      <c r="BJ1001" s="1" t="s">
        <v>74</v>
      </c>
      <c r="BK1001" s="1" t="s">
        <v>74</v>
      </c>
      <c r="BL1001" s="1" t="s">
        <v>74</v>
      </c>
      <c r="BM1001" s="1" t="s">
        <v>74</v>
      </c>
      <c r="BN1001" s="1" t="s">
        <v>74</v>
      </c>
      <c r="BO1001" s="1" t="s">
        <v>74</v>
      </c>
      <c r="BP1001" s="1" t="s">
        <v>74</v>
      </c>
      <c r="BQ1001" s="1" t="s">
        <v>74</v>
      </c>
      <c r="BR1001" s="1" t="s">
        <v>74</v>
      </c>
      <c r="BS1001" s="1" t="s">
        <v>9890</v>
      </c>
      <c r="BT1001" s="1" t="str">
        <f>HYPERLINK("https%3A%2F%2Fwww.webofscience.com%2Fwos%2Fwoscc%2Ffull-record%2FWOS:000437157500041","View Full Record in Web of Science")</f>
        <v>View Full Record in Web of Science</v>
      </c>
    </row>
  </sheetData>
  <printOptions/>
  <pageMargins bottom="0.75" footer="0.0" header="0.0" left="0.7" right="0.7" top="0.75"/>
  <pageSetup orientation="landscape"/>
  <drawing r:id="rId1"/>
</worksheet>
</file>